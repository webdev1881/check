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\discount\check\"/>
    </mc:Choice>
  </mc:AlternateContent>
  <xr:revisionPtr revIDLastSave="0" documentId="13_ncr:1_{4206F00A-1CCB-4920-A29D-7D93BADEAEBE}" xr6:coauthVersionLast="47" xr6:coauthVersionMax="47" xr10:uidLastSave="{00000000-0000-0000-0000-000000000000}"/>
  <bookViews>
    <workbookView xWindow="14316" yWindow="4992" windowWidth="32040" windowHeight="18192" tabRatio="132" xr2:uid="{00000000-000D-0000-FFFF-FFFF00000000}"/>
  </bookViews>
  <sheets>
    <sheet name="TDSheet" sheetId="1" r:id="rId1"/>
  </sheets>
  <definedNames>
    <definedName name="_xlnm._FilterDatabase" localSheetId="0" hidden="1">TDSheet!$A$1:$U$2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1" l="1"/>
  <c r="Z2" i="1"/>
  <c r="Y2" i="1"/>
</calcChain>
</file>

<file path=xl/sharedStrings.xml><?xml version="1.0" encoding="utf-8"?>
<sst xmlns="http://schemas.openxmlformats.org/spreadsheetml/2006/main" count="30" uniqueCount="27">
  <si>
    <t>N</t>
  </si>
  <si>
    <t>Код</t>
  </si>
  <si>
    <t>Артикул</t>
  </si>
  <si>
    <t>Номенклатура</t>
  </si>
  <si>
    <t>Номенклатурная группа</t>
  </si>
  <si>
    <t>К-во в уп</t>
  </si>
  <si>
    <t>Весовой</t>
  </si>
  <si>
    <t>Себестоимость</t>
  </si>
  <si>
    <t>Цена розничная</t>
  </si>
  <si>
    <t>Количество (оп)</t>
  </si>
  <si>
    <t>∆ (оп)</t>
  </si>
  <si>
    <t>Цена (оп)</t>
  </si>
  <si>
    <t>Отклонение (оп)</t>
  </si>
  <si>
    <t>Количество (уп)</t>
  </si>
  <si>
    <t>∆ (уп)</t>
  </si>
  <si>
    <t>Цена (уп)</t>
  </si>
  <si>
    <t>Отклонение (уп)</t>
  </si>
  <si>
    <t>Количество наборов</t>
  </si>
  <si>
    <t>націнка%, регулярна</t>
  </si>
  <si>
    <t>націнка,% 2  рівень</t>
  </si>
  <si>
    <t>націнка ,%3 рівень</t>
  </si>
  <si>
    <t xml:space="preserve">Ні </t>
  </si>
  <si>
    <t>0 ур</t>
  </si>
  <si>
    <t>1 ур</t>
  </si>
  <si>
    <t>2 ур</t>
  </si>
  <si>
    <t>Віскі Джеймсон 40% +2 склянки к/у 0,7л</t>
  </si>
  <si>
    <t>Віскі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</si>
</sst>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8"/>
      <name val="Arial"/>
    </font>
    <font>
      <sz val="8"/>
      <color rgb="FF594304"/>
      <name val="Arial"/>
      <family val="2"/>
    </font>
    <font>
      <sz val="8"/>
      <name val="Arial"/>
      <family val="2"/>
      <charset val="204"/>
    </font>
    <font>
      <sz val="8"/>
      <name val="Arial"/>
      <family val="2"/>
    </font>
    <font>
      <sz val="8"/>
      <color indexed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5F2DD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wrapText="1"/>
    </xf>
    <xf numFmtId="1" fontId="4" fillId="4" borderId="2" xfId="2" applyNumberFormat="1" applyFont="1" applyFill="1" applyBorder="1" applyAlignment="1">
      <alignment horizontal="left" vertical="top" wrapText="1"/>
    </xf>
    <xf numFmtId="2" fontId="4" fillId="5" borderId="2" xfId="2" applyNumberFormat="1" applyFont="1" applyFill="1" applyBorder="1" applyAlignment="1">
      <alignment horizontal="right" vertical="top" wrapText="1"/>
    </xf>
    <xf numFmtId="2" fontId="4" fillId="4" borderId="3" xfId="3" applyNumberFormat="1" applyFont="1" applyFill="1" applyBorder="1" applyAlignment="1">
      <alignment horizontal="right" vertical="top"/>
    </xf>
    <xf numFmtId="0" fontId="4" fillId="4" borderId="3" xfId="3" applyFont="1" applyFill="1" applyBorder="1" applyAlignment="1">
      <alignment horizontal="left" vertical="top"/>
    </xf>
    <xf numFmtId="9" fontId="1" fillId="3" borderId="1" xfId="1" applyFont="1" applyFill="1" applyBorder="1" applyAlignment="1">
      <alignment horizontal="center" vertical="top" wrapText="1"/>
    </xf>
    <xf numFmtId="9" fontId="0" fillId="0" borderId="0" xfId="1" applyFont="1" applyAlignment="1">
      <alignment horizontal="center"/>
    </xf>
    <xf numFmtId="2" fontId="4" fillId="6" borderId="3" xfId="3" applyNumberFormat="1" applyFont="1" applyFill="1" applyBorder="1" applyAlignment="1">
      <alignment horizontal="right" vertical="top"/>
    </xf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7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left"/>
    </xf>
  </cellXfs>
  <cellStyles count="4">
    <cellStyle name="Звичайний_TDSheet" xfId="3" xr:uid="{5C123EF8-985E-4E19-B3B6-AB23F4435E3A}"/>
    <cellStyle name="Звичайний_Аркуш1" xfId="2" xr:uid="{D7D52416-8990-4E5D-A9C0-7D2ADD81E2C5}"/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A2"/>
  <sheetViews>
    <sheetView tabSelected="1" workbookViewId="0">
      <pane ySplit="1" topLeftCell="A2" activePane="bottomLeft" state="frozen"/>
      <selection pane="bottomLeft" activeCell="D4" sqref="D4"/>
    </sheetView>
  </sheetViews>
  <sheetFormatPr defaultColWidth="10.42578125" defaultRowHeight="11.4" customHeight="1" x14ac:dyDescent="0.2"/>
  <cols>
    <col min="1" max="1" width="5.7109375" style="1" customWidth="1"/>
    <col min="2" max="2" width="10.42578125" style="1" customWidth="1"/>
    <col min="3" max="3" width="12.7109375" style="1" customWidth="1"/>
    <col min="4" max="4" width="40.7109375" style="1" customWidth="1"/>
    <col min="5" max="5" width="21.140625" style="1" customWidth="1"/>
    <col min="6" max="6" width="9.85546875" style="1" customWidth="1"/>
    <col min="7" max="7" width="8" style="1" customWidth="1"/>
    <col min="8" max="8" width="17.28515625" style="1" customWidth="1"/>
    <col min="9" max="9" width="11" style="1" customWidth="1"/>
    <col min="10" max="10" width="17.28515625" style="9" customWidth="1"/>
    <col min="11" max="13" width="11" style="1" customWidth="1"/>
    <col min="14" max="14" width="15.85546875" style="9" customWidth="1"/>
    <col min="15" max="18" width="11" style="1" customWidth="1"/>
    <col min="19" max="19" width="16.7109375" style="9" customWidth="1"/>
    <col min="20" max="21" width="11" style="1" customWidth="1"/>
  </cols>
  <sheetData>
    <row r="1" spans="1:27" s="3" customFormat="1" ht="28.9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8" t="s">
        <v>18</v>
      </c>
      <c r="K1" s="2" t="s">
        <v>9</v>
      </c>
      <c r="L1" s="2" t="s">
        <v>10</v>
      </c>
      <c r="M1" s="2" t="s">
        <v>11</v>
      </c>
      <c r="N1" s="8" t="s">
        <v>19</v>
      </c>
      <c r="O1" s="2" t="s">
        <v>12</v>
      </c>
      <c r="P1" s="2" t="s">
        <v>13</v>
      </c>
      <c r="Q1" s="2" t="s">
        <v>14</v>
      </c>
      <c r="R1" s="2" t="s">
        <v>15</v>
      </c>
      <c r="S1" s="8" t="s">
        <v>20</v>
      </c>
      <c r="T1" s="2" t="s">
        <v>16</v>
      </c>
      <c r="U1" s="2" t="s">
        <v>17</v>
      </c>
      <c r="V1" s="13" t="s">
        <v>22</v>
      </c>
      <c r="W1" s="14" t="s">
        <v>23</v>
      </c>
      <c r="X1" s="14" t="s">
        <v>24</v>
      </c>
      <c r="Y1" s="13" t="s">
        <v>22</v>
      </c>
      <c r="Z1" s="14" t="s">
        <v>23</v>
      </c>
      <c r="AA1" s="14" t="s">
        <v>24</v>
      </c>
    </row>
    <row r="2" spans="1:27" ht="11.4" customHeight="1" x14ac:dyDescent="0.2">
      <c r="C2" s="4">
        <v>39600</v>
      </c>
      <c r="D2" s="7" t="s">
        <v>25</v>
      </c>
      <c r="E2" s="7" t="s">
        <v>26</v>
      </c>
      <c r="F2" s="6">
        <v>1</v>
      </c>
      <c r="G2" s="7" t="s">
        <v>21</v>
      </c>
      <c r="H2" s="10">
        <v>1015.14</v>
      </c>
      <c r="I2" s="5">
        <v>1177</v>
      </c>
      <c r="J2" s="9">
        <v>0.15944598774553265</v>
      </c>
      <c r="K2" s="1">
        <v>2</v>
      </c>
      <c r="L2" s="15">
        <v>58.9</v>
      </c>
      <c r="M2" s="15">
        <v>1118.1499999999999</v>
      </c>
      <c r="N2" s="9">
        <v>0.10147368835825589</v>
      </c>
      <c r="P2" s="1">
        <v>6</v>
      </c>
      <c r="Q2" s="15">
        <v>117.70000000000005</v>
      </c>
      <c r="R2" s="15">
        <v>1059.3</v>
      </c>
      <c r="S2" s="9">
        <v>4.3501388970979341E-2</v>
      </c>
      <c r="V2" s="11">
        <v>1</v>
      </c>
      <c r="W2" s="12">
        <v>5</v>
      </c>
      <c r="X2" s="12">
        <v>8</v>
      </c>
      <c r="Y2" s="12">
        <f>IF(V2&lt;K2,I2)*V2</f>
        <v>1177</v>
      </c>
      <c r="Z2" s="12">
        <f>IF(AND(W2&gt;=K2,W2&lt;P2),I2-L2)*W2</f>
        <v>5590.5</v>
      </c>
      <c r="AA2" s="12">
        <f>IF(X2&gt;=Q2,I2-P2)*X2</f>
        <v>0</v>
      </c>
    </row>
  </sheetData>
  <autoFilter ref="A1:U2" xr:uid="{00000000-0001-0000-0000-000000000000}"/>
  <pageMargins left="0.75" right="1" top="0.75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Володимир Литвиновський</cp:lastModifiedBy>
  <dcterms:created xsi:type="dcterms:W3CDTF">2025-10-30T16:34:53Z</dcterms:created>
  <dcterms:modified xsi:type="dcterms:W3CDTF">2025-11-02T10:15:40Z</dcterms:modified>
</cp:coreProperties>
</file>