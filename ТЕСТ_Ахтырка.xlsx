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tvl\Downloads\Telegram Desktop\"/>
    </mc:Choice>
  </mc:AlternateContent>
  <xr:revisionPtr revIDLastSave="0" documentId="13_ncr:1_{F738EC64-49CF-4FA1-A7E1-FCAB598F222E}" xr6:coauthVersionLast="47" xr6:coauthVersionMax="47" xr10:uidLastSave="{00000000-0000-0000-0000-000000000000}"/>
  <bookViews>
    <workbookView xWindow="14280" yWindow="7068" windowWidth="30720" windowHeight="16344" tabRatio="148" xr2:uid="{00000000-000D-0000-FFFF-FFFF00000000}"/>
  </bookViews>
  <sheets>
    <sheet name="TDSheet" sheetId="1" r:id="rId1"/>
  </sheets>
  <definedNames>
    <definedName name="_xlnm._FilterDatabase" localSheetId="0" hidden="1">TDSheet!$A$1:$U$4547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Y2" i="1" s="1"/>
  <c r="X2" i="1"/>
  <c r="AA2" i="1" s="1"/>
  <c r="W2" i="1"/>
  <c r="Z2" i="1" s="1"/>
  <c r="X3353" i="1"/>
  <c r="AA3353" i="1" s="1"/>
  <c r="W3353" i="1"/>
  <c r="Z3353" i="1" s="1"/>
  <c r="V3353" i="1"/>
  <c r="Y3353" i="1" s="1"/>
  <c r="N1766" i="1"/>
  <c r="J1766" i="1"/>
  <c r="S4536" i="1"/>
  <c r="S4524" i="1"/>
  <c r="S4512" i="1"/>
  <c r="S4500" i="1"/>
  <c r="S4488" i="1"/>
  <c r="S4476" i="1"/>
  <c r="S4464" i="1"/>
  <c r="S4452" i="1"/>
  <c r="S4440" i="1"/>
  <c r="S4428" i="1"/>
  <c r="S4416" i="1"/>
  <c r="S4404" i="1"/>
  <c r="S4392" i="1"/>
  <c r="S4380" i="1"/>
  <c r="S4368" i="1"/>
  <c r="S4356" i="1"/>
  <c r="S4343" i="1"/>
  <c r="S4320" i="1"/>
  <c r="S4298" i="1"/>
  <c r="S4281" i="1"/>
  <c r="S4256" i="1"/>
  <c r="S4237" i="1"/>
  <c r="S4195" i="1"/>
  <c r="S4173" i="1"/>
  <c r="S4161" i="1"/>
  <c r="S4146" i="1"/>
  <c r="S4115" i="1"/>
  <c r="S4098" i="1"/>
  <c r="S4084" i="1"/>
  <c r="S4070" i="1"/>
  <c r="S4050" i="1"/>
  <c r="S4034" i="1"/>
  <c r="S4016" i="1"/>
  <c r="S4002" i="1"/>
  <c r="S3982" i="1"/>
  <c r="S3956" i="1"/>
  <c r="S3940" i="1"/>
  <c r="S3925" i="1"/>
  <c r="S3895" i="1"/>
  <c r="S3880" i="1"/>
  <c r="S3866" i="1"/>
  <c r="S3849" i="1"/>
  <c r="S3827" i="1"/>
  <c r="S3806" i="1"/>
  <c r="S3783" i="1"/>
  <c r="S3757" i="1"/>
  <c r="S3742" i="1"/>
  <c r="S3721" i="1"/>
  <c r="S3703" i="1"/>
  <c r="S3684" i="1"/>
  <c r="S3666" i="1"/>
  <c r="S3644" i="1"/>
  <c r="S3628" i="1"/>
  <c r="S3608" i="1"/>
  <c r="S3594" i="1"/>
  <c r="S3582" i="1"/>
  <c r="S3570" i="1"/>
  <c r="S3558" i="1"/>
  <c r="S3546" i="1"/>
  <c r="S3532" i="1"/>
  <c r="S3519" i="1"/>
  <c r="S3500" i="1"/>
  <c r="S3488" i="1"/>
  <c r="S3474" i="1"/>
  <c r="S3460" i="1"/>
  <c r="S3448" i="1"/>
  <c r="S3427" i="1"/>
  <c r="S3413" i="1"/>
  <c r="S3396" i="1"/>
  <c r="S3380" i="1"/>
  <c r="S3368" i="1"/>
  <c r="S3353" i="1"/>
  <c r="S3334" i="1"/>
  <c r="S3321" i="1"/>
  <c r="S3299" i="1"/>
  <c r="S3287" i="1"/>
  <c r="S3275" i="1"/>
  <c r="S3263" i="1"/>
  <c r="S3251" i="1"/>
  <c r="S3239" i="1"/>
  <c r="S3224" i="1"/>
  <c r="S3212" i="1"/>
  <c r="S3200" i="1"/>
  <c r="S3188" i="1"/>
  <c r="S3176" i="1"/>
  <c r="S3164" i="1"/>
  <c r="S3148" i="1"/>
  <c r="S3129" i="1"/>
  <c r="S3112" i="1"/>
  <c r="S3086" i="1"/>
  <c r="S3058" i="1"/>
  <c r="S3046" i="1"/>
  <c r="S3034" i="1"/>
  <c r="S3022" i="1"/>
  <c r="S3010" i="1"/>
  <c r="S2998" i="1"/>
  <c r="S2986" i="1"/>
  <c r="S2974" i="1"/>
  <c r="S2962" i="1"/>
  <c r="S2941" i="1"/>
  <c r="S2926" i="1"/>
  <c r="S2914" i="1"/>
  <c r="S2902" i="1"/>
  <c r="S2890" i="1"/>
  <c r="S2878" i="1"/>
  <c r="S2866" i="1"/>
  <c r="S2854" i="1"/>
  <c r="S2842" i="1"/>
  <c r="S2830" i="1"/>
  <c r="S2818" i="1"/>
  <c r="S2806" i="1"/>
  <c r="S2794" i="1"/>
  <c r="S2782" i="1"/>
  <c r="S2770" i="1"/>
  <c r="S2758" i="1"/>
  <c r="S2746" i="1"/>
  <c r="S2734" i="1"/>
  <c r="S2722" i="1"/>
  <c r="S2710" i="1"/>
  <c r="S2698" i="1"/>
  <c r="S2686" i="1"/>
  <c r="S2674" i="1"/>
  <c r="S2662" i="1"/>
  <c r="S2650" i="1"/>
  <c r="S2638" i="1"/>
  <c r="S2626" i="1"/>
  <c r="S2614" i="1"/>
  <c r="S2602" i="1"/>
  <c r="S2590" i="1"/>
  <c r="S2578" i="1"/>
  <c r="S2566" i="1"/>
  <c r="S2554" i="1"/>
  <c r="S2542" i="1"/>
  <c r="S2530" i="1"/>
  <c r="S2518" i="1"/>
  <c r="S2506" i="1"/>
  <c r="S2494" i="1"/>
  <c r="S2482" i="1"/>
  <c r="S2470" i="1"/>
  <c r="S2458" i="1"/>
  <c r="S2445" i="1"/>
  <c r="S2433" i="1"/>
  <c r="S2420" i="1"/>
  <c r="S2408" i="1"/>
  <c r="S2395" i="1"/>
  <c r="S2383" i="1"/>
  <c r="S2371" i="1"/>
  <c r="S2359" i="1"/>
  <c r="S2347" i="1"/>
  <c r="S2335" i="1"/>
  <c r="S2323" i="1"/>
  <c r="S2311" i="1"/>
  <c r="S2299" i="1"/>
  <c r="S2287" i="1"/>
  <c r="S2275" i="1"/>
  <c r="S2263" i="1"/>
  <c r="S2251" i="1"/>
  <c r="S2239" i="1"/>
  <c r="S2227" i="1"/>
  <c r="S2215" i="1"/>
  <c r="S2203" i="1"/>
  <c r="S2191" i="1"/>
  <c r="S2179" i="1"/>
  <c r="S2167" i="1"/>
  <c r="S2155" i="1"/>
  <c r="S2143" i="1"/>
  <c r="S2131" i="1"/>
  <c r="S2119" i="1"/>
  <c r="S2107" i="1"/>
  <c r="S2093" i="1"/>
  <c r="S2081" i="1"/>
  <c r="S2068" i="1"/>
  <c r="S2040" i="1"/>
  <c r="S2018" i="1"/>
  <c r="S1992" i="1"/>
  <c r="S1975" i="1"/>
  <c r="S1962" i="1"/>
  <c r="S1950" i="1"/>
  <c r="S1938" i="1"/>
  <c r="S1926" i="1"/>
  <c r="S1913" i="1"/>
  <c r="S1901" i="1"/>
  <c r="S1889" i="1"/>
  <c r="S1877" i="1"/>
  <c r="S1865" i="1"/>
  <c r="S1853" i="1"/>
  <c r="S1841" i="1"/>
  <c r="S1829" i="1"/>
  <c r="S1817" i="1"/>
  <c r="S1805" i="1"/>
  <c r="S1793" i="1"/>
  <c r="S1781" i="1"/>
  <c r="S1769" i="1"/>
  <c r="S1757" i="1"/>
  <c r="S1745" i="1"/>
  <c r="S1733" i="1"/>
  <c r="S1721" i="1"/>
  <c r="S1709" i="1"/>
  <c r="S1697" i="1"/>
  <c r="S1685" i="1"/>
  <c r="S1673" i="1"/>
  <c r="S1661" i="1"/>
  <c r="S1649" i="1"/>
  <c r="S1637" i="1"/>
  <c r="S1625" i="1"/>
  <c r="S1613" i="1"/>
  <c r="S1601" i="1"/>
  <c r="S1588" i="1"/>
  <c r="S1576" i="1"/>
  <c r="S1563" i="1"/>
  <c r="S1551" i="1"/>
  <c r="S1539" i="1"/>
  <c r="S1527" i="1"/>
  <c r="S1515" i="1"/>
  <c r="S1503" i="1"/>
  <c r="S1491" i="1"/>
  <c r="S1479" i="1"/>
  <c r="S1467" i="1"/>
  <c r="S1455" i="1"/>
  <c r="S1443" i="1"/>
  <c r="S1431" i="1"/>
  <c r="S1419" i="1"/>
  <c r="S1407" i="1"/>
  <c r="S1395" i="1"/>
  <c r="S1383" i="1"/>
  <c r="S1371" i="1"/>
  <c r="S1359" i="1"/>
  <c r="S1347" i="1"/>
  <c r="S1335" i="1"/>
  <c r="S1323" i="1"/>
  <c r="S1311" i="1"/>
  <c r="S1299" i="1"/>
  <c r="S1287" i="1"/>
  <c r="S1275" i="1"/>
  <c r="S1263" i="1"/>
  <c r="S1251" i="1"/>
  <c r="S1239" i="1"/>
  <c r="S1227" i="1"/>
  <c r="S1213" i="1"/>
  <c r="S1201" i="1"/>
  <c r="S1189" i="1"/>
  <c r="S1177" i="1"/>
  <c r="S1165" i="1"/>
  <c r="S1153" i="1"/>
  <c r="S1141" i="1"/>
  <c r="S1127" i="1"/>
  <c r="S1114" i="1"/>
  <c r="S1102" i="1"/>
  <c r="S1089" i="1"/>
  <c r="S1077" i="1"/>
  <c r="S1064" i="1"/>
  <c r="S1050" i="1"/>
  <c r="S1037" i="1"/>
  <c r="S1025" i="1"/>
  <c r="S1013" i="1"/>
  <c r="S1000" i="1"/>
  <c r="S987" i="1"/>
  <c r="S975" i="1"/>
  <c r="S963" i="1"/>
  <c r="S951" i="1"/>
  <c r="S939" i="1"/>
  <c r="S927" i="1"/>
  <c r="S915" i="1"/>
  <c r="S903" i="1"/>
  <c r="S891" i="1"/>
  <c r="S879" i="1"/>
  <c r="S866" i="1"/>
  <c r="S854" i="1"/>
  <c r="S842" i="1"/>
  <c r="S13" i="1"/>
  <c r="S14" i="1"/>
  <c r="S25" i="1"/>
  <c r="S26" i="1"/>
  <c r="S37" i="1"/>
  <c r="S38" i="1"/>
  <c r="S49" i="1"/>
  <c r="S50" i="1"/>
  <c r="S61" i="1"/>
  <c r="S62" i="1"/>
  <c r="S73" i="1"/>
  <c r="S74" i="1"/>
  <c r="S85" i="1"/>
  <c r="S86" i="1"/>
  <c r="S97" i="1"/>
  <c r="S98" i="1"/>
  <c r="S109" i="1"/>
  <c r="S110" i="1"/>
  <c r="S121" i="1"/>
  <c r="S122" i="1"/>
  <c r="S133" i="1"/>
  <c r="S134" i="1"/>
  <c r="S145" i="1"/>
  <c r="S146" i="1"/>
  <c r="S157" i="1"/>
  <c r="S158" i="1"/>
  <c r="S169" i="1"/>
  <c r="S170" i="1"/>
  <c r="S181" i="1"/>
  <c r="S182" i="1"/>
  <c r="S193" i="1"/>
  <c r="S194" i="1"/>
  <c r="S205" i="1"/>
  <c r="S206" i="1"/>
  <c r="S217" i="1"/>
  <c r="S218" i="1"/>
  <c r="S229" i="1"/>
  <c r="S230" i="1"/>
  <c r="S241" i="1"/>
  <c r="S242" i="1"/>
  <c r="S253" i="1"/>
  <c r="S254" i="1"/>
  <c r="S265" i="1"/>
  <c r="S266" i="1"/>
  <c r="S277" i="1"/>
  <c r="S278" i="1"/>
  <c r="S289" i="1"/>
  <c r="S290" i="1"/>
  <c r="S301" i="1"/>
  <c r="S302" i="1"/>
  <c r="S313" i="1"/>
  <c r="S314" i="1"/>
  <c r="S325" i="1"/>
  <c r="S326" i="1"/>
  <c r="S337" i="1"/>
  <c r="S338" i="1"/>
  <c r="S349" i="1"/>
  <c r="S350" i="1"/>
  <c r="S361" i="1"/>
  <c r="S362" i="1"/>
  <c r="S373" i="1"/>
  <c r="S374" i="1"/>
  <c r="S385" i="1"/>
  <c r="S386" i="1"/>
  <c r="S397" i="1"/>
  <c r="S398" i="1"/>
  <c r="S409" i="1"/>
  <c r="S410" i="1"/>
  <c r="S421" i="1"/>
  <c r="S422" i="1"/>
  <c r="S433" i="1"/>
  <c r="S434" i="1"/>
  <c r="S445" i="1"/>
  <c r="S446" i="1"/>
  <c r="S457" i="1"/>
  <c r="S458" i="1"/>
  <c r="S469" i="1"/>
  <c r="S470" i="1"/>
  <c r="S481" i="1"/>
  <c r="S482" i="1"/>
  <c r="S493" i="1"/>
  <c r="S494" i="1"/>
  <c r="S505" i="1"/>
  <c r="S506" i="1"/>
  <c r="S517" i="1"/>
  <c r="S518" i="1"/>
  <c r="S529" i="1"/>
  <c r="S530" i="1"/>
  <c r="S541" i="1"/>
  <c r="S542" i="1"/>
  <c r="S553" i="1"/>
  <c r="S554" i="1"/>
  <c r="S565" i="1"/>
  <c r="S566" i="1"/>
  <c r="S577" i="1"/>
  <c r="S578" i="1"/>
  <c r="S589" i="1"/>
  <c r="S590" i="1"/>
  <c r="S601" i="1"/>
  <c r="S602" i="1"/>
  <c r="S613" i="1"/>
  <c r="S614" i="1"/>
  <c r="S625" i="1"/>
  <c r="S626" i="1"/>
  <c r="S637" i="1"/>
  <c r="S638" i="1"/>
  <c r="S649" i="1"/>
  <c r="S650" i="1"/>
  <c r="S661" i="1"/>
  <c r="S662" i="1"/>
  <c r="S673" i="1"/>
  <c r="S674" i="1"/>
  <c r="S685" i="1"/>
  <c r="S686" i="1"/>
  <c r="S697" i="1"/>
  <c r="S698" i="1"/>
  <c r="S709" i="1"/>
  <c r="S710" i="1"/>
  <c r="S721" i="1"/>
  <c r="S722" i="1"/>
  <c r="S733" i="1"/>
  <c r="S734" i="1"/>
  <c r="S745" i="1"/>
  <c r="S746" i="1"/>
  <c r="S757" i="1"/>
  <c r="S758" i="1"/>
  <c r="S769" i="1"/>
  <c r="S770" i="1"/>
  <c r="S781" i="1"/>
  <c r="S782" i="1"/>
  <c r="S793" i="1"/>
  <c r="S794" i="1"/>
  <c r="S805" i="1"/>
  <c r="S806" i="1"/>
  <c r="S817" i="1"/>
  <c r="S818" i="1"/>
  <c r="S829" i="1"/>
  <c r="S830" i="1"/>
  <c r="S841" i="1"/>
  <c r="N4547" i="1"/>
  <c r="N4536" i="1"/>
  <c r="N4535" i="1"/>
  <c r="N4524" i="1"/>
  <c r="N4512" i="1"/>
  <c r="N4511" i="1"/>
  <c r="N4500" i="1"/>
  <c r="N4499" i="1"/>
  <c r="N4488" i="1"/>
  <c r="N4487" i="1"/>
  <c r="N4476" i="1"/>
  <c r="N4475" i="1"/>
  <c r="N4464" i="1"/>
  <c r="N4463" i="1"/>
  <c r="N4452" i="1"/>
  <c r="N4451" i="1"/>
  <c r="N4440" i="1"/>
  <c r="N4439" i="1"/>
  <c r="N4428" i="1"/>
  <c r="N4427" i="1"/>
  <c r="N4416" i="1"/>
  <c r="N4415" i="1"/>
  <c r="N4404" i="1"/>
  <c r="N4403" i="1"/>
  <c r="N4392" i="1"/>
  <c r="N4391" i="1"/>
  <c r="N4380" i="1"/>
  <c r="N4368" i="1"/>
  <c r="N4367" i="1"/>
  <c r="N4356" i="1"/>
  <c r="N4355" i="1"/>
  <c r="N4343" i="1"/>
  <c r="N4342" i="1"/>
  <c r="N4320" i="1"/>
  <c r="N4319" i="1"/>
  <c r="N4297" i="1"/>
  <c r="N4281" i="1"/>
  <c r="N4279" i="1"/>
  <c r="N4256" i="1"/>
  <c r="N4255" i="1"/>
  <c r="N4237" i="1"/>
  <c r="N4235" i="1"/>
  <c r="N4195" i="1"/>
  <c r="N4193" i="1"/>
  <c r="N4173" i="1"/>
  <c r="N4172" i="1"/>
  <c r="N4161" i="1"/>
  <c r="N4160" i="1"/>
  <c r="N4146" i="1"/>
  <c r="N4145" i="1"/>
  <c r="N4115" i="1"/>
  <c r="N4114" i="1"/>
  <c r="N4098" i="1"/>
  <c r="N4097" i="1"/>
  <c r="N4084" i="1"/>
  <c r="N4083" i="1"/>
  <c r="N4070" i="1"/>
  <c r="N4068" i="1"/>
  <c r="N4050" i="1"/>
  <c r="N4046" i="1"/>
  <c r="N4034" i="1"/>
  <c r="N4033" i="1"/>
  <c r="N4016" i="1"/>
  <c r="N4015" i="1"/>
  <c r="N4001" i="1"/>
  <c r="N3982" i="1"/>
  <c r="N3977" i="1"/>
  <c r="N3956" i="1"/>
  <c r="N3955" i="1"/>
  <c r="N3940" i="1"/>
  <c r="N3938" i="1"/>
  <c r="N3925" i="1"/>
  <c r="N3919" i="1"/>
  <c r="N3895" i="1"/>
  <c r="N3894" i="1"/>
  <c r="N3880" i="1"/>
  <c r="N3879" i="1"/>
  <c r="N3866" i="1"/>
  <c r="N3864" i="1"/>
  <c r="N3848" i="1"/>
  <c r="N3827" i="1"/>
  <c r="N3826" i="1"/>
  <c r="N3806" i="1"/>
  <c r="N3805" i="1"/>
  <c r="N3783" i="1"/>
  <c r="N3781" i="1"/>
  <c r="N3757" i="1"/>
  <c r="N3756" i="1"/>
  <c r="N3742" i="1"/>
  <c r="N3739" i="1"/>
  <c r="N3721" i="1"/>
  <c r="N3720" i="1"/>
  <c r="N3703" i="1"/>
  <c r="N3702" i="1"/>
  <c r="N3684" i="1"/>
  <c r="N3683" i="1"/>
  <c r="N3666" i="1"/>
  <c r="N3665" i="1"/>
  <c r="N3643" i="1"/>
  <c r="N3628" i="1"/>
  <c r="N3608" i="1"/>
  <c r="N3607" i="1"/>
  <c r="N3593" i="1"/>
  <c r="N3581" i="1"/>
  <c r="N3569" i="1"/>
  <c r="N3557" i="1"/>
  <c r="N3545" i="1"/>
  <c r="N3532" i="1"/>
  <c r="N3531" i="1"/>
  <c r="N3519" i="1"/>
  <c r="N3518" i="1"/>
  <c r="N3500" i="1"/>
  <c r="N3488" i="1"/>
  <c r="N3487" i="1"/>
  <c r="N3474" i="1"/>
  <c r="N3471" i="1"/>
  <c r="N3459" i="1"/>
  <c r="N3447" i="1"/>
  <c r="N3427" i="1"/>
  <c r="N3426" i="1"/>
  <c r="N3413" i="1"/>
  <c r="N3412" i="1"/>
  <c r="N3396" i="1"/>
  <c r="N3380" i="1"/>
  <c r="N3379" i="1"/>
  <c r="N3368" i="1"/>
  <c r="N3366" i="1"/>
  <c r="N3353" i="1"/>
  <c r="N3352" i="1"/>
  <c r="N3333" i="1"/>
  <c r="N3321" i="1"/>
  <c r="N3310" i="1"/>
  <c r="N3299" i="1"/>
  <c r="N3298" i="1"/>
  <c r="N3287" i="1"/>
  <c r="N3286" i="1"/>
  <c r="N3275" i="1"/>
  <c r="N3274" i="1"/>
  <c r="N3263" i="1"/>
  <c r="N3251" i="1"/>
  <c r="N3250" i="1"/>
  <c r="N3239" i="1"/>
  <c r="N3238" i="1"/>
  <c r="N3223" i="1"/>
  <c r="N3211" i="1"/>
  <c r="N3199" i="1"/>
  <c r="N3187" i="1"/>
  <c r="N3175" i="1"/>
  <c r="N3163" i="1"/>
  <c r="N3148" i="1"/>
  <c r="N3146" i="1"/>
  <c r="N3129" i="1"/>
  <c r="N3128" i="1"/>
  <c r="N3086" i="1"/>
  <c r="N3082" i="1"/>
  <c r="N3058" i="1"/>
  <c r="N3057" i="1"/>
  <c r="N3046" i="1"/>
  <c r="N3045" i="1"/>
  <c r="N3034" i="1"/>
  <c r="N3033" i="1"/>
  <c r="N3022" i="1"/>
  <c r="N3021" i="1"/>
  <c r="N3010" i="1"/>
  <c r="N3009" i="1"/>
  <c r="N2998" i="1"/>
  <c r="N2997" i="1"/>
  <c r="N2986" i="1"/>
  <c r="N2974" i="1"/>
  <c r="N2973" i="1"/>
  <c r="N2962" i="1"/>
  <c r="N2961" i="1"/>
  <c r="N2941" i="1"/>
  <c r="N2940" i="1"/>
  <c r="N2926" i="1"/>
  <c r="N2925" i="1"/>
  <c r="N2914" i="1"/>
  <c r="N2913" i="1"/>
  <c r="N2902" i="1"/>
  <c r="N2901" i="1"/>
  <c r="N2890" i="1"/>
  <c r="N2889" i="1"/>
  <c r="N2878" i="1"/>
  <c r="N2866" i="1"/>
  <c r="N2865" i="1"/>
  <c r="N2854" i="1"/>
  <c r="N2853" i="1"/>
  <c r="N2842" i="1"/>
  <c r="N2841" i="1"/>
  <c r="N2830" i="1"/>
  <c r="N2829" i="1"/>
  <c r="N2818" i="1"/>
  <c r="N2817" i="1"/>
  <c r="N2806" i="1"/>
  <c r="N2805" i="1"/>
  <c r="N2794" i="1"/>
  <c r="N2793" i="1"/>
  <c r="N2782" i="1"/>
  <c r="N2781" i="1"/>
  <c r="N2770" i="1"/>
  <c r="N2769" i="1"/>
  <c r="N2758" i="1"/>
  <c r="N2757" i="1"/>
  <c r="N2746" i="1"/>
  <c r="N2745" i="1"/>
  <c r="N2734" i="1"/>
  <c r="N2722" i="1"/>
  <c r="N2721" i="1"/>
  <c r="N2710" i="1"/>
  <c r="N2709" i="1"/>
  <c r="N2698" i="1"/>
  <c r="N2697" i="1"/>
  <c r="N2686" i="1"/>
  <c r="N2685" i="1"/>
  <c r="N2674" i="1"/>
  <c r="N2673" i="1"/>
  <c r="N2662" i="1"/>
  <c r="N2661" i="1"/>
  <c r="N2650" i="1"/>
  <c r="N2649" i="1"/>
  <c r="N2638" i="1"/>
  <c r="N2637" i="1"/>
  <c r="N2626" i="1"/>
  <c r="N2625" i="1"/>
  <c r="N2614" i="1"/>
  <c r="N2613" i="1"/>
  <c r="N2602" i="1"/>
  <c r="N2601" i="1"/>
  <c r="N2590" i="1"/>
  <c r="N2578" i="1"/>
  <c r="N2577" i="1"/>
  <c r="N2566" i="1"/>
  <c r="N2565" i="1"/>
  <c r="N2554" i="1"/>
  <c r="N2553" i="1"/>
  <c r="N2542" i="1"/>
  <c r="N2541" i="1"/>
  <c r="N2530" i="1"/>
  <c r="N2529" i="1"/>
  <c r="N2518" i="1"/>
  <c r="N2517" i="1"/>
  <c r="N2506" i="1"/>
  <c r="N2505" i="1"/>
  <c r="N2494" i="1"/>
  <c r="N2493" i="1"/>
  <c r="N2482" i="1"/>
  <c r="N2481" i="1"/>
  <c r="N2470" i="1"/>
  <c r="N2469" i="1"/>
  <c r="N2458" i="1"/>
  <c r="N2456" i="1"/>
  <c r="N2445" i="1"/>
  <c r="N2444" i="1"/>
  <c r="N2432" i="1"/>
  <c r="N2419" i="1"/>
  <c r="N2407" i="1"/>
  <c r="N2394" i="1"/>
  <c r="N2386" i="1"/>
  <c r="N2382" i="1"/>
  <c r="N2374" i="1"/>
  <c r="N2370" i="1"/>
  <c r="N2362" i="1"/>
  <c r="N2350" i="1"/>
  <c r="N2346" i="1"/>
  <c r="N2338" i="1"/>
  <c r="N2334" i="1"/>
  <c r="N2326" i="1"/>
  <c r="N2322" i="1"/>
  <c r="N2314" i="1"/>
  <c r="N2310" i="1"/>
  <c r="N2302" i="1"/>
  <c r="N2298" i="1"/>
  <c r="N2290" i="1"/>
  <c r="N2286" i="1"/>
  <c r="N2278" i="1"/>
  <c r="N2274" i="1"/>
  <c r="N2266" i="1"/>
  <c r="N2262" i="1"/>
  <c r="N2254" i="1"/>
  <c r="N2250" i="1"/>
  <c r="N2242" i="1"/>
  <c r="N2238" i="1"/>
  <c r="N2230" i="1"/>
  <c r="N2226" i="1"/>
  <c r="N2218" i="1"/>
  <c r="N2206" i="1"/>
  <c r="N2202" i="1"/>
  <c r="N2194" i="1"/>
  <c r="N2190" i="1"/>
  <c r="N2182" i="1"/>
  <c r="N2178" i="1"/>
  <c r="N2170" i="1"/>
  <c r="N2166" i="1"/>
  <c r="N2158" i="1"/>
  <c r="N2154" i="1"/>
  <c r="N2146" i="1"/>
  <c r="N2142" i="1"/>
  <c r="N2134" i="1"/>
  <c r="N2130" i="1"/>
  <c r="N2122" i="1"/>
  <c r="N2118" i="1"/>
  <c r="N2110" i="1"/>
  <c r="N2106" i="1"/>
  <c r="N2096" i="1"/>
  <c r="N2092" i="1"/>
  <c r="N2084" i="1"/>
  <c r="N2080" i="1"/>
  <c r="N2072" i="1"/>
  <c r="N2067" i="1"/>
  <c r="N2039" i="1"/>
  <c r="N2024" i="1"/>
  <c r="N2017" i="1"/>
  <c r="N1999" i="1"/>
  <c r="N1987" i="1"/>
  <c r="N1978" i="1"/>
  <c r="N1974" i="1"/>
  <c r="N1965" i="1"/>
  <c r="N1961" i="1"/>
  <c r="N1953" i="1"/>
  <c r="N1949" i="1"/>
  <c r="N1941" i="1"/>
  <c r="N1937" i="1"/>
  <c r="N1929" i="1"/>
  <c r="N1925" i="1"/>
  <c r="N1917" i="1"/>
  <c r="N1912" i="1"/>
  <c r="N1904" i="1"/>
  <c r="N1892" i="1"/>
  <c r="N1888" i="1"/>
  <c r="N1880" i="1"/>
  <c r="N1876" i="1"/>
  <c r="N1868" i="1"/>
  <c r="N1864" i="1"/>
  <c r="N1856" i="1"/>
  <c r="N1852" i="1"/>
  <c r="N1844" i="1"/>
  <c r="N1840" i="1"/>
  <c r="N1832" i="1"/>
  <c r="N1828" i="1"/>
  <c r="N1820" i="1"/>
  <c r="N1816" i="1"/>
  <c r="N1808" i="1"/>
  <c r="N1804" i="1"/>
  <c r="N1796" i="1"/>
  <c r="N1792" i="1"/>
  <c r="N1784" i="1"/>
  <c r="N1780" i="1"/>
  <c r="N1772" i="1"/>
  <c r="N1768" i="1"/>
  <c r="N1760" i="1"/>
  <c r="N1748" i="1"/>
  <c r="N1744" i="1"/>
  <c r="N1736" i="1"/>
  <c r="N1732" i="1"/>
  <c r="N1724" i="1"/>
  <c r="N1720" i="1"/>
  <c r="N1712" i="1"/>
  <c r="N1708" i="1"/>
  <c r="N1700" i="1"/>
  <c r="N1696" i="1"/>
  <c r="N1688" i="1"/>
  <c r="N1684" i="1"/>
  <c r="N1676" i="1"/>
  <c r="N1672" i="1"/>
  <c r="N1664" i="1"/>
  <c r="N1660" i="1"/>
  <c r="N1652" i="1"/>
  <c r="N1648" i="1"/>
  <c r="N1640" i="1"/>
  <c r="N1636" i="1"/>
  <c r="N1628" i="1"/>
  <c r="N1624" i="1"/>
  <c r="N1616" i="1"/>
  <c r="N1604" i="1"/>
  <c r="N1600" i="1"/>
  <c r="N1586" i="1"/>
  <c r="N1575" i="1"/>
  <c r="N1574" i="1"/>
  <c r="N1562" i="1"/>
  <c r="N1561" i="1"/>
  <c r="N1550" i="1"/>
  <c r="N1549" i="1"/>
  <c r="N1538" i="1"/>
  <c r="N1537" i="1"/>
  <c r="N1526" i="1"/>
  <c r="N1525" i="1"/>
  <c r="N1514" i="1"/>
  <c r="N1513" i="1"/>
  <c r="N1502" i="1"/>
  <c r="N1501" i="1"/>
  <c r="N1490" i="1"/>
  <c r="N1489" i="1"/>
  <c r="N1478" i="1"/>
  <c r="N1477" i="1"/>
  <c r="N1466" i="1"/>
  <c r="N1465" i="1"/>
  <c r="N1454" i="1"/>
  <c r="N1453" i="1"/>
  <c r="N1442" i="1"/>
  <c r="N1441" i="1"/>
  <c r="N1429" i="1"/>
  <c r="N1418" i="1"/>
  <c r="N1417" i="1"/>
  <c r="N1406" i="1"/>
  <c r="N1405" i="1"/>
  <c r="N1394" i="1"/>
  <c r="N1393" i="1"/>
  <c r="N1382" i="1"/>
  <c r="N1381" i="1"/>
  <c r="N1370" i="1"/>
  <c r="N1369" i="1"/>
  <c r="N1358" i="1"/>
  <c r="N1357" i="1"/>
  <c r="N1346" i="1"/>
  <c r="N1345" i="1"/>
  <c r="N1334" i="1"/>
  <c r="N1333" i="1"/>
  <c r="N1322" i="1"/>
  <c r="N1321" i="1"/>
  <c r="N1310" i="1"/>
  <c r="N1309" i="1"/>
  <c r="N1298" i="1"/>
  <c r="N1297" i="1"/>
  <c r="N1285" i="1"/>
  <c r="N1274" i="1"/>
  <c r="N1273" i="1"/>
  <c r="N1262" i="1"/>
  <c r="N1261" i="1"/>
  <c r="N1250" i="1"/>
  <c r="N1249" i="1"/>
  <c r="N1238" i="1"/>
  <c r="N1237" i="1"/>
  <c r="N1226" i="1"/>
  <c r="N1225" i="1"/>
  <c r="N1212" i="1"/>
  <c r="N1211" i="1"/>
  <c r="N1200" i="1"/>
  <c r="N1199" i="1"/>
  <c r="N1188" i="1"/>
  <c r="N1187" i="1"/>
  <c r="N1176" i="1"/>
  <c r="N1175" i="1"/>
  <c r="N1164" i="1"/>
  <c r="N1163" i="1"/>
  <c r="N1152" i="1"/>
  <c r="N1151" i="1"/>
  <c r="N1140" i="1"/>
  <c r="N1138" i="1"/>
  <c r="N1126" i="1"/>
  <c r="N1125" i="1"/>
  <c r="N1113" i="1"/>
  <c r="N1112" i="1"/>
  <c r="N1101" i="1"/>
  <c r="N1100" i="1"/>
  <c r="N1088" i="1"/>
  <c r="N1087" i="1"/>
  <c r="N1075" i="1"/>
  <c r="N1063" i="1"/>
  <c r="N1062" i="1"/>
  <c r="N1048" i="1"/>
  <c r="N1036" i="1"/>
  <c r="N1035" i="1"/>
  <c r="N1024" i="1"/>
  <c r="N1023" i="1"/>
  <c r="N1012" i="1"/>
  <c r="N1011" i="1"/>
  <c r="N999" i="1"/>
  <c r="N998" i="1"/>
  <c r="N986" i="1"/>
  <c r="N985" i="1"/>
  <c r="N974" i="1"/>
  <c r="N973" i="1"/>
  <c r="N962" i="1"/>
  <c r="N961" i="1"/>
  <c r="N950" i="1"/>
  <c r="N949" i="1"/>
  <c r="N938" i="1"/>
  <c r="N937" i="1"/>
  <c r="N926" i="1"/>
  <c r="N925" i="1"/>
  <c r="N914" i="1"/>
  <c r="N913" i="1"/>
  <c r="N902" i="1"/>
  <c r="N901" i="1"/>
  <c r="N890" i="1"/>
  <c r="N889" i="1"/>
  <c r="N877" i="1"/>
  <c r="N864" i="1"/>
  <c r="N853" i="1"/>
  <c r="N852" i="1"/>
  <c r="N841" i="1"/>
  <c r="N840" i="1"/>
  <c r="N829" i="1"/>
  <c r="N828" i="1"/>
  <c r="N817" i="1"/>
  <c r="N816" i="1"/>
  <c r="N805" i="1"/>
  <c r="N804" i="1"/>
  <c r="N793" i="1"/>
  <c r="N792" i="1"/>
  <c r="N781" i="1"/>
  <c r="N780" i="1"/>
  <c r="N769" i="1"/>
  <c r="N768" i="1"/>
  <c r="N757" i="1"/>
  <c r="N756" i="1"/>
  <c r="N745" i="1"/>
  <c r="N744" i="1"/>
  <c r="N733" i="1"/>
  <c r="N732" i="1"/>
  <c r="N720" i="1"/>
  <c r="N709" i="1"/>
  <c r="N708" i="1"/>
  <c r="N697" i="1"/>
  <c r="N696" i="1"/>
  <c r="N685" i="1"/>
  <c r="N684" i="1"/>
  <c r="N673" i="1"/>
  <c r="N672" i="1"/>
  <c r="N661" i="1"/>
  <c r="N660" i="1"/>
  <c r="N649" i="1"/>
  <c r="N648" i="1"/>
  <c r="N637" i="1"/>
  <c r="N636" i="1"/>
  <c r="N625" i="1"/>
  <c r="N624" i="1"/>
  <c r="N613" i="1"/>
  <c r="N612" i="1"/>
  <c r="N601" i="1"/>
  <c r="N600" i="1"/>
  <c r="N589" i="1"/>
  <c r="N588" i="1"/>
  <c r="N576" i="1"/>
  <c r="N565" i="1"/>
  <c r="N564" i="1"/>
  <c r="N553" i="1"/>
  <c r="N552" i="1"/>
  <c r="N541" i="1"/>
  <c r="N540" i="1"/>
  <c r="N529" i="1"/>
  <c r="N528" i="1"/>
  <c r="N517" i="1"/>
  <c r="N516" i="1"/>
  <c r="N505" i="1"/>
  <c r="N504" i="1"/>
  <c r="N493" i="1"/>
  <c r="N492" i="1"/>
  <c r="N481" i="1"/>
  <c r="N480" i="1"/>
  <c r="N469" i="1"/>
  <c r="N468" i="1"/>
  <c r="N457" i="1"/>
  <c r="N456" i="1"/>
  <c r="N445" i="1"/>
  <c r="N444" i="1"/>
  <c r="N432" i="1"/>
  <c r="N421" i="1"/>
  <c r="N420" i="1"/>
  <c r="N409" i="1"/>
  <c r="N408" i="1"/>
  <c r="N397" i="1"/>
  <c r="N396" i="1"/>
  <c r="N385" i="1"/>
  <c r="N384" i="1"/>
  <c r="N373" i="1"/>
  <c r="N372" i="1"/>
  <c r="N361" i="1"/>
  <c r="N360" i="1"/>
  <c r="N349" i="1"/>
  <c r="N348" i="1"/>
  <c r="N337" i="1"/>
  <c r="N336" i="1"/>
  <c r="N325" i="1"/>
  <c r="N324" i="1"/>
  <c r="N313" i="1"/>
  <c r="N312" i="1"/>
  <c r="N301" i="1"/>
  <c r="N300" i="1"/>
  <c r="N288" i="1"/>
  <c r="N277" i="1"/>
  <c r="N276" i="1"/>
  <c r="N265" i="1"/>
  <c r="N264" i="1"/>
  <c r="N253" i="1"/>
  <c r="N252" i="1"/>
  <c r="N241" i="1"/>
  <c r="N240" i="1"/>
  <c r="N229" i="1"/>
  <c r="N228" i="1"/>
  <c r="N217" i="1"/>
  <c r="N216" i="1"/>
  <c r="N205" i="1"/>
  <c r="N204" i="1"/>
  <c r="N193" i="1"/>
  <c r="N192" i="1"/>
  <c r="N181" i="1"/>
  <c r="N180" i="1"/>
  <c r="N169" i="1"/>
  <c r="N168" i="1"/>
  <c r="N157" i="1"/>
  <c r="N156" i="1"/>
  <c r="N144" i="1"/>
  <c r="N133" i="1"/>
  <c r="N132" i="1"/>
  <c r="N121" i="1"/>
  <c r="N120" i="1"/>
  <c r="N109" i="1"/>
  <c r="N108" i="1"/>
  <c r="N97" i="1"/>
  <c r="N96" i="1"/>
  <c r="N85" i="1"/>
  <c r="N84" i="1"/>
  <c r="N73" i="1"/>
  <c r="N72" i="1"/>
  <c r="N61" i="1"/>
  <c r="N60" i="1"/>
  <c r="N49" i="1"/>
  <c r="N48" i="1"/>
  <c r="N37" i="1"/>
  <c r="N36" i="1"/>
  <c r="N25" i="1"/>
  <c r="N24" i="1"/>
  <c r="N13" i="1"/>
  <c r="N12" i="1"/>
  <c r="N2" i="1"/>
  <c r="S4322" i="1"/>
  <c r="S4286" i="1"/>
  <c r="S4267" i="1"/>
  <c r="S4263" i="1"/>
  <c r="S4236" i="1"/>
  <c r="S4224" i="1"/>
  <c r="S4220" i="1"/>
  <c r="S4212" i="1"/>
  <c r="S4204" i="1"/>
  <c r="S4188" i="1"/>
  <c r="S4184" i="1"/>
  <c r="S4140" i="1"/>
  <c r="S4136" i="1"/>
  <c r="S4125" i="1"/>
  <c r="S4121" i="1"/>
  <c r="S4089" i="1"/>
  <c r="S4064" i="1"/>
  <c r="S4048" i="1"/>
  <c r="S4028" i="1"/>
  <c r="S3990" i="1"/>
  <c r="S3979" i="1"/>
  <c r="S3978" i="1"/>
  <c r="S3974" i="1"/>
  <c r="S3966" i="1"/>
  <c r="S3951" i="1"/>
  <c r="S3950" i="1"/>
  <c r="S3941" i="1"/>
  <c r="S3924" i="1"/>
  <c r="S3918" i="1"/>
  <c r="S3914" i="1"/>
  <c r="S3909" i="1"/>
  <c r="S3903" i="1"/>
  <c r="S3896" i="1"/>
  <c r="S3893" i="1"/>
  <c r="S3883" i="1"/>
  <c r="S3861" i="1"/>
  <c r="S3843" i="1"/>
  <c r="S3838" i="1"/>
  <c r="S3834" i="1"/>
  <c r="S3829" i="1"/>
  <c r="S3816" i="1"/>
  <c r="S3803" i="1"/>
  <c r="S3787" i="1"/>
  <c r="S3785" i="1"/>
  <c r="S3779" i="1"/>
  <c r="S3773" i="1"/>
  <c r="S3772" i="1"/>
  <c r="S3770" i="1"/>
  <c r="S3748" i="1"/>
  <c r="S3738" i="1"/>
  <c r="S3737" i="1"/>
  <c r="S3734" i="1"/>
  <c r="S3718" i="1"/>
  <c r="S3704" i="1"/>
  <c r="S3698" i="1"/>
  <c r="S3688" i="1"/>
  <c r="S3669" i="1"/>
  <c r="S3654" i="1"/>
  <c r="S3642" i="1"/>
  <c r="S3640" i="1"/>
  <c r="S3633" i="1"/>
  <c r="S3617" i="1"/>
  <c r="S3603" i="1"/>
  <c r="S3601" i="1"/>
  <c r="S3535" i="1"/>
  <c r="S3509" i="1"/>
  <c r="S3477" i="1"/>
  <c r="S3475" i="1"/>
  <c r="S3472" i="1"/>
  <c r="S3436" i="1"/>
  <c r="S3410" i="1"/>
  <c r="S3402" i="1"/>
  <c r="S3367" i="1"/>
  <c r="S3363" i="1"/>
  <c r="S3341" i="1"/>
  <c r="S3319" i="1"/>
  <c r="S3318" i="1"/>
  <c r="S3316" i="1"/>
  <c r="S3312" i="1"/>
  <c r="S3158" i="1"/>
  <c r="S3149" i="1"/>
  <c r="S3140" i="1"/>
  <c r="S3123" i="1"/>
  <c r="S3121" i="1"/>
  <c r="S3114" i="1"/>
  <c r="S3099" i="1"/>
  <c r="S3093" i="1"/>
  <c r="S3092" i="1"/>
  <c r="S3090" i="1"/>
  <c r="S3084" i="1"/>
  <c r="S3078" i="1"/>
  <c r="S3077" i="1"/>
  <c r="S3074" i="1"/>
  <c r="S3064" i="1"/>
  <c r="S2952" i="1"/>
  <c r="S2948" i="1"/>
  <c r="S2938" i="1"/>
  <c r="S2098" i="1"/>
  <c r="S2069" i="1"/>
  <c r="S2062" i="1"/>
  <c r="S2057" i="1"/>
  <c r="S2055" i="1"/>
  <c r="S2052" i="1"/>
  <c r="S2041" i="1"/>
  <c r="S2028" i="1"/>
  <c r="S2026" i="1"/>
  <c r="S2022" i="1"/>
  <c r="S2014" i="1"/>
  <c r="S2007" i="1"/>
  <c r="S2004" i="1"/>
  <c r="S2000" i="1"/>
  <c r="S1993" i="1"/>
  <c r="S1986" i="1"/>
  <c r="S1971" i="1"/>
  <c r="S1914" i="1"/>
  <c r="S1599" i="1"/>
  <c r="S1139" i="1"/>
  <c r="S1072" i="1"/>
  <c r="S1061" i="1"/>
  <c r="S1010" i="1"/>
  <c r="N4347" i="1"/>
  <c r="N4322" i="1"/>
  <c r="N4315" i="1"/>
  <c r="N4286" i="1"/>
  <c r="N4285" i="1"/>
  <c r="N4263" i="1"/>
  <c r="N4262" i="1"/>
  <c r="N4236" i="1"/>
  <c r="N4232" i="1"/>
  <c r="N4220" i="1"/>
  <c r="N4219" i="1"/>
  <c r="N4204" i="1"/>
  <c r="N4203" i="1"/>
  <c r="N4184" i="1"/>
  <c r="N4183" i="1"/>
  <c r="N4136" i="1"/>
  <c r="N4135" i="1"/>
  <c r="N4121" i="1"/>
  <c r="N4120" i="1"/>
  <c r="N4064" i="1"/>
  <c r="N4063" i="1"/>
  <c r="N4028" i="1"/>
  <c r="N4027" i="1"/>
  <c r="N3990" i="1"/>
  <c r="N3984" i="1"/>
  <c r="N3966" i="1"/>
  <c r="N3965" i="1"/>
  <c r="N3924" i="1"/>
  <c r="N3923" i="1"/>
  <c r="N3903" i="1"/>
  <c r="N3901" i="1"/>
  <c r="N3857" i="1"/>
  <c r="N3829" i="1"/>
  <c r="N3828" i="1"/>
  <c r="N3803" i="1"/>
  <c r="N3802" i="1"/>
  <c r="N3779" i="1"/>
  <c r="N3778" i="1"/>
  <c r="N3748" i="1"/>
  <c r="N3718" i="1"/>
  <c r="N3714" i="1"/>
  <c r="N3688" i="1"/>
  <c r="N3678" i="1"/>
  <c r="N3654" i="1"/>
  <c r="N3653" i="1"/>
  <c r="N3617" i="1"/>
  <c r="N3614" i="1"/>
  <c r="N3509" i="1"/>
  <c r="N3508" i="1"/>
  <c r="N3436" i="1"/>
  <c r="N3435" i="1"/>
  <c r="N3402" i="1"/>
  <c r="N3388" i="1"/>
  <c r="N3341" i="1"/>
  <c r="N3340" i="1"/>
  <c r="N3312" i="1"/>
  <c r="N3311" i="1"/>
  <c r="N3137" i="1"/>
  <c r="N3125" i="1"/>
  <c r="N3121" i="1"/>
  <c r="N3098" i="1"/>
  <c r="N3095" i="1"/>
  <c r="N3092" i="1"/>
  <c r="N3083" i="1"/>
  <c r="N3079" i="1"/>
  <c r="N3077" i="1"/>
  <c r="N3075" i="1"/>
  <c r="N3063" i="1"/>
  <c r="N2954" i="1"/>
  <c r="N2952" i="1"/>
  <c r="N2949" i="1"/>
  <c r="N2933" i="1"/>
  <c r="N2098" i="1"/>
  <c r="N2097" i="1"/>
  <c r="N2061" i="1"/>
  <c r="N2058" i="1"/>
  <c r="N2053" i="1"/>
  <c r="N2032" i="1"/>
  <c r="N2029" i="1"/>
  <c r="N2026" i="1"/>
  <c r="N2025" i="1"/>
  <c r="N2013" i="1"/>
  <c r="N2008" i="1"/>
  <c r="N2004" i="1"/>
  <c r="N2001" i="1"/>
  <c r="N1991" i="1"/>
  <c r="N1988" i="1"/>
  <c r="N1971" i="1"/>
  <c r="N1914" i="1"/>
  <c r="N1136" i="1"/>
  <c r="N1072" i="1"/>
  <c r="N1044" i="1"/>
  <c r="N3117" i="1"/>
  <c r="N3091" i="1"/>
  <c r="S3" i="1"/>
  <c r="S4" i="1"/>
  <c r="S5" i="1"/>
  <c r="S6" i="1"/>
  <c r="S7" i="1"/>
  <c r="S8" i="1"/>
  <c r="S9" i="1"/>
  <c r="S10" i="1"/>
  <c r="S11" i="1"/>
  <c r="S12" i="1"/>
  <c r="S15" i="1"/>
  <c r="S16" i="1"/>
  <c r="S17" i="1"/>
  <c r="S18" i="1"/>
  <c r="S19" i="1"/>
  <c r="S20" i="1"/>
  <c r="S21" i="1"/>
  <c r="S22" i="1"/>
  <c r="S23" i="1"/>
  <c r="S24" i="1"/>
  <c r="S27" i="1"/>
  <c r="S28" i="1"/>
  <c r="S29" i="1"/>
  <c r="S30" i="1"/>
  <c r="S31" i="1"/>
  <c r="S32" i="1"/>
  <c r="S33" i="1"/>
  <c r="S34" i="1"/>
  <c r="S35" i="1"/>
  <c r="S36" i="1"/>
  <c r="S39" i="1"/>
  <c r="S40" i="1"/>
  <c r="S41" i="1"/>
  <c r="S42" i="1"/>
  <c r="S43" i="1"/>
  <c r="S44" i="1"/>
  <c r="S45" i="1"/>
  <c r="S46" i="1"/>
  <c r="S47" i="1"/>
  <c r="S48" i="1"/>
  <c r="S51" i="1"/>
  <c r="S52" i="1"/>
  <c r="S53" i="1"/>
  <c r="S54" i="1"/>
  <c r="S55" i="1"/>
  <c r="S56" i="1"/>
  <c r="S57" i="1"/>
  <c r="S58" i="1"/>
  <c r="S59" i="1"/>
  <c r="S60" i="1"/>
  <c r="S63" i="1"/>
  <c r="S64" i="1"/>
  <c r="S65" i="1"/>
  <c r="S66" i="1"/>
  <c r="S67" i="1"/>
  <c r="S68" i="1"/>
  <c r="S69" i="1"/>
  <c r="S70" i="1"/>
  <c r="S71" i="1"/>
  <c r="S72" i="1"/>
  <c r="S75" i="1"/>
  <c r="S76" i="1"/>
  <c r="S77" i="1"/>
  <c r="S78" i="1"/>
  <c r="S79" i="1"/>
  <c r="S80" i="1"/>
  <c r="S81" i="1"/>
  <c r="S82" i="1"/>
  <c r="S83" i="1"/>
  <c r="S84" i="1"/>
  <c r="S87" i="1"/>
  <c r="S88" i="1"/>
  <c r="S89" i="1"/>
  <c r="S90" i="1"/>
  <c r="S91" i="1"/>
  <c r="S92" i="1"/>
  <c r="S93" i="1"/>
  <c r="S94" i="1"/>
  <c r="S95" i="1"/>
  <c r="S96" i="1"/>
  <c r="S99" i="1"/>
  <c r="S100" i="1"/>
  <c r="S101" i="1"/>
  <c r="S102" i="1"/>
  <c r="S103" i="1"/>
  <c r="S104" i="1"/>
  <c r="S105" i="1"/>
  <c r="S106" i="1"/>
  <c r="S107" i="1"/>
  <c r="S108" i="1"/>
  <c r="S111" i="1"/>
  <c r="S112" i="1"/>
  <c r="S113" i="1"/>
  <c r="S114" i="1"/>
  <c r="S115" i="1"/>
  <c r="S116" i="1"/>
  <c r="S117" i="1"/>
  <c r="S118" i="1"/>
  <c r="S119" i="1"/>
  <c r="S120" i="1"/>
  <c r="S123" i="1"/>
  <c r="S124" i="1"/>
  <c r="S125" i="1"/>
  <c r="S126" i="1"/>
  <c r="S127" i="1"/>
  <c r="S128" i="1"/>
  <c r="S129" i="1"/>
  <c r="S130" i="1"/>
  <c r="S131" i="1"/>
  <c r="S132" i="1"/>
  <c r="S135" i="1"/>
  <c r="S136" i="1"/>
  <c r="S137" i="1"/>
  <c r="S138" i="1"/>
  <c r="S139" i="1"/>
  <c r="S140" i="1"/>
  <c r="S141" i="1"/>
  <c r="S142" i="1"/>
  <c r="S143" i="1"/>
  <c r="S144" i="1"/>
  <c r="S147" i="1"/>
  <c r="S148" i="1"/>
  <c r="S149" i="1"/>
  <c r="S150" i="1"/>
  <c r="S151" i="1"/>
  <c r="S152" i="1"/>
  <c r="S153" i="1"/>
  <c r="S154" i="1"/>
  <c r="S155" i="1"/>
  <c r="S156" i="1"/>
  <c r="S159" i="1"/>
  <c r="S160" i="1"/>
  <c r="S161" i="1"/>
  <c r="S162" i="1"/>
  <c r="S163" i="1"/>
  <c r="S164" i="1"/>
  <c r="S165" i="1"/>
  <c r="S166" i="1"/>
  <c r="S167" i="1"/>
  <c r="S168" i="1"/>
  <c r="S171" i="1"/>
  <c r="S172" i="1"/>
  <c r="S173" i="1"/>
  <c r="S174" i="1"/>
  <c r="S175" i="1"/>
  <c r="S176" i="1"/>
  <c r="S177" i="1"/>
  <c r="S178" i="1"/>
  <c r="S179" i="1"/>
  <c r="S180" i="1"/>
  <c r="S183" i="1"/>
  <c r="S184" i="1"/>
  <c r="S185" i="1"/>
  <c r="S186" i="1"/>
  <c r="S187" i="1"/>
  <c r="S188" i="1"/>
  <c r="S189" i="1"/>
  <c r="S190" i="1"/>
  <c r="S191" i="1"/>
  <c r="S192" i="1"/>
  <c r="S195" i="1"/>
  <c r="S196" i="1"/>
  <c r="S197" i="1"/>
  <c r="S198" i="1"/>
  <c r="S199" i="1"/>
  <c r="S200" i="1"/>
  <c r="S201" i="1"/>
  <c r="S202" i="1"/>
  <c r="S203" i="1"/>
  <c r="S204" i="1"/>
  <c r="S207" i="1"/>
  <c r="S208" i="1"/>
  <c r="S209" i="1"/>
  <c r="S210" i="1"/>
  <c r="S211" i="1"/>
  <c r="S212" i="1"/>
  <c r="S213" i="1"/>
  <c r="S214" i="1"/>
  <c r="S215" i="1"/>
  <c r="S216" i="1"/>
  <c r="S219" i="1"/>
  <c r="S220" i="1"/>
  <c r="S221" i="1"/>
  <c r="S222" i="1"/>
  <c r="S223" i="1"/>
  <c r="S224" i="1"/>
  <c r="S225" i="1"/>
  <c r="S226" i="1"/>
  <c r="S227" i="1"/>
  <c r="S228" i="1"/>
  <c r="S231" i="1"/>
  <c r="S232" i="1"/>
  <c r="S233" i="1"/>
  <c r="S234" i="1"/>
  <c r="S235" i="1"/>
  <c r="S236" i="1"/>
  <c r="S237" i="1"/>
  <c r="S238" i="1"/>
  <c r="S239" i="1"/>
  <c r="S240" i="1"/>
  <c r="S243" i="1"/>
  <c r="S244" i="1"/>
  <c r="S245" i="1"/>
  <c r="S246" i="1"/>
  <c r="S247" i="1"/>
  <c r="S248" i="1"/>
  <c r="S249" i="1"/>
  <c r="S250" i="1"/>
  <c r="S251" i="1"/>
  <c r="S252" i="1"/>
  <c r="S255" i="1"/>
  <c r="S256" i="1"/>
  <c r="S257" i="1"/>
  <c r="S258" i="1"/>
  <c r="S259" i="1"/>
  <c r="S260" i="1"/>
  <c r="S261" i="1"/>
  <c r="S262" i="1"/>
  <c r="S263" i="1"/>
  <c r="S264" i="1"/>
  <c r="S267" i="1"/>
  <c r="S268" i="1"/>
  <c r="S269" i="1"/>
  <c r="S270" i="1"/>
  <c r="S271" i="1"/>
  <c r="S272" i="1"/>
  <c r="S273" i="1"/>
  <c r="S274" i="1"/>
  <c r="S275" i="1"/>
  <c r="S276" i="1"/>
  <c r="S279" i="1"/>
  <c r="S280" i="1"/>
  <c r="S281" i="1"/>
  <c r="S282" i="1"/>
  <c r="S283" i="1"/>
  <c r="S284" i="1"/>
  <c r="S285" i="1"/>
  <c r="S286" i="1"/>
  <c r="S287" i="1"/>
  <c r="S288" i="1"/>
  <c r="S291" i="1"/>
  <c r="S292" i="1"/>
  <c r="S293" i="1"/>
  <c r="S294" i="1"/>
  <c r="S295" i="1"/>
  <c r="S296" i="1"/>
  <c r="S297" i="1"/>
  <c r="S298" i="1"/>
  <c r="S299" i="1"/>
  <c r="S300" i="1"/>
  <c r="S303" i="1"/>
  <c r="S304" i="1"/>
  <c r="S305" i="1"/>
  <c r="S306" i="1"/>
  <c r="S307" i="1"/>
  <c r="S308" i="1"/>
  <c r="S309" i="1"/>
  <c r="S310" i="1"/>
  <c r="S311" i="1"/>
  <c r="S312" i="1"/>
  <c r="S315" i="1"/>
  <c r="S316" i="1"/>
  <c r="S317" i="1"/>
  <c r="S318" i="1"/>
  <c r="S319" i="1"/>
  <c r="S320" i="1"/>
  <c r="S321" i="1"/>
  <c r="S322" i="1"/>
  <c r="S323" i="1"/>
  <c r="S324" i="1"/>
  <c r="S327" i="1"/>
  <c r="S328" i="1"/>
  <c r="S329" i="1"/>
  <c r="S330" i="1"/>
  <c r="S331" i="1"/>
  <c r="S332" i="1"/>
  <c r="S333" i="1"/>
  <c r="S334" i="1"/>
  <c r="S335" i="1"/>
  <c r="S336" i="1"/>
  <c r="S339" i="1"/>
  <c r="S340" i="1"/>
  <c r="S341" i="1"/>
  <c r="S342" i="1"/>
  <c r="S343" i="1"/>
  <c r="S344" i="1"/>
  <c r="S345" i="1"/>
  <c r="S346" i="1"/>
  <c r="S347" i="1"/>
  <c r="S348" i="1"/>
  <c r="S351" i="1"/>
  <c r="S352" i="1"/>
  <c r="S353" i="1"/>
  <c r="S354" i="1"/>
  <c r="S355" i="1"/>
  <c r="S356" i="1"/>
  <c r="S357" i="1"/>
  <c r="S358" i="1"/>
  <c r="S359" i="1"/>
  <c r="S360" i="1"/>
  <c r="S363" i="1"/>
  <c r="S364" i="1"/>
  <c r="S365" i="1"/>
  <c r="S366" i="1"/>
  <c r="S367" i="1"/>
  <c r="S368" i="1"/>
  <c r="S369" i="1"/>
  <c r="S370" i="1"/>
  <c r="S371" i="1"/>
  <c r="S372" i="1"/>
  <c r="S375" i="1"/>
  <c r="S376" i="1"/>
  <c r="S377" i="1"/>
  <c r="S378" i="1"/>
  <c r="S379" i="1"/>
  <c r="S380" i="1"/>
  <c r="S381" i="1"/>
  <c r="S382" i="1"/>
  <c r="S383" i="1"/>
  <c r="S384" i="1"/>
  <c r="S387" i="1"/>
  <c r="S388" i="1"/>
  <c r="S389" i="1"/>
  <c r="S390" i="1"/>
  <c r="S391" i="1"/>
  <c r="S392" i="1"/>
  <c r="S393" i="1"/>
  <c r="S394" i="1"/>
  <c r="S395" i="1"/>
  <c r="S396" i="1"/>
  <c r="S399" i="1"/>
  <c r="S400" i="1"/>
  <c r="S401" i="1"/>
  <c r="S402" i="1"/>
  <c r="S403" i="1"/>
  <c r="S404" i="1"/>
  <c r="S405" i="1"/>
  <c r="S406" i="1"/>
  <c r="S407" i="1"/>
  <c r="S408" i="1"/>
  <c r="S411" i="1"/>
  <c r="S412" i="1"/>
  <c r="S413" i="1"/>
  <c r="S414" i="1"/>
  <c r="S415" i="1"/>
  <c r="S416" i="1"/>
  <c r="S417" i="1"/>
  <c r="S418" i="1"/>
  <c r="S419" i="1"/>
  <c r="S420" i="1"/>
  <c r="S423" i="1"/>
  <c r="S424" i="1"/>
  <c r="S425" i="1"/>
  <c r="S426" i="1"/>
  <c r="S427" i="1"/>
  <c r="S428" i="1"/>
  <c r="S429" i="1"/>
  <c r="S430" i="1"/>
  <c r="S431" i="1"/>
  <c r="S432" i="1"/>
  <c r="S435" i="1"/>
  <c r="S436" i="1"/>
  <c r="S437" i="1"/>
  <c r="S438" i="1"/>
  <c r="S439" i="1"/>
  <c r="S440" i="1"/>
  <c r="S441" i="1"/>
  <c r="S442" i="1"/>
  <c r="S443" i="1"/>
  <c r="S444" i="1"/>
  <c r="S447" i="1"/>
  <c r="S448" i="1"/>
  <c r="S449" i="1"/>
  <c r="S450" i="1"/>
  <c r="S451" i="1"/>
  <c r="S452" i="1"/>
  <c r="S453" i="1"/>
  <c r="S454" i="1"/>
  <c r="S455" i="1"/>
  <c r="S456" i="1"/>
  <c r="S459" i="1"/>
  <c r="S460" i="1"/>
  <c r="S461" i="1"/>
  <c r="S462" i="1"/>
  <c r="S463" i="1"/>
  <c r="S464" i="1"/>
  <c r="S465" i="1"/>
  <c r="S466" i="1"/>
  <c r="S467" i="1"/>
  <c r="S468" i="1"/>
  <c r="S471" i="1"/>
  <c r="S472" i="1"/>
  <c r="S473" i="1"/>
  <c r="S474" i="1"/>
  <c r="S475" i="1"/>
  <c r="S476" i="1"/>
  <c r="S477" i="1"/>
  <c r="S478" i="1"/>
  <c r="S479" i="1"/>
  <c r="S480" i="1"/>
  <c r="S483" i="1"/>
  <c r="S484" i="1"/>
  <c r="S485" i="1"/>
  <c r="S486" i="1"/>
  <c r="S487" i="1"/>
  <c r="S488" i="1"/>
  <c r="S489" i="1"/>
  <c r="S490" i="1"/>
  <c r="S491" i="1"/>
  <c r="S492" i="1"/>
  <c r="S495" i="1"/>
  <c r="S496" i="1"/>
  <c r="S497" i="1"/>
  <c r="S498" i="1"/>
  <c r="S499" i="1"/>
  <c r="S500" i="1"/>
  <c r="S501" i="1"/>
  <c r="S502" i="1"/>
  <c r="S503" i="1"/>
  <c r="S504" i="1"/>
  <c r="S507" i="1"/>
  <c r="S508" i="1"/>
  <c r="S509" i="1"/>
  <c r="S510" i="1"/>
  <c r="S511" i="1"/>
  <c r="S512" i="1"/>
  <c r="S513" i="1"/>
  <c r="S514" i="1"/>
  <c r="S515" i="1"/>
  <c r="S516" i="1"/>
  <c r="S519" i="1"/>
  <c r="S520" i="1"/>
  <c r="S521" i="1"/>
  <c r="S522" i="1"/>
  <c r="S523" i="1"/>
  <c r="S524" i="1"/>
  <c r="S525" i="1"/>
  <c r="S526" i="1"/>
  <c r="S527" i="1"/>
  <c r="S528" i="1"/>
  <c r="S531" i="1"/>
  <c r="S532" i="1"/>
  <c r="S533" i="1"/>
  <c r="S534" i="1"/>
  <c r="S535" i="1"/>
  <c r="S536" i="1"/>
  <c r="S537" i="1"/>
  <c r="S538" i="1"/>
  <c r="S539" i="1"/>
  <c r="S540" i="1"/>
  <c r="S543" i="1"/>
  <c r="S544" i="1"/>
  <c r="S545" i="1"/>
  <c r="S546" i="1"/>
  <c r="S547" i="1"/>
  <c r="S548" i="1"/>
  <c r="S549" i="1"/>
  <c r="S550" i="1"/>
  <c r="S551" i="1"/>
  <c r="S552" i="1"/>
  <c r="S555" i="1"/>
  <c r="S556" i="1"/>
  <c r="S557" i="1"/>
  <c r="S558" i="1"/>
  <c r="S559" i="1"/>
  <c r="S560" i="1"/>
  <c r="S561" i="1"/>
  <c r="S562" i="1"/>
  <c r="S563" i="1"/>
  <c r="S564" i="1"/>
  <c r="S567" i="1"/>
  <c r="S568" i="1"/>
  <c r="S569" i="1"/>
  <c r="S570" i="1"/>
  <c r="S571" i="1"/>
  <c r="S572" i="1"/>
  <c r="S573" i="1"/>
  <c r="S574" i="1"/>
  <c r="S575" i="1"/>
  <c r="S576" i="1"/>
  <c r="S579" i="1"/>
  <c r="S580" i="1"/>
  <c r="S581" i="1"/>
  <c r="S582" i="1"/>
  <c r="S583" i="1"/>
  <c r="S584" i="1"/>
  <c r="S585" i="1"/>
  <c r="S586" i="1"/>
  <c r="S587" i="1"/>
  <c r="S588" i="1"/>
  <c r="S591" i="1"/>
  <c r="S592" i="1"/>
  <c r="S593" i="1"/>
  <c r="S594" i="1"/>
  <c r="S595" i="1"/>
  <c r="S596" i="1"/>
  <c r="S597" i="1"/>
  <c r="S598" i="1"/>
  <c r="S599" i="1"/>
  <c r="S600" i="1"/>
  <c r="S603" i="1"/>
  <c r="S604" i="1"/>
  <c r="S605" i="1"/>
  <c r="S606" i="1"/>
  <c r="S607" i="1"/>
  <c r="S608" i="1"/>
  <c r="S609" i="1"/>
  <c r="S610" i="1"/>
  <c r="S611" i="1"/>
  <c r="S612" i="1"/>
  <c r="S615" i="1"/>
  <c r="S616" i="1"/>
  <c r="S617" i="1"/>
  <c r="S618" i="1"/>
  <c r="S619" i="1"/>
  <c r="S620" i="1"/>
  <c r="S621" i="1"/>
  <c r="S622" i="1"/>
  <c r="S623" i="1"/>
  <c r="S624" i="1"/>
  <c r="S627" i="1"/>
  <c r="S628" i="1"/>
  <c r="S629" i="1"/>
  <c r="S630" i="1"/>
  <c r="S631" i="1"/>
  <c r="S632" i="1"/>
  <c r="S633" i="1"/>
  <c r="S634" i="1"/>
  <c r="S635" i="1"/>
  <c r="S636" i="1"/>
  <c r="S639" i="1"/>
  <c r="S640" i="1"/>
  <c r="S641" i="1"/>
  <c r="S642" i="1"/>
  <c r="S643" i="1"/>
  <c r="S644" i="1"/>
  <c r="S645" i="1"/>
  <c r="S646" i="1"/>
  <c r="S647" i="1"/>
  <c r="S648" i="1"/>
  <c r="S651" i="1"/>
  <c r="S652" i="1"/>
  <c r="S653" i="1"/>
  <c r="S654" i="1"/>
  <c r="S655" i="1"/>
  <c r="S656" i="1"/>
  <c r="S657" i="1"/>
  <c r="S658" i="1"/>
  <c r="S659" i="1"/>
  <c r="S660" i="1"/>
  <c r="S663" i="1"/>
  <c r="S664" i="1"/>
  <c r="S665" i="1"/>
  <c r="S666" i="1"/>
  <c r="S667" i="1"/>
  <c r="S668" i="1"/>
  <c r="S669" i="1"/>
  <c r="S670" i="1"/>
  <c r="S671" i="1"/>
  <c r="S672" i="1"/>
  <c r="S675" i="1"/>
  <c r="S676" i="1"/>
  <c r="S677" i="1"/>
  <c r="S678" i="1"/>
  <c r="S679" i="1"/>
  <c r="S680" i="1"/>
  <c r="S681" i="1"/>
  <c r="S682" i="1"/>
  <c r="S683" i="1"/>
  <c r="S684" i="1"/>
  <c r="S687" i="1"/>
  <c r="S688" i="1"/>
  <c r="S689" i="1"/>
  <c r="S690" i="1"/>
  <c r="S691" i="1"/>
  <c r="S692" i="1"/>
  <c r="S693" i="1"/>
  <c r="S694" i="1"/>
  <c r="S695" i="1"/>
  <c r="S696" i="1"/>
  <c r="S699" i="1"/>
  <c r="S700" i="1"/>
  <c r="S701" i="1"/>
  <c r="S702" i="1"/>
  <c r="S703" i="1"/>
  <c r="S704" i="1"/>
  <c r="S705" i="1"/>
  <c r="S706" i="1"/>
  <c r="S707" i="1"/>
  <c r="S708" i="1"/>
  <c r="S711" i="1"/>
  <c r="S712" i="1"/>
  <c r="S713" i="1"/>
  <c r="S714" i="1"/>
  <c r="S715" i="1"/>
  <c r="S716" i="1"/>
  <c r="S717" i="1"/>
  <c r="S718" i="1"/>
  <c r="S719" i="1"/>
  <c r="S720" i="1"/>
  <c r="S723" i="1"/>
  <c r="S724" i="1"/>
  <c r="S725" i="1"/>
  <c r="S726" i="1"/>
  <c r="S727" i="1"/>
  <c r="S728" i="1"/>
  <c r="S729" i="1"/>
  <c r="S730" i="1"/>
  <c r="S731" i="1"/>
  <c r="S732" i="1"/>
  <c r="S735" i="1"/>
  <c r="S736" i="1"/>
  <c r="S737" i="1"/>
  <c r="S738" i="1"/>
  <c r="S739" i="1"/>
  <c r="S740" i="1"/>
  <c r="S741" i="1"/>
  <c r="S742" i="1"/>
  <c r="S743" i="1"/>
  <c r="S744" i="1"/>
  <c r="S747" i="1"/>
  <c r="S748" i="1"/>
  <c r="S749" i="1"/>
  <c r="S750" i="1"/>
  <c r="S751" i="1"/>
  <c r="S752" i="1"/>
  <c r="S753" i="1"/>
  <c r="S754" i="1"/>
  <c r="S755" i="1"/>
  <c r="S756" i="1"/>
  <c r="S759" i="1"/>
  <c r="S760" i="1"/>
  <c r="S761" i="1"/>
  <c r="S762" i="1"/>
  <c r="S763" i="1"/>
  <c r="S764" i="1"/>
  <c r="S765" i="1"/>
  <c r="S766" i="1"/>
  <c r="S767" i="1"/>
  <c r="S768" i="1"/>
  <c r="S771" i="1"/>
  <c r="S772" i="1"/>
  <c r="S773" i="1"/>
  <c r="S774" i="1"/>
  <c r="S775" i="1"/>
  <c r="S776" i="1"/>
  <c r="S777" i="1"/>
  <c r="S778" i="1"/>
  <c r="S779" i="1"/>
  <c r="S780" i="1"/>
  <c r="S783" i="1"/>
  <c r="S784" i="1"/>
  <c r="S785" i="1"/>
  <c r="S786" i="1"/>
  <c r="S787" i="1"/>
  <c r="S788" i="1"/>
  <c r="S789" i="1"/>
  <c r="S790" i="1"/>
  <c r="S791" i="1"/>
  <c r="S792" i="1"/>
  <c r="S795" i="1"/>
  <c r="S796" i="1"/>
  <c r="S797" i="1"/>
  <c r="S798" i="1"/>
  <c r="S799" i="1"/>
  <c r="S800" i="1"/>
  <c r="S801" i="1"/>
  <c r="S802" i="1"/>
  <c r="S803" i="1"/>
  <c r="S804" i="1"/>
  <c r="S807" i="1"/>
  <c r="S808" i="1"/>
  <c r="S809" i="1"/>
  <c r="S810" i="1"/>
  <c r="S811" i="1"/>
  <c r="S812" i="1"/>
  <c r="S813" i="1"/>
  <c r="S814" i="1"/>
  <c r="S815" i="1"/>
  <c r="S816" i="1"/>
  <c r="S819" i="1"/>
  <c r="S820" i="1"/>
  <c r="S821" i="1"/>
  <c r="S822" i="1"/>
  <c r="S823" i="1"/>
  <c r="S824" i="1"/>
  <c r="S825" i="1"/>
  <c r="S826" i="1"/>
  <c r="S827" i="1"/>
  <c r="S828" i="1"/>
  <c r="S831" i="1"/>
  <c r="S832" i="1"/>
  <c r="S833" i="1"/>
  <c r="S834" i="1"/>
  <c r="S835" i="1"/>
  <c r="S836" i="1"/>
  <c r="S837" i="1"/>
  <c r="S838" i="1"/>
  <c r="S839" i="1"/>
  <c r="S840" i="1"/>
  <c r="S843" i="1"/>
  <c r="S844" i="1"/>
  <c r="S845" i="1"/>
  <c r="S846" i="1"/>
  <c r="S847" i="1"/>
  <c r="S848" i="1"/>
  <c r="S849" i="1"/>
  <c r="S850" i="1"/>
  <c r="S851" i="1"/>
  <c r="S852" i="1"/>
  <c r="S853" i="1"/>
  <c r="S855" i="1"/>
  <c r="S856" i="1"/>
  <c r="S857" i="1"/>
  <c r="S858" i="1"/>
  <c r="S859" i="1"/>
  <c r="S860" i="1"/>
  <c r="S861" i="1"/>
  <c r="S862" i="1"/>
  <c r="S863" i="1"/>
  <c r="S864" i="1"/>
  <c r="S865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80" i="1"/>
  <c r="S881" i="1"/>
  <c r="S882" i="1"/>
  <c r="S883" i="1"/>
  <c r="S884" i="1"/>
  <c r="S885" i="1"/>
  <c r="S886" i="1"/>
  <c r="S887" i="1"/>
  <c r="S888" i="1"/>
  <c r="S889" i="1"/>
  <c r="S890" i="1"/>
  <c r="S892" i="1"/>
  <c r="S893" i="1"/>
  <c r="S894" i="1"/>
  <c r="S895" i="1"/>
  <c r="S896" i="1"/>
  <c r="S897" i="1"/>
  <c r="S898" i="1"/>
  <c r="S899" i="1"/>
  <c r="S900" i="1"/>
  <c r="S901" i="1"/>
  <c r="S902" i="1"/>
  <c r="S904" i="1"/>
  <c r="S905" i="1"/>
  <c r="S906" i="1"/>
  <c r="S907" i="1"/>
  <c r="S908" i="1"/>
  <c r="S909" i="1"/>
  <c r="S910" i="1"/>
  <c r="S911" i="1"/>
  <c r="S912" i="1"/>
  <c r="S913" i="1"/>
  <c r="S914" i="1"/>
  <c r="S916" i="1"/>
  <c r="S917" i="1"/>
  <c r="S918" i="1"/>
  <c r="S919" i="1"/>
  <c r="S920" i="1"/>
  <c r="S921" i="1"/>
  <c r="S922" i="1"/>
  <c r="S923" i="1"/>
  <c r="S924" i="1"/>
  <c r="S925" i="1"/>
  <c r="S926" i="1"/>
  <c r="S928" i="1"/>
  <c r="S929" i="1"/>
  <c r="S930" i="1"/>
  <c r="S931" i="1"/>
  <c r="S932" i="1"/>
  <c r="S933" i="1"/>
  <c r="S934" i="1"/>
  <c r="S935" i="1"/>
  <c r="S936" i="1"/>
  <c r="S937" i="1"/>
  <c r="S938" i="1"/>
  <c r="S940" i="1"/>
  <c r="S941" i="1"/>
  <c r="S942" i="1"/>
  <c r="S943" i="1"/>
  <c r="S944" i="1"/>
  <c r="S945" i="1"/>
  <c r="S946" i="1"/>
  <c r="S947" i="1"/>
  <c r="S948" i="1"/>
  <c r="S949" i="1"/>
  <c r="S950" i="1"/>
  <c r="S952" i="1"/>
  <c r="S953" i="1"/>
  <c r="S954" i="1"/>
  <c r="S955" i="1"/>
  <c r="S956" i="1"/>
  <c r="S957" i="1"/>
  <c r="S958" i="1"/>
  <c r="S959" i="1"/>
  <c r="S960" i="1"/>
  <c r="S961" i="1"/>
  <c r="S962" i="1"/>
  <c r="S964" i="1"/>
  <c r="S965" i="1"/>
  <c r="S966" i="1"/>
  <c r="S967" i="1"/>
  <c r="S968" i="1"/>
  <c r="S969" i="1"/>
  <c r="S970" i="1"/>
  <c r="S971" i="1"/>
  <c r="S972" i="1"/>
  <c r="S973" i="1"/>
  <c r="S974" i="1"/>
  <c r="S976" i="1"/>
  <c r="S977" i="1"/>
  <c r="S978" i="1"/>
  <c r="S979" i="1"/>
  <c r="S980" i="1"/>
  <c r="S981" i="1"/>
  <c r="S982" i="1"/>
  <c r="S983" i="1"/>
  <c r="S984" i="1"/>
  <c r="S985" i="1"/>
  <c r="S986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1" i="1"/>
  <c r="S1002" i="1"/>
  <c r="S1003" i="1"/>
  <c r="S1004" i="1"/>
  <c r="S1005" i="1"/>
  <c r="S1006" i="1"/>
  <c r="S1007" i="1"/>
  <c r="S1008" i="1"/>
  <c r="S1009" i="1"/>
  <c r="S1011" i="1"/>
  <c r="S1012" i="1"/>
  <c r="S1014" i="1"/>
  <c r="S1015" i="1"/>
  <c r="S1016" i="1"/>
  <c r="S1017" i="1"/>
  <c r="S1018" i="1"/>
  <c r="S1019" i="1"/>
  <c r="S1020" i="1"/>
  <c r="S1021" i="1"/>
  <c r="S1022" i="1"/>
  <c r="S1023" i="1"/>
  <c r="S1024" i="1"/>
  <c r="S1026" i="1"/>
  <c r="S1027" i="1"/>
  <c r="S1028" i="1"/>
  <c r="S1029" i="1"/>
  <c r="S1030" i="1"/>
  <c r="S1031" i="1"/>
  <c r="S1032" i="1"/>
  <c r="S1033" i="1"/>
  <c r="S1034" i="1"/>
  <c r="S1035" i="1"/>
  <c r="S1036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1" i="1"/>
  <c r="S1052" i="1"/>
  <c r="S1053" i="1"/>
  <c r="S1054" i="1"/>
  <c r="S1055" i="1"/>
  <c r="S1056" i="1"/>
  <c r="S1057" i="1"/>
  <c r="S1058" i="1"/>
  <c r="S1059" i="1"/>
  <c r="S1060" i="1"/>
  <c r="S1062" i="1"/>
  <c r="S1063" i="1"/>
  <c r="S1065" i="1"/>
  <c r="S1066" i="1"/>
  <c r="S1067" i="1"/>
  <c r="S1068" i="1"/>
  <c r="S1069" i="1"/>
  <c r="S1070" i="1"/>
  <c r="S1071" i="1"/>
  <c r="S1073" i="1"/>
  <c r="S1074" i="1"/>
  <c r="S1075" i="1"/>
  <c r="S1076" i="1"/>
  <c r="S1078" i="1"/>
  <c r="S1079" i="1"/>
  <c r="S1080" i="1"/>
  <c r="S1081" i="1"/>
  <c r="S1082" i="1"/>
  <c r="S1083" i="1"/>
  <c r="S1084" i="1"/>
  <c r="S1085" i="1"/>
  <c r="S1086" i="1"/>
  <c r="S1087" i="1"/>
  <c r="S1088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3" i="1"/>
  <c r="S1104" i="1"/>
  <c r="S1105" i="1"/>
  <c r="S1106" i="1"/>
  <c r="S1107" i="1"/>
  <c r="S1108" i="1"/>
  <c r="S1109" i="1"/>
  <c r="S1110" i="1"/>
  <c r="S1111" i="1"/>
  <c r="S1112" i="1"/>
  <c r="S1113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8" i="1"/>
  <c r="S1129" i="1"/>
  <c r="S1130" i="1"/>
  <c r="S1131" i="1"/>
  <c r="S1132" i="1"/>
  <c r="S1133" i="1"/>
  <c r="S1134" i="1"/>
  <c r="S1135" i="1"/>
  <c r="S1136" i="1"/>
  <c r="S1137" i="1"/>
  <c r="S1138" i="1"/>
  <c r="S1140" i="1"/>
  <c r="S1142" i="1"/>
  <c r="S1143" i="1"/>
  <c r="S1144" i="1"/>
  <c r="S1145" i="1"/>
  <c r="S1146" i="1"/>
  <c r="S1147" i="1"/>
  <c r="S1148" i="1"/>
  <c r="S1149" i="1"/>
  <c r="S1150" i="1"/>
  <c r="S1151" i="1"/>
  <c r="S1152" i="1"/>
  <c r="S1154" i="1"/>
  <c r="S1155" i="1"/>
  <c r="S1156" i="1"/>
  <c r="S1157" i="1"/>
  <c r="S1158" i="1"/>
  <c r="S1159" i="1"/>
  <c r="S1160" i="1"/>
  <c r="S1161" i="1"/>
  <c r="S1162" i="1"/>
  <c r="S1163" i="1"/>
  <c r="S1164" i="1"/>
  <c r="S1166" i="1"/>
  <c r="S1167" i="1"/>
  <c r="S1168" i="1"/>
  <c r="S1169" i="1"/>
  <c r="S1170" i="1"/>
  <c r="S1171" i="1"/>
  <c r="S1172" i="1"/>
  <c r="S1173" i="1"/>
  <c r="S1174" i="1"/>
  <c r="S1175" i="1"/>
  <c r="S1176" i="1"/>
  <c r="S1178" i="1"/>
  <c r="S1179" i="1"/>
  <c r="S1180" i="1"/>
  <c r="S1181" i="1"/>
  <c r="S1182" i="1"/>
  <c r="S1183" i="1"/>
  <c r="S1184" i="1"/>
  <c r="S1185" i="1"/>
  <c r="S1186" i="1"/>
  <c r="S1187" i="1"/>
  <c r="S1188" i="1"/>
  <c r="S1190" i="1"/>
  <c r="S1191" i="1"/>
  <c r="S1192" i="1"/>
  <c r="S1193" i="1"/>
  <c r="S1194" i="1"/>
  <c r="S1195" i="1"/>
  <c r="S1196" i="1"/>
  <c r="S1197" i="1"/>
  <c r="S1198" i="1"/>
  <c r="S1199" i="1"/>
  <c r="S1200" i="1"/>
  <c r="S1202" i="1"/>
  <c r="S1203" i="1"/>
  <c r="S1204" i="1"/>
  <c r="S1205" i="1"/>
  <c r="S1206" i="1"/>
  <c r="S1207" i="1"/>
  <c r="S1208" i="1"/>
  <c r="S1209" i="1"/>
  <c r="S1210" i="1"/>
  <c r="S1211" i="1"/>
  <c r="S1212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8" i="1"/>
  <c r="S1229" i="1"/>
  <c r="S1230" i="1"/>
  <c r="S1231" i="1"/>
  <c r="S1232" i="1"/>
  <c r="S1233" i="1"/>
  <c r="S1234" i="1"/>
  <c r="S1235" i="1"/>
  <c r="S1236" i="1"/>
  <c r="S1237" i="1"/>
  <c r="S1238" i="1"/>
  <c r="S1240" i="1"/>
  <c r="S1241" i="1"/>
  <c r="S1242" i="1"/>
  <c r="S1243" i="1"/>
  <c r="S1244" i="1"/>
  <c r="S1245" i="1"/>
  <c r="S1246" i="1"/>
  <c r="S1247" i="1"/>
  <c r="S1248" i="1"/>
  <c r="S1249" i="1"/>
  <c r="S1250" i="1"/>
  <c r="S1252" i="1"/>
  <c r="S1253" i="1"/>
  <c r="S1254" i="1"/>
  <c r="S1255" i="1"/>
  <c r="S1256" i="1"/>
  <c r="S1257" i="1"/>
  <c r="S1258" i="1"/>
  <c r="S1259" i="1"/>
  <c r="S1260" i="1"/>
  <c r="S1261" i="1"/>
  <c r="S1262" i="1"/>
  <c r="S1264" i="1"/>
  <c r="S1265" i="1"/>
  <c r="S1266" i="1"/>
  <c r="S1267" i="1"/>
  <c r="S1268" i="1"/>
  <c r="S1269" i="1"/>
  <c r="S1270" i="1"/>
  <c r="S1271" i="1"/>
  <c r="S1272" i="1"/>
  <c r="S1273" i="1"/>
  <c r="S1274" i="1"/>
  <c r="S1276" i="1"/>
  <c r="S1277" i="1"/>
  <c r="S1278" i="1"/>
  <c r="S1279" i="1"/>
  <c r="S1280" i="1"/>
  <c r="S1281" i="1"/>
  <c r="S1282" i="1"/>
  <c r="S1283" i="1"/>
  <c r="S1284" i="1"/>
  <c r="S1285" i="1"/>
  <c r="S1286" i="1"/>
  <c r="S1288" i="1"/>
  <c r="S1289" i="1"/>
  <c r="S1290" i="1"/>
  <c r="S1291" i="1"/>
  <c r="S1292" i="1"/>
  <c r="S1293" i="1"/>
  <c r="S1294" i="1"/>
  <c r="S1295" i="1"/>
  <c r="S1296" i="1"/>
  <c r="S1297" i="1"/>
  <c r="S1298" i="1"/>
  <c r="S1300" i="1"/>
  <c r="S1301" i="1"/>
  <c r="S1302" i="1"/>
  <c r="S1303" i="1"/>
  <c r="S1304" i="1"/>
  <c r="S1305" i="1"/>
  <c r="S1306" i="1"/>
  <c r="S1307" i="1"/>
  <c r="S1308" i="1"/>
  <c r="S1309" i="1"/>
  <c r="S1310" i="1"/>
  <c r="S1312" i="1"/>
  <c r="S1313" i="1"/>
  <c r="S1314" i="1"/>
  <c r="S1315" i="1"/>
  <c r="S1316" i="1"/>
  <c r="S1317" i="1"/>
  <c r="S1318" i="1"/>
  <c r="S1319" i="1"/>
  <c r="S1320" i="1"/>
  <c r="S1321" i="1"/>
  <c r="S1322" i="1"/>
  <c r="S1324" i="1"/>
  <c r="S1325" i="1"/>
  <c r="S1326" i="1"/>
  <c r="S1327" i="1"/>
  <c r="S1328" i="1"/>
  <c r="S1329" i="1"/>
  <c r="S1330" i="1"/>
  <c r="S1331" i="1"/>
  <c r="S1332" i="1"/>
  <c r="S1333" i="1"/>
  <c r="S1334" i="1"/>
  <c r="S1336" i="1"/>
  <c r="S1337" i="1"/>
  <c r="S1338" i="1"/>
  <c r="S1339" i="1"/>
  <c r="S1340" i="1"/>
  <c r="S1341" i="1"/>
  <c r="S1342" i="1"/>
  <c r="S1343" i="1"/>
  <c r="S1344" i="1"/>
  <c r="S1345" i="1"/>
  <c r="S1346" i="1"/>
  <c r="S1348" i="1"/>
  <c r="S1349" i="1"/>
  <c r="S1350" i="1"/>
  <c r="S1351" i="1"/>
  <c r="S1352" i="1"/>
  <c r="S1353" i="1"/>
  <c r="S1354" i="1"/>
  <c r="S1355" i="1"/>
  <c r="S1356" i="1"/>
  <c r="S1357" i="1"/>
  <c r="S1358" i="1"/>
  <c r="S1360" i="1"/>
  <c r="S1361" i="1"/>
  <c r="S1362" i="1"/>
  <c r="S1363" i="1"/>
  <c r="S1364" i="1"/>
  <c r="S1365" i="1"/>
  <c r="S1366" i="1"/>
  <c r="S1367" i="1"/>
  <c r="S1368" i="1"/>
  <c r="S1369" i="1"/>
  <c r="S1370" i="1"/>
  <c r="S1372" i="1"/>
  <c r="S1373" i="1"/>
  <c r="S1374" i="1"/>
  <c r="S1375" i="1"/>
  <c r="S1376" i="1"/>
  <c r="S1377" i="1"/>
  <c r="S1378" i="1"/>
  <c r="S1379" i="1"/>
  <c r="S1380" i="1"/>
  <c r="S1381" i="1"/>
  <c r="S1382" i="1"/>
  <c r="S1384" i="1"/>
  <c r="S1385" i="1"/>
  <c r="S1386" i="1"/>
  <c r="S1387" i="1"/>
  <c r="S1388" i="1"/>
  <c r="S1389" i="1"/>
  <c r="S1390" i="1"/>
  <c r="S1391" i="1"/>
  <c r="S1392" i="1"/>
  <c r="S1393" i="1"/>
  <c r="S1394" i="1"/>
  <c r="S1396" i="1"/>
  <c r="S1397" i="1"/>
  <c r="S1398" i="1"/>
  <c r="S1399" i="1"/>
  <c r="S1400" i="1"/>
  <c r="S1401" i="1"/>
  <c r="S1402" i="1"/>
  <c r="S1403" i="1"/>
  <c r="S1404" i="1"/>
  <c r="S1405" i="1"/>
  <c r="S1406" i="1"/>
  <c r="S1408" i="1"/>
  <c r="S1409" i="1"/>
  <c r="S1410" i="1"/>
  <c r="S1411" i="1"/>
  <c r="S1412" i="1"/>
  <c r="S1413" i="1"/>
  <c r="S1414" i="1"/>
  <c r="S1415" i="1"/>
  <c r="S1416" i="1"/>
  <c r="S1417" i="1"/>
  <c r="S1418" i="1"/>
  <c r="S1420" i="1"/>
  <c r="S1421" i="1"/>
  <c r="S1422" i="1"/>
  <c r="S1423" i="1"/>
  <c r="S1424" i="1"/>
  <c r="S1425" i="1"/>
  <c r="S1426" i="1"/>
  <c r="S1427" i="1"/>
  <c r="S1428" i="1"/>
  <c r="S1429" i="1"/>
  <c r="S1430" i="1"/>
  <c r="S1432" i="1"/>
  <c r="S1433" i="1"/>
  <c r="S1434" i="1"/>
  <c r="S1435" i="1"/>
  <c r="S1436" i="1"/>
  <c r="S1437" i="1"/>
  <c r="S1438" i="1"/>
  <c r="S1439" i="1"/>
  <c r="S1440" i="1"/>
  <c r="S1441" i="1"/>
  <c r="S1442" i="1"/>
  <c r="S1444" i="1"/>
  <c r="S1445" i="1"/>
  <c r="S1446" i="1"/>
  <c r="S1447" i="1"/>
  <c r="S1448" i="1"/>
  <c r="S1449" i="1"/>
  <c r="S1450" i="1"/>
  <c r="S1451" i="1"/>
  <c r="S1452" i="1"/>
  <c r="S1453" i="1"/>
  <c r="S1454" i="1"/>
  <c r="S1456" i="1"/>
  <c r="S1457" i="1"/>
  <c r="S1458" i="1"/>
  <c r="S1459" i="1"/>
  <c r="S1460" i="1"/>
  <c r="S1461" i="1"/>
  <c r="S1462" i="1"/>
  <c r="S1463" i="1"/>
  <c r="S1464" i="1"/>
  <c r="S1465" i="1"/>
  <c r="S1466" i="1"/>
  <c r="S1468" i="1"/>
  <c r="S1469" i="1"/>
  <c r="S1470" i="1"/>
  <c r="S1471" i="1"/>
  <c r="S1472" i="1"/>
  <c r="S1473" i="1"/>
  <c r="S1474" i="1"/>
  <c r="S1475" i="1"/>
  <c r="S1476" i="1"/>
  <c r="S1477" i="1"/>
  <c r="S1478" i="1"/>
  <c r="S1480" i="1"/>
  <c r="S1481" i="1"/>
  <c r="S1482" i="1"/>
  <c r="S1483" i="1"/>
  <c r="S1484" i="1"/>
  <c r="S1485" i="1"/>
  <c r="S1486" i="1"/>
  <c r="S1487" i="1"/>
  <c r="S1488" i="1"/>
  <c r="S1489" i="1"/>
  <c r="S1490" i="1"/>
  <c r="S1492" i="1"/>
  <c r="S1493" i="1"/>
  <c r="S1494" i="1"/>
  <c r="S1495" i="1"/>
  <c r="S1496" i="1"/>
  <c r="S1497" i="1"/>
  <c r="S1498" i="1"/>
  <c r="S1499" i="1"/>
  <c r="S1500" i="1"/>
  <c r="S1501" i="1"/>
  <c r="S1502" i="1"/>
  <c r="S1504" i="1"/>
  <c r="S1505" i="1"/>
  <c r="S1506" i="1"/>
  <c r="S1507" i="1"/>
  <c r="S1508" i="1"/>
  <c r="S1509" i="1"/>
  <c r="S1510" i="1"/>
  <c r="S1511" i="1"/>
  <c r="S1512" i="1"/>
  <c r="S1513" i="1"/>
  <c r="S1514" i="1"/>
  <c r="S1516" i="1"/>
  <c r="S1517" i="1"/>
  <c r="S1518" i="1"/>
  <c r="S1519" i="1"/>
  <c r="S1520" i="1"/>
  <c r="S1521" i="1"/>
  <c r="S1522" i="1"/>
  <c r="S1523" i="1"/>
  <c r="S1524" i="1"/>
  <c r="S1525" i="1"/>
  <c r="S1526" i="1"/>
  <c r="S1528" i="1"/>
  <c r="S1529" i="1"/>
  <c r="S1530" i="1"/>
  <c r="S1531" i="1"/>
  <c r="S1532" i="1"/>
  <c r="S1533" i="1"/>
  <c r="S1534" i="1"/>
  <c r="S1535" i="1"/>
  <c r="S1536" i="1"/>
  <c r="S1537" i="1"/>
  <c r="S1538" i="1"/>
  <c r="S1540" i="1"/>
  <c r="S1541" i="1"/>
  <c r="S1542" i="1"/>
  <c r="S1543" i="1"/>
  <c r="S1544" i="1"/>
  <c r="S1545" i="1"/>
  <c r="S1546" i="1"/>
  <c r="S1547" i="1"/>
  <c r="S1548" i="1"/>
  <c r="S1549" i="1"/>
  <c r="S1550" i="1"/>
  <c r="S1552" i="1"/>
  <c r="S1553" i="1"/>
  <c r="S1554" i="1"/>
  <c r="S1555" i="1"/>
  <c r="S1556" i="1"/>
  <c r="S1557" i="1"/>
  <c r="S1558" i="1"/>
  <c r="S1559" i="1"/>
  <c r="S1560" i="1"/>
  <c r="S1561" i="1"/>
  <c r="S1562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7" i="1"/>
  <c r="S1578" i="1"/>
  <c r="S1579" i="1"/>
  <c r="S1580" i="1"/>
  <c r="S1581" i="1"/>
  <c r="S1582" i="1"/>
  <c r="S1583" i="1"/>
  <c r="S1584" i="1"/>
  <c r="S1585" i="1"/>
  <c r="S1586" i="1"/>
  <c r="S1587" i="1"/>
  <c r="S1589" i="1"/>
  <c r="S1590" i="1"/>
  <c r="S1591" i="1"/>
  <c r="S1592" i="1"/>
  <c r="S1593" i="1"/>
  <c r="S1594" i="1"/>
  <c r="S1595" i="1"/>
  <c r="S1596" i="1"/>
  <c r="S1597" i="1"/>
  <c r="S1598" i="1"/>
  <c r="S1600" i="1"/>
  <c r="S1602" i="1"/>
  <c r="S1603" i="1"/>
  <c r="S1604" i="1"/>
  <c r="S1605" i="1"/>
  <c r="S1606" i="1"/>
  <c r="S1607" i="1"/>
  <c r="S1608" i="1"/>
  <c r="S1609" i="1"/>
  <c r="S1610" i="1"/>
  <c r="S1611" i="1"/>
  <c r="S1612" i="1"/>
  <c r="S1614" i="1"/>
  <c r="S1615" i="1"/>
  <c r="S1616" i="1"/>
  <c r="S1617" i="1"/>
  <c r="S1618" i="1"/>
  <c r="S1619" i="1"/>
  <c r="S1620" i="1"/>
  <c r="S1621" i="1"/>
  <c r="S1622" i="1"/>
  <c r="S1623" i="1"/>
  <c r="S1624" i="1"/>
  <c r="S1626" i="1"/>
  <c r="S1627" i="1"/>
  <c r="S1628" i="1"/>
  <c r="S1629" i="1"/>
  <c r="S1630" i="1"/>
  <c r="S1631" i="1"/>
  <c r="S1632" i="1"/>
  <c r="S1633" i="1"/>
  <c r="S1634" i="1"/>
  <c r="S1635" i="1"/>
  <c r="S1636" i="1"/>
  <c r="S1638" i="1"/>
  <c r="S1639" i="1"/>
  <c r="S1640" i="1"/>
  <c r="S1641" i="1"/>
  <c r="S1642" i="1"/>
  <c r="S1643" i="1"/>
  <c r="S1644" i="1"/>
  <c r="S1645" i="1"/>
  <c r="S1646" i="1"/>
  <c r="S1647" i="1"/>
  <c r="S1648" i="1"/>
  <c r="S1650" i="1"/>
  <c r="S1651" i="1"/>
  <c r="S1652" i="1"/>
  <c r="S1653" i="1"/>
  <c r="S1654" i="1"/>
  <c r="S1655" i="1"/>
  <c r="S1656" i="1"/>
  <c r="S1657" i="1"/>
  <c r="S1658" i="1"/>
  <c r="S1659" i="1"/>
  <c r="S1660" i="1"/>
  <c r="S1662" i="1"/>
  <c r="S1663" i="1"/>
  <c r="S1664" i="1"/>
  <c r="S1665" i="1"/>
  <c r="S1666" i="1"/>
  <c r="S1667" i="1"/>
  <c r="S1668" i="1"/>
  <c r="S1669" i="1"/>
  <c r="S1670" i="1"/>
  <c r="S1671" i="1"/>
  <c r="S1672" i="1"/>
  <c r="S1674" i="1"/>
  <c r="S1675" i="1"/>
  <c r="S1676" i="1"/>
  <c r="S1677" i="1"/>
  <c r="S1678" i="1"/>
  <c r="S1679" i="1"/>
  <c r="S1680" i="1"/>
  <c r="S1681" i="1"/>
  <c r="S1682" i="1"/>
  <c r="S1683" i="1"/>
  <c r="S1684" i="1"/>
  <c r="S1686" i="1"/>
  <c r="S1687" i="1"/>
  <c r="S1688" i="1"/>
  <c r="S1689" i="1"/>
  <c r="S1690" i="1"/>
  <c r="S1691" i="1"/>
  <c r="S1692" i="1"/>
  <c r="S1693" i="1"/>
  <c r="S1694" i="1"/>
  <c r="S1695" i="1"/>
  <c r="S1696" i="1"/>
  <c r="S1698" i="1"/>
  <c r="S1699" i="1"/>
  <c r="S1700" i="1"/>
  <c r="S1701" i="1"/>
  <c r="S1702" i="1"/>
  <c r="S1703" i="1"/>
  <c r="S1704" i="1"/>
  <c r="S1705" i="1"/>
  <c r="S1706" i="1"/>
  <c r="S1707" i="1"/>
  <c r="S1708" i="1"/>
  <c r="S1710" i="1"/>
  <c r="S1711" i="1"/>
  <c r="S1712" i="1"/>
  <c r="S1713" i="1"/>
  <c r="S1714" i="1"/>
  <c r="S1715" i="1"/>
  <c r="S1716" i="1"/>
  <c r="S1717" i="1"/>
  <c r="S1718" i="1"/>
  <c r="S1719" i="1"/>
  <c r="S1720" i="1"/>
  <c r="S1722" i="1"/>
  <c r="S1723" i="1"/>
  <c r="S1724" i="1"/>
  <c r="S1725" i="1"/>
  <c r="S1726" i="1"/>
  <c r="S1727" i="1"/>
  <c r="S1728" i="1"/>
  <c r="S1729" i="1"/>
  <c r="S1730" i="1"/>
  <c r="S1731" i="1"/>
  <c r="S1732" i="1"/>
  <c r="S1734" i="1"/>
  <c r="S1735" i="1"/>
  <c r="S1736" i="1"/>
  <c r="S1737" i="1"/>
  <c r="S1738" i="1"/>
  <c r="S1739" i="1"/>
  <c r="S1740" i="1"/>
  <c r="S1741" i="1"/>
  <c r="S1742" i="1"/>
  <c r="S1743" i="1"/>
  <c r="S1744" i="1"/>
  <c r="S1746" i="1"/>
  <c r="S1747" i="1"/>
  <c r="S1748" i="1"/>
  <c r="S1749" i="1"/>
  <c r="S1750" i="1"/>
  <c r="S1751" i="1"/>
  <c r="S1752" i="1"/>
  <c r="S1753" i="1"/>
  <c r="S1754" i="1"/>
  <c r="S1755" i="1"/>
  <c r="S1756" i="1"/>
  <c r="S1758" i="1"/>
  <c r="S1759" i="1"/>
  <c r="S1760" i="1"/>
  <c r="S1761" i="1"/>
  <c r="S1762" i="1"/>
  <c r="S1763" i="1"/>
  <c r="S1764" i="1"/>
  <c r="S1765" i="1"/>
  <c r="S1766" i="1"/>
  <c r="S1767" i="1"/>
  <c r="S1768" i="1"/>
  <c r="S1770" i="1"/>
  <c r="S1771" i="1"/>
  <c r="S1772" i="1"/>
  <c r="S1773" i="1"/>
  <c r="S1774" i="1"/>
  <c r="S1775" i="1"/>
  <c r="S1776" i="1"/>
  <c r="S1777" i="1"/>
  <c r="S1778" i="1"/>
  <c r="S1779" i="1"/>
  <c r="S1780" i="1"/>
  <c r="S1782" i="1"/>
  <c r="S1783" i="1"/>
  <c r="S1784" i="1"/>
  <c r="S1785" i="1"/>
  <c r="S1786" i="1"/>
  <c r="S1787" i="1"/>
  <c r="S1788" i="1"/>
  <c r="S1789" i="1"/>
  <c r="S1790" i="1"/>
  <c r="S1791" i="1"/>
  <c r="S1792" i="1"/>
  <c r="S1794" i="1"/>
  <c r="S1795" i="1"/>
  <c r="S1796" i="1"/>
  <c r="S1797" i="1"/>
  <c r="S1798" i="1"/>
  <c r="S1799" i="1"/>
  <c r="S1800" i="1"/>
  <c r="S1801" i="1"/>
  <c r="S1802" i="1"/>
  <c r="S1803" i="1"/>
  <c r="S1804" i="1"/>
  <c r="S1806" i="1"/>
  <c r="S1807" i="1"/>
  <c r="S1808" i="1"/>
  <c r="S1809" i="1"/>
  <c r="S1810" i="1"/>
  <c r="S1811" i="1"/>
  <c r="S1812" i="1"/>
  <c r="S1813" i="1"/>
  <c r="S1814" i="1"/>
  <c r="S1815" i="1"/>
  <c r="S1816" i="1"/>
  <c r="S1818" i="1"/>
  <c r="S1819" i="1"/>
  <c r="S1820" i="1"/>
  <c r="S1821" i="1"/>
  <c r="S1822" i="1"/>
  <c r="S1823" i="1"/>
  <c r="S1824" i="1"/>
  <c r="S1825" i="1"/>
  <c r="S1826" i="1"/>
  <c r="S1827" i="1"/>
  <c r="S1828" i="1"/>
  <c r="S1830" i="1"/>
  <c r="S1831" i="1"/>
  <c r="S1832" i="1"/>
  <c r="S1833" i="1"/>
  <c r="S1834" i="1"/>
  <c r="S1835" i="1"/>
  <c r="S1836" i="1"/>
  <c r="S1837" i="1"/>
  <c r="S1838" i="1"/>
  <c r="S1839" i="1"/>
  <c r="S1840" i="1"/>
  <c r="S1842" i="1"/>
  <c r="S1843" i="1"/>
  <c r="S1844" i="1"/>
  <c r="S1845" i="1"/>
  <c r="S1846" i="1"/>
  <c r="S1847" i="1"/>
  <c r="S1848" i="1"/>
  <c r="S1849" i="1"/>
  <c r="S1850" i="1"/>
  <c r="S1851" i="1"/>
  <c r="S1852" i="1"/>
  <c r="S1854" i="1"/>
  <c r="S1855" i="1"/>
  <c r="S1856" i="1"/>
  <c r="S1857" i="1"/>
  <c r="S1858" i="1"/>
  <c r="S1859" i="1"/>
  <c r="S1860" i="1"/>
  <c r="S1861" i="1"/>
  <c r="S1862" i="1"/>
  <c r="S1863" i="1"/>
  <c r="S1864" i="1"/>
  <c r="S1866" i="1"/>
  <c r="S1867" i="1"/>
  <c r="S1868" i="1"/>
  <c r="S1869" i="1"/>
  <c r="S1870" i="1"/>
  <c r="S1871" i="1"/>
  <c r="S1872" i="1"/>
  <c r="S1873" i="1"/>
  <c r="S1874" i="1"/>
  <c r="S1875" i="1"/>
  <c r="S1876" i="1"/>
  <c r="S1878" i="1"/>
  <c r="S1879" i="1"/>
  <c r="S1880" i="1"/>
  <c r="S1881" i="1"/>
  <c r="S1882" i="1"/>
  <c r="S1883" i="1"/>
  <c r="S1884" i="1"/>
  <c r="S1885" i="1"/>
  <c r="S1886" i="1"/>
  <c r="S1887" i="1"/>
  <c r="S1888" i="1"/>
  <c r="S1890" i="1"/>
  <c r="S1891" i="1"/>
  <c r="S1892" i="1"/>
  <c r="S1893" i="1"/>
  <c r="S1894" i="1"/>
  <c r="S1895" i="1"/>
  <c r="S1896" i="1"/>
  <c r="S1897" i="1"/>
  <c r="S1898" i="1"/>
  <c r="S1899" i="1"/>
  <c r="S1900" i="1"/>
  <c r="S1902" i="1"/>
  <c r="S1903" i="1"/>
  <c r="S1904" i="1"/>
  <c r="S1905" i="1"/>
  <c r="S1906" i="1"/>
  <c r="S1907" i="1"/>
  <c r="S1908" i="1"/>
  <c r="S1909" i="1"/>
  <c r="S1910" i="1"/>
  <c r="S1911" i="1"/>
  <c r="S1912" i="1"/>
  <c r="S1915" i="1"/>
  <c r="S1916" i="1"/>
  <c r="S1917" i="1"/>
  <c r="S1918" i="1"/>
  <c r="S1919" i="1"/>
  <c r="S1920" i="1"/>
  <c r="S1921" i="1"/>
  <c r="S1922" i="1"/>
  <c r="S1923" i="1"/>
  <c r="S1924" i="1"/>
  <c r="S1925" i="1"/>
  <c r="S1927" i="1"/>
  <c r="S1928" i="1"/>
  <c r="S1929" i="1"/>
  <c r="S1930" i="1"/>
  <c r="S1931" i="1"/>
  <c r="S1932" i="1"/>
  <c r="S1933" i="1"/>
  <c r="S1934" i="1"/>
  <c r="S1935" i="1"/>
  <c r="S1936" i="1"/>
  <c r="S1937" i="1"/>
  <c r="S1939" i="1"/>
  <c r="S1940" i="1"/>
  <c r="S1941" i="1"/>
  <c r="S1942" i="1"/>
  <c r="S1943" i="1"/>
  <c r="S1944" i="1"/>
  <c r="S1945" i="1"/>
  <c r="S1946" i="1"/>
  <c r="S1947" i="1"/>
  <c r="S1948" i="1"/>
  <c r="S1949" i="1"/>
  <c r="S1951" i="1"/>
  <c r="S1952" i="1"/>
  <c r="S1953" i="1"/>
  <c r="S1954" i="1"/>
  <c r="S1955" i="1"/>
  <c r="S1956" i="1"/>
  <c r="S1957" i="1"/>
  <c r="S1958" i="1"/>
  <c r="S1959" i="1"/>
  <c r="S1960" i="1"/>
  <c r="S1961" i="1"/>
  <c r="S1963" i="1"/>
  <c r="S1964" i="1"/>
  <c r="S1965" i="1"/>
  <c r="S1966" i="1"/>
  <c r="S1967" i="1"/>
  <c r="S1968" i="1"/>
  <c r="S1969" i="1"/>
  <c r="S1970" i="1"/>
  <c r="S1972" i="1"/>
  <c r="S1973" i="1"/>
  <c r="S1974" i="1"/>
  <c r="S1976" i="1"/>
  <c r="S1977" i="1"/>
  <c r="S1978" i="1"/>
  <c r="S1979" i="1"/>
  <c r="S1980" i="1"/>
  <c r="S1981" i="1"/>
  <c r="S1982" i="1"/>
  <c r="S1983" i="1"/>
  <c r="S1984" i="1"/>
  <c r="S1985" i="1"/>
  <c r="S1987" i="1"/>
  <c r="S1988" i="1"/>
  <c r="S1989" i="1"/>
  <c r="S1990" i="1"/>
  <c r="S1991" i="1"/>
  <c r="S1994" i="1"/>
  <c r="S1995" i="1"/>
  <c r="S1996" i="1"/>
  <c r="S1997" i="1"/>
  <c r="S1998" i="1"/>
  <c r="S1999" i="1"/>
  <c r="S2001" i="1"/>
  <c r="S2002" i="1"/>
  <c r="S2003" i="1"/>
  <c r="S2005" i="1"/>
  <c r="S2006" i="1"/>
  <c r="S2008" i="1"/>
  <c r="S2009" i="1"/>
  <c r="S2010" i="1"/>
  <c r="S2011" i="1"/>
  <c r="S2012" i="1"/>
  <c r="S2013" i="1"/>
  <c r="S2015" i="1"/>
  <c r="S2016" i="1"/>
  <c r="S2017" i="1"/>
  <c r="S2019" i="1"/>
  <c r="S2020" i="1"/>
  <c r="S2021" i="1"/>
  <c r="S2023" i="1"/>
  <c r="S2024" i="1"/>
  <c r="S2025" i="1"/>
  <c r="S2027" i="1"/>
  <c r="S2029" i="1"/>
  <c r="S2030" i="1"/>
  <c r="S2031" i="1"/>
  <c r="S2032" i="1"/>
  <c r="S2033" i="1"/>
  <c r="S2034" i="1"/>
  <c r="S2035" i="1"/>
  <c r="S2036" i="1"/>
  <c r="S2037" i="1"/>
  <c r="S2038" i="1"/>
  <c r="S2039" i="1"/>
  <c r="S2042" i="1"/>
  <c r="S2043" i="1"/>
  <c r="S2044" i="1"/>
  <c r="S2045" i="1"/>
  <c r="S2046" i="1"/>
  <c r="S2047" i="1"/>
  <c r="S2048" i="1"/>
  <c r="S2049" i="1"/>
  <c r="S2050" i="1"/>
  <c r="S2051" i="1"/>
  <c r="S2053" i="1"/>
  <c r="S2054" i="1"/>
  <c r="S2056" i="1"/>
  <c r="S2058" i="1"/>
  <c r="S2059" i="1"/>
  <c r="S2060" i="1"/>
  <c r="S2061" i="1"/>
  <c r="S2063" i="1"/>
  <c r="S2064" i="1"/>
  <c r="S2065" i="1"/>
  <c r="S2066" i="1"/>
  <c r="S2067" i="1"/>
  <c r="S2070" i="1"/>
  <c r="S2071" i="1"/>
  <c r="S2072" i="1"/>
  <c r="S2073" i="1"/>
  <c r="S2074" i="1"/>
  <c r="S2075" i="1"/>
  <c r="S2076" i="1"/>
  <c r="S2077" i="1"/>
  <c r="S2078" i="1"/>
  <c r="S2079" i="1"/>
  <c r="S2080" i="1"/>
  <c r="S2082" i="1"/>
  <c r="S2083" i="1"/>
  <c r="S2084" i="1"/>
  <c r="S2085" i="1"/>
  <c r="S2086" i="1"/>
  <c r="S2087" i="1"/>
  <c r="S2088" i="1"/>
  <c r="S2089" i="1"/>
  <c r="S2090" i="1"/>
  <c r="S2091" i="1"/>
  <c r="S2092" i="1"/>
  <c r="S2094" i="1"/>
  <c r="S2095" i="1"/>
  <c r="S2096" i="1"/>
  <c r="S2097" i="1"/>
  <c r="S2099" i="1"/>
  <c r="S2100" i="1"/>
  <c r="S2101" i="1"/>
  <c r="S2102" i="1"/>
  <c r="S2103" i="1"/>
  <c r="S2104" i="1"/>
  <c r="S2105" i="1"/>
  <c r="S2106" i="1"/>
  <c r="S2108" i="1"/>
  <c r="S2109" i="1"/>
  <c r="S2110" i="1"/>
  <c r="S2111" i="1"/>
  <c r="S2112" i="1"/>
  <c r="S2113" i="1"/>
  <c r="S2114" i="1"/>
  <c r="S2115" i="1"/>
  <c r="S2116" i="1"/>
  <c r="S2117" i="1"/>
  <c r="S2118" i="1"/>
  <c r="S2120" i="1"/>
  <c r="S2121" i="1"/>
  <c r="S2122" i="1"/>
  <c r="S2123" i="1"/>
  <c r="S2124" i="1"/>
  <c r="S2125" i="1"/>
  <c r="S2126" i="1"/>
  <c r="S2127" i="1"/>
  <c r="S2128" i="1"/>
  <c r="S2129" i="1"/>
  <c r="S2130" i="1"/>
  <c r="S2132" i="1"/>
  <c r="S2133" i="1"/>
  <c r="S2134" i="1"/>
  <c r="S2135" i="1"/>
  <c r="S2136" i="1"/>
  <c r="S2137" i="1"/>
  <c r="S2138" i="1"/>
  <c r="S2139" i="1"/>
  <c r="S2140" i="1"/>
  <c r="S2141" i="1"/>
  <c r="S2142" i="1"/>
  <c r="S2144" i="1"/>
  <c r="S2145" i="1"/>
  <c r="S2146" i="1"/>
  <c r="S2147" i="1"/>
  <c r="S2148" i="1"/>
  <c r="S2149" i="1"/>
  <c r="S2150" i="1"/>
  <c r="S2151" i="1"/>
  <c r="S2152" i="1"/>
  <c r="S2153" i="1"/>
  <c r="S2154" i="1"/>
  <c r="S2156" i="1"/>
  <c r="S2157" i="1"/>
  <c r="S2158" i="1"/>
  <c r="S2159" i="1"/>
  <c r="S2160" i="1"/>
  <c r="S2161" i="1"/>
  <c r="S2162" i="1"/>
  <c r="S2163" i="1"/>
  <c r="S2164" i="1"/>
  <c r="S2165" i="1"/>
  <c r="S2166" i="1"/>
  <c r="S2168" i="1"/>
  <c r="S2169" i="1"/>
  <c r="S2170" i="1"/>
  <c r="S2171" i="1"/>
  <c r="S2172" i="1"/>
  <c r="S2173" i="1"/>
  <c r="S2174" i="1"/>
  <c r="S2175" i="1"/>
  <c r="S2176" i="1"/>
  <c r="S2177" i="1"/>
  <c r="S2178" i="1"/>
  <c r="S2180" i="1"/>
  <c r="S2181" i="1"/>
  <c r="S2182" i="1"/>
  <c r="S2183" i="1"/>
  <c r="S2184" i="1"/>
  <c r="S2185" i="1"/>
  <c r="S2186" i="1"/>
  <c r="S2187" i="1"/>
  <c r="S2188" i="1"/>
  <c r="S2189" i="1"/>
  <c r="S2190" i="1"/>
  <c r="S2192" i="1"/>
  <c r="S2193" i="1"/>
  <c r="S2194" i="1"/>
  <c r="S2195" i="1"/>
  <c r="S2196" i="1"/>
  <c r="S2197" i="1"/>
  <c r="S2198" i="1"/>
  <c r="S2199" i="1"/>
  <c r="S2200" i="1"/>
  <c r="S2201" i="1"/>
  <c r="S2202" i="1"/>
  <c r="S2204" i="1"/>
  <c r="S2205" i="1"/>
  <c r="S2206" i="1"/>
  <c r="S2207" i="1"/>
  <c r="S2208" i="1"/>
  <c r="S2209" i="1"/>
  <c r="S2210" i="1"/>
  <c r="S2211" i="1"/>
  <c r="S2212" i="1"/>
  <c r="S2213" i="1"/>
  <c r="S2214" i="1"/>
  <c r="S2216" i="1"/>
  <c r="S2217" i="1"/>
  <c r="S2218" i="1"/>
  <c r="S2219" i="1"/>
  <c r="S2220" i="1"/>
  <c r="S2221" i="1"/>
  <c r="S2222" i="1"/>
  <c r="S2223" i="1"/>
  <c r="S2224" i="1"/>
  <c r="S2225" i="1"/>
  <c r="S2226" i="1"/>
  <c r="S2228" i="1"/>
  <c r="S2229" i="1"/>
  <c r="S2230" i="1"/>
  <c r="S2231" i="1"/>
  <c r="S2232" i="1"/>
  <c r="S2233" i="1"/>
  <c r="S2234" i="1"/>
  <c r="S2235" i="1"/>
  <c r="S2236" i="1"/>
  <c r="S2237" i="1"/>
  <c r="S2238" i="1"/>
  <c r="S2240" i="1"/>
  <c r="S2241" i="1"/>
  <c r="S2242" i="1"/>
  <c r="S2243" i="1"/>
  <c r="S2244" i="1"/>
  <c r="S2245" i="1"/>
  <c r="S2246" i="1"/>
  <c r="S2247" i="1"/>
  <c r="S2248" i="1"/>
  <c r="S2249" i="1"/>
  <c r="S2250" i="1"/>
  <c r="S2252" i="1"/>
  <c r="S2253" i="1"/>
  <c r="S2254" i="1"/>
  <c r="S2255" i="1"/>
  <c r="S2256" i="1"/>
  <c r="S2257" i="1"/>
  <c r="S2258" i="1"/>
  <c r="S2259" i="1"/>
  <c r="S2260" i="1"/>
  <c r="S2261" i="1"/>
  <c r="S2262" i="1"/>
  <c r="S2264" i="1"/>
  <c r="S2265" i="1"/>
  <c r="S2266" i="1"/>
  <c r="S2267" i="1"/>
  <c r="S2268" i="1"/>
  <c r="S2269" i="1"/>
  <c r="S2270" i="1"/>
  <c r="S2271" i="1"/>
  <c r="S2272" i="1"/>
  <c r="S2273" i="1"/>
  <c r="S2274" i="1"/>
  <c r="S2276" i="1"/>
  <c r="S2277" i="1"/>
  <c r="S2278" i="1"/>
  <c r="S2279" i="1"/>
  <c r="S2280" i="1"/>
  <c r="S2281" i="1"/>
  <c r="S2282" i="1"/>
  <c r="S2283" i="1"/>
  <c r="S2284" i="1"/>
  <c r="S2285" i="1"/>
  <c r="S2286" i="1"/>
  <c r="S2288" i="1"/>
  <c r="S2289" i="1"/>
  <c r="S2290" i="1"/>
  <c r="S2291" i="1"/>
  <c r="S2292" i="1"/>
  <c r="S2293" i="1"/>
  <c r="S2294" i="1"/>
  <c r="S2295" i="1"/>
  <c r="S2296" i="1"/>
  <c r="S2297" i="1"/>
  <c r="S2298" i="1"/>
  <c r="S2300" i="1"/>
  <c r="S2301" i="1"/>
  <c r="S2302" i="1"/>
  <c r="S2303" i="1"/>
  <c r="S2304" i="1"/>
  <c r="S2305" i="1"/>
  <c r="S2306" i="1"/>
  <c r="S2307" i="1"/>
  <c r="S2308" i="1"/>
  <c r="S2309" i="1"/>
  <c r="S2310" i="1"/>
  <c r="S2312" i="1"/>
  <c r="S2313" i="1"/>
  <c r="S2314" i="1"/>
  <c r="S2315" i="1"/>
  <c r="S2316" i="1"/>
  <c r="S2317" i="1"/>
  <c r="S2318" i="1"/>
  <c r="S2319" i="1"/>
  <c r="S2320" i="1"/>
  <c r="S2321" i="1"/>
  <c r="S2322" i="1"/>
  <c r="S2324" i="1"/>
  <c r="S2325" i="1"/>
  <c r="S2326" i="1"/>
  <c r="S2327" i="1"/>
  <c r="S2328" i="1"/>
  <c r="S2329" i="1"/>
  <c r="S2330" i="1"/>
  <c r="S2331" i="1"/>
  <c r="S2332" i="1"/>
  <c r="S2333" i="1"/>
  <c r="S2334" i="1"/>
  <c r="S2336" i="1"/>
  <c r="S2337" i="1"/>
  <c r="S2338" i="1"/>
  <c r="S2339" i="1"/>
  <c r="S2340" i="1"/>
  <c r="S2341" i="1"/>
  <c r="S2342" i="1"/>
  <c r="S2343" i="1"/>
  <c r="S2344" i="1"/>
  <c r="S2345" i="1"/>
  <c r="S2346" i="1"/>
  <c r="S2348" i="1"/>
  <c r="S2349" i="1"/>
  <c r="S2350" i="1"/>
  <c r="S2351" i="1"/>
  <c r="S2352" i="1"/>
  <c r="S2353" i="1"/>
  <c r="S2354" i="1"/>
  <c r="S2355" i="1"/>
  <c r="S2356" i="1"/>
  <c r="S2357" i="1"/>
  <c r="S2358" i="1"/>
  <c r="S2360" i="1"/>
  <c r="S2361" i="1"/>
  <c r="S2362" i="1"/>
  <c r="S2363" i="1"/>
  <c r="S2364" i="1"/>
  <c r="S2365" i="1"/>
  <c r="S2366" i="1"/>
  <c r="S2367" i="1"/>
  <c r="S2368" i="1"/>
  <c r="S2369" i="1"/>
  <c r="S2370" i="1"/>
  <c r="S2372" i="1"/>
  <c r="S2373" i="1"/>
  <c r="S2374" i="1"/>
  <c r="S2375" i="1"/>
  <c r="S2376" i="1"/>
  <c r="S2377" i="1"/>
  <c r="S2378" i="1"/>
  <c r="S2379" i="1"/>
  <c r="S2380" i="1"/>
  <c r="S2381" i="1"/>
  <c r="S2382" i="1"/>
  <c r="S2384" i="1"/>
  <c r="S2385" i="1"/>
  <c r="S2386" i="1"/>
  <c r="S2387" i="1"/>
  <c r="S2388" i="1"/>
  <c r="S2389" i="1"/>
  <c r="S2390" i="1"/>
  <c r="S2391" i="1"/>
  <c r="S2392" i="1"/>
  <c r="S2393" i="1"/>
  <c r="S2394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9" i="1"/>
  <c r="S2410" i="1"/>
  <c r="S2411" i="1"/>
  <c r="S2412" i="1"/>
  <c r="S2413" i="1"/>
  <c r="S2414" i="1"/>
  <c r="S2415" i="1"/>
  <c r="S2416" i="1"/>
  <c r="S2417" i="1"/>
  <c r="S2418" i="1"/>
  <c r="S2419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4" i="1"/>
  <c r="S2435" i="1"/>
  <c r="S2436" i="1"/>
  <c r="S2437" i="1"/>
  <c r="S2438" i="1"/>
  <c r="S2439" i="1"/>
  <c r="S2440" i="1"/>
  <c r="S2441" i="1"/>
  <c r="S2442" i="1"/>
  <c r="S2443" i="1"/>
  <c r="S2444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9" i="1"/>
  <c r="S2460" i="1"/>
  <c r="S2461" i="1"/>
  <c r="S2462" i="1"/>
  <c r="S2463" i="1"/>
  <c r="S2464" i="1"/>
  <c r="S2465" i="1"/>
  <c r="S2466" i="1"/>
  <c r="S2467" i="1"/>
  <c r="S2468" i="1"/>
  <c r="S2469" i="1"/>
  <c r="S2471" i="1"/>
  <c r="S2472" i="1"/>
  <c r="S2473" i="1"/>
  <c r="S2474" i="1"/>
  <c r="S2475" i="1"/>
  <c r="S2476" i="1"/>
  <c r="S2477" i="1"/>
  <c r="S2478" i="1"/>
  <c r="S2479" i="1"/>
  <c r="S2480" i="1"/>
  <c r="S2481" i="1"/>
  <c r="S2483" i="1"/>
  <c r="S2484" i="1"/>
  <c r="S2485" i="1"/>
  <c r="S2486" i="1"/>
  <c r="S2487" i="1"/>
  <c r="S2488" i="1"/>
  <c r="S2489" i="1"/>
  <c r="S2490" i="1"/>
  <c r="S2491" i="1"/>
  <c r="S2492" i="1"/>
  <c r="S2493" i="1"/>
  <c r="S2495" i="1"/>
  <c r="S2496" i="1"/>
  <c r="S2497" i="1"/>
  <c r="S2498" i="1"/>
  <c r="S2499" i="1"/>
  <c r="S2500" i="1"/>
  <c r="S2501" i="1"/>
  <c r="S2502" i="1"/>
  <c r="S2503" i="1"/>
  <c r="S2504" i="1"/>
  <c r="S2505" i="1"/>
  <c r="S2507" i="1"/>
  <c r="S2508" i="1"/>
  <c r="S2509" i="1"/>
  <c r="S2510" i="1"/>
  <c r="S2511" i="1"/>
  <c r="S2512" i="1"/>
  <c r="S2513" i="1"/>
  <c r="S2514" i="1"/>
  <c r="S2515" i="1"/>
  <c r="S2516" i="1"/>
  <c r="S2517" i="1"/>
  <c r="S2519" i="1"/>
  <c r="S2520" i="1"/>
  <c r="S2521" i="1"/>
  <c r="S2522" i="1"/>
  <c r="S2523" i="1"/>
  <c r="S2524" i="1"/>
  <c r="S2525" i="1"/>
  <c r="S2526" i="1"/>
  <c r="S2527" i="1"/>
  <c r="S2528" i="1"/>
  <c r="S2529" i="1"/>
  <c r="S2531" i="1"/>
  <c r="S2532" i="1"/>
  <c r="S2533" i="1"/>
  <c r="S2534" i="1"/>
  <c r="S2535" i="1"/>
  <c r="S2536" i="1"/>
  <c r="S2537" i="1"/>
  <c r="S2538" i="1"/>
  <c r="S2539" i="1"/>
  <c r="S2540" i="1"/>
  <c r="S2541" i="1"/>
  <c r="S2543" i="1"/>
  <c r="S2544" i="1"/>
  <c r="S2545" i="1"/>
  <c r="S2546" i="1"/>
  <c r="S2547" i="1"/>
  <c r="S2548" i="1"/>
  <c r="S2549" i="1"/>
  <c r="S2550" i="1"/>
  <c r="S2551" i="1"/>
  <c r="S2552" i="1"/>
  <c r="S2553" i="1"/>
  <c r="S2555" i="1"/>
  <c r="S2556" i="1"/>
  <c r="S2557" i="1"/>
  <c r="S2558" i="1"/>
  <c r="S2559" i="1"/>
  <c r="S2560" i="1"/>
  <c r="S2561" i="1"/>
  <c r="S2562" i="1"/>
  <c r="S2563" i="1"/>
  <c r="S2564" i="1"/>
  <c r="S2565" i="1"/>
  <c r="S2567" i="1"/>
  <c r="S2568" i="1"/>
  <c r="S2569" i="1"/>
  <c r="S2570" i="1"/>
  <c r="S2571" i="1"/>
  <c r="S2572" i="1"/>
  <c r="S2573" i="1"/>
  <c r="S2574" i="1"/>
  <c r="S2575" i="1"/>
  <c r="S2576" i="1"/>
  <c r="S2577" i="1"/>
  <c r="S2579" i="1"/>
  <c r="S2580" i="1"/>
  <c r="S2581" i="1"/>
  <c r="S2582" i="1"/>
  <c r="S2583" i="1"/>
  <c r="S2584" i="1"/>
  <c r="S2585" i="1"/>
  <c r="S2586" i="1"/>
  <c r="S2587" i="1"/>
  <c r="S2588" i="1"/>
  <c r="S2589" i="1"/>
  <c r="S2591" i="1"/>
  <c r="S2592" i="1"/>
  <c r="S2593" i="1"/>
  <c r="S2594" i="1"/>
  <c r="S2595" i="1"/>
  <c r="S2596" i="1"/>
  <c r="S2597" i="1"/>
  <c r="S2598" i="1"/>
  <c r="S2599" i="1"/>
  <c r="S2600" i="1"/>
  <c r="S2601" i="1"/>
  <c r="S2603" i="1"/>
  <c r="S2604" i="1"/>
  <c r="S2605" i="1"/>
  <c r="S2606" i="1"/>
  <c r="S2607" i="1"/>
  <c r="S2608" i="1"/>
  <c r="S2609" i="1"/>
  <c r="S2610" i="1"/>
  <c r="S2611" i="1"/>
  <c r="S2612" i="1"/>
  <c r="S2613" i="1"/>
  <c r="S2615" i="1"/>
  <c r="S2616" i="1"/>
  <c r="S2617" i="1"/>
  <c r="S2618" i="1"/>
  <c r="S2619" i="1"/>
  <c r="S2620" i="1"/>
  <c r="S2621" i="1"/>
  <c r="S2622" i="1"/>
  <c r="S2623" i="1"/>
  <c r="S2624" i="1"/>
  <c r="S2625" i="1"/>
  <c r="S2627" i="1"/>
  <c r="S2628" i="1"/>
  <c r="S2629" i="1"/>
  <c r="S2630" i="1"/>
  <c r="S2631" i="1"/>
  <c r="S2632" i="1"/>
  <c r="S2633" i="1"/>
  <c r="S2634" i="1"/>
  <c r="S2635" i="1"/>
  <c r="S2636" i="1"/>
  <c r="S2637" i="1"/>
  <c r="S2639" i="1"/>
  <c r="S2640" i="1"/>
  <c r="S2641" i="1"/>
  <c r="S2642" i="1"/>
  <c r="S2643" i="1"/>
  <c r="S2644" i="1"/>
  <c r="S2645" i="1"/>
  <c r="S2646" i="1"/>
  <c r="S2647" i="1"/>
  <c r="S2648" i="1"/>
  <c r="S2649" i="1"/>
  <c r="S2651" i="1"/>
  <c r="S2652" i="1"/>
  <c r="S2653" i="1"/>
  <c r="S2654" i="1"/>
  <c r="S2655" i="1"/>
  <c r="S2656" i="1"/>
  <c r="S2657" i="1"/>
  <c r="S2658" i="1"/>
  <c r="S2659" i="1"/>
  <c r="S2660" i="1"/>
  <c r="S2661" i="1"/>
  <c r="S2663" i="1"/>
  <c r="S2664" i="1"/>
  <c r="S2665" i="1"/>
  <c r="S2666" i="1"/>
  <c r="S2667" i="1"/>
  <c r="S2668" i="1"/>
  <c r="S2669" i="1"/>
  <c r="S2670" i="1"/>
  <c r="S2671" i="1"/>
  <c r="S2672" i="1"/>
  <c r="S2673" i="1"/>
  <c r="S2675" i="1"/>
  <c r="S2676" i="1"/>
  <c r="S2677" i="1"/>
  <c r="S2678" i="1"/>
  <c r="S2679" i="1"/>
  <c r="S2680" i="1"/>
  <c r="S2681" i="1"/>
  <c r="S2682" i="1"/>
  <c r="S2683" i="1"/>
  <c r="S2684" i="1"/>
  <c r="S2685" i="1"/>
  <c r="S2687" i="1"/>
  <c r="S2688" i="1"/>
  <c r="S2689" i="1"/>
  <c r="S2690" i="1"/>
  <c r="S2691" i="1"/>
  <c r="S2692" i="1"/>
  <c r="S2693" i="1"/>
  <c r="S2694" i="1"/>
  <c r="S2695" i="1"/>
  <c r="S2696" i="1"/>
  <c r="S2697" i="1"/>
  <c r="S2699" i="1"/>
  <c r="S2700" i="1"/>
  <c r="S2701" i="1"/>
  <c r="S2702" i="1"/>
  <c r="S2703" i="1"/>
  <c r="S2704" i="1"/>
  <c r="S2705" i="1"/>
  <c r="S2706" i="1"/>
  <c r="S2707" i="1"/>
  <c r="S2708" i="1"/>
  <c r="S2709" i="1"/>
  <c r="S2711" i="1"/>
  <c r="S2712" i="1"/>
  <c r="S2713" i="1"/>
  <c r="S2714" i="1"/>
  <c r="S2715" i="1"/>
  <c r="S2716" i="1"/>
  <c r="S2717" i="1"/>
  <c r="S2718" i="1"/>
  <c r="S2719" i="1"/>
  <c r="S2720" i="1"/>
  <c r="S2721" i="1"/>
  <c r="S2723" i="1"/>
  <c r="S2724" i="1"/>
  <c r="S2725" i="1"/>
  <c r="S2726" i="1"/>
  <c r="S2727" i="1"/>
  <c r="S2728" i="1"/>
  <c r="S2729" i="1"/>
  <c r="S2730" i="1"/>
  <c r="S2731" i="1"/>
  <c r="S2732" i="1"/>
  <c r="S2733" i="1"/>
  <c r="S2735" i="1"/>
  <c r="S2736" i="1"/>
  <c r="S2737" i="1"/>
  <c r="S2738" i="1"/>
  <c r="S2739" i="1"/>
  <c r="S2740" i="1"/>
  <c r="S2741" i="1"/>
  <c r="S2742" i="1"/>
  <c r="S2743" i="1"/>
  <c r="S2744" i="1"/>
  <c r="S2745" i="1"/>
  <c r="S2747" i="1"/>
  <c r="S2748" i="1"/>
  <c r="S2749" i="1"/>
  <c r="S2750" i="1"/>
  <c r="S2751" i="1"/>
  <c r="S2752" i="1"/>
  <c r="S2753" i="1"/>
  <c r="S2754" i="1"/>
  <c r="S2755" i="1"/>
  <c r="S2756" i="1"/>
  <c r="S2757" i="1"/>
  <c r="S2759" i="1"/>
  <c r="S2760" i="1"/>
  <c r="S2761" i="1"/>
  <c r="S2762" i="1"/>
  <c r="S2763" i="1"/>
  <c r="S2764" i="1"/>
  <c r="S2765" i="1"/>
  <c r="S2766" i="1"/>
  <c r="S2767" i="1"/>
  <c r="S2768" i="1"/>
  <c r="S2769" i="1"/>
  <c r="S2771" i="1"/>
  <c r="S2772" i="1"/>
  <c r="S2773" i="1"/>
  <c r="S2774" i="1"/>
  <c r="S2775" i="1"/>
  <c r="S2776" i="1"/>
  <c r="S2777" i="1"/>
  <c r="S2778" i="1"/>
  <c r="S2779" i="1"/>
  <c r="S2780" i="1"/>
  <c r="S2781" i="1"/>
  <c r="S2783" i="1"/>
  <c r="S2784" i="1"/>
  <c r="S2785" i="1"/>
  <c r="S2786" i="1"/>
  <c r="S2787" i="1"/>
  <c r="S2788" i="1"/>
  <c r="S2789" i="1"/>
  <c r="S2790" i="1"/>
  <c r="S2791" i="1"/>
  <c r="S2792" i="1"/>
  <c r="S2793" i="1"/>
  <c r="S2795" i="1"/>
  <c r="S2796" i="1"/>
  <c r="S2797" i="1"/>
  <c r="S2798" i="1"/>
  <c r="S2799" i="1"/>
  <c r="S2800" i="1"/>
  <c r="S2801" i="1"/>
  <c r="S2802" i="1"/>
  <c r="S2803" i="1"/>
  <c r="S2804" i="1"/>
  <c r="S2805" i="1"/>
  <c r="S2807" i="1"/>
  <c r="S2808" i="1"/>
  <c r="S2809" i="1"/>
  <c r="S2810" i="1"/>
  <c r="S2811" i="1"/>
  <c r="S2812" i="1"/>
  <c r="S2813" i="1"/>
  <c r="S2814" i="1"/>
  <c r="S2815" i="1"/>
  <c r="S2816" i="1"/>
  <c r="S2817" i="1"/>
  <c r="S2819" i="1"/>
  <c r="S2820" i="1"/>
  <c r="S2821" i="1"/>
  <c r="S2822" i="1"/>
  <c r="S2823" i="1"/>
  <c r="S2824" i="1"/>
  <c r="S2825" i="1"/>
  <c r="S2826" i="1"/>
  <c r="S2827" i="1"/>
  <c r="S2828" i="1"/>
  <c r="S2829" i="1"/>
  <c r="S2831" i="1"/>
  <c r="S2832" i="1"/>
  <c r="S2833" i="1"/>
  <c r="S2834" i="1"/>
  <c r="S2835" i="1"/>
  <c r="S2836" i="1"/>
  <c r="S2837" i="1"/>
  <c r="S2838" i="1"/>
  <c r="S2839" i="1"/>
  <c r="S2840" i="1"/>
  <c r="S2841" i="1"/>
  <c r="S2843" i="1"/>
  <c r="S2844" i="1"/>
  <c r="S2845" i="1"/>
  <c r="S2846" i="1"/>
  <c r="S2847" i="1"/>
  <c r="S2848" i="1"/>
  <c r="S2849" i="1"/>
  <c r="S2850" i="1"/>
  <c r="S2851" i="1"/>
  <c r="S2852" i="1"/>
  <c r="S2853" i="1"/>
  <c r="S2855" i="1"/>
  <c r="S2856" i="1"/>
  <c r="S2857" i="1"/>
  <c r="S2858" i="1"/>
  <c r="S2859" i="1"/>
  <c r="S2860" i="1"/>
  <c r="S2861" i="1"/>
  <c r="S2862" i="1"/>
  <c r="S2863" i="1"/>
  <c r="S2864" i="1"/>
  <c r="S2865" i="1"/>
  <c r="S2867" i="1"/>
  <c r="S2868" i="1"/>
  <c r="S2869" i="1"/>
  <c r="S2870" i="1"/>
  <c r="S2871" i="1"/>
  <c r="S2872" i="1"/>
  <c r="S2873" i="1"/>
  <c r="S2874" i="1"/>
  <c r="S2875" i="1"/>
  <c r="S2876" i="1"/>
  <c r="S2877" i="1"/>
  <c r="S2879" i="1"/>
  <c r="S2880" i="1"/>
  <c r="S2881" i="1"/>
  <c r="S2882" i="1"/>
  <c r="S2883" i="1"/>
  <c r="S2884" i="1"/>
  <c r="S2885" i="1"/>
  <c r="S2886" i="1"/>
  <c r="S2887" i="1"/>
  <c r="S2888" i="1"/>
  <c r="S2889" i="1"/>
  <c r="S2891" i="1"/>
  <c r="S2892" i="1"/>
  <c r="S2893" i="1"/>
  <c r="S2894" i="1"/>
  <c r="S2895" i="1"/>
  <c r="S2896" i="1"/>
  <c r="S2897" i="1"/>
  <c r="S2898" i="1"/>
  <c r="S2899" i="1"/>
  <c r="S2900" i="1"/>
  <c r="S2901" i="1"/>
  <c r="S2903" i="1"/>
  <c r="S2904" i="1"/>
  <c r="S2905" i="1"/>
  <c r="S2906" i="1"/>
  <c r="S2907" i="1"/>
  <c r="S2908" i="1"/>
  <c r="S2909" i="1"/>
  <c r="S2910" i="1"/>
  <c r="S2911" i="1"/>
  <c r="S2912" i="1"/>
  <c r="S2913" i="1"/>
  <c r="S2915" i="1"/>
  <c r="S2916" i="1"/>
  <c r="S2917" i="1"/>
  <c r="S2918" i="1"/>
  <c r="S2919" i="1"/>
  <c r="S2920" i="1"/>
  <c r="S2921" i="1"/>
  <c r="S2922" i="1"/>
  <c r="S2923" i="1"/>
  <c r="S2924" i="1"/>
  <c r="S2925" i="1"/>
  <c r="S2927" i="1"/>
  <c r="S2928" i="1"/>
  <c r="S2929" i="1"/>
  <c r="S2930" i="1"/>
  <c r="S2931" i="1"/>
  <c r="S2932" i="1"/>
  <c r="S2933" i="1"/>
  <c r="S2934" i="1"/>
  <c r="S2935" i="1"/>
  <c r="S2936" i="1"/>
  <c r="S2937" i="1"/>
  <c r="S2939" i="1"/>
  <c r="S2940" i="1"/>
  <c r="S2942" i="1"/>
  <c r="S2943" i="1"/>
  <c r="S2944" i="1"/>
  <c r="S2945" i="1"/>
  <c r="S2946" i="1"/>
  <c r="S2947" i="1"/>
  <c r="S2949" i="1"/>
  <c r="S2950" i="1"/>
  <c r="S2951" i="1"/>
  <c r="S2953" i="1"/>
  <c r="S2954" i="1"/>
  <c r="S2955" i="1"/>
  <c r="S2956" i="1"/>
  <c r="S2957" i="1"/>
  <c r="S2958" i="1"/>
  <c r="S2959" i="1"/>
  <c r="S2960" i="1"/>
  <c r="S2961" i="1"/>
  <c r="S2963" i="1"/>
  <c r="S2964" i="1"/>
  <c r="S2965" i="1"/>
  <c r="S2966" i="1"/>
  <c r="S2967" i="1"/>
  <c r="S2968" i="1"/>
  <c r="S2969" i="1"/>
  <c r="S2970" i="1"/>
  <c r="S2971" i="1"/>
  <c r="S2972" i="1"/>
  <c r="S2973" i="1"/>
  <c r="S2975" i="1"/>
  <c r="S2976" i="1"/>
  <c r="S2977" i="1"/>
  <c r="S2978" i="1"/>
  <c r="S2979" i="1"/>
  <c r="S2980" i="1"/>
  <c r="S2981" i="1"/>
  <c r="S2982" i="1"/>
  <c r="S2983" i="1"/>
  <c r="S2984" i="1"/>
  <c r="S2985" i="1"/>
  <c r="S2987" i="1"/>
  <c r="S2988" i="1"/>
  <c r="S2989" i="1"/>
  <c r="S2990" i="1"/>
  <c r="S2991" i="1"/>
  <c r="S2992" i="1"/>
  <c r="S2993" i="1"/>
  <c r="S2994" i="1"/>
  <c r="S2995" i="1"/>
  <c r="S2996" i="1"/>
  <c r="S2997" i="1"/>
  <c r="S2999" i="1"/>
  <c r="S3000" i="1"/>
  <c r="S3001" i="1"/>
  <c r="S3002" i="1"/>
  <c r="S3003" i="1"/>
  <c r="S3004" i="1"/>
  <c r="S3005" i="1"/>
  <c r="S3006" i="1"/>
  <c r="S3007" i="1"/>
  <c r="S3008" i="1"/>
  <c r="S3009" i="1"/>
  <c r="S3011" i="1"/>
  <c r="S3012" i="1"/>
  <c r="S3013" i="1"/>
  <c r="S3014" i="1"/>
  <c r="S3015" i="1"/>
  <c r="S3016" i="1"/>
  <c r="S3017" i="1"/>
  <c r="S3018" i="1"/>
  <c r="S3019" i="1"/>
  <c r="S3020" i="1"/>
  <c r="S3021" i="1"/>
  <c r="S3023" i="1"/>
  <c r="S3024" i="1"/>
  <c r="S3025" i="1"/>
  <c r="S3026" i="1"/>
  <c r="S3027" i="1"/>
  <c r="S3028" i="1"/>
  <c r="S3029" i="1"/>
  <c r="S3030" i="1"/>
  <c r="S3031" i="1"/>
  <c r="S3032" i="1"/>
  <c r="S3033" i="1"/>
  <c r="S3035" i="1"/>
  <c r="S3036" i="1"/>
  <c r="S3037" i="1"/>
  <c r="S3038" i="1"/>
  <c r="S3039" i="1"/>
  <c r="S3040" i="1"/>
  <c r="S3041" i="1"/>
  <c r="S3042" i="1"/>
  <c r="S3043" i="1"/>
  <c r="S3044" i="1"/>
  <c r="S3045" i="1"/>
  <c r="S3047" i="1"/>
  <c r="S3048" i="1"/>
  <c r="S3049" i="1"/>
  <c r="S3050" i="1"/>
  <c r="S3051" i="1"/>
  <c r="S3052" i="1"/>
  <c r="S3053" i="1"/>
  <c r="S3054" i="1"/>
  <c r="S3055" i="1"/>
  <c r="S3056" i="1"/>
  <c r="S3057" i="1"/>
  <c r="S3059" i="1"/>
  <c r="S3060" i="1"/>
  <c r="S3061" i="1"/>
  <c r="S3062" i="1"/>
  <c r="S3063" i="1"/>
  <c r="S3065" i="1"/>
  <c r="S3066" i="1"/>
  <c r="S3067" i="1"/>
  <c r="S3068" i="1"/>
  <c r="S3069" i="1"/>
  <c r="S3070" i="1"/>
  <c r="S3071" i="1"/>
  <c r="S3072" i="1"/>
  <c r="S3073" i="1"/>
  <c r="S3075" i="1"/>
  <c r="S3076" i="1"/>
  <c r="S3079" i="1"/>
  <c r="S3080" i="1"/>
  <c r="S3081" i="1"/>
  <c r="S3082" i="1"/>
  <c r="S3083" i="1"/>
  <c r="S3085" i="1"/>
  <c r="S3087" i="1"/>
  <c r="S3088" i="1"/>
  <c r="S3089" i="1"/>
  <c r="S3091" i="1"/>
  <c r="S3094" i="1"/>
  <c r="S3095" i="1"/>
  <c r="S3096" i="1"/>
  <c r="S3097" i="1"/>
  <c r="S3098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3" i="1"/>
  <c r="S3115" i="1"/>
  <c r="S3116" i="1"/>
  <c r="S3117" i="1"/>
  <c r="S3118" i="1"/>
  <c r="S3119" i="1"/>
  <c r="S3120" i="1"/>
  <c r="S3122" i="1"/>
  <c r="S3124" i="1"/>
  <c r="S3125" i="1"/>
  <c r="S3126" i="1"/>
  <c r="S3127" i="1"/>
  <c r="S3128" i="1"/>
  <c r="S3130" i="1"/>
  <c r="S3131" i="1"/>
  <c r="S3132" i="1"/>
  <c r="S3133" i="1"/>
  <c r="S3134" i="1"/>
  <c r="S3135" i="1"/>
  <c r="S3136" i="1"/>
  <c r="S3137" i="1"/>
  <c r="S3138" i="1"/>
  <c r="S3139" i="1"/>
  <c r="S3141" i="1"/>
  <c r="S3142" i="1"/>
  <c r="S3143" i="1"/>
  <c r="S3144" i="1"/>
  <c r="S3145" i="1"/>
  <c r="S3146" i="1"/>
  <c r="S3147" i="1"/>
  <c r="S3150" i="1"/>
  <c r="S3151" i="1"/>
  <c r="S3152" i="1"/>
  <c r="S3153" i="1"/>
  <c r="S3154" i="1"/>
  <c r="S3155" i="1"/>
  <c r="S3156" i="1"/>
  <c r="S3157" i="1"/>
  <c r="S3159" i="1"/>
  <c r="S3160" i="1"/>
  <c r="S3161" i="1"/>
  <c r="S3162" i="1"/>
  <c r="S3163" i="1"/>
  <c r="S3165" i="1"/>
  <c r="S3166" i="1"/>
  <c r="S3167" i="1"/>
  <c r="S3168" i="1"/>
  <c r="S3169" i="1"/>
  <c r="S3170" i="1"/>
  <c r="S3171" i="1"/>
  <c r="S3172" i="1"/>
  <c r="S3173" i="1"/>
  <c r="S3174" i="1"/>
  <c r="S3175" i="1"/>
  <c r="S3177" i="1"/>
  <c r="S3178" i="1"/>
  <c r="S3179" i="1"/>
  <c r="S3180" i="1"/>
  <c r="S3181" i="1"/>
  <c r="S3182" i="1"/>
  <c r="S3183" i="1"/>
  <c r="S3184" i="1"/>
  <c r="S3185" i="1"/>
  <c r="S3186" i="1"/>
  <c r="S3187" i="1"/>
  <c r="S3189" i="1"/>
  <c r="S3190" i="1"/>
  <c r="S3191" i="1"/>
  <c r="S3192" i="1"/>
  <c r="S3193" i="1"/>
  <c r="S3194" i="1"/>
  <c r="S3195" i="1"/>
  <c r="S3196" i="1"/>
  <c r="S3197" i="1"/>
  <c r="S3198" i="1"/>
  <c r="S3199" i="1"/>
  <c r="S3201" i="1"/>
  <c r="S3202" i="1"/>
  <c r="S3203" i="1"/>
  <c r="S3204" i="1"/>
  <c r="S3205" i="1"/>
  <c r="S3206" i="1"/>
  <c r="S3207" i="1"/>
  <c r="S3208" i="1"/>
  <c r="S3209" i="1"/>
  <c r="S3210" i="1"/>
  <c r="S3211" i="1"/>
  <c r="S3213" i="1"/>
  <c r="S3214" i="1"/>
  <c r="S3215" i="1"/>
  <c r="S3216" i="1"/>
  <c r="S3217" i="1"/>
  <c r="S3218" i="1"/>
  <c r="S3219" i="1"/>
  <c r="S3220" i="1"/>
  <c r="S3221" i="1"/>
  <c r="S3222" i="1"/>
  <c r="S3223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40" i="1"/>
  <c r="S3241" i="1"/>
  <c r="S3242" i="1"/>
  <c r="S3243" i="1"/>
  <c r="S3244" i="1"/>
  <c r="S3245" i="1"/>
  <c r="S3246" i="1"/>
  <c r="S3247" i="1"/>
  <c r="S3248" i="1"/>
  <c r="S3249" i="1"/>
  <c r="S3250" i="1"/>
  <c r="S3252" i="1"/>
  <c r="S3253" i="1"/>
  <c r="S3254" i="1"/>
  <c r="S3255" i="1"/>
  <c r="S3256" i="1"/>
  <c r="S3257" i="1"/>
  <c r="S3258" i="1"/>
  <c r="S3259" i="1"/>
  <c r="S3260" i="1"/>
  <c r="S3261" i="1"/>
  <c r="S3262" i="1"/>
  <c r="S3264" i="1"/>
  <c r="S3265" i="1"/>
  <c r="S3266" i="1"/>
  <c r="S3267" i="1"/>
  <c r="S3268" i="1"/>
  <c r="S3269" i="1"/>
  <c r="S3270" i="1"/>
  <c r="S3271" i="1"/>
  <c r="S3272" i="1"/>
  <c r="S3273" i="1"/>
  <c r="S3274" i="1"/>
  <c r="S3276" i="1"/>
  <c r="S3277" i="1"/>
  <c r="S3278" i="1"/>
  <c r="S3279" i="1"/>
  <c r="S3280" i="1"/>
  <c r="S3281" i="1"/>
  <c r="S3282" i="1"/>
  <c r="S3283" i="1"/>
  <c r="S3284" i="1"/>
  <c r="S3285" i="1"/>
  <c r="S3286" i="1"/>
  <c r="S3288" i="1"/>
  <c r="S3289" i="1"/>
  <c r="S3290" i="1"/>
  <c r="S3291" i="1"/>
  <c r="S3292" i="1"/>
  <c r="S3293" i="1"/>
  <c r="S3294" i="1"/>
  <c r="S3295" i="1"/>
  <c r="S3296" i="1"/>
  <c r="S3297" i="1"/>
  <c r="S3298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3" i="1"/>
  <c r="S3314" i="1"/>
  <c r="S3315" i="1"/>
  <c r="S3317" i="1"/>
  <c r="S3320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5" i="1"/>
  <c r="S3336" i="1"/>
  <c r="S3337" i="1"/>
  <c r="S3338" i="1"/>
  <c r="S3339" i="1"/>
  <c r="S3340" i="1"/>
  <c r="S3342" i="1"/>
  <c r="S3343" i="1"/>
  <c r="S3344" i="1"/>
  <c r="S3345" i="1"/>
  <c r="S3346" i="1"/>
  <c r="S3347" i="1"/>
  <c r="S3348" i="1"/>
  <c r="S3349" i="1"/>
  <c r="S3350" i="1"/>
  <c r="S3351" i="1"/>
  <c r="S3352" i="1"/>
  <c r="S3354" i="1"/>
  <c r="S3355" i="1"/>
  <c r="S3356" i="1"/>
  <c r="S3357" i="1"/>
  <c r="S3358" i="1"/>
  <c r="S3359" i="1"/>
  <c r="S3360" i="1"/>
  <c r="S3361" i="1"/>
  <c r="S3362" i="1"/>
  <c r="S3364" i="1"/>
  <c r="S3365" i="1"/>
  <c r="S3366" i="1"/>
  <c r="S3369" i="1"/>
  <c r="S3370" i="1"/>
  <c r="S3371" i="1"/>
  <c r="S3372" i="1"/>
  <c r="S3373" i="1"/>
  <c r="S3374" i="1"/>
  <c r="S3375" i="1"/>
  <c r="S3376" i="1"/>
  <c r="S3377" i="1"/>
  <c r="S3378" i="1"/>
  <c r="S3379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7" i="1"/>
  <c r="S3398" i="1"/>
  <c r="S3399" i="1"/>
  <c r="S3400" i="1"/>
  <c r="S3401" i="1"/>
  <c r="S3403" i="1"/>
  <c r="S3404" i="1"/>
  <c r="S3405" i="1"/>
  <c r="S3406" i="1"/>
  <c r="S3407" i="1"/>
  <c r="S3408" i="1"/>
  <c r="S3409" i="1"/>
  <c r="S3411" i="1"/>
  <c r="S3412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8" i="1"/>
  <c r="S3429" i="1"/>
  <c r="S3430" i="1"/>
  <c r="S3431" i="1"/>
  <c r="S3432" i="1"/>
  <c r="S3433" i="1"/>
  <c r="S3434" i="1"/>
  <c r="S3435" i="1"/>
  <c r="S3437" i="1"/>
  <c r="S3438" i="1"/>
  <c r="S3439" i="1"/>
  <c r="S3440" i="1"/>
  <c r="S3441" i="1"/>
  <c r="S3442" i="1"/>
  <c r="S3443" i="1"/>
  <c r="S3444" i="1"/>
  <c r="S3445" i="1"/>
  <c r="S3446" i="1"/>
  <c r="S3447" i="1"/>
  <c r="S3449" i="1"/>
  <c r="S3450" i="1"/>
  <c r="S3451" i="1"/>
  <c r="S3452" i="1"/>
  <c r="S3453" i="1"/>
  <c r="S3454" i="1"/>
  <c r="S3455" i="1"/>
  <c r="S3456" i="1"/>
  <c r="S3457" i="1"/>
  <c r="S3458" i="1"/>
  <c r="S3459" i="1"/>
  <c r="S3461" i="1"/>
  <c r="S3462" i="1"/>
  <c r="S3463" i="1"/>
  <c r="S3464" i="1"/>
  <c r="S3465" i="1"/>
  <c r="S3466" i="1"/>
  <c r="S3467" i="1"/>
  <c r="S3468" i="1"/>
  <c r="S3469" i="1"/>
  <c r="S3470" i="1"/>
  <c r="S3471" i="1"/>
  <c r="S3473" i="1"/>
  <c r="S3476" i="1"/>
  <c r="S3478" i="1"/>
  <c r="S3479" i="1"/>
  <c r="S3480" i="1"/>
  <c r="S3481" i="1"/>
  <c r="S3482" i="1"/>
  <c r="S3483" i="1"/>
  <c r="S3484" i="1"/>
  <c r="S3485" i="1"/>
  <c r="S3486" i="1"/>
  <c r="S3487" i="1"/>
  <c r="S3489" i="1"/>
  <c r="S3490" i="1"/>
  <c r="S3491" i="1"/>
  <c r="S3492" i="1"/>
  <c r="S3493" i="1"/>
  <c r="S3494" i="1"/>
  <c r="S3495" i="1"/>
  <c r="S3496" i="1"/>
  <c r="S3497" i="1"/>
  <c r="S3498" i="1"/>
  <c r="S3499" i="1"/>
  <c r="S3501" i="1"/>
  <c r="S3502" i="1"/>
  <c r="S3503" i="1"/>
  <c r="S3504" i="1"/>
  <c r="S3505" i="1"/>
  <c r="S3506" i="1"/>
  <c r="S3507" i="1"/>
  <c r="S3508" i="1"/>
  <c r="S3510" i="1"/>
  <c r="S3511" i="1"/>
  <c r="S3512" i="1"/>
  <c r="S3513" i="1"/>
  <c r="S3514" i="1"/>
  <c r="S3515" i="1"/>
  <c r="S3516" i="1"/>
  <c r="S3517" i="1"/>
  <c r="S3518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3" i="1"/>
  <c r="S3534" i="1"/>
  <c r="S3536" i="1"/>
  <c r="S3537" i="1"/>
  <c r="S3538" i="1"/>
  <c r="S3539" i="1"/>
  <c r="S3540" i="1"/>
  <c r="S3541" i="1"/>
  <c r="S3542" i="1"/>
  <c r="S3543" i="1"/>
  <c r="S3544" i="1"/>
  <c r="S3545" i="1"/>
  <c r="S3547" i="1"/>
  <c r="S3548" i="1"/>
  <c r="S3549" i="1"/>
  <c r="S3550" i="1"/>
  <c r="S3551" i="1"/>
  <c r="S3552" i="1"/>
  <c r="S3553" i="1"/>
  <c r="S3554" i="1"/>
  <c r="S3555" i="1"/>
  <c r="S3556" i="1"/>
  <c r="S3557" i="1"/>
  <c r="S3559" i="1"/>
  <c r="S3560" i="1"/>
  <c r="S3561" i="1"/>
  <c r="S3562" i="1"/>
  <c r="S3563" i="1"/>
  <c r="S3564" i="1"/>
  <c r="S3565" i="1"/>
  <c r="S3566" i="1"/>
  <c r="S3567" i="1"/>
  <c r="S3568" i="1"/>
  <c r="S3569" i="1"/>
  <c r="S3571" i="1"/>
  <c r="S3572" i="1"/>
  <c r="S3573" i="1"/>
  <c r="S3574" i="1"/>
  <c r="S3575" i="1"/>
  <c r="S3576" i="1"/>
  <c r="S3577" i="1"/>
  <c r="S3578" i="1"/>
  <c r="S3579" i="1"/>
  <c r="S3580" i="1"/>
  <c r="S3581" i="1"/>
  <c r="S3583" i="1"/>
  <c r="S3584" i="1"/>
  <c r="S3585" i="1"/>
  <c r="S3586" i="1"/>
  <c r="S3587" i="1"/>
  <c r="S3588" i="1"/>
  <c r="S3589" i="1"/>
  <c r="S3590" i="1"/>
  <c r="S3591" i="1"/>
  <c r="S3592" i="1"/>
  <c r="S3593" i="1"/>
  <c r="S3595" i="1"/>
  <c r="S3596" i="1"/>
  <c r="S3597" i="1"/>
  <c r="S3598" i="1"/>
  <c r="S3599" i="1"/>
  <c r="S3600" i="1"/>
  <c r="S3602" i="1"/>
  <c r="S3604" i="1"/>
  <c r="S3605" i="1"/>
  <c r="S3606" i="1"/>
  <c r="S3607" i="1"/>
  <c r="S3609" i="1"/>
  <c r="S3610" i="1"/>
  <c r="S3611" i="1"/>
  <c r="S3612" i="1"/>
  <c r="S3613" i="1"/>
  <c r="S3614" i="1"/>
  <c r="S3615" i="1"/>
  <c r="S3616" i="1"/>
  <c r="S3618" i="1"/>
  <c r="S3619" i="1"/>
  <c r="S3620" i="1"/>
  <c r="S3621" i="1"/>
  <c r="S3622" i="1"/>
  <c r="S3623" i="1"/>
  <c r="S3624" i="1"/>
  <c r="S3625" i="1"/>
  <c r="S3626" i="1"/>
  <c r="S3627" i="1"/>
  <c r="S3629" i="1"/>
  <c r="S3630" i="1"/>
  <c r="S3631" i="1"/>
  <c r="S3632" i="1"/>
  <c r="S3634" i="1"/>
  <c r="S3635" i="1"/>
  <c r="S3636" i="1"/>
  <c r="S3637" i="1"/>
  <c r="S3638" i="1"/>
  <c r="S3639" i="1"/>
  <c r="S3641" i="1"/>
  <c r="S3643" i="1"/>
  <c r="S3645" i="1"/>
  <c r="S3646" i="1"/>
  <c r="S3647" i="1"/>
  <c r="S3648" i="1"/>
  <c r="S3649" i="1"/>
  <c r="S3650" i="1"/>
  <c r="S3651" i="1"/>
  <c r="S3652" i="1"/>
  <c r="S3653" i="1"/>
  <c r="S3655" i="1"/>
  <c r="S3656" i="1"/>
  <c r="S3657" i="1"/>
  <c r="S3658" i="1"/>
  <c r="S3659" i="1"/>
  <c r="S3660" i="1"/>
  <c r="S3661" i="1"/>
  <c r="S3662" i="1"/>
  <c r="S3663" i="1"/>
  <c r="S3664" i="1"/>
  <c r="S3665" i="1"/>
  <c r="S3667" i="1"/>
  <c r="S3668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5" i="1"/>
  <c r="S3686" i="1"/>
  <c r="S3687" i="1"/>
  <c r="S3689" i="1"/>
  <c r="S3690" i="1"/>
  <c r="S3691" i="1"/>
  <c r="S3692" i="1"/>
  <c r="S3693" i="1"/>
  <c r="S3694" i="1"/>
  <c r="S3695" i="1"/>
  <c r="S3696" i="1"/>
  <c r="S3697" i="1"/>
  <c r="S3699" i="1"/>
  <c r="S3700" i="1"/>
  <c r="S3701" i="1"/>
  <c r="S3702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9" i="1"/>
  <c r="S3720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5" i="1"/>
  <c r="S3736" i="1"/>
  <c r="S3739" i="1"/>
  <c r="S3740" i="1"/>
  <c r="S3741" i="1"/>
  <c r="S3743" i="1"/>
  <c r="S3744" i="1"/>
  <c r="S3745" i="1"/>
  <c r="S3746" i="1"/>
  <c r="S3747" i="1"/>
  <c r="S3749" i="1"/>
  <c r="S3750" i="1"/>
  <c r="S3751" i="1"/>
  <c r="S3752" i="1"/>
  <c r="S3753" i="1"/>
  <c r="S3754" i="1"/>
  <c r="S3755" i="1"/>
  <c r="S3756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1" i="1"/>
  <c r="S3774" i="1"/>
  <c r="S3775" i="1"/>
  <c r="S3776" i="1"/>
  <c r="S3777" i="1"/>
  <c r="S3778" i="1"/>
  <c r="S3780" i="1"/>
  <c r="S3781" i="1"/>
  <c r="S3782" i="1"/>
  <c r="S3784" i="1"/>
  <c r="S3786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4" i="1"/>
  <c r="S3805" i="1"/>
  <c r="S3807" i="1"/>
  <c r="S3808" i="1"/>
  <c r="S3809" i="1"/>
  <c r="S3810" i="1"/>
  <c r="S3811" i="1"/>
  <c r="S3812" i="1"/>
  <c r="S3813" i="1"/>
  <c r="S3814" i="1"/>
  <c r="S3815" i="1"/>
  <c r="S3817" i="1"/>
  <c r="S3818" i="1"/>
  <c r="S3819" i="1"/>
  <c r="S3820" i="1"/>
  <c r="S3821" i="1"/>
  <c r="S3822" i="1"/>
  <c r="S3823" i="1"/>
  <c r="S3824" i="1"/>
  <c r="S3825" i="1"/>
  <c r="S3826" i="1"/>
  <c r="S3828" i="1"/>
  <c r="S3830" i="1"/>
  <c r="S3831" i="1"/>
  <c r="S3832" i="1"/>
  <c r="S3833" i="1"/>
  <c r="S3835" i="1"/>
  <c r="S3836" i="1"/>
  <c r="S3837" i="1"/>
  <c r="S3839" i="1"/>
  <c r="S3840" i="1"/>
  <c r="S3841" i="1"/>
  <c r="S3842" i="1"/>
  <c r="S3844" i="1"/>
  <c r="S3845" i="1"/>
  <c r="S3846" i="1"/>
  <c r="S3847" i="1"/>
  <c r="S3848" i="1"/>
  <c r="S3850" i="1"/>
  <c r="S3851" i="1"/>
  <c r="S3852" i="1"/>
  <c r="S3853" i="1"/>
  <c r="S3854" i="1"/>
  <c r="S3855" i="1"/>
  <c r="S3856" i="1"/>
  <c r="S3857" i="1"/>
  <c r="S3858" i="1"/>
  <c r="S3859" i="1"/>
  <c r="S3860" i="1"/>
  <c r="S3862" i="1"/>
  <c r="S3863" i="1"/>
  <c r="S3864" i="1"/>
  <c r="S3865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1" i="1"/>
  <c r="S3882" i="1"/>
  <c r="S3884" i="1"/>
  <c r="S3885" i="1"/>
  <c r="S3886" i="1"/>
  <c r="S3887" i="1"/>
  <c r="S3888" i="1"/>
  <c r="S3889" i="1"/>
  <c r="S3890" i="1"/>
  <c r="S3891" i="1"/>
  <c r="S3892" i="1"/>
  <c r="S3894" i="1"/>
  <c r="S3897" i="1"/>
  <c r="S3898" i="1"/>
  <c r="S3899" i="1"/>
  <c r="S3900" i="1"/>
  <c r="S3901" i="1"/>
  <c r="S3902" i="1"/>
  <c r="S3904" i="1"/>
  <c r="S3905" i="1"/>
  <c r="S3906" i="1"/>
  <c r="S3907" i="1"/>
  <c r="S3908" i="1"/>
  <c r="S3910" i="1"/>
  <c r="S3911" i="1"/>
  <c r="S3912" i="1"/>
  <c r="S3913" i="1"/>
  <c r="S3915" i="1"/>
  <c r="S3916" i="1"/>
  <c r="S3917" i="1"/>
  <c r="S3919" i="1"/>
  <c r="S3920" i="1"/>
  <c r="S3921" i="1"/>
  <c r="S3922" i="1"/>
  <c r="S3923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2" i="1"/>
  <c r="S3943" i="1"/>
  <c r="S3944" i="1"/>
  <c r="S3945" i="1"/>
  <c r="S3946" i="1"/>
  <c r="S3947" i="1"/>
  <c r="S3948" i="1"/>
  <c r="S3949" i="1"/>
  <c r="S3952" i="1"/>
  <c r="S3953" i="1"/>
  <c r="S3954" i="1"/>
  <c r="S3955" i="1"/>
  <c r="S3957" i="1"/>
  <c r="S3958" i="1"/>
  <c r="S3959" i="1"/>
  <c r="S3960" i="1"/>
  <c r="S3961" i="1"/>
  <c r="S3962" i="1"/>
  <c r="S3963" i="1"/>
  <c r="S3964" i="1"/>
  <c r="S3965" i="1"/>
  <c r="S3967" i="1"/>
  <c r="S3968" i="1"/>
  <c r="S3969" i="1"/>
  <c r="S3970" i="1"/>
  <c r="S3971" i="1"/>
  <c r="S3972" i="1"/>
  <c r="S3973" i="1"/>
  <c r="S3975" i="1"/>
  <c r="S3976" i="1"/>
  <c r="S3977" i="1"/>
  <c r="S3980" i="1"/>
  <c r="S3981" i="1"/>
  <c r="S3983" i="1"/>
  <c r="S3984" i="1"/>
  <c r="S3985" i="1"/>
  <c r="S3986" i="1"/>
  <c r="S3987" i="1"/>
  <c r="S3988" i="1"/>
  <c r="S3989" i="1"/>
  <c r="S3991" i="1"/>
  <c r="S3992" i="1"/>
  <c r="S3993" i="1"/>
  <c r="S3994" i="1"/>
  <c r="S3995" i="1"/>
  <c r="S3996" i="1"/>
  <c r="S3997" i="1"/>
  <c r="S3998" i="1"/>
  <c r="S3999" i="1"/>
  <c r="S4000" i="1"/>
  <c r="S4001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7" i="1"/>
  <c r="S4018" i="1"/>
  <c r="S4019" i="1"/>
  <c r="S4020" i="1"/>
  <c r="S4021" i="1"/>
  <c r="S4022" i="1"/>
  <c r="S4023" i="1"/>
  <c r="S4024" i="1"/>
  <c r="S4025" i="1"/>
  <c r="S4026" i="1"/>
  <c r="S4027" i="1"/>
  <c r="S4029" i="1"/>
  <c r="S4030" i="1"/>
  <c r="S4031" i="1"/>
  <c r="S4032" i="1"/>
  <c r="S4033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9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5" i="1"/>
  <c r="S4066" i="1"/>
  <c r="S4067" i="1"/>
  <c r="S4068" i="1"/>
  <c r="S4069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5" i="1"/>
  <c r="S4086" i="1"/>
  <c r="S4087" i="1"/>
  <c r="S4088" i="1"/>
  <c r="S4090" i="1"/>
  <c r="S4091" i="1"/>
  <c r="S4092" i="1"/>
  <c r="S4093" i="1"/>
  <c r="S4094" i="1"/>
  <c r="S4095" i="1"/>
  <c r="S4096" i="1"/>
  <c r="S4097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6" i="1"/>
  <c r="S4117" i="1"/>
  <c r="S4118" i="1"/>
  <c r="S4119" i="1"/>
  <c r="S4120" i="1"/>
  <c r="S4122" i="1"/>
  <c r="S4123" i="1"/>
  <c r="S4124" i="1"/>
  <c r="S4126" i="1"/>
  <c r="S4127" i="1"/>
  <c r="S4128" i="1"/>
  <c r="S4129" i="1"/>
  <c r="S4130" i="1"/>
  <c r="S4131" i="1"/>
  <c r="S4132" i="1"/>
  <c r="S4133" i="1"/>
  <c r="S4134" i="1"/>
  <c r="S4135" i="1"/>
  <c r="S4137" i="1"/>
  <c r="S4138" i="1"/>
  <c r="S4139" i="1"/>
  <c r="S4141" i="1"/>
  <c r="S4142" i="1"/>
  <c r="S4143" i="1"/>
  <c r="S4144" i="1"/>
  <c r="S4145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2" i="1"/>
  <c r="S4163" i="1"/>
  <c r="S4164" i="1"/>
  <c r="S4165" i="1"/>
  <c r="S4166" i="1"/>
  <c r="S4167" i="1"/>
  <c r="S4168" i="1"/>
  <c r="S4169" i="1"/>
  <c r="S4170" i="1"/>
  <c r="S4171" i="1"/>
  <c r="S4172" i="1"/>
  <c r="S4174" i="1"/>
  <c r="S4175" i="1"/>
  <c r="S4176" i="1"/>
  <c r="S4177" i="1"/>
  <c r="S4178" i="1"/>
  <c r="S4179" i="1"/>
  <c r="S4180" i="1"/>
  <c r="S4181" i="1"/>
  <c r="S4182" i="1"/>
  <c r="S4183" i="1"/>
  <c r="S4185" i="1"/>
  <c r="S4186" i="1"/>
  <c r="S4187" i="1"/>
  <c r="S4189" i="1"/>
  <c r="S4190" i="1"/>
  <c r="S4191" i="1"/>
  <c r="S4192" i="1"/>
  <c r="S4193" i="1"/>
  <c r="S4194" i="1"/>
  <c r="S4196" i="1"/>
  <c r="S4197" i="1"/>
  <c r="S4198" i="1"/>
  <c r="S4199" i="1"/>
  <c r="S4200" i="1"/>
  <c r="S4201" i="1"/>
  <c r="S4202" i="1"/>
  <c r="S4203" i="1"/>
  <c r="S4205" i="1"/>
  <c r="S4206" i="1"/>
  <c r="S4207" i="1"/>
  <c r="S4208" i="1"/>
  <c r="S4209" i="1"/>
  <c r="S4210" i="1"/>
  <c r="S4211" i="1"/>
  <c r="S4213" i="1"/>
  <c r="S4214" i="1"/>
  <c r="S4215" i="1"/>
  <c r="S4216" i="1"/>
  <c r="S4217" i="1"/>
  <c r="S4218" i="1"/>
  <c r="S4219" i="1"/>
  <c r="S4221" i="1"/>
  <c r="S4222" i="1"/>
  <c r="S4223" i="1"/>
  <c r="S4225" i="1"/>
  <c r="S4226" i="1"/>
  <c r="S4227" i="1"/>
  <c r="S4228" i="1"/>
  <c r="S4229" i="1"/>
  <c r="S4230" i="1"/>
  <c r="S4231" i="1"/>
  <c r="S4232" i="1"/>
  <c r="S4233" i="1"/>
  <c r="S4234" i="1"/>
  <c r="S4235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7" i="1"/>
  <c r="S4258" i="1"/>
  <c r="S4259" i="1"/>
  <c r="S4260" i="1"/>
  <c r="S4261" i="1"/>
  <c r="S4262" i="1"/>
  <c r="S4264" i="1"/>
  <c r="S4265" i="1"/>
  <c r="S4266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2" i="1"/>
  <c r="S4283" i="1"/>
  <c r="S4284" i="1"/>
  <c r="S4285" i="1"/>
  <c r="S4287" i="1"/>
  <c r="S4288" i="1"/>
  <c r="S4289" i="1"/>
  <c r="S4290" i="1"/>
  <c r="S4291" i="1"/>
  <c r="S4292" i="1"/>
  <c r="S4293" i="1"/>
  <c r="S4294" i="1"/>
  <c r="S4295" i="1"/>
  <c r="S4296" i="1"/>
  <c r="S4297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1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7" i="1"/>
  <c r="S4358" i="1"/>
  <c r="S4359" i="1"/>
  <c r="S4360" i="1"/>
  <c r="S4361" i="1"/>
  <c r="S4362" i="1"/>
  <c r="S4363" i="1"/>
  <c r="S4364" i="1"/>
  <c r="S4365" i="1"/>
  <c r="S4366" i="1"/>
  <c r="S4367" i="1"/>
  <c r="S4369" i="1"/>
  <c r="S4370" i="1"/>
  <c r="S4371" i="1"/>
  <c r="S4372" i="1"/>
  <c r="S4373" i="1"/>
  <c r="S4374" i="1"/>
  <c r="S4375" i="1"/>
  <c r="S4376" i="1"/>
  <c r="S4377" i="1"/>
  <c r="S4378" i="1"/>
  <c r="S4379" i="1"/>
  <c r="S4381" i="1"/>
  <c r="S4382" i="1"/>
  <c r="S4383" i="1"/>
  <c r="S4384" i="1"/>
  <c r="S4385" i="1"/>
  <c r="S4386" i="1"/>
  <c r="S4387" i="1"/>
  <c r="S4388" i="1"/>
  <c r="S4389" i="1"/>
  <c r="S4390" i="1"/>
  <c r="S4391" i="1"/>
  <c r="S4393" i="1"/>
  <c r="S4394" i="1"/>
  <c r="S4395" i="1"/>
  <c r="S4396" i="1"/>
  <c r="S4397" i="1"/>
  <c r="S4398" i="1"/>
  <c r="S4399" i="1"/>
  <c r="S4400" i="1"/>
  <c r="S4401" i="1"/>
  <c r="S4402" i="1"/>
  <c r="S4403" i="1"/>
  <c r="S4405" i="1"/>
  <c r="S4406" i="1"/>
  <c r="S4407" i="1"/>
  <c r="S4408" i="1"/>
  <c r="S4409" i="1"/>
  <c r="S4410" i="1"/>
  <c r="S4411" i="1"/>
  <c r="S4412" i="1"/>
  <c r="S4413" i="1"/>
  <c r="S4414" i="1"/>
  <c r="S4415" i="1"/>
  <c r="S4417" i="1"/>
  <c r="S4418" i="1"/>
  <c r="S4419" i="1"/>
  <c r="S4420" i="1"/>
  <c r="S4421" i="1"/>
  <c r="S4422" i="1"/>
  <c r="S4423" i="1"/>
  <c r="S4424" i="1"/>
  <c r="S4425" i="1"/>
  <c r="S4426" i="1"/>
  <c r="S4427" i="1"/>
  <c r="S4429" i="1"/>
  <c r="S4430" i="1"/>
  <c r="S4431" i="1"/>
  <c r="S4432" i="1"/>
  <c r="S4433" i="1"/>
  <c r="S4434" i="1"/>
  <c r="S4435" i="1"/>
  <c r="S4436" i="1"/>
  <c r="S4437" i="1"/>
  <c r="S4438" i="1"/>
  <c r="S4439" i="1"/>
  <c r="S4441" i="1"/>
  <c r="S4442" i="1"/>
  <c r="S4443" i="1"/>
  <c r="S4444" i="1"/>
  <c r="S4445" i="1"/>
  <c r="S4446" i="1"/>
  <c r="S4447" i="1"/>
  <c r="S4448" i="1"/>
  <c r="S4449" i="1"/>
  <c r="S4450" i="1"/>
  <c r="S4451" i="1"/>
  <c r="S4453" i="1"/>
  <c r="S4454" i="1"/>
  <c r="S4455" i="1"/>
  <c r="S4456" i="1"/>
  <c r="S4457" i="1"/>
  <c r="S4458" i="1"/>
  <c r="S4459" i="1"/>
  <c r="S4460" i="1"/>
  <c r="S4461" i="1"/>
  <c r="S4462" i="1"/>
  <c r="S4463" i="1"/>
  <c r="S4465" i="1"/>
  <c r="S4466" i="1"/>
  <c r="S4467" i="1"/>
  <c r="S4468" i="1"/>
  <c r="S4469" i="1"/>
  <c r="S4470" i="1"/>
  <c r="S4471" i="1"/>
  <c r="S4472" i="1"/>
  <c r="S4473" i="1"/>
  <c r="S4474" i="1"/>
  <c r="S4475" i="1"/>
  <c r="S4477" i="1"/>
  <c r="S4478" i="1"/>
  <c r="S4479" i="1"/>
  <c r="S4480" i="1"/>
  <c r="S4481" i="1"/>
  <c r="S4482" i="1"/>
  <c r="S4483" i="1"/>
  <c r="S4484" i="1"/>
  <c r="S4485" i="1"/>
  <c r="S4486" i="1"/>
  <c r="S4487" i="1"/>
  <c r="S4489" i="1"/>
  <c r="S4490" i="1"/>
  <c r="S4491" i="1"/>
  <c r="S4492" i="1"/>
  <c r="S4493" i="1"/>
  <c r="S4494" i="1"/>
  <c r="S4495" i="1"/>
  <c r="S4496" i="1"/>
  <c r="S4497" i="1"/>
  <c r="S4498" i="1"/>
  <c r="S4499" i="1"/>
  <c r="S4501" i="1"/>
  <c r="S4502" i="1"/>
  <c r="S4503" i="1"/>
  <c r="S4504" i="1"/>
  <c r="S4505" i="1"/>
  <c r="S4506" i="1"/>
  <c r="S4507" i="1"/>
  <c r="S4508" i="1"/>
  <c r="S4509" i="1"/>
  <c r="S4510" i="1"/>
  <c r="S4511" i="1"/>
  <c r="S4513" i="1"/>
  <c r="S4514" i="1"/>
  <c r="S4515" i="1"/>
  <c r="S4516" i="1"/>
  <c r="S4517" i="1"/>
  <c r="S4518" i="1"/>
  <c r="S4519" i="1"/>
  <c r="S4520" i="1"/>
  <c r="S4521" i="1"/>
  <c r="S4522" i="1"/>
  <c r="S4523" i="1"/>
  <c r="S4525" i="1"/>
  <c r="S4526" i="1"/>
  <c r="S4527" i="1"/>
  <c r="S4528" i="1"/>
  <c r="S4529" i="1"/>
  <c r="S4530" i="1"/>
  <c r="S4531" i="1"/>
  <c r="S4532" i="1"/>
  <c r="S4533" i="1"/>
  <c r="S4534" i="1"/>
  <c r="S4535" i="1"/>
  <c r="S4537" i="1"/>
  <c r="S4538" i="1"/>
  <c r="S4539" i="1"/>
  <c r="S4540" i="1"/>
  <c r="S4541" i="1"/>
  <c r="S4542" i="1"/>
  <c r="S4543" i="1"/>
  <c r="S4544" i="1"/>
  <c r="S4545" i="1"/>
  <c r="S4546" i="1"/>
  <c r="S4547" i="1"/>
  <c r="S2" i="1"/>
  <c r="N3" i="1"/>
  <c r="N4" i="1"/>
  <c r="N5" i="1"/>
  <c r="N6" i="1"/>
  <c r="N7" i="1"/>
  <c r="N8" i="1"/>
  <c r="N9" i="1"/>
  <c r="N10" i="1"/>
  <c r="N11" i="1"/>
  <c r="N14" i="1"/>
  <c r="N15" i="1"/>
  <c r="N16" i="1"/>
  <c r="N17" i="1"/>
  <c r="N18" i="1"/>
  <c r="N19" i="1"/>
  <c r="N20" i="1"/>
  <c r="N21" i="1"/>
  <c r="N22" i="1"/>
  <c r="N23" i="1"/>
  <c r="N26" i="1"/>
  <c r="N27" i="1"/>
  <c r="N28" i="1"/>
  <c r="N29" i="1"/>
  <c r="N30" i="1"/>
  <c r="N31" i="1"/>
  <c r="N32" i="1"/>
  <c r="N33" i="1"/>
  <c r="N34" i="1"/>
  <c r="N35" i="1"/>
  <c r="N38" i="1"/>
  <c r="N39" i="1"/>
  <c r="N40" i="1"/>
  <c r="N41" i="1"/>
  <c r="N42" i="1"/>
  <c r="N43" i="1"/>
  <c r="N44" i="1"/>
  <c r="N45" i="1"/>
  <c r="N46" i="1"/>
  <c r="N47" i="1"/>
  <c r="N50" i="1"/>
  <c r="N51" i="1"/>
  <c r="N52" i="1"/>
  <c r="N53" i="1"/>
  <c r="N54" i="1"/>
  <c r="N55" i="1"/>
  <c r="N56" i="1"/>
  <c r="N57" i="1"/>
  <c r="N58" i="1"/>
  <c r="N59" i="1"/>
  <c r="N62" i="1"/>
  <c r="N63" i="1"/>
  <c r="N64" i="1"/>
  <c r="N65" i="1"/>
  <c r="N66" i="1"/>
  <c r="N67" i="1"/>
  <c r="N68" i="1"/>
  <c r="N69" i="1"/>
  <c r="N70" i="1"/>
  <c r="N71" i="1"/>
  <c r="N74" i="1"/>
  <c r="N75" i="1"/>
  <c r="N76" i="1"/>
  <c r="N77" i="1"/>
  <c r="N78" i="1"/>
  <c r="N79" i="1"/>
  <c r="N80" i="1"/>
  <c r="N81" i="1"/>
  <c r="N82" i="1"/>
  <c r="N83" i="1"/>
  <c r="N86" i="1"/>
  <c r="N87" i="1"/>
  <c r="N88" i="1"/>
  <c r="N89" i="1"/>
  <c r="N90" i="1"/>
  <c r="N91" i="1"/>
  <c r="N92" i="1"/>
  <c r="N93" i="1"/>
  <c r="N94" i="1"/>
  <c r="N95" i="1"/>
  <c r="N98" i="1"/>
  <c r="N99" i="1"/>
  <c r="N100" i="1"/>
  <c r="N101" i="1"/>
  <c r="N102" i="1"/>
  <c r="N103" i="1"/>
  <c r="N104" i="1"/>
  <c r="N105" i="1"/>
  <c r="N106" i="1"/>
  <c r="N107" i="1"/>
  <c r="N110" i="1"/>
  <c r="N111" i="1"/>
  <c r="N112" i="1"/>
  <c r="N113" i="1"/>
  <c r="N114" i="1"/>
  <c r="N115" i="1"/>
  <c r="N116" i="1"/>
  <c r="N117" i="1"/>
  <c r="N118" i="1"/>
  <c r="N119" i="1"/>
  <c r="N122" i="1"/>
  <c r="N123" i="1"/>
  <c r="N124" i="1"/>
  <c r="N125" i="1"/>
  <c r="N126" i="1"/>
  <c r="N127" i="1"/>
  <c r="N128" i="1"/>
  <c r="N129" i="1"/>
  <c r="N130" i="1"/>
  <c r="N131" i="1"/>
  <c r="N134" i="1"/>
  <c r="N135" i="1"/>
  <c r="N136" i="1"/>
  <c r="N137" i="1"/>
  <c r="N138" i="1"/>
  <c r="N139" i="1"/>
  <c r="N140" i="1"/>
  <c r="N141" i="1"/>
  <c r="N142" i="1"/>
  <c r="N143" i="1"/>
  <c r="N145" i="1"/>
  <c r="N146" i="1"/>
  <c r="N147" i="1"/>
  <c r="N148" i="1"/>
  <c r="N149" i="1"/>
  <c r="N150" i="1"/>
  <c r="N151" i="1"/>
  <c r="N152" i="1"/>
  <c r="N153" i="1"/>
  <c r="N154" i="1"/>
  <c r="N155" i="1"/>
  <c r="N158" i="1"/>
  <c r="N159" i="1"/>
  <c r="N160" i="1"/>
  <c r="N161" i="1"/>
  <c r="N162" i="1"/>
  <c r="N163" i="1"/>
  <c r="N164" i="1"/>
  <c r="N165" i="1"/>
  <c r="N166" i="1"/>
  <c r="N167" i="1"/>
  <c r="N170" i="1"/>
  <c r="N171" i="1"/>
  <c r="N172" i="1"/>
  <c r="N173" i="1"/>
  <c r="N174" i="1"/>
  <c r="N175" i="1"/>
  <c r="N176" i="1"/>
  <c r="N177" i="1"/>
  <c r="N178" i="1"/>
  <c r="N179" i="1"/>
  <c r="N182" i="1"/>
  <c r="N183" i="1"/>
  <c r="N184" i="1"/>
  <c r="N185" i="1"/>
  <c r="N186" i="1"/>
  <c r="N187" i="1"/>
  <c r="N188" i="1"/>
  <c r="N189" i="1"/>
  <c r="N190" i="1"/>
  <c r="N191" i="1"/>
  <c r="N194" i="1"/>
  <c r="N195" i="1"/>
  <c r="N196" i="1"/>
  <c r="N197" i="1"/>
  <c r="N198" i="1"/>
  <c r="N199" i="1"/>
  <c r="N200" i="1"/>
  <c r="N201" i="1"/>
  <c r="N202" i="1"/>
  <c r="N203" i="1"/>
  <c r="N206" i="1"/>
  <c r="N207" i="1"/>
  <c r="N208" i="1"/>
  <c r="N209" i="1"/>
  <c r="N210" i="1"/>
  <c r="N211" i="1"/>
  <c r="N212" i="1"/>
  <c r="N213" i="1"/>
  <c r="N214" i="1"/>
  <c r="N215" i="1"/>
  <c r="N218" i="1"/>
  <c r="N219" i="1"/>
  <c r="N220" i="1"/>
  <c r="N221" i="1"/>
  <c r="N222" i="1"/>
  <c r="N223" i="1"/>
  <c r="N224" i="1"/>
  <c r="N225" i="1"/>
  <c r="N226" i="1"/>
  <c r="N227" i="1"/>
  <c r="N230" i="1"/>
  <c r="N231" i="1"/>
  <c r="N232" i="1"/>
  <c r="N233" i="1"/>
  <c r="N234" i="1"/>
  <c r="N235" i="1"/>
  <c r="N236" i="1"/>
  <c r="N237" i="1"/>
  <c r="N238" i="1"/>
  <c r="N239" i="1"/>
  <c r="N242" i="1"/>
  <c r="N243" i="1"/>
  <c r="N244" i="1"/>
  <c r="N245" i="1"/>
  <c r="N246" i="1"/>
  <c r="N247" i="1"/>
  <c r="N248" i="1"/>
  <c r="N249" i="1"/>
  <c r="N250" i="1"/>
  <c r="N251" i="1"/>
  <c r="N254" i="1"/>
  <c r="N255" i="1"/>
  <c r="N256" i="1"/>
  <c r="N257" i="1"/>
  <c r="N258" i="1"/>
  <c r="N259" i="1"/>
  <c r="N260" i="1"/>
  <c r="N261" i="1"/>
  <c r="N262" i="1"/>
  <c r="N263" i="1"/>
  <c r="N266" i="1"/>
  <c r="N267" i="1"/>
  <c r="N268" i="1"/>
  <c r="N269" i="1"/>
  <c r="N270" i="1"/>
  <c r="N271" i="1"/>
  <c r="N272" i="1"/>
  <c r="N273" i="1"/>
  <c r="N274" i="1"/>
  <c r="N275" i="1"/>
  <c r="N278" i="1"/>
  <c r="N279" i="1"/>
  <c r="N280" i="1"/>
  <c r="N281" i="1"/>
  <c r="N282" i="1"/>
  <c r="N283" i="1"/>
  <c r="N284" i="1"/>
  <c r="N285" i="1"/>
  <c r="N286" i="1"/>
  <c r="N287" i="1"/>
  <c r="N289" i="1"/>
  <c r="N290" i="1"/>
  <c r="N291" i="1"/>
  <c r="N292" i="1"/>
  <c r="N293" i="1"/>
  <c r="N294" i="1"/>
  <c r="N295" i="1"/>
  <c r="N296" i="1"/>
  <c r="N297" i="1"/>
  <c r="N298" i="1"/>
  <c r="N299" i="1"/>
  <c r="N302" i="1"/>
  <c r="N303" i="1"/>
  <c r="N304" i="1"/>
  <c r="N305" i="1"/>
  <c r="N306" i="1"/>
  <c r="N307" i="1"/>
  <c r="N308" i="1"/>
  <c r="N309" i="1"/>
  <c r="N310" i="1"/>
  <c r="N311" i="1"/>
  <c r="N314" i="1"/>
  <c r="N315" i="1"/>
  <c r="N316" i="1"/>
  <c r="N317" i="1"/>
  <c r="N318" i="1"/>
  <c r="N319" i="1"/>
  <c r="N320" i="1"/>
  <c r="N321" i="1"/>
  <c r="N322" i="1"/>
  <c r="N323" i="1"/>
  <c r="N326" i="1"/>
  <c r="N327" i="1"/>
  <c r="N328" i="1"/>
  <c r="N329" i="1"/>
  <c r="N330" i="1"/>
  <c r="N331" i="1"/>
  <c r="N332" i="1"/>
  <c r="N333" i="1"/>
  <c r="N334" i="1"/>
  <c r="N335" i="1"/>
  <c r="N338" i="1"/>
  <c r="N339" i="1"/>
  <c r="N340" i="1"/>
  <c r="N341" i="1"/>
  <c r="N342" i="1"/>
  <c r="N343" i="1"/>
  <c r="N344" i="1"/>
  <c r="N345" i="1"/>
  <c r="N346" i="1"/>
  <c r="N347" i="1"/>
  <c r="N350" i="1"/>
  <c r="N351" i="1"/>
  <c r="N352" i="1"/>
  <c r="N353" i="1"/>
  <c r="N354" i="1"/>
  <c r="N355" i="1"/>
  <c r="N356" i="1"/>
  <c r="N357" i="1"/>
  <c r="N358" i="1"/>
  <c r="N359" i="1"/>
  <c r="N362" i="1"/>
  <c r="N363" i="1"/>
  <c r="N364" i="1"/>
  <c r="N365" i="1"/>
  <c r="N366" i="1"/>
  <c r="N367" i="1"/>
  <c r="N368" i="1"/>
  <c r="N369" i="1"/>
  <c r="N370" i="1"/>
  <c r="N371" i="1"/>
  <c r="N374" i="1"/>
  <c r="N375" i="1"/>
  <c r="N376" i="1"/>
  <c r="N377" i="1"/>
  <c r="N378" i="1"/>
  <c r="N379" i="1"/>
  <c r="N380" i="1"/>
  <c r="N381" i="1"/>
  <c r="N382" i="1"/>
  <c r="N383" i="1"/>
  <c r="N386" i="1"/>
  <c r="N387" i="1"/>
  <c r="N388" i="1"/>
  <c r="N389" i="1"/>
  <c r="N390" i="1"/>
  <c r="N391" i="1"/>
  <c r="N392" i="1"/>
  <c r="N393" i="1"/>
  <c r="N394" i="1"/>
  <c r="N395" i="1"/>
  <c r="N398" i="1"/>
  <c r="N399" i="1"/>
  <c r="N400" i="1"/>
  <c r="N401" i="1"/>
  <c r="N402" i="1"/>
  <c r="N403" i="1"/>
  <c r="N404" i="1"/>
  <c r="N405" i="1"/>
  <c r="N406" i="1"/>
  <c r="N407" i="1"/>
  <c r="N410" i="1"/>
  <c r="N411" i="1"/>
  <c r="N412" i="1"/>
  <c r="N413" i="1"/>
  <c r="N414" i="1"/>
  <c r="N415" i="1"/>
  <c r="N416" i="1"/>
  <c r="N417" i="1"/>
  <c r="N418" i="1"/>
  <c r="N419" i="1"/>
  <c r="N422" i="1"/>
  <c r="N423" i="1"/>
  <c r="N424" i="1"/>
  <c r="N425" i="1"/>
  <c r="N426" i="1"/>
  <c r="N427" i="1"/>
  <c r="N428" i="1"/>
  <c r="N429" i="1"/>
  <c r="N430" i="1"/>
  <c r="N431" i="1"/>
  <c r="N433" i="1"/>
  <c r="N434" i="1"/>
  <c r="N435" i="1"/>
  <c r="N436" i="1"/>
  <c r="N437" i="1"/>
  <c r="N438" i="1"/>
  <c r="N439" i="1"/>
  <c r="N440" i="1"/>
  <c r="N441" i="1"/>
  <c r="N442" i="1"/>
  <c r="N443" i="1"/>
  <c r="N446" i="1"/>
  <c r="N447" i="1"/>
  <c r="N448" i="1"/>
  <c r="N449" i="1"/>
  <c r="N450" i="1"/>
  <c r="N451" i="1"/>
  <c r="N452" i="1"/>
  <c r="N453" i="1"/>
  <c r="N454" i="1"/>
  <c r="N455" i="1"/>
  <c r="N458" i="1"/>
  <c r="N459" i="1"/>
  <c r="N460" i="1"/>
  <c r="N461" i="1"/>
  <c r="N462" i="1"/>
  <c r="N463" i="1"/>
  <c r="N464" i="1"/>
  <c r="N465" i="1"/>
  <c r="N466" i="1"/>
  <c r="N467" i="1"/>
  <c r="N470" i="1"/>
  <c r="N471" i="1"/>
  <c r="N472" i="1"/>
  <c r="N473" i="1"/>
  <c r="N474" i="1"/>
  <c r="N475" i="1"/>
  <c r="N476" i="1"/>
  <c r="N477" i="1"/>
  <c r="N478" i="1"/>
  <c r="N479" i="1"/>
  <c r="N482" i="1"/>
  <c r="N483" i="1"/>
  <c r="N484" i="1"/>
  <c r="N485" i="1"/>
  <c r="N486" i="1"/>
  <c r="N487" i="1"/>
  <c r="N488" i="1"/>
  <c r="N489" i="1"/>
  <c r="N490" i="1"/>
  <c r="N491" i="1"/>
  <c r="N494" i="1"/>
  <c r="N495" i="1"/>
  <c r="N496" i="1"/>
  <c r="N497" i="1"/>
  <c r="N498" i="1"/>
  <c r="N499" i="1"/>
  <c r="N500" i="1"/>
  <c r="N501" i="1"/>
  <c r="N502" i="1"/>
  <c r="N503" i="1"/>
  <c r="N506" i="1"/>
  <c r="N507" i="1"/>
  <c r="N508" i="1"/>
  <c r="N509" i="1"/>
  <c r="N510" i="1"/>
  <c r="N511" i="1"/>
  <c r="N512" i="1"/>
  <c r="N513" i="1"/>
  <c r="N514" i="1"/>
  <c r="N515" i="1"/>
  <c r="N518" i="1"/>
  <c r="N519" i="1"/>
  <c r="N520" i="1"/>
  <c r="N521" i="1"/>
  <c r="N522" i="1"/>
  <c r="N523" i="1"/>
  <c r="N524" i="1"/>
  <c r="N525" i="1"/>
  <c r="N526" i="1"/>
  <c r="N527" i="1"/>
  <c r="N530" i="1"/>
  <c r="N531" i="1"/>
  <c r="N532" i="1"/>
  <c r="N533" i="1"/>
  <c r="N534" i="1"/>
  <c r="N535" i="1"/>
  <c r="N536" i="1"/>
  <c r="N537" i="1"/>
  <c r="N538" i="1"/>
  <c r="N539" i="1"/>
  <c r="N542" i="1"/>
  <c r="N543" i="1"/>
  <c r="N544" i="1"/>
  <c r="N545" i="1"/>
  <c r="N546" i="1"/>
  <c r="N547" i="1"/>
  <c r="N548" i="1"/>
  <c r="N549" i="1"/>
  <c r="N550" i="1"/>
  <c r="N551" i="1"/>
  <c r="N554" i="1"/>
  <c r="N555" i="1"/>
  <c r="N556" i="1"/>
  <c r="N557" i="1"/>
  <c r="N558" i="1"/>
  <c r="N559" i="1"/>
  <c r="N560" i="1"/>
  <c r="N561" i="1"/>
  <c r="N562" i="1"/>
  <c r="N563" i="1"/>
  <c r="N566" i="1"/>
  <c r="N567" i="1"/>
  <c r="N568" i="1"/>
  <c r="N569" i="1"/>
  <c r="N570" i="1"/>
  <c r="N571" i="1"/>
  <c r="N572" i="1"/>
  <c r="N573" i="1"/>
  <c r="N574" i="1"/>
  <c r="N575" i="1"/>
  <c r="N577" i="1"/>
  <c r="N578" i="1"/>
  <c r="N579" i="1"/>
  <c r="N580" i="1"/>
  <c r="N581" i="1"/>
  <c r="N582" i="1"/>
  <c r="N583" i="1"/>
  <c r="N584" i="1"/>
  <c r="N585" i="1"/>
  <c r="N586" i="1"/>
  <c r="N587" i="1"/>
  <c r="N590" i="1"/>
  <c r="N591" i="1"/>
  <c r="N592" i="1"/>
  <c r="N593" i="1"/>
  <c r="N594" i="1"/>
  <c r="N595" i="1"/>
  <c r="N596" i="1"/>
  <c r="N597" i="1"/>
  <c r="N598" i="1"/>
  <c r="N599" i="1"/>
  <c r="N602" i="1"/>
  <c r="N603" i="1"/>
  <c r="N604" i="1"/>
  <c r="N605" i="1"/>
  <c r="N606" i="1"/>
  <c r="N607" i="1"/>
  <c r="N608" i="1"/>
  <c r="N609" i="1"/>
  <c r="N610" i="1"/>
  <c r="N611" i="1"/>
  <c r="N614" i="1"/>
  <c r="N615" i="1"/>
  <c r="N616" i="1"/>
  <c r="N617" i="1"/>
  <c r="N618" i="1"/>
  <c r="N619" i="1"/>
  <c r="N620" i="1"/>
  <c r="N621" i="1"/>
  <c r="N622" i="1"/>
  <c r="N623" i="1"/>
  <c r="N626" i="1"/>
  <c r="N627" i="1"/>
  <c r="N628" i="1"/>
  <c r="N629" i="1"/>
  <c r="N630" i="1"/>
  <c r="N631" i="1"/>
  <c r="N632" i="1"/>
  <c r="N633" i="1"/>
  <c r="N634" i="1"/>
  <c r="N635" i="1"/>
  <c r="N638" i="1"/>
  <c r="N639" i="1"/>
  <c r="N640" i="1"/>
  <c r="N641" i="1"/>
  <c r="N642" i="1"/>
  <c r="N643" i="1"/>
  <c r="N644" i="1"/>
  <c r="N645" i="1"/>
  <c r="N646" i="1"/>
  <c r="N647" i="1"/>
  <c r="N650" i="1"/>
  <c r="N651" i="1"/>
  <c r="N652" i="1"/>
  <c r="N653" i="1"/>
  <c r="N654" i="1"/>
  <c r="N655" i="1"/>
  <c r="N656" i="1"/>
  <c r="N657" i="1"/>
  <c r="N658" i="1"/>
  <c r="N659" i="1"/>
  <c r="N662" i="1"/>
  <c r="N663" i="1"/>
  <c r="N664" i="1"/>
  <c r="N665" i="1"/>
  <c r="N666" i="1"/>
  <c r="N667" i="1"/>
  <c r="N668" i="1"/>
  <c r="N669" i="1"/>
  <c r="N670" i="1"/>
  <c r="N671" i="1"/>
  <c r="N674" i="1"/>
  <c r="N675" i="1"/>
  <c r="N676" i="1"/>
  <c r="N677" i="1"/>
  <c r="N678" i="1"/>
  <c r="N679" i="1"/>
  <c r="N680" i="1"/>
  <c r="N681" i="1"/>
  <c r="N682" i="1"/>
  <c r="N683" i="1"/>
  <c r="N686" i="1"/>
  <c r="N687" i="1"/>
  <c r="N688" i="1"/>
  <c r="N689" i="1"/>
  <c r="N690" i="1"/>
  <c r="N691" i="1"/>
  <c r="N692" i="1"/>
  <c r="N693" i="1"/>
  <c r="N694" i="1"/>
  <c r="N695" i="1"/>
  <c r="N698" i="1"/>
  <c r="N699" i="1"/>
  <c r="N700" i="1"/>
  <c r="N701" i="1"/>
  <c r="N702" i="1"/>
  <c r="N703" i="1"/>
  <c r="N704" i="1"/>
  <c r="N705" i="1"/>
  <c r="N706" i="1"/>
  <c r="N707" i="1"/>
  <c r="N710" i="1"/>
  <c r="N711" i="1"/>
  <c r="N712" i="1"/>
  <c r="N713" i="1"/>
  <c r="N714" i="1"/>
  <c r="N715" i="1"/>
  <c r="N716" i="1"/>
  <c r="N717" i="1"/>
  <c r="N718" i="1"/>
  <c r="N719" i="1"/>
  <c r="N721" i="1"/>
  <c r="N722" i="1"/>
  <c r="N723" i="1"/>
  <c r="N724" i="1"/>
  <c r="N725" i="1"/>
  <c r="N726" i="1"/>
  <c r="N727" i="1"/>
  <c r="N728" i="1"/>
  <c r="N729" i="1"/>
  <c r="N730" i="1"/>
  <c r="N731" i="1"/>
  <c r="N734" i="1"/>
  <c r="N735" i="1"/>
  <c r="N736" i="1"/>
  <c r="N737" i="1"/>
  <c r="N738" i="1"/>
  <c r="N739" i="1"/>
  <c r="N740" i="1"/>
  <c r="N741" i="1"/>
  <c r="N742" i="1"/>
  <c r="N743" i="1"/>
  <c r="N746" i="1"/>
  <c r="N747" i="1"/>
  <c r="N748" i="1"/>
  <c r="N749" i="1"/>
  <c r="N750" i="1"/>
  <c r="N751" i="1"/>
  <c r="N752" i="1"/>
  <c r="N753" i="1"/>
  <c r="N754" i="1"/>
  <c r="N755" i="1"/>
  <c r="N758" i="1"/>
  <c r="N759" i="1"/>
  <c r="N760" i="1"/>
  <c r="N761" i="1"/>
  <c r="N762" i="1"/>
  <c r="N763" i="1"/>
  <c r="N764" i="1"/>
  <c r="N765" i="1"/>
  <c r="N766" i="1"/>
  <c r="N767" i="1"/>
  <c r="N770" i="1"/>
  <c r="N771" i="1"/>
  <c r="N772" i="1"/>
  <c r="N773" i="1"/>
  <c r="N774" i="1"/>
  <c r="N775" i="1"/>
  <c r="N776" i="1"/>
  <c r="N777" i="1"/>
  <c r="N778" i="1"/>
  <c r="N779" i="1"/>
  <c r="N782" i="1"/>
  <c r="N783" i="1"/>
  <c r="N784" i="1"/>
  <c r="N785" i="1"/>
  <c r="N786" i="1"/>
  <c r="N787" i="1"/>
  <c r="N788" i="1"/>
  <c r="N789" i="1"/>
  <c r="N790" i="1"/>
  <c r="N791" i="1"/>
  <c r="N794" i="1"/>
  <c r="N795" i="1"/>
  <c r="N796" i="1"/>
  <c r="N797" i="1"/>
  <c r="N798" i="1"/>
  <c r="N799" i="1"/>
  <c r="N800" i="1"/>
  <c r="N801" i="1"/>
  <c r="N802" i="1"/>
  <c r="N803" i="1"/>
  <c r="N806" i="1"/>
  <c r="N807" i="1"/>
  <c r="N808" i="1"/>
  <c r="N809" i="1"/>
  <c r="N810" i="1"/>
  <c r="N811" i="1"/>
  <c r="N812" i="1"/>
  <c r="N813" i="1"/>
  <c r="N814" i="1"/>
  <c r="N815" i="1"/>
  <c r="N818" i="1"/>
  <c r="N819" i="1"/>
  <c r="N820" i="1"/>
  <c r="N821" i="1"/>
  <c r="N822" i="1"/>
  <c r="N823" i="1"/>
  <c r="N824" i="1"/>
  <c r="N825" i="1"/>
  <c r="N826" i="1"/>
  <c r="N827" i="1"/>
  <c r="N830" i="1"/>
  <c r="N831" i="1"/>
  <c r="N832" i="1"/>
  <c r="N833" i="1"/>
  <c r="N834" i="1"/>
  <c r="N835" i="1"/>
  <c r="N836" i="1"/>
  <c r="N837" i="1"/>
  <c r="N838" i="1"/>
  <c r="N839" i="1"/>
  <c r="N842" i="1"/>
  <c r="N843" i="1"/>
  <c r="N844" i="1"/>
  <c r="N845" i="1"/>
  <c r="N846" i="1"/>
  <c r="N847" i="1"/>
  <c r="N848" i="1"/>
  <c r="N849" i="1"/>
  <c r="N850" i="1"/>
  <c r="N851" i="1"/>
  <c r="N854" i="1"/>
  <c r="N855" i="1"/>
  <c r="N856" i="1"/>
  <c r="N857" i="1"/>
  <c r="N858" i="1"/>
  <c r="N859" i="1"/>
  <c r="N860" i="1"/>
  <c r="N861" i="1"/>
  <c r="N862" i="1"/>
  <c r="N863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8" i="1"/>
  <c r="N879" i="1"/>
  <c r="N880" i="1"/>
  <c r="N881" i="1"/>
  <c r="N882" i="1"/>
  <c r="N883" i="1"/>
  <c r="N884" i="1"/>
  <c r="N885" i="1"/>
  <c r="N886" i="1"/>
  <c r="N887" i="1"/>
  <c r="N888" i="1"/>
  <c r="N891" i="1"/>
  <c r="N892" i="1"/>
  <c r="N893" i="1"/>
  <c r="N894" i="1"/>
  <c r="N895" i="1"/>
  <c r="N896" i="1"/>
  <c r="N897" i="1"/>
  <c r="N898" i="1"/>
  <c r="N899" i="1"/>
  <c r="N900" i="1"/>
  <c r="N903" i="1"/>
  <c r="N904" i="1"/>
  <c r="N905" i="1"/>
  <c r="N906" i="1"/>
  <c r="N907" i="1"/>
  <c r="N908" i="1"/>
  <c r="N909" i="1"/>
  <c r="N910" i="1"/>
  <c r="N911" i="1"/>
  <c r="N912" i="1"/>
  <c r="N915" i="1"/>
  <c r="N916" i="1"/>
  <c r="N917" i="1"/>
  <c r="N918" i="1"/>
  <c r="N919" i="1"/>
  <c r="N920" i="1"/>
  <c r="N921" i="1"/>
  <c r="N922" i="1"/>
  <c r="N923" i="1"/>
  <c r="N924" i="1"/>
  <c r="N927" i="1"/>
  <c r="N928" i="1"/>
  <c r="N929" i="1"/>
  <c r="N930" i="1"/>
  <c r="N931" i="1"/>
  <c r="N932" i="1"/>
  <c r="N933" i="1"/>
  <c r="N934" i="1"/>
  <c r="N935" i="1"/>
  <c r="N936" i="1"/>
  <c r="N939" i="1"/>
  <c r="N940" i="1"/>
  <c r="N941" i="1"/>
  <c r="N942" i="1"/>
  <c r="N943" i="1"/>
  <c r="N944" i="1"/>
  <c r="N945" i="1"/>
  <c r="N946" i="1"/>
  <c r="N947" i="1"/>
  <c r="N948" i="1"/>
  <c r="N951" i="1"/>
  <c r="N952" i="1"/>
  <c r="N953" i="1"/>
  <c r="N954" i="1"/>
  <c r="N955" i="1"/>
  <c r="N956" i="1"/>
  <c r="N957" i="1"/>
  <c r="N958" i="1"/>
  <c r="N959" i="1"/>
  <c r="N960" i="1"/>
  <c r="N963" i="1"/>
  <c r="N964" i="1"/>
  <c r="N965" i="1"/>
  <c r="N966" i="1"/>
  <c r="N967" i="1"/>
  <c r="N968" i="1"/>
  <c r="N969" i="1"/>
  <c r="N970" i="1"/>
  <c r="N971" i="1"/>
  <c r="N972" i="1"/>
  <c r="N975" i="1"/>
  <c r="N976" i="1"/>
  <c r="N977" i="1"/>
  <c r="N978" i="1"/>
  <c r="N979" i="1"/>
  <c r="N980" i="1"/>
  <c r="N981" i="1"/>
  <c r="N982" i="1"/>
  <c r="N983" i="1"/>
  <c r="N984" i="1"/>
  <c r="N987" i="1"/>
  <c r="N988" i="1"/>
  <c r="N989" i="1"/>
  <c r="N990" i="1"/>
  <c r="N991" i="1"/>
  <c r="N992" i="1"/>
  <c r="N993" i="1"/>
  <c r="N994" i="1"/>
  <c r="N995" i="1"/>
  <c r="N996" i="1"/>
  <c r="N997" i="1"/>
  <c r="N1000" i="1"/>
  <c r="N1001" i="1"/>
  <c r="N1002" i="1"/>
  <c r="N1003" i="1"/>
  <c r="N1004" i="1"/>
  <c r="N1005" i="1"/>
  <c r="N1006" i="1"/>
  <c r="N1007" i="1"/>
  <c r="N1008" i="1"/>
  <c r="N1009" i="1"/>
  <c r="N1010" i="1"/>
  <c r="N1013" i="1"/>
  <c r="N1014" i="1"/>
  <c r="N1015" i="1"/>
  <c r="N1016" i="1"/>
  <c r="N1017" i="1"/>
  <c r="N1018" i="1"/>
  <c r="N1019" i="1"/>
  <c r="N1020" i="1"/>
  <c r="N1021" i="1"/>
  <c r="N1022" i="1"/>
  <c r="N1025" i="1"/>
  <c r="N1026" i="1"/>
  <c r="N1027" i="1"/>
  <c r="N1028" i="1"/>
  <c r="N1029" i="1"/>
  <c r="N1030" i="1"/>
  <c r="N1031" i="1"/>
  <c r="N1032" i="1"/>
  <c r="N1033" i="1"/>
  <c r="N1034" i="1"/>
  <c r="N1037" i="1"/>
  <c r="N1038" i="1"/>
  <c r="N1039" i="1"/>
  <c r="N1040" i="1"/>
  <c r="N1041" i="1"/>
  <c r="N1042" i="1"/>
  <c r="N1043" i="1"/>
  <c r="N1045" i="1"/>
  <c r="N1046" i="1"/>
  <c r="N1047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4" i="1"/>
  <c r="N1065" i="1"/>
  <c r="N1066" i="1"/>
  <c r="N1067" i="1"/>
  <c r="N1068" i="1"/>
  <c r="N1069" i="1"/>
  <c r="N1070" i="1"/>
  <c r="N1071" i="1"/>
  <c r="N1073" i="1"/>
  <c r="N1074" i="1"/>
  <c r="N1076" i="1"/>
  <c r="N1077" i="1"/>
  <c r="N1078" i="1"/>
  <c r="N1079" i="1"/>
  <c r="N1080" i="1"/>
  <c r="N1081" i="1"/>
  <c r="N1082" i="1"/>
  <c r="N1083" i="1"/>
  <c r="N1084" i="1"/>
  <c r="N1085" i="1"/>
  <c r="N1086" i="1"/>
  <c r="N1089" i="1"/>
  <c r="N1090" i="1"/>
  <c r="N1091" i="1"/>
  <c r="N1092" i="1"/>
  <c r="N1093" i="1"/>
  <c r="N1094" i="1"/>
  <c r="N1095" i="1"/>
  <c r="N1096" i="1"/>
  <c r="N1097" i="1"/>
  <c r="N1098" i="1"/>
  <c r="N1099" i="1"/>
  <c r="N1102" i="1"/>
  <c r="N1103" i="1"/>
  <c r="N1104" i="1"/>
  <c r="N1105" i="1"/>
  <c r="N1106" i="1"/>
  <c r="N1107" i="1"/>
  <c r="N1108" i="1"/>
  <c r="N1109" i="1"/>
  <c r="N1110" i="1"/>
  <c r="N1111" i="1"/>
  <c r="N1114" i="1"/>
  <c r="N1115" i="1"/>
  <c r="N1116" i="1"/>
  <c r="N1117" i="1"/>
  <c r="N1118" i="1"/>
  <c r="N1119" i="1"/>
  <c r="N1120" i="1"/>
  <c r="N1121" i="1"/>
  <c r="N1122" i="1"/>
  <c r="N1123" i="1"/>
  <c r="N1124" i="1"/>
  <c r="N1127" i="1"/>
  <c r="N1128" i="1"/>
  <c r="N1129" i="1"/>
  <c r="N1130" i="1"/>
  <c r="N1131" i="1"/>
  <c r="N1132" i="1"/>
  <c r="N1133" i="1"/>
  <c r="N1134" i="1"/>
  <c r="N1135" i="1"/>
  <c r="N1137" i="1"/>
  <c r="N1139" i="1"/>
  <c r="N1141" i="1"/>
  <c r="N1142" i="1"/>
  <c r="N1143" i="1"/>
  <c r="N1144" i="1"/>
  <c r="N1145" i="1"/>
  <c r="N1146" i="1"/>
  <c r="N1147" i="1"/>
  <c r="N1148" i="1"/>
  <c r="N1149" i="1"/>
  <c r="N1150" i="1"/>
  <c r="N1153" i="1"/>
  <c r="N1154" i="1"/>
  <c r="N1155" i="1"/>
  <c r="N1156" i="1"/>
  <c r="N1157" i="1"/>
  <c r="N1158" i="1"/>
  <c r="N1159" i="1"/>
  <c r="N1160" i="1"/>
  <c r="N1161" i="1"/>
  <c r="N1162" i="1"/>
  <c r="N1165" i="1"/>
  <c r="N1166" i="1"/>
  <c r="N1167" i="1"/>
  <c r="N1168" i="1"/>
  <c r="N1169" i="1"/>
  <c r="N1170" i="1"/>
  <c r="N1171" i="1"/>
  <c r="N1172" i="1"/>
  <c r="N1173" i="1"/>
  <c r="N1174" i="1"/>
  <c r="N1177" i="1"/>
  <c r="N1178" i="1"/>
  <c r="N1179" i="1"/>
  <c r="N1180" i="1"/>
  <c r="N1181" i="1"/>
  <c r="N1182" i="1"/>
  <c r="N1183" i="1"/>
  <c r="N1184" i="1"/>
  <c r="N1185" i="1"/>
  <c r="N1186" i="1"/>
  <c r="N1189" i="1"/>
  <c r="N1190" i="1"/>
  <c r="N1191" i="1"/>
  <c r="N1192" i="1"/>
  <c r="N1193" i="1"/>
  <c r="N1194" i="1"/>
  <c r="N1195" i="1"/>
  <c r="N1196" i="1"/>
  <c r="N1197" i="1"/>
  <c r="N1198" i="1"/>
  <c r="N1201" i="1"/>
  <c r="N1202" i="1"/>
  <c r="N1203" i="1"/>
  <c r="N1204" i="1"/>
  <c r="N1205" i="1"/>
  <c r="N1206" i="1"/>
  <c r="N1207" i="1"/>
  <c r="N1208" i="1"/>
  <c r="N1209" i="1"/>
  <c r="N1210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7" i="1"/>
  <c r="N1228" i="1"/>
  <c r="N1229" i="1"/>
  <c r="N1230" i="1"/>
  <c r="N1231" i="1"/>
  <c r="N1232" i="1"/>
  <c r="N1233" i="1"/>
  <c r="N1234" i="1"/>
  <c r="N1235" i="1"/>
  <c r="N1236" i="1"/>
  <c r="N1239" i="1"/>
  <c r="N1240" i="1"/>
  <c r="N1241" i="1"/>
  <c r="N1242" i="1"/>
  <c r="N1243" i="1"/>
  <c r="N1244" i="1"/>
  <c r="N1245" i="1"/>
  <c r="N1246" i="1"/>
  <c r="N1247" i="1"/>
  <c r="N1248" i="1"/>
  <c r="N1251" i="1"/>
  <c r="N1252" i="1"/>
  <c r="N1253" i="1"/>
  <c r="N1254" i="1"/>
  <c r="N1255" i="1"/>
  <c r="N1256" i="1"/>
  <c r="N1257" i="1"/>
  <c r="N1258" i="1"/>
  <c r="N1259" i="1"/>
  <c r="N1260" i="1"/>
  <c r="N1263" i="1"/>
  <c r="N1264" i="1"/>
  <c r="N1265" i="1"/>
  <c r="N1266" i="1"/>
  <c r="N1267" i="1"/>
  <c r="N1268" i="1"/>
  <c r="N1269" i="1"/>
  <c r="N1270" i="1"/>
  <c r="N1271" i="1"/>
  <c r="N1272" i="1"/>
  <c r="N1275" i="1"/>
  <c r="N1276" i="1"/>
  <c r="N1277" i="1"/>
  <c r="N1278" i="1"/>
  <c r="N1279" i="1"/>
  <c r="N1280" i="1"/>
  <c r="N1281" i="1"/>
  <c r="N1282" i="1"/>
  <c r="N1283" i="1"/>
  <c r="N1284" i="1"/>
  <c r="N1286" i="1"/>
  <c r="N1287" i="1"/>
  <c r="N1288" i="1"/>
  <c r="N1289" i="1"/>
  <c r="N1290" i="1"/>
  <c r="N1291" i="1"/>
  <c r="N1292" i="1"/>
  <c r="N1293" i="1"/>
  <c r="N1294" i="1"/>
  <c r="N1295" i="1"/>
  <c r="N1296" i="1"/>
  <c r="N1299" i="1"/>
  <c r="N1300" i="1"/>
  <c r="N1301" i="1"/>
  <c r="N1302" i="1"/>
  <c r="N1303" i="1"/>
  <c r="N1304" i="1"/>
  <c r="N1305" i="1"/>
  <c r="N1306" i="1"/>
  <c r="N1307" i="1"/>
  <c r="N1308" i="1"/>
  <c r="N1311" i="1"/>
  <c r="N1312" i="1"/>
  <c r="N1313" i="1"/>
  <c r="N1314" i="1"/>
  <c r="N1315" i="1"/>
  <c r="N1316" i="1"/>
  <c r="N1317" i="1"/>
  <c r="N1318" i="1"/>
  <c r="N1319" i="1"/>
  <c r="N1320" i="1"/>
  <c r="N1323" i="1"/>
  <c r="N1324" i="1"/>
  <c r="N1325" i="1"/>
  <c r="N1326" i="1"/>
  <c r="N1327" i="1"/>
  <c r="N1328" i="1"/>
  <c r="N1329" i="1"/>
  <c r="N1330" i="1"/>
  <c r="N1331" i="1"/>
  <c r="N1332" i="1"/>
  <c r="N1335" i="1"/>
  <c r="N1336" i="1"/>
  <c r="N1337" i="1"/>
  <c r="N1338" i="1"/>
  <c r="N1339" i="1"/>
  <c r="N1340" i="1"/>
  <c r="N1341" i="1"/>
  <c r="N1342" i="1"/>
  <c r="N1343" i="1"/>
  <c r="N1344" i="1"/>
  <c r="N1347" i="1"/>
  <c r="N1348" i="1"/>
  <c r="N1349" i="1"/>
  <c r="N1350" i="1"/>
  <c r="N1351" i="1"/>
  <c r="N1352" i="1"/>
  <c r="N1353" i="1"/>
  <c r="N1354" i="1"/>
  <c r="N1355" i="1"/>
  <c r="N1356" i="1"/>
  <c r="N1359" i="1"/>
  <c r="N1360" i="1"/>
  <c r="N1361" i="1"/>
  <c r="N1362" i="1"/>
  <c r="N1363" i="1"/>
  <c r="N1364" i="1"/>
  <c r="N1365" i="1"/>
  <c r="N1366" i="1"/>
  <c r="N1367" i="1"/>
  <c r="N1368" i="1"/>
  <c r="N1371" i="1"/>
  <c r="N1372" i="1"/>
  <c r="N1373" i="1"/>
  <c r="N1374" i="1"/>
  <c r="N1375" i="1"/>
  <c r="N1376" i="1"/>
  <c r="N1377" i="1"/>
  <c r="N1378" i="1"/>
  <c r="N1379" i="1"/>
  <c r="N1380" i="1"/>
  <c r="N1383" i="1"/>
  <c r="N1384" i="1"/>
  <c r="N1385" i="1"/>
  <c r="N1386" i="1"/>
  <c r="N1387" i="1"/>
  <c r="N1388" i="1"/>
  <c r="N1389" i="1"/>
  <c r="N1390" i="1"/>
  <c r="N1391" i="1"/>
  <c r="N1392" i="1"/>
  <c r="N1395" i="1"/>
  <c r="N1396" i="1"/>
  <c r="N1397" i="1"/>
  <c r="N1398" i="1"/>
  <c r="N1399" i="1"/>
  <c r="N1400" i="1"/>
  <c r="N1401" i="1"/>
  <c r="N1402" i="1"/>
  <c r="N1403" i="1"/>
  <c r="N1404" i="1"/>
  <c r="N1407" i="1"/>
  <c r="N1408" i="1"/>
  <c r="N1409" i="1"/>
  <c r="N1410" i="1"/>
  <c r="N1411" i="1"/>
  <c r="N1412" i="1"/>
  <c r="N1413" i="1"/>
  <c r="N1414" i="1"/>
  <c r="N1415" i="1"/>
  <c r="N1416" i="1"/>
  <c r="N1419" i="1"/>
  <c r="N1420" i="1"/>
  <c r="N1421" i="1"/>
  <c r="N1422" i="1"/>
  <c r="N1423" i="1"/>
  <c r="N1424" i="1"/>
  <c r="N1425" i="1"/>
  <c r="N1426" i="1"/>
  <c r="N1427" i="1"/>
  <c r="N1428" i="1"/>
  <c r="N1430" i="1"/>
  <c r="N1431" i="1"/>
  <c r="N1432" i="1"/>
  <c r="N1433" i="1"/>
  <c r="N1434" i="1"/>
  <c r="N1435" i="1"/>
  <c r="N1436" i="1"/>
  <c r="N1437" i="1"/>
  <c r="N1438" i="1"/>
  <c r="N1439" i="1"/>
  <c r="N1440" i="1"/>
  <c r="N1443" i="1"/>
  <c r="N1444" i="1"/>
  <c r="N1445" i="1"/>
  <c r="N1446" i="1"/>
  <c r="N1447" i="1"/>
  <c r="N1448" i="1"/>
  <c r="N1449" i="1"/>
  <c r="N1450" i="1"/>
  <c r="N1451" i="1"/>
  <c r="N1452" i="1"/>
  <c r="N1455" i="1"/>
  <c r="N1456" i="1"/>
  <c r="N1457" i="1"/>
  <c r="N1458" i="1"/>
  <c r="N1459" i="1"/>
  <c r="N1460" i="1"/>
  <c r="N1461" i="1"/>
  <c r="N1462" i="1"/>
  <c r="N1463" i="1"/>
  <c r="N1464" i="1"/>
  <c r="N1467" i="1"/>
  <c r="N1468" i="1"/>
  <c r="N1469" i="1"/>
  <c r="N1470" i="1"/>
  <c r="N1471" i="1"/>
  <c r="N1472" i="1"/>
  <c r="N1473" i="1"/>
  <c r="N1474" i="1"/>
  <c r="N1475" i="1"/>
  <c r="N1476" i="1"/>
  <c r="N1479" i="1"/>
  <c r="N1480" i="1"/>
  <c r="N1481" i="1"/>
  <c r="N1482" i="1"/>
  <c r="N1483" i="1"/>
  <c r="N1484" i="1"/>
  <c r="N1485" i="1"/>
  <c r="N1486" i="1"/>
  <c r="N1487" i="1"/>
  <c r="N1488" i="1"/>
  <c r="N1491" i="1"/>
  <c r="N1492" i="1"/>
  <c r="N1493" i="1"/>
  <c r="N1494" i="1"/>
  <c r="N1495" i="1"/>
  <c r="N1496" i="1"/>
  <c r="N1497" i="1"/>
  <c r="N1498" i="1"/>
  <c r="N1499" i="1"/>
  <c r="N1500" i="1"/>
  <c r="N1503" i="1"/>
  <c r="N1504" i="1"/>
  <c r="N1505" i="1"/>
  <c r="N1506" i="1"/>
  <c r="N1507" i="1"/>
  <c r="N1508" i="1"/>
  <c r="N1509" i="1"/>
  <c r="N1510" i="1"/>
  <c r="N1511" i="1"/>
  <c r="N1512" i="1"/>
  <c r="N1515" i="1"/>
  <c r="N1516" i="1"/>
  <c r="N1517" i="1"/>
  <c r="N1518" i="1"/>
  <c r="N1519" i="1"/>
  <c r="N1520" i="1"/>
  <c r="N1521" i="1"/>
  <c r="N1522" i="1"/>
  <c r="N1523" i="1"/>
  <c r="N1524" i="1"/>
  <c r="N1527" i="1"/>
  <c r="N1528" i="1"/>
  <c r="N1529" i="1"/>
  <c r="N1530" i="1"/>
  <c r="N1531" i="1"/>
  <c r="N1532" i="1"/>
  <c r="N1533" i="1"/>
  <c r="N1534" i="1"/>
  <c r="N1535" i="1"/>
  <c r="N1536" i="1"/>
  <c r="N1539" i="1"/>
  <c r="N1540" i="1"/>
  <c r="N1541" i="1"/>
  <c r="N1542" i="1"/>
  <c r="N1543" i="1"/>
  <c r="N1544" i="1"/>
  <c r="N1545" i="1"/>
  <c r="N1546" i="1"/>
  <c r="N1547" i="1"/>
  <c r="N1548" i="1"/>
  <c r="N1551" i="1"/>
  <c r="N1552" i="1"/>
  <c r="N1553" i="1"/>
  <c r="N1554" i="1"/>
  <c r="N1555" i="1"/>
  <c r="N1556" i="1"/>
  <c r="N1557" i="1"/>
  <c r="N1558" i="1"/>
  <c r="N1559" i="1"/>
  <c r="N1560" i="1"/>
  <c r="N1563" i="1"/>
  <c r="N1564" i="1"/>
  <c r="N1565" i="1"/>
  <c r="N1566" i="1"/>
  <c r="N1567" i="1"/>
  <c r="N1568" i="1"/>
  <c r="N1569" i="1"/>
  <c r="N1570" i="1"/>
  <c r="N1571" i="1"/>
  <c r="N1572" i="1"/>
  <c r="N1573" i="1"/>
  <c r="N1576" i="1"/>
  <c r="N1577" i="1"/>
  <c r="N1578" i="1"/>
  <c r="N1579" i="1"/>
  <c r="N1580" i="1"/>
  <c r="N1581" i="1"/>
  <c r="N1582" i="1"/>
  <c r="N1583" i="1"/>
  <c r="N1584" i="1"/>
  <c r="N1585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1" i="1"/>
  <c r="N1602" i="1"/>
  <c r="N1603" i="1"/>
  <c r="N1605" i="1"/>
  <c r="N1606" i="1"/>
  <c r="N1607" i="1"/>
  <c r="N1608" i="1"/>
  <c r="N1609" i="1"/>
  <c r="N1610" i="1"/>
  <c r="N1611" i="1"/>
  <c r="N1612" i="1"/>
  <c r="N1613" i="1"/>
  <c r="N1614" i="1"/>
  <c r="N1615" i="1"/>
  <c r="N1617" i="1"/>
  <c r="N1618" i="1"/>
  <c r="N1619" i="1"/>
  <c r="N1620" i="1"/>
  <c r="N1621" i="1"/>
  <c r="N1622" i="1"/>
  <c r="N1623" i="1"/>
  <c r="N1625" i="1"/>
  <c r="N1626" i="1"/>
  <c r="N1627" i="1"/>
  <c r="N1629" i="1"/>
  <c r="N1630" i="1"/>
  <c r="N1631" i="1"/>
  <c r="N1632" i="1"/>
  <c r="N1633" i="1"/>
  <c r="N1634" i="1"/>
  <c r="N1635" i="1"/>
  <c r="N1637" i="1"/>
  <c r="N1638" i="1"/>
  <c r="N1639" i="1"/>
  <c r="N1641" i="1"/>
  <c r="N1642" i="1"/>
  <c r="N1643" i="1"/>
  <c r="N1644" i="1"/>
  <c r="N1645" i="1"/>
  <c r="N1646" i="1"/>
  <c r="N1647" i="1"/>
  <c r="N1649" i="1"/>
  <c r="N1650" i="1"/>
  <c r="N1651" i="1"/>
  <c r="N1653" i="1"/>
  <c r="N1654" i="1"/>
  <c r="N1655" i="1"/>
  <c r="N1656" i="1"/>
  <c r="N1657" i="1"/>
  <c r="N1658" i="1"/>
  <c r="N1659" i="1"/>
  <c r="N1661" i="1"/>
  <c r="N1662" i="1"/>
  <c r="N1663" i="1"/>
  <c r="N1665" i="1"/>
  <c r="N1666" i="1"/>
  <c r="N1667" i="1"/>
  <c r="N1668" i="1"/>
  <c r="N1669" i="1"/>
  <c r="N1670" i="1"/>
  <c r="N1671" i="1"/>
  <c r="N1673" i="1"/>
  <c r="N1674" i="1"/>
  <c r="N1675" i="1"/>
  <c r="N1677" i="1"/>
  <c r="N1678" i="1"/>
  <c r="N1679" i="1"/>
  <c r="N1680" i="1"/>
  <c r="N1681" i="1"/>
  <c r="N1682" i="1"/>
  <c r="N1683" i="1"/>
  <c r="N1685" i="1"/>
  <c r="N1686" i="1"/>
  <c r="N1687" i="1"/>
  <c r="N1689" i="1"/>
  <c r="N1690" i="1"/>
  <c r="N1691" i="1"/>
  <c r="N1692" i="1"/>
  <c r="N1693" i="1"/>
  <c r="N1694" i="1"/>
  <c r="N1695" i="1"/>
  <c r="N1697" i="1"/>
  <c r="N1698" i="1"/>
  <c r="N1699" i="1"/>
  <c r="N1701" i="1"/>
  <c r="N1702" i="1"/>
  <c r="N1703" i="1"/>
  <c r="N1704" i="1"/>
  <c r="N1705" i="1"/>
  <c r="N1706" i="1"/>
  <c r="N1707" i="1"/>
  <c r="N1709" i="1"/>
  <c r="N1710" i="1"/>
  <c r="N1711" i="1"/>
  <c r="N1713" i="1"/>
  <c r="N1714" i="1"/>
  <c r="N1715" i="1"/>
  <c r="N1716" i="1"/>
  <c r="N1717" i="1"/>
  <c r="N1718" i="1"/>
  <c r="N1719" i="1"/>
  <c r="N1721" i="1"/>
  <c r="N1722" i="1"/>
  <c r="N1723" i="1"/>
  <c r="N1725" i="1"/>
  <c r="N1726" i="1"/>
  <c r="N1727" i="1"/>
  <c r="N1728" i="1"/>
  <c r="N1729" i="1"/>
  <c r="N1730" i="1"/>
  <c r="N1731" i="1"/>
  <c r="N1733" i="1"/>
  <c r="N1734" i="1"/>
  <c r="N1735" i="1"/>
  <c r="N1737" i="1"/>
  <c r="N1738" i="1"/>
  <c r="N1739" i="1"/>
  <c r="N1740" i="1"/>
  <c r="N1741" i="1"/>
  <c r="N1742" i="1"/>
  <c r="N1743" i="1"/>
  <c r="N1745" i="1"/>
  <c r="N1746" i="1"/>
  <c r="N1747" i="1"/>
  <c r="N1749" i="1"/>
  <c r="N1750" i="1"/>
  <c r="N1751" i="1"/>
  <c r="N1752" i="1"/>
  <c r="N1753" i="1"/>
  <c r="N1754" i="1"/>
  <c r="N1755" i="1"/>
  <c r="N1756" i="1"/>
  <c r="N1757" i="1"/>
  <c r="N1758" i="1"/>
  <c r="N1759" i="1"/>
  <c r="N1761" i="1"/>
  <c r="N1762" i="1"/>
  <c r="N1763" i="1"/>
  <c r="N1764" i="1"/>
  <c r="N1765" i="1"/>
  <c r="N1767" i="1"/>
  <c r="N1769" i="1"/>
  <c r="N1770" i="1"/>
  <c r="N1771" i="1"/>
  <c r="N1773" i="1"/>
  <c r="N1774" i="1"/>
  <c r="N1775" i="1"/>
  <c r="N1776" i="1"/>
  <c r="N1777" i="1"/>
  <c r="N1778" i="1"/>
  <c r="N1779" i="1"/>
  <c r="N1781" i="1"/>
  <c r="N1782" i="1"/>
  <c r="N1783" i="1"/>
  <c r="N1785" i="1"/>
  <c r="N1786" i="1"/>
  <c r="N1787" i="1"/>
  <c r="N1788" i="1"/>
  <c r="N1789" i="1"/>
  <c r="N1790" i="1"/>
  <c r="N1791" i="1"/>
  <c r="N1793" i="1"/>
  <c r="N1794" i="1"/>
  <c r="N1795" i="1"/>
  <c r="N1797" i="1"/>
  <c r="N1798" i="1"/>
  <c r="N1799" i="1"/>
  <c r="N1800" i="1"/>
  <c r="N1801" i="1"/>
  <c r="N1802" i="1"/>
  <c r="N1803" i="1"/>
  <c r="N1805" i="1"/>
  <c r="N1806" i="1"/>
  <c r="N1807" i="1"/>
  <c r="N1809" i="1"/>
  <c r="N1810" i="1"/>
  <c r="N1811" i="1"/>
  <c r="N1812" i="1"/>
  <c r="N1813" i="1"/>
  <c r="N1814" i="1"/>
  <c r="N1815" i="1"/>
  <c r="N1817" i="1"/>
  <c r="N1818" i="1"/>
  <c r="N1819" i="1"/>
  <c r="N1821" i="1"/>
  <c r="N1822" i="1"/>
  <c r="N1823" i="1"/>
  <c r="N1824" i="1"/>
  <c r="N1825" i="1"/>
  <c r="N1826" i="1"/>
  <c r="N1827" i="1"/>
  <c r="N1829" i="1"/>
  <c r="N1830" i="1"/>
  <c r="N1831" i="1"/>
  <c r="N1833" i="1"/>
  <c r="N1834" i="1"/>
  <c r="N1835" i="1"/>
  <c r="N1836" i="1"/>
  <c r="N1837" i="1"/>
  <c r="N1838" i="1"/>
  <c r="N1839" i="1"/>
  <c r="N1841" i="1"/>
  <c r="N1842" i="1"/>
  <c r="N1843" i="1"/>
  <c r="N1845" i="1"/>
  <c r="N1846" i="1"/>
  <c r="N1847" i="1"/>
  <c r="N1848" i="1"/>
  <c r="N1849" i="1"/>
  <c r="N1850" i="1"/>
  <c r="N1851" i="1"/>
  <c r="N1853" i="1"/>
  <c r="N1854" i="1"/>
  <c r="N1855" i="1"/>
  <c r="N1857" i="1"/>
  <c r="N1858" i="1"/>
  <c r="N1859" i="1"/>
  <c r="N1860" i="1"/>
  <c r="N1861" i="1"/>
  <c r="N1862" i="1"/>
  <c r="N1863" i="1"/>
  <c r="N1865" i="1"/>
  <c r="N1866" i="1"/>
  <c r="N1867" i="1"/>
  <c r="N1869" i="1"/>
  <c r="N1870" i="1"/>
  <c r="N1871" i="1"/>
  <c r="N1872" i="1"/>
  <c r="N1873" i="1"/>
  <c r="N1874" i="1"/>
  <c r="N1875" i="1"/>
  <c r="N1877" i="1"/>
  <c r="N1878" i="1"/>
  <c r="N1879" i="1"/>
  <c r="N1881" i="1"/>
  <c r="N1882" i="1"/>
  <c r="N1883" i="1"/>
  <c r="N1884" i="1"/>
  <c r="N1885" i="1"/>
  <c r="N1886" i="1"/>
  <c r="N1887" i="1"/>
  <c r="N1889" i="1"/>
  <c r="N1890" i="1"/>
  <c r="N1891" i="1"/>
  <c r="N1893" i="1"/>
  <c r="N1894" i="1"/>
  <c r="N1895" i="1"/>
  <c r="N1896" i="1"/>
  <c r="N1897" i="1"/>
  <c r="N1898" i="1"/>
  <c r="N1899" i="1"/>
  <c r="N1900" i="1"/>
  <c r="N1901" i="1"/>
  <c r="N1902" i="1"/>
  <c r="N1903" i="1"/>
  <c r="N1905" i="1"/>
  <c r="N1906" i="1"/>
  <c r="N1907" i="1"/>
  <c r="N1908" i="1"/>
  <c r="N1909" i="1"/>
  <c r="N1910" i="1"/>
  <c r="N1911" i="1"/>
  <c r="N1913" i="1"/>
  <c r="N1915" i="1"/>
  <c r="N1916" i="1"/>
  <c r="N1918" i="1"/>
  <c r="N1919" i="1"/>
  <c r="N1920" i="1"/>
  <c r="N1921" i="1"/>
  <c r="N1922" i="1"/>
  <c r="N1923" i="1"/>
  <c r="N1924" i="1"/>
  <c r="N1926" i="1"/>
  <c r="N1927" i="1"/>
  <c r="N1928" i="1"/>
  <c r="N1930" i="1"/>
  <c r="N1931" i="1"/>
  <c r="N1932" i="1"/>
  <c r="N1933" i="1"/>
  <c r="N1934" i="1"/>
  <c r="N1935" i="1"/>
  <c r="N1936" i="1"/>
  <c r="N1938" i="1"/>
  <c r="N1939" i="1"/>
  <c r="N1940" i="1"/>
  <c r="N1942" i="1"/>
  <c r="N1943" i="1"/>
  <c r="N1944" i="1"/>
  <c r="N1945" i="1"/>
  <c r="N1946" i="1"/>
  <c r="N1947" i="1"/>
  <c r="N1948" i="1"/>
  <c r="N1950" i="1"/>
  <c r="N1951" i="1"/>
  <c r="N1952" i="1"/>
  <c r="N1954" i="1"/>
  <c r="N1955" i="1"/>
  <c r="N1956" i="1"/>
  <c r="N1957" i="1"/>
  <c r="N1958" i="1"/>
  <c r="N1959" i="1"/>
  <c r="N1960" i="1"/>
  <c r="N1962" i="1"/>
  <c r="N1963" i="1"/>
  <c r="N1964" i="1"/>
  <c r="N1966" i="1"/>
  <c r="N1967" i="1"/>
  <c r="N1968" i="1"/>
  <c r="N1969" i="1"/>
  <c r="N1970" i="1"/>
  <c r="N1972" i="1"/>
  <c r="N1973" i="1"/>
  <c r="N1975" i="1"/>
  <c r="N1976" i="1"/>
  <c r="N1977" i="1"/>
  <c r="N1979" i="1"/>
  <c r="N1980" i="1"/>
  <c r="N1981" i="1"/>
  <c r="N1982" i="1"/>
  <c r="N1983" i="1"/>
  <c r="N1984" i="1"/>
  <c r="N1985" i="1"/>
  <c r="N1986" i="1"/>
  <c r="N1989" i="1"/>
  <c r="N1990" i="1"/>
  <c r="N1992" i="1"/>
  <c r="N1993" i="1"/>
  <c r="N1994" i="1"/>
  <c r="N1995" i="1"/>
  <c r="N1996" i="1"/>
  <c r="N1997" i="1"/>
  <c r="N1998" i="1"/>
  <c r="N2000" i="1"/>
  <c r="N2002" i="1"/>
  <c r="N2003" i="1"/>
  <c r="N2005" i="1"/>
  <c r="N2006" i="1"/>
  <c r="N2007" i="1"/>
  <c r="N2009" i="1"/>
  <c r="N2010" i="1"/>
  <c r="N2011" i="1"/>
  <c r="N2012" i="1"/>
  <c r="N2014" i="1"/>
  <c r="N2015" i="1"/>
  <c r="N2016" i="1"/>
  <c r="N2018" i="1"/>
  <c r="N2019" i="1"/>
  <c r="N2020" i="1"/>
  <c r="N2021" i="1"/>
  <c r="N2022" i="1"/>
  <c r="N2023" i="1"/>
  <c r="N2027" i="1"/>
  <c r="N2028" i="1"/>
  <c r="N2030" i="1"/>
  <c r="N2031" i="1"/>
  <c r="N2033" i="1"/>
  <c r="N2034" i="1"/>
  <c r="N2035" i="1"/>
  <c r="N2036" i="1"/>
  <c r="N2037" i="1"/>
  <c r="N2038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4" i="1"/>
  <c r="N2055" i="1"/>
  <c r="N2056" i="1"/>
  <c r="N2057" i="1"/>
  <c r="N2059" i="1"/>
  <c r="N2060" i="1"/>
  <c r="N2062" i="1"/>
  <c r="N2063" i="1"/>
  <c r="N2064" i="1"/>
  <c r="N2065" i="1"/>
  <c r="N2066" i="1"/>
  <c r="N2068" i="1"/>
  <c r="N2069" i="1"/>
  <c r="N2070" i="1"/>
  <c r="N2071" i="1"/>
  <c r="N2073" i="1"/>
  <c r="N2074" i="1"/>
  <c r="N2075" i="1"/>
  <c r="N2076" i="1"/>
  <c r="N2077" i="1"/>
  <c r="N2078" i="1"/>
  <c r="N2079" i="1"/>
  <c r="N2081" i="1"/>
  <c r="N2082" i="1"/>
  <c r="N2083" i="1"/>
  <c r="N2085" i="1"/>
  <c r="N2086" i="1"/>
  <c r="N2087" i="1"/>
  <c r="N2088" i="1"/>
  <c r="N2089" i="1"/>
  <c r="N2090" i="1"/>
  <c r="N2091" i="1"/>
  <c r="N2093" i="1"/>
  <c r="N2094" i="1"/>
  <c r="N2095" i="1"/>
  <c r="N2099" i="1"/>
  <c r="N2100" i="1"/>
  <c r="N2101" i="1"/>
  <c r="N2102" i="1"/>
  <c r="N2103" i="1"/>
  <c r="N2104" i="1"/>
  <c r="N2105" i="1"/>
  <c r="N2107" i="1"/>
  <c r="N2108" i="1"/>
  <c r="N2109" i="1"/>
  <c r="N2111" i="1"/>
  <c r="N2112" i="1"/>
  <c r="N2113" i="1"/>
  <c r="N2114" i="1"/>
  <c r="N2115" i="1"/>
  <c r="N2116" i="1"/>
  <c r="N2117" i="1"/>
  <c r="N2119" i="1"/>
  <c r="N2120" i="1"/>
  <c r="N2121" i="1"/>
  <c r="N2123" i="1"/>
  <c r="N2124" i="1"/>
  <c r="N2125" i="1"/>
  <c r="N2126" i="1"/>
  <c r="N2127" i="1"/>
  <c r="N2128" i="1"/>
  <c r="N2129" i="1"/>
  <c r="N2131" i="1"/>
  <c r="N2132" i="1"/>
  <c r="N2133" i="1"/>
  <c r="N2135" i="1"/>
  <c r="N2136" i="1"/>
  <c r="N2137" i="1"/>
  <c r="N2138" i="1"/>
  <c r="N2139" i="1"/>
  <c r="N2140" i="1"/>
  <c r="N2141" i="1"/>
  <c r="N2143" i="1"/>
  <c r="N2144" i="1"/>
  <c r="N2145" i="1"/>
  <c r="N2147" i="1"/>
  <c r="N2148" i="1"/>
  <c r="N2149" i="1"/>
  <c r="N2150" i="1"/>
  <c r="N2151" i="1"/>
  <c r="N2152" i="1"/>
  <c r="N2153" i="1"/>
  <c r="N2155" i="1"/>
  <c r="N2156" i="1"/>
  <c r="N2157" i="1"/>
  <c r="N2159" i="1"/>
  <c r="N2160" i="1"/>
  <c r="N2161" i="1"/>
  <c r="N2162" i="1"/>
  <c r="N2163" i="1"/>
  <c r="N2164" i="1"/>
  <c r="N2165" i="1"/>
  <c r="N2167" i="1"/>
  <c r="N2168" i="1"/>
  <c r="N2169" i="1"/>
  <c r="N2171" i="1"/>
  <c r="N2172" i="1"/>
  <c r="N2173" i="1"/>
  <c r="N2174" i="1"/>
  <c r="N2175" i="1"/>
  <c r="N2176" i="1"/>
  <c r="N2177" i="1"/>
  <c r="N2179" i="1"/>
  <c r="N2180" i="1"/>
  <c r="N2181" i="1"/>
  <c r="N2183" i="1"/>
  <c r="N2184" i="1"/>
  <c r="N2185" i="1"/>
  <c r="N2186" i="1"/>
  <c r="N2187" i="1"/>
  <c r="N2188" i="1"/>
  <c r="N2189" i="1"/>
  <c r="N2191" i="1"/>
  <c r="N2192" i="1"/>
  <c r="N2193" i="1"/>
  <c r="N2195" i="1"/>
  <c r="N2196" i="1"/>
  <c r="N2197" i="1"/>
  <c r="N2198" i="1"/>
  <c r="N2199" i="1"/>
  <c r="N2200" i="1"/>
  <c r="N2201" i="1"/>
  <c r="N2203" i="1"/>
  <c r="N2204" i="1"/>
  <c r="N2205" i="1"/>
  <c r="N2207" i="1"/>
  <c r="N2208" i="1"/>
  <c r="N2209" i="1"/>
  <c r="N2210" i="1"/>
  <c r="N2211" i="1"/>
  <c r="N2212" i="1"/>
  <c r="N2213" i="1"/>
  <c r="N2214" i="1"/>
  <c r="N2215" i="1"/>
  <c r="N2216" i="1"/>
  <c r="N2217" i="1"/>
  <c r="N2219" i="1"/>
  <c r="N2220" i="1"/>
  <c r="N2221" i="1"/>
  <c r="N2222" i="1"/>
  <c r="N2223" i="1"/>
  <c r="N2224" i="1"/>
  <c r="N2225" i="1"/>
  <c r="N2227" i="1"/>
  <c r="N2228" i="1"/>
  <c r="N2229" i="1"/>
  <c r="N2231" i="1"/>
  <c r="N2232" i="1"/>
  <c r="N2233" i="1"/>
  <c r="N2234" i="1"/>
  <c r="N2235" i="1"/>
  <c r="N2236" i="1"/>
  <c r="N2237" i="1"/>
  <c r="N2239" i="1"/>
  <c r="N2240" i="1"/>
  <c r="N2241" i="1"/>
  <c r="N2243" i="1"/>
  <c r="N2244" i="1"/>
  <c r="N2245" i="1"/>
  <c r="N2246" i="1"/>
  <c r="N2247" i="1"/>
  <c r="N2248" i="1"/>
  <c r="N2249" i="1"/>
  <c r="N2251" i="1"/>
  <c r="N2252" i="1"/>
  <c r="N2253" i="1"/>
  <c r="N2255" i="1"/>
  <c r="N2256" i="1"/>
  <c r="N2257" i="1"/>
  <c r="N2258" i="1"/>
  <c r="N2259" i="1"/>
  <c r="N2260" i="1"/>
  <c r="N2261" i="1"/>
  <c r="N2263" i="1"/>
  <c r="N2264" i="1"/>
  <c r="N2265" i="1"/>
  <c r="N2267" i="1"/>
  <c r="N2268" i="1"/>
  <c r="N2269" i="1"/>
  <c r="N2270" i="1"/>
  <c r="N2271" i="1"/>
  <c r="N2272" i="1"/>
  <c r="N2273" i="1"/>
  <c r="N2275" i="1"/>
  <c r="N2276" i="1"/>
  <c r="N2277" i="1"/>
  <c r="N2279" i="1"/>
  <c r="N2280" i="1"/>
  <c r="N2281" i="1"/>
  <c r="N2282" i="1"/>
  <c r="N2283" i="1"/>
  <c r="N2284" i="1"/>
  <c r="N2285" i="1"/>
  <c r="N2287" i="1"/>
  <c r="N2288" i="1"/>
  <c r="N2289" i="1"/>
  <c r="N2291" i="1"/>
  <c r="N2292" i="1"/>
  <c r="N2293" i="1"/>
  <c r="N2294" i="1"/>
  <c r="N2295" i="1"/>
  <c r="N2296" i="1"/>
  <c r="N2297" i="1"/>
  <c r="N2299" i="1"/>
  <c r="N2300" i="1"/>
  <c r="N2301" i="1"/>
  <c r="N2303" i="1"/>
  <c r="N2304" i="1"/>
  <c r="N2305" i="1"/>
  <c r="N2306" i="1"/>
  <c r="N2307" i="1"/>
  <c r="N2308" i="1"/>
  <c r="N2309" i="1"/>
  <c r="N2311" i="1"/>
  <c r="N2312" i="1"/>
  <c r="N2313" i="1"/>
  <c r="N2315" i="1"/>
  <c r="N2316" i="1"/>
  <c r="N2317" i="1"/>
  <c r="N2318" i="1"/>
  <c r="N2319" i="1"/>
  <c r="N2320" i="1"/>
  <c r="N2321" i="1"/>
  <c r="N2323" i="1"/>
  <c r="N2324" i="1"/>
  <c r="N2325" i="1"/>
  <c r="N2327" i="1"/>
  <c r="N2328" i="1"/>
  <c r="N2329" i="1"/>
  <c r="N2330" i="1"/>
  <c r="N2331" i="1"/>
  <c r="N2332" i="1"/>
  <c r="N2333" i="1"/>
  <c r="N2335" i="1"/>
  <c r="N2336" i="1"/>
  <c r="N2337" i="1"/>
  <c r="N2339" i="1"/>
  <c r="N2340" i="1"/>
  <c r="N2341" i="1"/>
  <c r="N2342" i="1"/>
  <c r="N2343" i="1"/>
  <c r="N2344" i="1"/>
  <c r="N2345" i="1"/>
  <c r="N2347" i="1"/>
  <c r="N2348" i="1"/>
  <c r="N2349" i="1"/>
  <c r="N2351" i="1"/>
  <c r="N2352" i="1"/>
  <c r="N2353" i="1"/>
  <c r="N2354" i="1"/>
  <c r="N2355" i="1"/>
  <c r="N2356" i="1"/>
  <c r="N2357" i="1"/>
  <c r="N2358" i="1"/>
  <c r="N2359" i="1"/>
  <c r="N2360" i="1"/>
  <c r="N2361" i="1"/>
  <c r="N2363" i="1"/>
  <c r="N2364" i="1"/>
  <c r="N2365" i="1"/>
  <c r="N2366" i="1"/>
  <c r="N2367" i="1"/>
  <c r="N2368" i="1"/>
  <c r="N2369" i="1"/>
  <c r="N2371" i="1"/>
  <c r="N2372" i="1"/>
  <c r="N2373" i="1"/>
  <c r="N2375" i="1"/>
  <c r="N2376" i="1"/>
  <c r="N2377" i="1"/>
  <c r="N2378" i="1"/>
  <c r="N2379" i="1"/>
  <c r="N2380" i="1"/>
  <c r="N2381" i="1"/>
  <c r="N2383" i="1"/>
  <c r="N2384" i="1"/>
  <c r="N2385" i="1"/>
  <c r="N2387" i="1"/>
  <c r="N2388" i="1"/>
  <c r="N2389" i="1"/>
  <c r="N2390" i="1"/>
  <c r="N2391" i="1"/>
  <c r="N2392" i="1"/>
  <c r="N2393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8" i="1"/>
  <c r="N2409" i="1"/>
  <c r="N2410" i="1"/>
  <c r="N2411" i="1"/>
  <c r="N2412" i="1"/>
  <c r="N2413" i="1"/>
  <c r="N2414" i="1"/>
  <c r="N2415" i="1"/>
  <c r="N2416" i="1"/>
  <c r="N2417" i="1"/>
  <c r="N2418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3" i="1"/>
  <c r="N2434" i="1"/>
  <c r="N2435" i="1"/>
  <c r="N2436" i="1"/>
  <c r="N2437" i="1"/>
  <c r="N2438" i="1"/>
  <c r="N2439" i="1"/>
  <c r="N2440" i="1"/>
  <c r="N2441" i="1"/>
  <c r="N2442" i="1"/>
  <c r="N2443" i="1"/>
  <c r="N2446" i="1"/>
  <c r="N2447" i="1"/>
  <c r="N2448" i="1"/>
  <c r="N2449" i="1"/>
  <c r="N2450" i="1"/>
  <c r="N2451" i="1"/>
  <c r="N2452" i="1"/>
  <c r="N2453" i="1"/>
  <c r="N2454" i="1"/>
  <c r="N2455" i="1"/>
  <c r="N2457" i="1"/>
  <c r="N2459" i="1"/>
  <c r="N2460" i="1"/>
  <c r="N2461" i="1"/>
  <c r="N2462" i="1"/>
  <c r="N2463" i="1"/>
  <c r="N2464" i="1"/>
  <c r="N2465" i="1"/>
  <c r="N2466" i="1"/>
  <c r="N2467" i="1"/>
  <c r="N2468" i="1"/>
  <c r="N2471" i="1"/>
  <c r="N2472" i="1"/>
  <c r="N2473" i="1"/>
  <c r="N2474" i="1"/>
  <c r="N2475" i="1"/>
  <c r="N2476" i="1"/>
  <c r="N2477" i="1"/>
  <c r="N2478" i="1"/>
  <c r="N2479" i="1"/>
  <c r="N2480" i="1"/>
  <c r="N2483" i="1"/>
  <c r="N2484" i="1"/>
  <c r="N2485" i="1"/>
  <c r="N2486" i="1"/>
  <c r="N2487" i="1"/>
  <c r="N2488" i="1"/>
  <c r="N2489" i="1"/>
  <c r="N2490" i="1"/>
  <c r="N2491" i="1"/>
  <c r="N2492" i="1"/>
  <c r="N2495" i="1"/>
  <c r="N2496" i="1"/>
  <c r="N2497" i="1"/>
  <c r="N2498" i="1"/>
  <c r="N2499" i="1"/>
  <c r="N2500" i="1"/>
  <c r="N2501" i="1"/>
  <c r="N2502" i="1"/>
  <c r="N2503" i="1"/>
  <c r="N2504" i="1"/>
  <c r="N2507" i="1"/>
  <c r="N2508" i="1"/>
  <c r="N2509" i="1"/>
  <c r="N2510" i="1"/>
  <c r="N2511" i="1"/>
  <c r="N2512" i="1"/>
  <c r="N2513" i="1"/>
  <c r="N2514" i="1"/>
  <c r="N2515" i="1"/>
  <c r="N2516" i="1"/>
  <c r="N2519" i="1"/>
  <c r="N2520" i="1"/>
  <c r="N2521" i="1"/>
  <c r="N2522" i="1"/>
  <c r="N2523" i="1"/>
  <c r="N2524" i="1"/>
  <c r="N2525" i="1"/>
  <c r="N2526" i="1"/>
  <c r="N2527" i="1"/>
  <c r="N2528" i="1"/>
  <c r="N2531" i="1"/>
  <c r="N2532" i="1"/>
  <c r="N2533" i="1"/>
  <c r="N2534" i="1"/>
  <c r="N2535" i="1"/>
  <c r="N2536" i="1"/>
  <c r="N2537" i="1"/>
  <c r="N2538" i="1"/>
  <c r="N2539" i="1"/>
  <c r="N2540" i="1"/>
  <c r="N2543" i="1"/>
  <c r="N2544" i="1"/>
  <c r="N2545" i="1"/>
  <c r="N2546" i="1"/>
  <c r="N2547" i="1"/>
  <c r="N2548" i="1"/>
  <c r="N2549" i="1"/>
  <c r="N2550" i="1"/>
  <c r="N2551" i="1"/>
  <c r="N2552" i="1"/>
  <c r="N2555" i="1"/>
  <c r="N2556" i="1"/>
  <c r="N2557" i="1"/>
  <c r="N2558" i="1"/>
  <c r="N2559" i="1"/>
  <c r="N2560" i="1"/>
  <c r="N2561" i="1"/>
  <c r="N2562" i="1"/>
  <c r="N2563" i="1"/>
  <c r="N2564" i="1"/>
  <c r="N2567" i="1"/>
  <c r="N2568" i="1"/>
  <c r="N2569" i="1"/>
  <c r="N2570" i="1"/>
  <c r="N2571" i="1"/>
  <c r="N2572" i="1"/>
  <c r="N2573" i="1"/>
  <c r="N2574" i="1"/>
  <c r="N2575" i="1"/>
  <c r="N2576" i="1"/>
  <c r="N2579" i="1"/>
  <c r="N2580" i="1"/>
  <c r="N2581" i="1"/>
  <c r="N2582" i="1"/>
  <c r="N2583" i="1"/>
  <c r="N2584" i="1"/>
  <c r="N2585" i="1"/>
  <c r="N2586" i="1"/>
  <c r="N2587" i="1"/>
  <c r="N2588" i="1"/>
  <c r="N2589" i="1"/>
  <c r="N2591" i="1"/>
  <c r="N2592" i="1"/>
  <c r="N2593" i="1"/>
  <c r="N2594" i="1"/>
  <c r="N2595" i="1"/>
  <c r="N2596" i="1"/>
  <c r="N2597" i="1"/>
  <c r="N2598" i="1"/>
  <c r="N2599" i="1"/>
  <c r="N2600" i="1"/>
  <c r="N2603" i="1"/>
  <c r="N2604" i="1"/>
  <c r="N2605" i="1"/>
  <c r="N2606" i="1"/>
  <c r="N2607" i="1"/>
  <c r="N2608" i="1"/>
  <c r="N2609" i="1"/>
  <c r="N2610" i="1"/>
  <c r="N2611" i="1"/>
  <c r="N2612" i="1"/>
  <c r="N2615" i="1"/>
  <c r="N2616" i="1"/>
  <c r="N2617" i="1"/>
  <c r="N2618" i="1"/>
  <c r="N2619" i="1"/>
  <c r="N2620" i="1"/>
  <c r="N2621" i="1"/>
  <c r="N2622" i="1"/>
  <c r="N2623" i="1"/>
  <c r="N2624" i="1"/>
  <c r="N2627" i="1"/>
  <c r="N2628" i="1"/>
  <c r="N2629" i="1"/>
  <c r="N2630" i="1"/>
  <c r="N2631" i="1"/>
  <c r="N2632" i="1"/>
  <c r="N2633" i="1"/>
  <c r="N2634" i="1"/>
  <c r="N2635" i="1"/>
  <c r="N2636" i="1"/>
  <c r="N2639" i="1"/>
  <c r="N2640" i="1"/>
  <c r="N2641" i="1"/>
  <c r="N2642" i="1"/>
  <c r="N2643" i="1"/>
  <c r="N2644" i="1"/>
  <c r="N2645" i="1"/>
  <c r="N2646" i="1"/>
  <c r="N2647" i="1"/>
  <c r="N2648" i="1"/>
  <c r="N2651" i="1"/>
  <c r="N2652" i="1"/>
  <c r="N2653" i="1"/>
  <c r="N2654" i="1"/>
  <c r="N2655" i="1"/>
  <c r="N2656" i="1"/>
  <c r="N2657" i="1"/>
  <c r="N2658" i="1"/>
  <c r="N2659" i="1"/>
  <c r="N2660" i="1"/>
  <c r="N2663" i="1"/>
  <c r="N2664" i="1"/>
  <c r="N2665" i="1"/>
  <c r="N2666" i="1"/>
  <c r="N2667" i="1"/>
  <c r="N2668" i="1"/>
  <c r="N2669" i="1"/>
  <c r="N2670" i="1"/>
  <c r="N2671" i="1"/>
  <c r="N2672" i="1"/>
  <c r="N2675" i="1"/>
  <c r="N2676" i="1"/>
  <c r="N2677" i="1"/>
  <c r="N2678" i="1"/>
  <c r="N2679" i="1"/>
  <c r="N2680" i="1"/>
  <c r="N2681" i="1"/>
  <c r="N2682" i="1"/>
  <c r="N2683" i="1"/>
  <c r="N2684" i="1"/>
  <c r="N2687" i="1"/>
  <c r="N2688" i="1"/>
  <c r="N2689" i="1"/>
  <c r="N2690" i="1"/>
  <c r="N2691" i="1"/>
  <c r="N2692" i="1"/>
  <c r="N2693" i="1"/>
  <c r="N2694" i="1"/>
  <c r="N2695" i="1"/>
  <c r="N2696" i="1"/>
  <c r="N2699" i="1"/>
  <c r="N2700" i="1"/>
  <c r="N2701" i="1"/>
  <c r="N2702" i="1"/>
  <c r="N2703" i="1"/>
  <c r="N2704" i="1"/>
  <c r="N2705" i="1"/>
  <c r="N2706" i="1"/>
  <c r="N2707" i="1"/>
  <c r="N2708" i="1"/>
  <c r="N2711" i="1"/>
  <c r="N2712" i="1"/>
  <c r="N2713" i="1"/>
  <c r="N2714" i="1"/>
  <c r="N2715" i="1"/>
  <c r="N2716" i="1"/>
  <c r="N2717" i="1"/>
  <c r="N2718" i="1"/>
  <c r="N2719" i="1"/>
  <c r="N2720" i="1"/>
  <c r="N2723" i="1"/>
  <c r="N2724" i="1"/>
  <c r="N2725" i="1"/>
  <c r="N2726" i="1"/>
  <c r="N2727" i="1"/>
  <c r="N2728" i="1"/>
  <c r="N2729" i="1"/>
  <c r="N2730" i="1"/>
  <c r="N2731" i="1"/>
  <c r="N2732" i="1"/>
  <c r="N2733" i="1"/>
  <c r="N2735" i="1"/>
  <c r="N2736" i="1"/>
  <c r="N2737" i="1"/>
  <c r="N2738" i="1"/>
  <c r="N2739" i="1"/>
  <c r="N2740" i="1"/>
  <c r="N2741" i="1"/>
  <c r="N2742" i="1"/>
  <c r="N2743" i="1"/>
  <c r="N2744" i="1"/>
  <c r="N2747" i="1"/>
  <c r="N2748" i="1"/>
  <c r="N2749" i="1"/>
  <c r="N2750" i="1"/>
  <c r="N2751" i="1"/>
  <c r="N2752" i="1"/>
  <c r="N2753" i="1"/>
  <c r="N2754" i="1"/>
  <c r="N2755" i="1"/>
  <c r="N2756" i="1"/>
  <c r="N2759" i="1"/>
  <c r="N2760" i="1"/>
  <c r="N2761" i="1"/>
  <c r="N2762" i="1"/>
  <c r="N2763" i="1"/>
  <c r="N2764" i="1"/>
  <c r="N2765" i="1"/>
  <c r="N2766" i="1"/>
  <c r="N2767" i="1"/>
  <c r="N2768" i="1"/>
  <c r="N2771" i="1"/>
  <c r="N2772" i="1"/>
  <c r="N2773" i="1"/>
  <c r="N2774" i="1"/>
  <c r="N2775" i="1"/>
  <c r="N2776" i="1"/>
  <c r="N2777" i="1"/>
  <c r="N2778" i="1"/>
  <c r="N2779" i="1"/>
  <c r="N2780" i="1"/>
  <c r="N2783" i="1"/>
  <c r="N2784" i="1"/>
  <c r="N2785" i="1"/>
  <c r="N2786" i="1"/>
  <c r="N2787" i="1"/>
  <c r="N2788" i="1"/>
  <c r="N2789" i="1"/>
  <c r="N2790" i="1"/>
  <c r="N2791" i="1"/>
  <c r="N2792" i="1"/>
  <c r="N2795" i="1"/>
  <c r="N2796" i="1"/>
  <c r="N2797" i="1"/>
  <c r="N2798" i="1"/>
  <c r="N2799" i="1"/>
  <c r="N2800" i="1"/>
  <c r="N2801" i="1"/>
  <c r="N2802" i="1"/>
  <c r="N2803" i="1"/>
  <c r="N2804" i="1"/>
  <c r="N2807" i="1"/>
  <c r="N2808" i="1"/>
  <c r="N2809" i="1"/>
  <c r="N2810" i="1"/>
  <c r="N2811" i="1"/>
  <c r="N2812" i="1"/>
  <c r="N2813" i="1"/>
  <c r="N2814" i="1"/>
  <c r="N2815" i="1"/>
  <c r="N2816" i="1"/>
  <c r="N2819" i="1"/>
  <c r="N2820" i="1"/>
  <c r="N2821" i="1"/>
  <c r="N2822" i="1"/>
  <c r="N2823" i="1"/>
  <c r="N2824" i="1"/>
  <c r="N2825" i="1"/>
  <c r="N2826" i="1"/>
  <c r="N2827" i="1"/>
  <c r="N2828" i="1"/>
  <c r="N2831" i="1"/>
  <c r="N2832" i="1"/>
  <c r="N2833" i="1"/>
  <c r="N2834" i="1"/>
  <c r="N2835" i="1"/>
  <c r="N2836" i="1"/>
  <c r="N2837" i="1"/>
  <c r="N2838" i="1"/>
  <c r="N2839" i="1"/>
  <c r="N2840" i="1"/>
  <c r="N2843" i="1"/>
  <c r="N2844" i="1"/>
  <c r="N2845" i="1"/>
  <c r="N2846" i="1"/>
  <c r="N2847" i="1"/>
  <c r="N2848" i="1"/>
  <c r="N2849" i="1"/>
  <c r="N2850" i="1"/>
  <c r="N2851" i="1"/>
  <c r="N2852" i="1"/>
  <c r="N2855" i="1"/>
  <c r="N2856" i="1"/>
  <c r="N2857" i="1"/>
  <c r="N2858" i="1"/>
  <c r="N2859" i="1"/>
  <c r="N2860" i="1"/>
  <c r="N2861" i="1"/>
  <c r="N2862" i="1"/>
  <c r="N2863" i="1"/>
  <c r="N2864" i="1"/>
  <c r="N2867" i="1"/>
  <c r="N2868" i="1"/>
  <c r="N2869" i="1"/>
  <c r="N2870" i="1"/>
  <c r="N2871" i="1"/>
  <c r="N2872" i="1"/>
  <c r="N2873" i="1"/>
  <c r="N2874" i="1"/>
  <c r="N2875" i="1"/>
  <c r="N2876" i="1"/>
  <c r="N2877" i="1"/>
  <c r="N2879" i="1"/>
  <c r="N2880" i="1"/>
  <c r="N2881" i="1"/>
  <c r="N2882" i="1"/>
  <c r="N2883" i="1"/>
  <c r="N2884" i="1"/>
  <c r="N2885" i="1"/>
  <c r="N2886" i="1"/>
  <c r="N2887" i="1"/>
  <c r="N2888" i="1"/>
  <c r="N2891" i="1"/>
  <c r="N2892" i="1"/>
  <c r="N2893" i="1"/>
  <c r="N2894" i="1"/>
  <c r="N2895" i="1"/>
  <c r="N2896" i="1"/>
  <c r="N2897" i="1"/>
  <c r="N2898" i="1"/>
  <c r="N2899" i="1"/>
  <c r="N2900" i="1"/>
  <c r="N2903" i="1"/>
  <c r="N2904" i="1"/>
  <c r="N2905" i="1"/>
  <c r="N2906" i="1"/>
  <c r="N2907" i="1"/>
  <c r="N2908" i="1"/>
  <c r="N2909" i="1"/>
  <c r="N2910" i="1"/>
  <c r="N2911" i="1"/>
  <c r="N2912" i="1"/>
  <c r="N2915" i="1"/>
  <c r="N2916" i="1"/>
  <c r="N2917" i="1"/>
  <c r="N2918" i="1"/>
  <c r="N2919" i="1"/>
  <c r="N2920" i="1"/>
  <c r="N2921" i="1"/>
  <c r="N2922" i="1"/>
  <c r="N2923" i="1"/>
  <c r="N2924" i="1"/>
  <c r="N2927" i="1"/>
  <c r="N2928" i="1"/>
  <c r="N2929" i="1"/>
  <c r="N2930" i="1"/>
  <c r="N2931" i="1"/>
  <c r="N2932" i="1"/>
  <c r="N2934" i="1"/>
  <c r="N2935" i="1"/>
  <c r="N2936" i="1"/>
  <c r="N2937" i="1"/>
  <c r="N2938" i="1"/>
  <c r="N2939" i="1"/>
  <c r="N2942" i="1"/>
  <c r="N2943" i="1"/>
  <c r="N2944" i="1"/>
  <c r="N2945" i="1"/>
  <c r="N2946" i="1"/>
  <c r="N2947" i="1"/>
  <c r="N2948" i="1"/>
  <c r="N2950" i="1"/>
  <c r="N2951" i="1"/>
  <c r="N2953" i="1"/>
  <c r="N2955" i="1"/>
  <c r="N2956" i="1"/>
  <c r="N2957" i="1"/>
  <c r="N2958" i="1"/>
  <c r="N2959" i="1"/>
  <c r="N2960" i="1"/>
  <c r="N2963" i="1"/>
  <c r="N2964" i="1"/>
  <c r="N2965" i="1"/>
  <c r="N2966" i="1"/>
  <c r="N2967" i="1"/>
  <c r="N2968" i="1"/>
  <c r="N2969" i="1"/>
  <c r="N2970" i="1"/>
  <c r="N2971" i="1"/>
  <c r="N2972" i="1"/>
  <c r="N2975" i="1"/>
  <c r="N2976" i="1"/>
  <c r="N2977" i="1"/>
  <c r="N2978" i="1"/>
  <c r="N2979" i="1"/>
  <c r="N2980" i="1"/>
  <c r="N2981" i="1"/>
  <c r="N2982" i="1"/>
  <c r="N2983" i="1"/>
  <c r="N2984" i="1"/>
  <c r="N2985" i="1"/>
  <c r="N2987" i="1"/>
  <c r="N2988" i="1"/>
  <c r="N2989" i="1"/>
  <c r="N2990" i="1"/>
  <c r="N2991" i="1"/>
  <c r="N2992" i="1"/>
  <c r="N2993" i="1"/>
  <c r="N2994" i="1"/>
  <c r="N2995" i="1"/>
  <c r="N2996" i="1"/>
  <c r="N2999" i="1"/>
  <c r="N3000" i="1"/>
  <c r="N3001" i="1"/>
  <c r="N3002" i="1"/>
  <c r="N3003" i="1"/>
  <c r="N3004" i="1"/>
  <c r="N3005" i="1"/>
  <c r="N3006" i="1"/>
  <c r="N3007" i="1"/>
  <c r="N3008" i="1"/>
  <c r="N3011" i="1"/>
  <c r="N3012" i="1"/>
  <c r="N3013" i="1"/>
  <c r="N3014" i="1"/>
  <c r="N3015" i="1"/>
  <c r="N3016" i="1"/>
  <c r="N3017" i="1"/>
  <c r="N3018" i="1"/>
  <c r="N3019" i="1"/>
  <c r="N3020" i="1"/>
  <c r="N3023" i="1"/>
  <c r="N3024" i="1"/>
  <c r="N3025" i="1"/>
  <c r="N3026" i="1"/>
  <c r="N3027" i="1"/>
  <c r="N3028" i="1"/>
  <c r="N3029" i="1"/>
  <c r="N3030" i="1"/>
  <c r="N3031" i="1"/>
  <c r="N3032" i="1"/>
  <c r="N3035" i="1"/>
  <c r="N3036" i="1"/>
  <c r="N3037" i="1"/>
  <c r="N3038" i="1"/>
  <c r="N3039" i="1"/>
  <c r="N3040" i="1"/>
  <c r="N3041" i="1"/>
  <c r="N3042" i="1"/>
  <c r="N3043" i="1"/>
  <c r="N3044" i="1"/>
  <c r="N3047" i="1"/>
  <c r="N3048" i="1"/>
  <c r="N3049" i="1"/>
  <c r="N3050" i="1"/>
  <c r="N3051" i="1"/>
  <c r="N3052" i="1"/>
  <c r="N3053" i="1"/>
  <c r="N3054" i="1"/>
  <c r="N3055" i="1"/>
  <c r="N3056" i="1"/>
  <c r="N3059" i="1"/>
  <c r="N3060" i="1"/>
  <c r="N3061" i="1"/>
  <c r="N3062" i="1"/>
  <c r="N3064" i="1"/>
  <c r="N3065" i="1"/>
  <c r="N3066" i="1"/>
  <c r="N3067" i="1"/>
  <c r="N3068" i="1"/>
  <c r="N3069" i="1"/>
  <c r="N3070" i="1"/>
  <c r="N3071" i="1"/>
  <c r="N3072" i="1"/>
  <c r="N3073" i="1"/>
  <c r="N3074" i="1"/>
  <c r="N3076" i="1"/>
  <c r="N3078" i="1"/>
  <c r="N3080" i="1"/>
  <c r="N3081" i="1"/>
  <c r="N3084" i="1"/>
  <c r="N3085" i="1"/>
  <c r="N3087" i="1"/>
  <c r="N3088" i="1"/>
  <c r="N3089" i="1"/>
  <c r="N3090" i="1"/>
  <c r="N3093" i="1"/>
  <c r="N3094" i="1"/>
  <c r="N3096" i="1"/>
  <c r="N3097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8" i="1"/>
  <c r="N3119" i="1"/>
  <c r="N3120" i="1"/>
  <c r="N3122" i="1"/>
  <c r="N3123" i="1"/>
  <c r="N3124" i="1"/>
  <c r="N3126" i="1"/>
  <c r="N3127" i="1"/>
  <c r="N3130" i="1"/>
  <c r="N3131" i="1"/>
  <c r="N3132" i="1"/>
  <c r="N3133" i="1"/>
  <c r="N3134" i="1"/>
  <c r="N3135" i="1"/>
  <c r="N3136" i="1"/>
  <c r="N3138" i="1"/>
  <c r="N3139" i="1"/>
  <c r="N3140" i="1"/>
  <c r="N3141" i="1"/>
  <c r="N3142" i="1"/>
  <c r="N3143" i="1"/>
  <c r="N3144" i="1"/>
  <c r="N3145" i="1"/>
  <c r="N3147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4" i="1"/>
  <c r="N3165" i="1"/>
  <c r="N3166" i="1"/>
  <c r="N3167" i="1"/>
  <c r="N3168" i="1"/>
  <c r="N3169" i="1"/>
  <c r="N3170" i="1"/>
  <c r="N3171" i="1"/>
  <c r="N3172" i="1"/>
  <c r="N3173" i="1"/>
  <c r="N3174" i="1"/>
  <c r="N3176" i="1"/>
  <c r="N3177" i="1"/>
  <c r="N3178" i="1"/>
  <c r="N3179" i="1"/>
  <c r="N3180" i="1"/>
  <c r="N3181" i="1"/>
  <c r="N3182" i="1"/>
  <c r="N3183" i="1"/>
  <c r="N3184" i="1"/>
  <c r="N3185" i="1"/>
  <c r="N3186" i="1"/>
  <c r="N3188" i="1"/>
  <c r="N3189" i="1"/>
  <c r="N3190" i="1"/>
  <c r="N3191" i="1"/>
  <c r="N3192" i="1"/>
  <c r="N3193" i="1"/>
  <c r="N3194" i="1"/>
  <c r="N3195" i="1"/>
  <c r="N3196" i="1"/>
  <c r="N3197" i="1"/>
  <c r="N3198" i="1"/>
  <c r="N3200" i="1"/>
  <c r="N3201" i="1"/>
  <c r="N3202" i="1"/>
  <c r="N3203" i="1"/>
  <c r="N3204" i="1"/>
  <c r="N3205" i="1"/>
  <c r="N3206" i="1"/>
  <c r="N3207" i="1"/>
  <c r="N3208" i="1"/>
  <c r="N3209" i="1"/>
  <c r="N3210" i="1"/>
  <c r="N3212" i="1"/>
  <c r="N3213" i="1"/>
  <c r="N3214" i="1"/>
  <c r="N3215" i="1"/>
  <c r="N3216" i="1"/>
  <c r="N3217" i="1"/>
  <c r="N3218" i="1"/>
  <c r="N3219" i="1"/>
  <c r="N3220" i="1"/>
  <c r="N3221" i="1"/>
  <c r="N3222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40" i="1"/>
  <c r="N3241" i="1"/>
  <c r="N3242" i="1"/>
  <c r="N3243" i="1"/>
  <c r="N3244" i="1"/>
  <c r="N3245" i="1"/>
  <c r="N3246" i="1"/>
  <c r="N3247" i="1"/>
  <c r="N3248" i="1"/>
  <c r="N3249" i="1"/>
  <c r="N3252" i="1"/>
  <c r="N3253" i="1"/>
  <c r="N3254" i="1"/>
  <c r="N3255" i="1"/>
  <c r="N3256" i="1"/>
  <c r="N3257" i="1"/>
  <c r="N3258" i="1"/>
  <c r="N3259" i="1"/>
  <c r="N3260" i="1"/>
  <c r="N3261" i="1"/>
  <c r="N3262" i="1"/>
  <c r="N3264" i="1"/>
  <c r="N3265" i="1"/>
  <c r="N3266" i="1"/>
  <c r="N3267" i="1"/>
  <c r="N3268" i="1"/>
  <c r="N3269" i="1"/>
  <c r="N3270" i="1"/>
  <c r="N3271" i="1"/>
  <c r="N3272" i="1"/>
  <c r="N3273" i="1"/>
  <c r="N3276" i="1"/>
  <c r="N3277" i="1"/>
  <c r="N3278" i="1"/>
  <c r="N3279" i="1"/>
  <c r="N3280" i="1"/>
  <c r="N3281" i="1"/>
  <c r="N3282" i="1"/>
  <c r="N3283" i="1"/>
  <c r="N3284" i="1"/>
  <c r="N3285" i="1"/>
  <c r="N3288" i="1"/>
  <c r="N3289" i="1"/>
  <c r="N3290" i="1"/>
  <c r="N3291" i="1"/>
  <c r="N3292" i="1"/>
  <c r="N3293" i="1"/>
  <c r="N3294" i="1"/>
  <c r="N3295" i="1"/>
  <c r="N3296" i="1"/>
  <c r="N3297" i="1"/>
  <c r="N3300" i="1"/>
  <c r="N3301" i="1"/>
  <c r="N3302" i="1"/>
  <c r="N3303" i="1"/>
  <c r="N3304" i="1"/>
  <c r="N3305" i="1"/>
  <c r="N3306" i="1"/>
  <c r="N3307" i="1"/>
  <c r="N3308" i="1"/>
  <c r="N3309" i="1"/>
  <c r="N3313" i="1"/>
  <c r="N3314" i="1"/>
  <c r="N3315" i="1"/>
  <c r="N3316" i="1"/>
  <c r="N3317" i="1"/>
  <c r="N3318" i="1"/>
  <c r="N3319" i="1"/>
  <c r="N3320" i="1"/>
  <c r="N3322" i="1"/>
  <c r="N3323" i="1"/>
  <c r="N3324" i="1"/>
  <c r="N3325" i="1"/>
  <c r="N3326" i="1"/>
  <c r="N3327" i="1"/>
  <c r="N3328" i="1"/>
  <c r="N3329" i="1"/>
  <c r="N3330" i="1"/>
  <c r="N3331" i="1"/>
  <c r="N3332" i="1"/>
  <c r="N3334" i="1"/>
  <c r="N3335" i="1"/>
  <c r="N3336" i="1"/>
  <c r="N3337" i="1"/>
  <c r="N3338" i="1"/>
  <c r="N3339" i="1"/>
  <c r="N3342" i="1"/>
  <c r="N3343" i="1"/>
  <c r="N3344" i="1"/>
  <c r="N3345" i="1"/>
  <c r="N3346" i="1"/>
  <c r="N3347" i="1"/>
  <c r="N3348" i="1"/>
  <c r="N3349" i="1"/>
  <c r="N3350" i="1"/>
  <c r="N3351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7" i="1"/>
  <c r="N3369" i="1"/>
  <c r="N3370" i="1"/>
  <c r="N3371" i="1"/>
  <c r="N3372" i="1"/>
  <c r="N3373" i="1"/>
  <c r="N3374" i="1"/>
  <c r="N3375" i="1"/>
  <c r="N3376" i="1"/>
  <c r="N3377" i="1"/>
  <c r="N3378" i="1"/>
  <c r="N3381" i="1"/>
  <c r="N3382" i="1"/>
  <c r="N3383" i="1"/>
  <c r="N3384" i="1"/>
  <c r="N3385" i="1"/>
  <c r="N3386" i="1"/>
  <c r="N3387" i="1"/>
  <c r="N3389" i="1"/>
  <c r="N3390" i="1"/>
  <c r="N3391" i="1"/>
  <c r="N3392" i="1"/>
  <c r="N3393" i="1"/>
  <c r="N3394" i="1"/>
  <c r="N3395" i="1"/>
  <c r="N3397" i="1"/>
  <c r="N3398" i="1"/>
  <c r="N3399" i="1"/>
  <c r="N3400" i="1"/>
  <c r="N3401" i="1"/>
  <c r="N3403" i="1"/>
  <c r="N3404" i="1"/>
  <c r="N3405" i="1"/>
  <c r="N3406" i="1"/>
  <c r="N3407" i="1"/>
  <c r="N3408" i="1"/>
  <c r="N3409" i="1"/>
  <c r="N3410" i="1"/>
  <c r="N3411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8" i="1"/>
  <c r="N3429" i="1"/>
  <c r="N3430" i="1"/>
  <c r="N3431" i="1"/>
  <c r="N3432" i="1"/>
  <c r="N3433" i="1"/>
  <c r="N3434" i="1"/>
  <c r="N3437" i="1"/>
  <c r="N3438" i="1"/>
  <c r="N3439" i="1"/>
  <c r="N3440" i="1"/>
  <c r="N3441" i="1"/>
  <c r="N3442" i="1"/>
  <c r="N3443" i="1"/>
  <c r="N3444" i="1"/>
  <c r="N3445" i="1"/>
  <c r="N3446" i="1"/>
  <c r="N3448" i="1"/>
  <c r="N3449" i="1"/>
  <c r="N3450" i="1"/>
  <c r="N3451" i="1"/>
  <c r="N3452" i="1"/>
  <c r="N3453" i="1"/>
  <c r="N3454" i="1"/>
  <c r="N3455" i="1"/>
  <c r="N3456" i="1"/>
  <c r="N3457" i="1"/>
  <c r="N3458" i="1"/>
  <c r="N3460" i="1"/>
  <c r="N3461" i="1"/>
  <c r="N3462" i="1"/>
  <c r="N3463" i="1"/>
  <c r="N3464" i="1"/>
  <c r="N3465" i="1"/>
  <c r="N3466" i="1"/>
  <c r="N3467" i="1"/>
  <c r="N3468" i="1"/>
  <c r="N3469" i="1"/>
  <c r="N3470" i="1"/>
  <c r="N3472" i="1"/>
  <c r="N3473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9" i="1"/>
  <c r="N3490" i="1"/>
  <c r="N3491" i="1"/>
  <c r="N3492" i="1"/>
  <c r="N3493" i="1"/>
  <c r="N3494" i="1"/>
  <c r="N3495" i="1"/>
  <c r="N3496" i="1"/>
  <c r="N3497" i="1"/>
  <c r="N3498" i="1"/>
  <c r="N3499" i="1"/>
  <c r="N3501" i="1"/>
  <c r="N3502" i="1"/>
  <c r="N3503" i="1"/>
  <c r="N3504" i="1"/>
  <c r="N3505" i="1"/>
  <c r="N3506" i="1"/>
  <c r="N3507" i="1"/>
  <c r="N3510" i="1"/>
  <c r="N3511" i="1"/>
  <c r="N3512" i="1"/>
  <c r="N3513" i="1"/>
  <c r="N3514" i="1"/>
  <c r="N3515" i="1"/>
  <c r="N3516" i="1"/>
  <c r="N3517" i="1"/>
  <c r="N3520" i="1"/>
  <c r="N3521" i="1"/>
  <c r="N3522" i="1"/>
  <c r="N3523" i="1"/>
  <c r="N3524" i="1"/>
  <c r="N3525" i="1"/>
  <c r="N3526" i="1"/>
  <c r="N3527" i="1"/>
  <c r="N3528" i="1"/>
  <c r="N3529" i="1"/>
  <c r="N3530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6" i="1"/>
  <c r="N3547" i="1"/>
  <c r="N3548" i="1"/>
  <c r="N3549" i="1"/>
  <c r="N3550" i="1"/>
  <c r="N3551" i="1"/>
  <c r="N3552" i="1"/>
  <c r="N3553" i="1"/>
  <c r="N3554" i="1"/>
  <c r="N3555" i="1"/>
  <c r="N3556" i="1"/>
  <c r="N3558" i="1"/>
  <c r="N3559" i="1"/>
  <c r="N3560" i="1"/>
  <c r="N3561" i="1"/>
  <c r="N3562" i="1"/>
  <c r="N3563" i="1"/>
  <c r="N3564" i="1"/>
  <c r="N3565" i="1"/>
  <c r="N3566" i="1"/>
  <c r="N3567" i="1"/>
  <c r="N3568" i="1"/>
  <c r="N3570" i="1"/>
  <c r="N3571" i="1"/>
  <c r="N3572" i="1"/>
  <c r="N3573" i="1"/>
  <c r="N3574" i="1"/>
  <c r="N3575" i="1"/>
  <c r="N3576" i="1"/>
  <c r="N3577" i="1"/>
  <c r="N3578" i="1"/>
  <c r="N3579" i="1"/>
  <c r="N3580" i="1"/>
  <c r="N3582" i="1"/>
  <c r="N3583" i="1"/>
  <c r="N3584" i="1"/>
  <c r="N3585" i="1"/>
  <c r="N3586" i="1"/>
  <c r="N3587" i="1"/>
  <c r="N3588" i="1"/>
  <c r="N3589" i="1"/>
  <c r="N3590" i="1"/>
  <c r="N3591" i="1"/>
  <c r="N3592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9" i="1"/>
  <c r="N3610" i="1"/>
  <c r="N3611" i="1"/>
  <c r="N3612" i="1"/>
  <c r="N3613" i="1"/>
  <c r="N3615" i="1"/>
  <c r="N3616" i="1"/>
  <c r="N3618" i="1"/>
  <c r="N3619" i="1"/>
  <c r="N3620" i="1"/>
  <c r="N3621" i="1"/>
  <c r="N3622" i="1"/>
  <c r="N3623" i="1"/>
  <c r="N3624" i="1"/>
  <c r="N3625" i="1"/>
  <c r="N3626" i="1"/>
  <c r="N3627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4" i="1"/>
  <c r="N3645" i="1"/>
  <c r="N3646" i="1"/>
  <c r="N3647" i="1"/>
  <c r="N3648" i="1"/>
  <c r="N3649" i="1"/>
  <c r="N3650" i="1"/>
  <c r="N3651" i="1"/>
  <c r="N3652" i="1"/>
  <c r="N3655" i="1"/>
  <c r="N3656" i="1"/>
  <c r="N3657" i="1"/>
  <c r="N3658" i="1"/>
  <c r="N3659" i="1"/>
  <c r="N3660" i="1"/>
  <c r="N3661" i="1"/>
  <c r="N3662" i="1"/>
  <c r="N3663" i="1"/>
  <c r="N3664" i="1"/>
  <c r="N3667" i="1"/>
  <c r="N3668" i="1"/>
  <c r="N3669" i="1"/>
  <c r="N3670" i="1"/>
  <c r="N3671" i="1"/>
  <c r="N3672" i="1"/>
  <c r="N3673" i="1"/>
  <c r="N3674" i="1"/>
  <c r="N3675" i="1"/>
  <c r="N3676" i="1"/>
  <c r="N3677" i="1"/>
  <c r="N3679" i="1"/>
  <c r="N3680" i="1"/>
  <c r="N3681" i="1"/>
  <c r="N3682" i="1"/>
  <c r="N3685" i="1"/>
  <c r="N3686" i="1"/>
  <c r="N3687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4" i="1"/>
  <c r="N3705" i="1"/>
  <c r="N3706" i="1"/>
  <c r="N3707" i="1"/>
  <c r="N3708" i="1"/>
  <c r="N3709" i="1"/>
  <c r="N3710" i="1"/>
  <c r="N3711" i="1"/>
  <c r="N3712" i="1"/>
  <c r="N3713" i="1"/>
  <c r="N3715" i="1"/>
  <c r="N3716" i="1"/>
  <c r="N3717" i="1"/>
  <c r="N3719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40" i="1"/>
  <c r="N3741" i="1"/>
  <c r="N3743" i="1"/>
  <c r="N3744" i="1"/>
  <c r="N3745" i="1"/>
  <c r="N3746" i="1"/>
  <c r="N3747" i="1"/>
  <c r="N3749" i="1"/>
  <c r="N3750" i="1"/>
  <c r="N3751" i="1"/>
  <c r="N3752" i="1"/>
  <c r="N3753" i="1"/>
  <c r="N3754" i="1"/>
  <c r="N3755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80" i="1"/>
  <c r="N3782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4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9" i="1"/>
  <c r="N3850" i="1"/>
  <c r="N3851" i="1"/>
  <c r="N3852" i="1"/>
  <c r="N3853" i="1"/>
  <c r="N3854" i="1"/>
  <c r="N3855" i="1"/>
  <c r="N3856" i="1"/>
  <c r="N3858" i="1"/>
  <c r="N3859" i="1"/>
  <c r="N3860" i="1"/>
  <c r="N3861" i="1"/>
  <c r="N3862" i="1"/>
  <c r="N3863" i="1"/>
  <c r="N3865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6" i="1"/>
  <c r="N3897" i="1"/>
  <c r="N3898" i="1"/>
  <c r="N3899" i="1"/>
  <c r="N3900" i="1"/>
  <c r="N3902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20" i="1"/>
  <c r="N3921" i="1"/>
  <c r="N3922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9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7" i="1"/>
  <c r="N3958" i="1"/>
  <c r="N3959" i="1"/>
  <c r="N3960" i="1"/>
  <c r="N3961" i="1"/>
  <c r="N3962" i="1"/>
  <c r="N3963" i="1"/>
  <c r="N3964" i="1"/>
  <c r="N3967" i="1"/>
  <c r="N3968" i="1"/>
  <c r="N3969" i="1"/>
  <c r="N3970" i="1"/>
  <c r="N3971" i="1"/>
  <c r="N3972" i="1"/>
  <c r="N3973" i="1"/>
  <c r="N3974" i="1"/>
  <c r="N3975" i="1"/>
  <c r="N3976" i="1"/>
  <c r="N3978" i="1"/>
  <c r="N3979" i="1"/>
  <c r="N3980" i="1"/>
  <c r="N3981" i="1"/>
  <c r="N3983" i="1"/>
  <c r="N3985" i="1"/>
  <c r="N3986" i="1"/>
  <c r="N3987" i="1"/>
  <c r="N3988" i="1"/>
  <c r="N3989" i="1"/>
  <c r="N3991" i="1"/>
  <c r="N3992" i="1"/>
  <c r="N3993" i="1"/>
  <c r="N3994" i="1"/>
  <c r="N3995" i="1"/>
  <c r="N3996" i="1"/>
  <c r="N3997" i="1"/>
  <c r="N3998" i="1"/>
  <c r="N3999" i="1"/>
  <c r="N4000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7" i="1"/>
  <c r="N4018" i="1"/>
  <c r="N4019" i="1"/>
  <c r="N4020" i="1"/>
  <c r="N4021" i="1"/>
  <c r="N4022" i="1"/>
  <c r="N4023" i="1"/>
  <c r="N4024" i="1"/>
  <c r="N4025" i="1"/>
  <c r="N4026" i="1"/>
  <c r="N4029" i="1"/>
  <c r="N4030" i="1"/>
  <c r="N4031" i="1"/>
  <c r="N4032" i="1"/>
  <c r="N4035" i="1"/>
  <c r="N4036" i="1"/>
  <c r="N4037" i="1"/>
  <c r="N4038" i="1"/>
  <c r="N4039" i="1"/>
  <c r="N4040" i="1"/>
  <c r="N4041" i="1"/>
  <c r="N4042" i="1"/>
  <c r="N4043" i="1"/>
  <c r="N4044" i="1"/>
  <c r="N4045" i="1"/>
  <c r="N4047" i="1"/>
  <c r="N4048" i="1"/>
  <c r="N4049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5" i="1"/>
  <c r="N4066" i="1"/>
  <c r="N4067" i="1"/>
  <c r="N4069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6" i="1"/>
  <c r="N4117" i="1"/>
  <c r="N4118" i="1"/>
  <c r="N4119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7" i="1"/>
  <c r="N4138" i="1"/>
  <c r="N4139" i="1"/>
  <c r="N4140" i="1"/>
  <c r="N4141" i="1"/>
  <c r="N4142" i="1"/>
  <c r="N4143" i="1"/>
  <c r="N4144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2" i="1"/>
  <c r="N4163" i="1"/>
  <c r="N4164" i="1"/>
  <c r="N4165" i="1"/>
  <c r="N4166" i="1"/>
  <c r="N4167" i="1"/>
  <c r="N4168" i="1"/>
  <c r="N4169" i="1"/>
  <c r="N4170" i="1"/>
  <c r="N4171" i="1"/>
  <c r="N4174" i="1"/>
  <c r="N4175" i="1"/>
  <c r="N4176" i="1"/>
  <c r="N4177" i="1"/>
  <c r="N4178" i="1"/>
  <c r="N4179" i="1"/>
  <c r="N4180" i="1"/>
  <c r="N4181" i="1"/>
  <c r="N4182" i="1"/>
  <c r="N4185" i="1"/>
  <c r="N4186" i="1"/>
  <c r="N4187" i="1"/>
  <c r="N4188" i="1"/>
  <c r="N4189" i="1"/>
  <c r="N4190" i="1"/>
  <c r="N4191" i="1"/>
  <c r="N4192" i="1"/>
  <c r="N4194" i="1"/>
  <c r="N4196" i="1"/>
  <c r="N4197" i="1"/>
  <c r="N4198" i="1"/>
  <c r="N4199" i="1"/>
  <c r="N4200" i="1"/>
  <c r="N4201" i="1"/>
  <c r="N4202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21" i="1"/>
  <c r="N4222" i="1"/>
  <c r="N4223" i="1"/>
  <c r="N4224" i="1"/>
  <c r="N4225" i="1"/>
  <c r="N4226" i="1"/>
  <c r="N4227" i="1"/>
  <c r="N4228" i="1"/>
  <c r="N4229" i="1"/>
  <c r="N4230" i="1"/>
  <c r="N4231" i="1"/>
  <c r="N4233" i="1"/>
  <c r="N4234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7" i="1"/>
  <c r="N4258" i="1"/>
  <c r="N4259" i="1"/>
  <c r="N4260" i="1"/>
  <c r="N4261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80" i="1"/>
  <c r="N4282" i="1"/>
  <c r="N4283" i="1"/>
  <c r="N4284" i="1"/>
  <c r="N4287" i="1"/>
  <c r="N4288" i="1"/>
  <c r="N4289" i="1"/>
  <c r="N4290" i="1"/>
  <c r="N4291" i="1"/>
  <c r="N4292" i="1"/>
  <c r="N4293" i="1"/>
  <c r="N4294" i="1"/>
  <c r="N4295" i="1"/>
  <c r="N4296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6" i="1"/>
  <c r="N4317" i="1"/>
  <c r="N4318" i="1"/>
  <c r="N4321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4" i="1"/>
  <c r="N4345" i="1"/>
  <c r="N4346" i="1"/>
  <c r="N4348" i="1"/>
  <c r="N4349" i="1"/>
  <c r="N4350" i="1"/>
  <c r="N4351" i="1"/>
  <c r="N4352" i="1"/>
  <c r="N4353" i="1"/>
  <c r="N4354" i="1"/>
  <c r="N4357" i="1"/>
  <c r="N4358" i="1"/>
  <c r="N4359" i="1"/>
  <c r="N4360" i="1"/>
  <c r="N4361" i="1"/>
  <c r="N4362" i="1"/>
  <c r="N4363" i="1"/>
  <c r="N4364" i="1"/>
  <c r="N4365" i="1"/>
  <c r="N4366" i="1"/>
  <c r="N4369" i="1"/>
  <c r="N4370" i="1"/>
  <c r="N4371" i="1"/>
  <c r="N4372" i="1"/>
  <c r="N4373" i="1"/>
  <c r="N4374" i="1"/>
  <c r="N4375" i="1"/>
  <c r="N4376" i="1"/>
  <c r="N4377" i="1"/>
  <c r="N4378" i="1"/>
  <c r="N4379" i="1"/>
  <c r="N4381" i="1"/>
  <c r="N4382" i="1"/>
  <c r="N4383" i="1"/>
  <c r="N4384" i="1"/>
  <c r="N4385" i="1"/>
  <c r="N4386" i="1"/>
  <c r="N4387" i="1"/>
  <c r="N4388" i="1"/>
  <c r="N4389" i="1"/>
  <c r="N4390" i="1"/>
  <c r="N4393" i="1"/>
  <c r="N4394" i="1"/>
  <c r="N4395" i="1"/>
  <c r="N4396" i="1"/>
  <c r="N4397" i="1"/>
  <c r="N4398" i="1"/>
  <c r="N4399" i="1"/>
  <c r="N4400" i="1"/>
  <c r="N4401" i="1"/>
  <c r="N4402" i="1"/>
  <c r="N4405" i="1"/>
  <c r="N4406" i="1"/>
  <c r="N4407" i="1"/>
  <c r="N4408" i="1"/>
  <c r="N4409" i="1"/>
  <c r="N4410" i="1"/>
  <c r="N4411" i="1"/>
  <c r="N4412" i="1"/>
  <c r="N4413" i="1"/>
  <c r="N4414" i="1"/>
  <c r="N4417" i="1"/>
  <c r="N4418" i="1"/>
  <c r="N4419" i="1"/>
  <c r="N4420" i="1"/>
  <c r="N4421" i="1"/>
  <c r="N4422" i="1"/>
  <c r="N4423" i="1"/>
  <c r="N4424" i="1"/>
  <c r="N4425" i="1"/>
  <c r="N4426" i="1"/>
  <c r="N4429" i="1"/>
  <c r="N4430" i="1"/>
  <c r="N4431" i="1"/>
  <c r="N4432" i="1"/>
  <c r="N4433" i="1"/>
  <c r="N4434" i="1"/>
  <c r="N4435" i="1"/>
  <c r="N4436" i="1"/>
  <c r="N4437" i="1"/>
  <c r="N4438" i="1"/>
  <c r="N4441" i="1"/>
  <c r="N4442" i="1"/>
  <c r="N4443" i="1"/>
  <c r="N4444" i="1"/>
  <c r="N4445" i="1"/>
  <c r="N4446" i="1"/>
  <c r="N4447" i="1"/>
  <c r="N4448" i="1"/>
  <c r="N4449" i="1"/>
  <c r="N4450" i="1"/>
  <c r="N4453" i="1"/>
  <c r="N4454" i="1"/>
  <c r="N4455" i="1"/>
  <c r="N4456" i="1"/>
  <c r="N4457" i="1"/>
  <c r="N4458" i="1"/>
  <c r="N4459" i="1"/>
  <c r="N4460" i="1"/>
  <c r="N4461" i="1"/>
  <c r="N4462" i="1"/>
  <c r="N4465" i="1"/>
  <c r="N4466" i="1"/>
  <c r="N4467" i="1"/>
  <c r="N4468" i="1"/>
  <c r="N4469" i="1"/>
  <c r="N4470" i="1"/>
  <c r="N4471" i="1"/>
  <c r="N4472" i="1"/>
  <c r="N4473" i="1"/>
  <c r="N4474" i="1"/>
  <c r="N4477" i="1"/>
  <c r="N4478" i="1"/>
  <c r="N4479" i="1"/>
  <c r="N4480" i="1"/>
  <c r="N4481" i="1"/>
  <c r="N4482" i="1"/>
  <c r="N4483" i="1"/>
  <c r="N4484" i="1"/>
  <c r="N4485" i="1"/>
  <c r="N4486" i="1"/>
  <c r="N4489" i="1"/>
  <c r="N4490" i="1"/>
  <c r="N4491" i="1"/>
  <c r="N4492" i="1"/>
  <c r="N4493" i="1"/>
  <c r="N4494" i="1"/>
  <c r="N4495" i="1"/>
  <c r="N4496" i="1"/>
  <c r="N4497" i="1"/>
  <c r="N4498" i="1"/>
  <c r="N4501" i="1"/>
  <c r="N4502" i="1"/>
  <c r="N4503" i="1"/>
  <c r="N4504" i="1"/>
  <c r="N4505" i="1"/>
  <c r="N4506" i="1"/>
  <c r="N4507" i="1"/>
  <c r="N4508" i="1"/>
  <c r="N4509" i="1"/>
  <c r="N4510" i="1"/>
  <c r="N4513" i="1"/>
  <c r="N4514" i="1"/>
  <c r="N4515" i="1"/>
  <c r="N4516" i="1"/>
  <c r="N4517" i="1"/>
  <c r="N4518" i="1"/>
  <c r="N4519" i="1"/>
  <c r="N4520" i="1"/>
  <c r="N4521" i="1"/>
  <c r="N4522" i="1"/>
  <c r="N4523" i="1"/>
  <c r="N4525" i="1"/>
  <c r="N4526" i="1"/>
  <c r="N4527" i="1"/>
  <c r="N4528" i="1"/>
  <c r="N4529" i="1"/>
  <c r="N4530" i="1"/>
  <c r="N4531" i="1"/>
  <c r="N4532" i="1"/>
  <c r="N4533" i="1"/>
  <c r="N4534" i="1"/>
  <c r="N4537" i="1"/>
  <c r="N4538" i="1"/>
  <c r="N4539" i="1"/>
  <c r="N4540" i="1"/>
  <c r="N4541" i="1"/>
  <c r="N4542" i="1"/>
  <c r="N4543" i="1"/>
  <c r="N4544" i="1"/>
  <c r="N4545" i="1"/>
  <c r="N45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2" i="1"/>
</calcChain>
</file>

<file path=xl/sharedStrings.xml><?xml version="1.0" encoding="utf-8"?>
<sst xmlns="http://schemas.openxmlformats.org/spreadsheetml/2006/main" count="13665" uniqueCount="4749">
  <si>
    <t>N</t>
  </si>
  <si>
    <t>Код</t>
  </si>
  <si>
    <t>Артикул</t>
  </si>
  <si>
    <t>Номенклатура</t>
  </si>
  <si>
    <t>Номенклатурная группа</t>
  </si>
  <si>
    <t>К-во в уп</t>
  </si>
  <si>
    <t>Весовой</t>
  </si>
  <si>
    <t>Себестоимость</t>
  </si>
  <si>
    <t>Цена розничная</t>
  </si>
  <si>
    <t>Количество (оп)</t>
  </si>
  <si>
    <t>∆ (оп)</t>
  </si>
  <si>
    <t>Цена (оп)</t>
  </si>
  <si>
    <t>Отклонение (оп)</t>
  </si>
  <si>
    <t>Количество (уп)</t>
  </si>
  <si>
    <t>∆ (уп)</t>
  </si>
  <si>
    <t>Цена (уп)</t>
  </si>
  <si>
    <t>Отклонение (уп)</t>
  </si>
  <si>
    <t>Количество наборов</t>
  </si>
  <si>
    <t>націнка%, регулярна</t>
  </si>
  <si>
    <t>націнка,% 2  рівень</t>
  </si>
  <si>
    <t>націнка ,%3 рівень</t>
  </si>
  <si>
    <t>Вермут біл дес Мохіто Маренго 15% с/пл 0,5л</t>
  </si>
  <si>
    <t>Вермути</t>
  </si>
  <si>
    <t xml:space="preserve">Ні </t>
  </si>
  <si>
    <t>Вермут Біттер Різерва Мартіні 28,5% с/пл 0,7л</t>
  </si>
  <si>
    <t>Вермут лікер рож Полуничка з коньяком Моя 20% с/пл 0,5л</t>
  </si>
  <si>
    <t>Вермут Різєрва Спеціалє Амбрато Мартіні 18% с/пл 0,75л</t>
  </si>
  <si>
    <t>Вермут черв дес Різєрва Спеціалє Рубіно Мартіні 18% с/пл 0,75л</t>
  </si>
  <si>
    <t>Винний напій білий напівсолодкий Мускат по-Італийськи Пікнік 9-10% т/п 1л</t>
  </si>
  <si>
    <t>Тихі вина</t>
  </si>
  <si>
    <t>Винний напій білий напівсолодкий Тамянка по-Болгарськи Пікнік 9-12% т/п 1л</t>
  </si>
  <si>
    <t xml:space="preserve">Винний напій білий сухий Аліготе по-Грецькі Пікнік 9,5-14% т/п 1л </t>
  </si>
  <si>
    <t>Винний напій білий сухий Совиньон по-Французськи Пікнік 10% т/п 1л</t>
  </si>
  <si>
    <t>Винний напій Глінтвейн Пікнік класичний 6,5% т/п 1л</t>
  </si>
  <si>
    <t>Винний напій червоний кріплений 777 Портвін 14,5% т/п 1л</t>
  </si>
  <si>
    <t>Винний напій червоний напівсолодкий Ізабелла по-Бессарабськи Пікнік 9-12% т/п 1л</t>
  </si>
  <si>
    <t>Винний напій червоний сухий Каберне по-Карпатськи Пікнік 9,5-14% т/п 1л</t>
  </si>
  <si>
    <t>Вино Баріста Пінотаж чер сух 13,5%0,75л</t>
  </si>
  <si>
    <t>Вино бел сух Шаблі Домен Дю Коломб'є 12% 0,75л</t>
  </si>
  <si>
    <t>Вино біл дес Мускатель Південний Масандра 16% 0,75л</t>
  </si>
  <si>
    <t>Вино біл зі смаком яблука 777 ПортВін 14,5% 1,0л</t>
  </si>
  <si>
    <t>Вино біл кріп Південне Котовськ 17,5% т/п 1,0л</t>
  </si>
  <si>
    <t>Вино біл н/сол Mедіум Барон д'Аріньяк 10,5% 0,75л</t>
  </si>
  <si>
    <t>Вино біл н/сол Алазанська долина Аджарі 9-13% 0,75л</t>
  </si>
  <si>
    <t>Вино біл н/сол Алазанська долина Аліко 9-13% 0,75л</t>
  </si>
  <si>
    <t>Вино біл н/сол Алазанська долина Гудаурі 9-13% 0,75л</t>
  </si>
  <si>
    <t>Вино біл н/сол Алазанська долина Гудаурі 9-13% 1,5л</t>
  </si>
  <si>
    <t>Вино біл н/сол Алазанська долина Міріані 11-12% с/пл 0,75л</t>
  </si>
  <si>
    <t>Вино біл н/сол Барон Сімон 10,5% 0,75л</t>
  </si>
  <si>
    <t>Вино біл н/сол Бордо Мускат Коблево 9-12% 0,75л</t>
  </si>
  <si>
    <t>Вино біл н/сол Бьянко Фрателлі 9-13% 0,75л</t>
  </si>
  <si>
    <t>Вино біл н/сол Монте Блан Коктебель 9-12% 0,75л</t>
  </si>
  <si>
    <t>Вино біл н/сол Мускат Барон д'Аріньяк 10,5% 0,75л</t>
  </si>
  <si>
    <t>Вино біл н/сол Мускат лагідний Пікнік т/п 1,0л</t>
  </si>
  <si>
    <t>Вино біл н/сол Мускат Марбель Вілла ЮА 9-13% 0,75л</t>
  </si>
  <si>
    <t>Вино біл н/сол ордин стол виногр Шанталь де Блан Тіціано 9-13% л</t>
  </si>
  <si>
    <t>Вино біл н/сол Оріджінал Шабо 11% с/пл 0,75л</t>
  </si>
  <si>
    <t>Вино біл н/сол Піно Блан Дель Мар Масандра 9-13% 0,75л</t>
  </si>
  <si>
    <t>Вино біл н/сол Піно Блан Ореанда 9,5-13% 0,75л</t>
  </si>
  <si>
    <t xml:space="preserve">Вино біл н/сол Тамянка Марінталь 9-13% т/п 1,0л </t>
  </si>
  <si>
    <t xml:space="preserve">Вино біл н/сол Тамянка Пікнік 9-12% т/п 1,0л </t>
  </si>
  <si>
    <t>Вино біл н/сол тихе Вайн Сториес Шабо 9-13% 0,75л</t>
  </si>
  <si>
    <t>Вино біл н/сол Шато Барон Вілла ЮА 9-13% 0,75л</t>
  </si>
  <si>
    <t>Вино біл н/сол Шато Барон Вілла ЮА 9-13% 1,5л</t>
  </si>
  <si>
    <t>Вино біл н/сол Шато де Вин Болград 9-13% 1,5л</t>
  </si>
  <si>
    <t>Вино біл н/сол Шато де Вин Болград 9-13% с/пл 0,75л</t>
  </si>
  <si>
    <t>Вино біл н/сух Газела 8,5% 0,75л</t>
  </si>
  <si>
    <t>Вино біл н/сух Піросмані Мзетаві 12% с/пл 0,75л</t>
  </si>
  <si>
    <t>Вино біл н/сух Піросмані Міріані 11-12% с/пл 0,75л</t>
  </si>
  <si>
    <t>Вино біл н/сух стол Рислінг Колоніст 10,5% 0,75л</t>
  </si>
  <si>
    <t>Вино біл п/сух Согрейп Віньос Сілк&amp;Спайс 12,5% 0,75л</t>
  </si>
  <si>
    <t>Вино біл сол ординарне 3% Херес Масандра 17% 0,75л</t>
  </si>
  <si>
    <t>Вино біл сол Портвейн Масандра 17% т/п 0,75л</t>
  </si>
  <si>
    <t>Вино біл сух Бордо Шардоне Коблево 9,5-14% 1,5л</t>
  </si>
  <si>
    <t>Вино біл сух Етуаль дю Руа Єуровінс 12-13% 0,75л</t>
  </si>
  <si>
    <t>Вино біл сух Маєток Мальборо Совіньйон Блан Бранкотт 12,5% 0,75л</t>
  </si>
  <si>
    <t>Вино біл сух ординарне Шардоне Масандра 9,5-14% 0,75л</t>
  </si>
  <si>
    <t>Вино біл сух Рислинг Мальборо 11% 0,75л</t>
  </si>
  <si>
    <t>Вино біл сух Ркацителі Сіендві Аліко 9,7-14% 1,5л</t>
  </si>
  <si>
    <t>Вино біл сух Сансере блан Гранд Резерв Хенрі Бургеоіс 13% 0,75л</t>
  </si>
  <si>
    <t>Вино біл сух Сарміентос Шардоне Тарапака 13% 0,75л</t>
  </si>
  <si>
    <t>Вино біл сух Совіньйон Блан Мальборо 12,5% 0,75л</t>
  </si>
  <si>
    <t>Вино біл сух сорт Ркацетелі Гудаурі 9,5-14% 0,75л</t>
  </si>
  <si>
    <t>Вино біл сух стол Алиготе Пікнік 9,5-14% т/п 1,0л</t>
  </si>
  <si>
    <t>Вино біл сух стол Шардоне Колоніст 13% 0,75л</t>
  </si>
  <si>
    <t>Вино біл сух Торронтес Каллія 13% с/пл 0,75л</t>
  </si>
  <si>
    <t>Вино біл сух Шардоне Баріста 13% 0,75л</t>
  </si>
  <si>
    <t>Вино біл сух Шардоне Вілла ЮА 9,5-13% 0,75л</t>
  </si>
  <si>
    <t>Вино біл сух Шардоне Вілла ЮА 9,5-14% 1,5л</t>
  </si>
  <si>
    <t>Вино біл сух Шардоне Мальборо 13% 0,75л</t>
  </si>
  <si>
    <t>Вино біл сух Шардоне Марсель Мартін 12% 0,75л</t>
  </si>
  <si>
    <t>Вино біл сух Шардоне Твін Оакс Роберт Мондаві 13,5% 0,75л</t>
  </si>
  <si>
    <t>Вино біл сух Шенен Блан Зе Гріндер 13% 0,75л</t>
  </si>
  <si>
    <t>Вино біл сух Шенін Блан Савана Спіер Вайнс 13% 0,75л</t>
  </si>
  <si>
    <t>Вино біле н/сол Алазанська Долина Авторське Гудаурі 9-13% 1л</t>
  </si>
  <si>
    <t>Вино біле н/сол Алазанська долина Азнаурі 9-13% 1,5л</t>
  </si>
  <si>
    <t>Вино біле н/сол Алазанська долина Легенда Алаверді 9-13% 0,75л</t>
  </si>
  <si>
    <t>Вино біле н/сол Алазанська долина Легенда Алаверді 9-13% 1,5л</t>
  </si>
  <si>
    <t>Вино біле н/сол Алазанська Долина Мзетаві 11,5% с/пл 0,75л</t>
  </si>
  <si>
    <t>Вино біле н/сол Мускат Азнаурі 9-13% 0,75л</t>
  </si>
  <si>
    <t>Вино біле н/сол Мускат Азнаурі 9-13% 1,5л</t>
  </si>
  <si>
    <t>Вино біле н/сол Мускат Шато Ореанда 9-12% 0,75л</t>
  </si>
  <si>
    <t>Вино біле сухе Крстач Плантейз 13% с/пл 0,75л</t>
  </si>
  <si>
    <t>Вино біле сухе Кюве Дю Плезір 11% с/пл 0,75л</t>
  </si>
  <si>
    <t>Вино біле сухе Пандора Кавіно 11,5% с/пл 0,75л</t>
  </si>
  <si>
    <t>Вино біле сухе Сицилія IGT Лупо Неро 12% с/пл 0,75л</t>
  </si>
  <si>
    <t>Вино біле сухе Совіньйон Блан Фаустіно Ріверо 12,5% с/пл 0,75л</t>
  </si>
  <si>
    <t>Вино біле сухе Совіньон Блан Мальборо Стенлі Хіл 12,5% с/пл 0,75л</t>
  </si>
  <si>
    <t>Вино біле сухе Треббіано Апулія IGT Рокка 11,5% с/пл 0,75л</t>
  </si>
  <si>
    <t>Вино біле сухе Цинандалі Мзетаві 12% с/пл 0,75л</t>
  </si>
  <si>
    <t>Вино біле сухе Челентано 10,5% с/пл 0,75л</t>
  </si>
  <si>
    <t>Вино біле сухе Шардоне Каліфорнія Вудхевен 13% с/пл 0,75л</t>
  </si>
  <si>
    <t>Вино біле сухе Шардоне Оріджин Вайн 13% с/пл 0,75л</t>
  </si>
  <si>
    <t>Вино біле сухе Шардоне Фаустіно Ріверо 12,5% с/пл 0,75л</t>
  </si>
  <si>
    <t>Вино Бранкотт Маєток Мальборо Піно Нуар чер сух 13% 0,75л</t>
  </si>
  <si>
    <t>Вино Глинтвейн класичний Пікнік 6,5 % т/п 1,0л</t>
  </si>
  <si>
    <t>Вино Ло Зоколае Барбера д'Альба Сукуле чер сух 14,5% 0,75</t>
  </si>
  <si>
    <t>Вино Луіс Жадот Шаблі біл сух 12,5% 0,75л</t>
  </si>
  <si>
    <t>Вино орд чер дес Дніпровський Кагор Масандра 16% 0,75л</t>
  </si>
  <si>
    <t>Вино ординарне біл н/сол Мускат Коктебель 9-13% 0,75л</t>
  </si>
  <si>
    <t>Вино ординарне чер сух Каберне Масандра 9,5-14% 0,75л</t>
  </si>
  <si>
    <t>Вино рож н/сол Бордо Шато Беруз Коблево 12% 1,5 л</t>
  </si>
  <si>
    <t>Вино рож н/сол Монте Розе Коктебель 9-13% 0,75л</t>
  </si>
  <si>
    <t>Вино рож н/сол Мускат Рів'єра Вілла ЮА 9-13% 0,75л</t>
  </si>
  <si>
    <t xml:space="preserve">Вино рож н/сол Розе Болград 9-13% 0,75л </t>
  </si>
  <si>
    <t>Вино рож н/сол Розе Д'анжу Шателайн Десяцчуес 10% 0,75л</t>
  </si>
  <si>
    <t>Вино рож сух Совіньон Мальборо 12,5% 0,75л</t>
  </si>
  <si>
    <t>Вино рожеве н/сол Алазанская долина Азнаурі 9-13% 0,75л</t>
  </si>
  <si>
    <t>Вино рожеве сухе Пінк Лейбл Розе Ріоха Фаустіно Ріверо 13% с/пл 0,75л</t>
  </si>
  <si>
    <t>Вино рожеве сухе Розатто Каса Массімо 10,5% с/пл 0,75л</t>
  </si>
  <si>
    <t>Вино рожеве сухе Росадо Дон Хуго 12,5% 0,75л</t>
  </si>
  <si>
    <t>Вино рожеве сухе Црногорський Плантейз 13% с/пл 0,75л</t>
  </si>
  <si>
    <t>Вино роз сух Шираз Розе Каллія 13,5% 0,75л</t>
  </si>
  <si>
    <t>Вино Салентейн Каберне Совіньон Барел Селекшион чер сух 14% 0,75л</t>
  </si>
  <si>
    <t>Вино столове біле н/сол Тамянка Авторське Лоза 9-13% т/п 1л</t>
  </si>
  <si>
    <t>Вино столове біле сухе Совіньйон Блан Авторське Лоза 9,5-14% т/п 1л</t>
  </si>
  <si>
    <t>Вино столове чер сухе Каберне Авторське Лоза 9,5-14% т/п 1л</t>
  </si>
  <si>
    <t>Вино чер дес Кагор Бордо Кара-Баш Коблево 16% 0,75л</t>
  </si>
  <si>
    <t>Вино чер дес Кагор Український Котовськ 16% т/п 1,0л</t>
  </si>
  <si>
    <t>Вино чер дес Мускатель Південний Масандра 16% 0,75л</t>
  </si>
  <si>
    <t>Вино чер зі смаком вишні 777 ПортВін 14,5% т/п 1,0л</t>
  </si>
  <si>
    <t>Вино чер кріп Кагор Український Коктебель 16% 0,75л</t>
  </si>
  <si>
    <t xml:space="preserve">Вино чер кріп Південне Котовськ 17,5% т/п 1,0л </t>
  </si>
  <si>
    <t>Вино чер н/сол Алазанська Долина Авторське Гудаурі 9-13% п/п 1л</t>
  </si>
  <si>
    <t>Вино чер н/сол Алазанська долина Аджарі 9-13% 0,75л</t>
  </si>
  <si>
    <t>Вино чер н/сол Алазанська долина Аліко 9,0-13,0% 1,5л</t>
  </si>
  <si>
    <t>Вино чер н/сол Алазанська долина Гудаурі 9-13% 0,75л</t>
  </si>
  <si>
    <t>Вино чер н/сол Алазанська долина Гудаурі 9-13% 1,5л</t>
  </si>
  <si>
    <t>Вино чер н/сол Алазанська долина ТЕТРІ 9-13% 0,75л</t>
  </si>
  <si>
    <t>Вино чер н/сол Алазанська долина ТЕТРІ 9-13% 1,5л</t>
  </si>
  <si>
    <t>Вино чер н/сол Барон Сімон 10,5% 0,75л</t>
  </si>
  <si>
    <t>Вино чер н/сол Бастардо Ореанда 9-12% 0,75л</t>
  </si>
  <si>
    <t>Вино чер н/сол Бастардо Шато Ореанда 9-12% 0,75л</t>
  </si>
  <si>
    <t>Вино чер н/сол Бордо Бастардо Коблево 9,5-13% 0,75л</t>
  </si>
  <si>
    <t>Вино чер н/сол Бордо Стефанія Коблево 9-13% 0,75л</t>
  </si>
  <si>
    <t>Вино чер н/сол Бордо Шато Ларош Коблево 9-12% 1,5л</t>
  </si>
  <si>
    <t>Вино чер н/сол Гранат Сіендві Аліко 9-12% 0,75л</t>
  </si>
  <si>
    <t>Вино чер н/сол Гранато Россо Болград 9-13% 0,75л</t>
  </si>
  <si>
    <t>Вино чер н/сол Ізабелла Пікнік 9-12% т/п 1,0л</t>
  </si>
  <si>
    <t>Вино чер н/сол Кадарка Пікнік 9-12% т/п 1,0л</t>
  </si>
  <si>
    <t>Вино чер н/сол Кінзмараулі Віноверія 12,5% 0,75л</t>
  </si>
  <si>
    <t>Вино чер н/сол Медіум Роуг Барон д'Аріньяк 12% 0,75л</t>
  </si>
  <si>
    <t>Вино чер н/сол ордин стол виногр АХ Нуар Тіціано 9-13% л</t>
  </si>
  <si>
    <t>Вино чер н/сол ордин стол виногр Рідний край Тіціано 9-13% л</t>
  </si>
  <si>
    <t>Вино чер н/сол ордин стол виногр Червоний лев Тіціано 9-13% л</t>
  </si>
  <si>
    <t>Вино чер н/сол Оріджінал Шабо 11% с/пл 0,75л</t>
  </si>
  <si>
    <t>Вино чер н/сол Піно Нуар Дель Мар Масандра 9-13% 0,75л</t>
  </si>
  <si>
    <t>Вино чер н/сол Піно Нуар Ореанда 9,5-13% 0,75л</t>
  </si>
  <si>
    <t>Вино чер н/сол Піросмані Алазанська долина Азнаурі 9-13% 0,75л</t>
  </si>
  <si>
    <t>Вино чер н/сол тихе Вайн Сториес Шабо 9-13% 0,75л</t>
  </si>
  <si>
    <t>Вино чер н/сол Шато де Вин Болград 9-13% 0,75л</t>
  </si>
  <si>
    <t>Вино чер н/сол Шато де Вин Болград 9-13% 1,5л</t>
  </si>
  <si>
    <t>Вино чер н/сол Шевальє Руж Вілла ЮА 9-13% 0,75л</t>
  </si>
  <si>
    <t>Вино чер н/сол Шевальє Руж Вілла ЮА 9-13% 1,5л</t>
  </si>
  <si>
    <t>Вино чер н/сол Шираз Есперадо Салентейн Каллія 13,5% 0,75л</t>
  </si>
  <si>
    <t>Вино чер н/сух Колоссал Резерва Каса Сантос Ліма 14% 0,75л</t>
  </si>
  <si>
    <t>Вино чер н/сух Піросмані Міріані 11-12% с/пл 0,75л</t>
  </si>
  <si>
    <t>Вино чер п/сух Сілк&amp;Спайс Согрейп Віньос 14% 0,75л</t>
  </si>
  <si>
    <t>Вино чер сол Портвейн Масандра 17% 0,75л</t>
  </si>
  <si>
    <t>Вино чер сол Український Кагор Котовськ 16% 0,7л</t>
  </si>
  <si>
    <t>Вино чер сол Чорна Смородина Азнаурі 9-13% 0,75л</t>
  </si>
  <si>
    <t>Вино чер солодке церковне Кагор Пікнік 13% т/п 1,0л</t>
  </si>
  <si>
    <t>Вино чер сух Етуаль дю Руа Єуровінс 12-13% 0,75л</t>
  </si>
  <si>
    <t>Вино чер сух Каберне Коблево 9,5-14% 0,75л</t>
  </si>
  <si>
    <t>Вино чер сух Каберне Коблево 9,5-14% 1,5л</t>
  </si>
  <si>
    <t>Вино чер сух Каберне Коктебель 9,5-14% 0,75л</t>
  </si>
  <si>
    <t xml:space="preserve">Вино чер сух Каберне Пікнік 9,5-14% т/п 1,0л </t>
  </si>
  <si>
    <t>Вино чер сух Кьянті Резерва Бонаккі 13% 0,75л</t>
  </si>
  <si>
    <t>Вино чер сух Мальбек Каллія 13% 0,75л</t>
  </si>
  <si>
    <t>Вино чер сух Мерло Барон д'Аріньяк 12% 0,75л</t>
  </si>
  <si>
    <t>Вино чер сух Мерло Вілла ЮА 9,5-14% 1,5л</t>
  </si>
  <si>
    <t>Вино чер сух Пино Нуар Мальборо 0,75л</t>
  </si>
  <si>
    <t>Вино чер сух Пінотаж Зе Гріндер 14% 0,75л</t>
  </si>
  <si>
    <t>Вино чер сух Пінотаж Шпір Спіер Вайнс 14% 0,75л</t>
  </si>
  <si>
    <t>Вино чер сух Резерв Маркус де Ріскал 13,5% 0,75л</t>
  </si>
  <si>
    <t>Вино чер сух Рум Барел Агед Мерло Роберт Мондаві 14,5% 0,75л</t>
  </si>
  <si>
    <t>Вино чер сух Сапераві Авторське Гудаурі 9,5-14% 0,75л</t>
  </si>
  <si>
    <t>Вино чер сух Сапераві Сіендві Аліко 9,7-14% 1,5л</t>
  </si>
  <si>
    <t>Вино чер сух Сарміентос Каберне Совіньон Тарапака 13% 0,75л</t>
  </si>
  <si>
    <t>Вино чер сух Секко Россо Декорді 10,5% 0,75л</t>
  </si>
  <si>
    <t>Вино чер сух Серо Алан Гран Резерв Бодегас Олара 0,75л</t>
  </si>
  <si>
    <t>Вино чер сух стол Каберне Колоніст 14% 0,75л</t>
  </si>
  <si>
    <t>Вино чер сух стол Мерло Колоніст 14% 0,75л</t>
  </si>
  <si>
    <t>Вино чер сух Тінто Барон Сімон 11% 0,75л</t>
  </si>
  <si>
    <t>Вино червоне н/сол Алазанська Долина Мзетаві 12% с/пл 0,75л</t>
  </si>
  <si>
    <t>Вино червоне н/сол Гранато Азнаурі 9-13% 1,5л</t>
  </si>
  <si>
    <t>Вино червоне н/сол Россо Каса Массімо 10,5% с/пл 0,75л</t>
  </si>
  <si>
    <t>Вино червоне н/сух Апулія IGT Лупо Неро 12% с/пл 0,75л</t>
  </si>
  <si>
    <t>Вино червоне н/сух Піросмані Мзетаві 12% с/пл 0,75л</t>
  </si>
  <si>
    <t>Вино червоне н/сух Санджовезе Апулія IGT Рокка 12% с/пл 0,75л</t>
  </si>
  <si>
    <t>Вино червоне н/сух Сапераві Мзетаві 12,5% с/пл 0,75л</t>
  </si>
  <si>
    <t xml:space="preserve">Вино червоне напівсолодке Ізабелла Марінталь Котовський винзавод 9-13% т/п 1л </t>
  </si>
  <si>
    <t>Вино червоне сухе Вранац Плантейз 13% с/пл 0,75л</t>
  </si>
  <si>
    <t>Вино червоне сухе Зінфандель Каліфорнія Вудхевен 13,5% с/пл 0,75л</t>
  </si>
  <si>
    <t>Вино червоне сухе Каберне Совіньйон Фаустіно Ріверо 13% с/пл 0,75л</t>
  </si>
  <si>
    <t>Вино червоне сухе Ковінка ОВГ Тераі 13% с/пл 0,75л</t>
  </si>
  <si>
    <t>Вино червоне сухе Пандора Кавіно 12% с/пл 0,75л</t>
  </si>
  <si>
    <t>Вино червоне сухе Челентано 10,5% с/пл 0,75л</t>
  </si>
  <si>
    <t>Вино червоне сухе Шираз Фаустіно Ріверо 13,5% с/пл 0,75л</t>
  </si>
  <si>
    <t>Вино Шаблі Дуде Ноден бел сух 12,5% 0,75л</t>
  </si>
  <si>
    <t>Напій винний біл н/сол Слива біла Пікнік Мікадо 9-14% 1л</t>
  </si>
  <si>
    <t>Напій винний біл н/сол Яблуко Портвін №23 13-14,5% 1л</t>
  </si>
  <si>
    <t>Напій винний чер н/сол Вишня Портвін №23 13-14,5% 1л</t>
  </si>
  <si>
    <t>Напій винний чер н/сол Слива червна Пікнік Мікадо 9-14% 1л</t>
  </si>
  <si>
    <t>Горілка Абсолют 40% с/пл 0,05л</t>
  </si>
  <si>
    <t>Горілка</t>
  </si>
  <si>
    <t>Горілка Абсолют 40% с/пл 0,5л</t>
  </si>
  <si>
    <t>Горілка Абсолют 40% с/пл 0,7л</t>
  </si>
  <si>
    <t>Горілка Абсолют 40% с/пл 1,0л</t>
  </si>
  <si>
    <t>Горілка Айс Гетьман 40% с/пл 0,5л</t>
  </si>
  <si>
    <t>Горілка Айс Гетьман 40% с/пл 1,0л</t>
  </si>
  <si>
    <t>Горілка ароматизована Вайлд беррі Абсолют 38% с/пл 0,7л</t>
  </si>
  <si>
    <t>Горілка БДЖМ 40% с/пл 0,5л</t>
  </si>
  <si>
    <t>Горілка БДЖМ 40% с/пл 0,7л</t>
  </si>
  <si>
    <t>Горілка Блек&amp;Голд Гетьман 40% с/пл 0,5л</t>
  </si>
  <si>
    <t>Горілка Бяла Зубровка 40% с/пл 0,2л</t>
  </si>
  <si>
    <t>Горілка Бяла Зубровка 40% с/пл 0,5л</t>
  </si>
  <si>
    <t>Горілка Бяла Зубровка 40% с/пл 0,7л</t>
  </si>
  <si>
    <t>Горілка Бяла Зубровка 40% с/пл 1,0л</t>
  </si>
  <si>
    <t>Горілка Верховна Перша Гільдія 40% с/пл 0,5л</t>
  </si>
  <si>
    <t>Горілка Гетьман 40% с/пл 0,2л</t>
  </si>
  <si>
    <t>Горілка Гетьман 40% с/пл 0,5л</t>
  </si>
  <si>
    <t>Горілка Гетьман 40% с/пл 1,0л</t>
  </si>
  <si>
    <t>Горілка Грей Гуз 40% с/пл 0,5л</t>
  </si>
  <si>
    <t>Горілка Грейпфрут Фінляндія 37,5% с/пл 0,5л</t>
  </si>
  <si>
    <t>Горілка Грін Дей 40% с/пл 0,1л</t>
  </si>
  <si>
    <t>Горілка Грін Дей 40% с/пл 0,5л</t>
  </si>
  <si>
    <t>Горілка Грін Дей 40% с/пл 0,7л</t>
  </si>
  <si>
    <t>Горілка Грін Дей 40% с/пл 1,0л</t>
  </si>
  <si>
    <t>Горілка Груша Абсолют 38% с/пл 0,7л</t>
  </si>
  <si>
    <t>Горілка Делікат Неміров 40% с/пл 0,37л</t>
  </si>
  <si>
    <t>Горілка Делікат Неміров 40% с/пл 0,7л</t>
  </si>
  <si>
    <t>Горілка Делікат Неміров 40% с/пл 1,0л</t>
  </si>
  <si>
    <t>Горілка Делюкс Неміров 40% с/пл 0,5л</t>
  </si>
  <si>
    <t>Горілка Джерельна Мороша 40% с/пл 0,1л</t>
  </si>
  <si>
    <t>Горілка Джерельна Мороша 40% с/пл 0,2л</t>
  </si>
  <si>
    <t>Горілка Дістил №9 Старіцький і Левицький 40% с/пл 0,5л</t>
  </si>
  <si>
    <t>Горілка Дістил №9 Старіцький і Левицький 40% с/пл 0,7л</t>
  </si>
  <si>
    <t>Горілка Дух Перемоги Гетьман 40% с/пл 0,5л</t>
  </si>
  <si>
    <t>Горілка експортна Класік Медофф 40% с/пл 0,1л</t>
  </si>
  <si>
    <t>Горілка експортна Класік Медофф 40% с/пл 0,2л</t>
  </si>
  <si>
    <t>Горілка експортна Класік Медофф 40% с/пл 0,7л</t>
  </si>
  <si>
    <t>Горілка експортна Класік Медофф 40% с/пл 1,0л</t>
  </si>
  <si>
    <t>Горілка Житня Первак 40% с/пл 0,25л</t>
  </si>
  <si>
    <t>Горілка Журавлина Фінляндія 37,5% с/пл 0,5л</t>
  </si>
  <si>
    <t>Горілка Знатна Перша Гільдія 40% с/пл 0,5л</t>
  </si>
  <si>
    <t>Горілка Зубровка 40% с/пл 0,2л</t>
  </si>
  <si>
    <t>Горілка Зубровка 40% с/пл 0,7л</t>
  </si>
  <si>
    <t>Горілка Зубровка 40% с/пл 1,0л</t>
  </si>
  <si>
    <t>Горілка квадрат Делюкс Неміров 40% с/пл 0,7л</t>
  </si>
  <si>
    <t>Горілка Класична Козацька Рада 40% с/пл 0,1л</t>
  </si>
  <si>
    <t>Горілка Класична Козацька Рада 40% с/пл 0,5л</t>
  </si>
  <si>
    <t>Горілка Класична Козацька Рада 40% с/пл 1,0л</t>
  </si>
  <si>
    <t>Горілка Класична Оксіженіум 40% с/пл 0,25л</t>
  </si>
  <si>
    <t>Горілка Класична Оксіженіум 40% с/пл 0,7л</t>
  </si>
  <si>
    <t>Горілка Класична Перша Гільдія 40% с/пл 0,5л</t>
  </si>
  <si>
    <t>Горілка Класична Хлібний Дар 40% с/пл 0,1л</t>
  </si>
  <si>
    <t>Горілка Класична Хлібний Дар 40% с/пл 0,37л</t>
  </si>
  <si>
    <t>Горілка Класична Хлібний Дар 40% с/пл 1,0л</t>
  </si>
  <si>
    <t>Горілка Класичний Первак 40% с/пл 0,25л</t>
  </si>
  <si>
    <t>Горілка Класік Медофф 40% с/пл 0,5л</t>
  </si>
  <si>
    <t>Горілка Кристал Грін Дей 40% с/пл 0,1л</t>
  </si>
  <si>
    <t>Горілка Лайм Фінляндія 37,5% с/пл 0,5л</t>
  </si>
  <si>
    <t>Горілка Лимон Лайм Деревій Коскенкорва 37,5% с/пл 0,04л</t>
  </si>
  <si>
    <t>Горілка Манго Абсолют 38% с/пл 0,7л</t>
  </si>
  <si>
    <t>Горілка медова з перцем Делюкс Неміров 40% с/пл 0,5л</t>
  </si>
  <si>
    <t>Горілка м'яка штоф оригінал Делікат Неміров 40% с/пл 0,5л</t>
  </si>
  <si>
    <t>Горілка На молоці Мирна 40% с/пл 0,2л</t>
  </si>
  <si>
    <t>Горілка На молоці Мирна 40% с/пл 0,7л</t>
  </si>
  <si>
    <t>Горілка На молоці Мірна 40% с/пл 0,5л</t>
  </si>
  <si>
    <t>Горілка Немирівська Класична Неміров 40% с/пл 0,5л</t>
  </si>
  <si>
    <t>Горілка Нікіта 40% с/пл 0,5л</t>
  </si>
  <si>
    <t>Горілка Органік лайф Грін Дей 40% с/пл 0,2л</t>
  </si>
  <si>
    <t>Горілка Органік лайф Грін Дей 40% с/пл 0,5л</t>
  </si>
  <si>
    <t>Горілка Органік лайф Грін Дей 40% с/пл 0,7л</t>
  </si>
  <si>
    <t>Горілка Органік лайф Грін Дей 40% с/пл 1,0л</t>
  </si>
  <si>
    <t>Горілка оригінал Штоф Неміров 40% с/пл 0,5л</t>
  </si>
  <si>
    <t>Горілка особлива Дрєвній Київ Калганофф 40% с/пл 0,5л</t>
  </si>
  <si>
    <t>Горілка особлива Козацька Рада 40% с/пл 0,25л</t>
  </si>
  <si>
    <t>Горілка особлива Козацька Рада 40% с/пл 0,7л</t>
  </si>
  <si>
    <t xml:space="preserve">Горілка особлива Крафтова Львів Княжий 40% с/пл 0,5л </t>
  </si>
  <si>
    <t>Горілка особлива Легка Оксіженіум 40% с/пл 0,25л</t>
  </si>
  <si>
    <t>Горілка особлива Легка Оксіженіум 40% с/пл 1л</t>
  </si>
  <si>
    <t xml:space="preserve">Горілка особлива Люкс Калганофф 40% с/пл 0,25л </t>
  </si>
  <si>
    <t xml:space="preserve">Горілка особлива Люкс Калганофф 40% с/пл 0,5л </t>
  </si>
  <si>
    <t xml:space="preserve">Горілка особлива Міцна Немирівська Неміров 43% с/пл 0,5л </t>
  </si>
  <si>
    <t xml:space="preserve">Горілка особлива М'яка Немирівська Неміров 38% с/пл 0,5л </t>
  </si>
  <si>
    <t>Горілка особлива На березових бруньках Пшенична сльоза 40% с/п 0,5л</t>
  </si>
  <si>
    <t>Горілка особлива Оксіженіум 40% с/пл 0,1л</t>
  </si>
  <si>
    <t xml:space="preserve">Горілка особлива Преміум Львів Княжий 40% с/пл 0,5л </t>
  </si>
  <si>
    <t>Горілка особлива Преміум Львів Княжий 40% с/пл 0,7л</t>
  </si>
  <si>
    <t xml:space="preserve">Горілка особлива Преміум Львів Княжий 40% с/пл 1л </t>
  </si>
  <si>
    <t>Горілка особлива Рестайлінг Гетьман 40% с/пл 0,7л</t>
  </si>
  <si>
    <t>Горілка особлива Спешл Козацька Рада 40% с/пл 0,5л</t>
  </si>
  <si>
    <t>Горілка особлива Срібна Хортиця 40% с/пл 0,2л</t>
  </si>
  <si>
    <t>Горілка особлива Українська Неміров 40% с/пл 0,37л</t>
  </si>
  <si>
    <t>Горілка особлива Українська Неміров 40% с/пл 0,7л</t>
  </si>
  <si>
    <t>Горілка особлива Українська Неміров 40% с/пл 1,0л</t>
  </si>
  <si>
    <t>Горілка особлива Хлібний Дар 40% с/пл 0,5л</t>
  </si>
  <si>
    <t>Горілка Платинум Хортиця 40% с/пл 0,25л</t>
  </si>
  <si>
    <t>Горілка Поважна Перша Гільдія 40% с/пл 0,5л</t>
  </si>
  <si>
    <t>Горілка пшенична подвійного перегону Домашня Первак 40% с/пл 0,1л</t>
  </si>
  <si>
    <t>Горілка Пшенична Хлібний Дар 40% с/пл 0,25л</t>
  </si>
  <si>
    <t>Горілка Пшенична Хлібний Дар 40% с/пл 0,5л</t>
  </si>
  <si>
    <t>Горілка Пшенична Хлібний Дар 40% с/пл 0,7л</t>
  </si>
  <si>
    <t>Горілка Сауна Баррел Коскенкорва 37,5% с/пл 0,04л</t>
  </si>
  <si>
    <t>Горілка Світовий клас Прайм 40% с/пл 0,1л</t>
  </si>
  <si>
    <t>Горілка Світовий клас Прайм 40% с/пл 0,2л</t>
  </si>
  <si>
    <t>Горілка Світовий клас Прайм 40% с/пл 0,35л</t>
  </si>
  <si>
    <t>Горілка Світовий клас Прайм 40% с/пл 0,5л</t>
  </si>
  <si>
    <t>Горілка Світовий клас Прайм 40% с/пл 0,7л</t>
  </si>
  <si>
    <t>Горілка Світовий клас Прайм 40% с/пл 1,0л</t>
  </si>
  <si>
    <t>Горілка Скай 40% с/пл 0,7л</t>
  </si>
  <si>
    <t>Горілка Смірнов 40% с/пл 1,0л</t>
  </si>
  <si>
    <t>Горілка Срібна прохолода Хортиця 40% с/пл 0,1л</t>
  </si>
  <si>
    <t>Горілка Срібна чистота Пшенична Сльоза 40% с/пл 0,2л</t>
  </si>
  <si>
    <t>Горілка Срібна чистота Пшенична Сльоза 40% с/пл 0,5л</t>
  </si>
  <si>
    <t>Горілка Срібна чистота Пшенична Сльоза 40% с/пл 0,7л</t>
  </si>
  <si>
    <t>Горілка Українська по-європейськи Хлібний Дар 37,5% с/пл 0,5л</t>
  </si>
  <si>
    <t>Горілка Фінляндія 40% с/пл 0,5л</t>
  </si>
  <si>
    <t>Горілка Фінляндія 40% с/пл 0,7л</t>
  </si>
  <si>
    <t>Горілка Фінляндія 40% с/пл 1,0л</t>
  </si>
  <si>
    <t>Горілка ФІНН 40% с/пл 0,5л</t>
  </si>
  <si>
    <t>Горілка ФІНН 40% с/пл 0,7л</t>
  </si>
  <si>
    <t>Горілка Чорна смородина Фінляндія 37,5% с/пл 0,5л</t>
  </si>
  <si>
    <t>Бурбон Блек Еван Вільямс + 2 склянки 43% к/у 0,75л</t>
  </si>
  <si>
    <t>Віскі</t>
  </si>
  <si>
    <t>Бурбон Ботлд ін Бонд 4 роки Еван Вільямс 50% с/пл 0,75л</t>
  </si>
  <si>
    <t>Віскі Айріш Райтез Тіез 40% к/у 0,7л</t>
  </si>
  <si>
    <t>Віскі Блек Баррел Джеймсон 40% с/пл 0,7л</t>
  </si>
  <si>
    <t>Віскі Блек Джим Бім 43% с/пл 0,7л</t>
  </si>
  <si>
    <t>Віскі Гленшіел Блендед 7 років Лох Ломонд 40% с/пл 0,7л</t>
  </si>
  <si>
    <t>Віскі Гленшіел Блендед Лох Ломонд 40% с/пл 0,5л</t>
  </si>
  <si>
    <t>Віскі Гленшіел Блендед Лох Ломонд 40% с/пл 0,7л</t>
  </si>
  <si>
    <t>Віскі Джеймсон 40% +2 склянки к/у 0,7л</t>
  </si>
  <si>
    <t xml:space="preserve">Віскі Джеймсон 40% к/у 4,5л </t>
  </si>
  <si>
    <t>Віскі Джеймсон 40% с/пл 0,05л</t>
  </si>
  <si>
    <t>Віскі Джеймсон 40% с/пл 0,5л</t>
  </si>
  <si>
    <t>Віскі Джеймсон 40% с/пл 0,7л</t>
  </si>
  <si>
    <t>Віскі Джеймсон 40% с/пл 1,0л</t>
  </si>
  <si>
    <t>Віскі Джек Деніелс 40% к/у 3л</t>
  </si>
  <si>
    <t>Віскі Джек Деніелс 40% с/пл 0,05л</t>
  </si>
  <si>
    <t>Віскі Джек Деніелс 40% с/пл 0,7л</t>
  </si>
  <si>
    <t>Віскі Джек Деніелс 40% с/пл 1,0л</t>
  </si>
  <si>
    <t>Віскі Джек Деніелс теннесі хані 0,7л</t>
  </si>
  <si>
    <t>Віскі Джентельмен Джек Джек Деніелс 40% с/пл 0,7л</t>
  </si>
  <si>
    <t>Віскі Диакан 40% с/пл 0,7л</t>
  </si>
  <si>
    <t>Віскі ІПА Едішн Джеймсон 40% с/пл 0,7л</t>
  </si>
  <si>
    <t>Віскі Крестед Джеймсон 40% с/пл 0,7л</t>
  </si>
  <si>
    <t>Віскі Легасі Томатін 43% к/у 0,7л</t>
  </si>
  <si>
    <t>Віскі Оригінал Бушмілс 40% с/пл 0,35л</t>
  </si>
  <si>
    <t>Віскі Оригінал Бушмілс 40% с/пл 0,5л</t>
  </si>
  <si>
    <t>Віскі Оригінал Бушмілс 40% с/пл 0,7л</t>
  </si>
  <si>
    <t>Віскі Оригінал Бушмілс 40% с/пл 1,0л</t>
  </si>
  <si>
    <t>Віскі Паспорт 40% с/пл 0,5л</t>
  </si>
  <si>
    <t>Віскі Сінгл Баррел Джек Деніелс 45% к/у 0,7л</t>
  </si>
  <si>
    <t>Віскі Сінгл Молт Скотч Вілтон Хаус тубус 40% 0,7л</t>
  </si>
  <si>
    <t>Віскі Стаут Едішн Джеймсон 40% с/пл 0,7л</t>
  </si>
  <si>
    <t>Віскі Талісман Бленд Томатін + 2 склянки 40% с/пл 0,7л</t>
  </si>
  <si>
    <t>Віскі Файнест +2 склянки Баллантайнс 40% к/у 0,7л</t>
  </si>
  <si>
    <t>Віскі Файнест Баллантайнс 40% с/пл 0,05л</t>
  </si>
  <si>
    <t>Віскі Файнест Баллантайнс 40% с/пл 0,5л</t>
  </si>
  <si>
    <t>Віскі Файнест Баллантайнс 40% с/пл 4,5л</t>
  </si>
  <si>
    <t>Віскі Фоконьє Хайлендз Френдс 40% с/пл 0,7л</t>
  </si>
  <si>
    <t xml:space="preserve">Віскі Чівас Рігал 40% 12 років к/у 4,5л </t>
  </si>
  <si>
    <t>Джин Біфіттер 40% 0,5л</t>
  </si>
  <si>
    <t>Джин</t>
  </si>
  <si>
    <t>Джин Біфіттер 40% 0,7л</t>
  </si>
  <si>
    <t>Джин Лордсон 37,5% с/пл 0,7л</t>
  </si>
  <si>
    <t>Джин Пінк Біфіттер 37,5% 0,7л</t>
  </si>
  <si>
    <t>Лікер Mалібу 21% 0,7л</t>
  </si>
  <si>
    <t>Лікер, аперитив, бальзам, настоянка</t>
  </si>
  <si>
    <t>Лікер Кахлуа 16% 0,7л</t>
  </si>
  <si>
    <t>Лікер теннесі хані Джек Деніелс 35% 0,5л</t>
  </si>
  <si>
    <t>Лікер Теннесі Хані Джек Деніелс 35% 1,0л</t>
  </si>
  <si>
    <t>Лікер Теннессі Епл Джек Деніелс 35% 0,7л</t>
  </si>
  <si>
    <t>Напій спиртний Грейпфрут Біфітер 37,5% с/пл 0,7л</t>
  </si>
  <si>
    <t>Ром Аньєхо Гаванна клуб 40% с/пл 0,5л</t>
  </si>
  <si>
    <t>Ром</t>
  </si>
  <si>
    <t>Ром Резерва Очо Голд Бакарді 40% 8років с/пл 0,7л</t>
  </si>
  <si>
    <t>Ром Спешл Гаванна клуб 40% с/пл 0,05л</t>
  </si>
  <si>
    <t>Текіла Репосадо Хосе Куерво 38% с/пл 0,5л</t>
  </si>
  <si>
    <t>Текіла</t>
  </si>
  <si>
    <t>Текіла Репосадо Хосе Куерво 38% с/пл 0,7л</t>
  </si>
  <si>
    <t>Текіла Сілвер Хосе Куерво 38% с/пл 0,5л</t>
  </si>
  <si>
    <t>Текіла Сілвер Хосе Куерво 38% с/пл 1,0л</t>
  </si>
  <si>
    <t>Алкогольний напій Aрарат Хані 30% к/у 0,5л</t>
  </si>
  <si>
    <t>Бренді, коньяк</t>
  </si>
  <si>
    <t>Бренді VS Селект Шабо 36 % с/пл 0,5л</t>
  </si>
  <si>
    <t>Бренді VSOP Ле Саж 40% с/пл 0,5л</t>
  </si>
  <si>
    <t>Бренді Арарат 3 зірки 40% 0,5л</t>
  </si>
  <si>
    <t>Бренді Барза де аур Дівін 40% 3 зірки 0,5л</t>
  </si>
  <si>
    <t>Бренді відбірний Ані Арарат 40% + 2 склянки 7 років 0,7л</t>
  </si>
  <si>
    <t>Бренді відбірний Ані Арарат 40% 7 років к/у 0,5л</t>
  </si>
  <si>
    <t>Бренді Відбірний Арарат 40% 5 років к/у 0,5л</t>
  </si>
  <si>
    <t>Бренді люкс Шабо 40% 0,5л</t>
  </si>
  <si>
    <t>Бренді Старий Кахеті 40% 3 зірки с/пл 0,2л</t>
  </si>
  <si>
    <t>Бренді Старий Кахеті 40% 5 зірок с/пл 0,2л</t>
  </si>
  <si>
    <t>Бренді ХО Ле Саж + 1 склянка 40% с/пл 0,5л</t>
  </si>
  <si>
    <t>Бренді ХО Ле Саж 40% с/пл 0,5л</t>
  </si>
  <si>
    <t>Коньяк VS Мартелл 40% с/пл 0,05л</t>
  </si>
  <si>
    <t xml:space="preserve">Коньяк VS Мартелл 40% с/пл 0,7л </t>
  </si>
  <si>
    <t>Коньяк VS Хеннессі 40% с/пл 0,05л</t>
  </si>
  <si>
    <t>Коньяк Аджарі 40% 3 зірки с/пл 0,25л</t>
  </si>
  <si>
    <t>Коньяк Аджарі 40% 3 зірки с/пл 0,5л</t>
  </si>
  <si>
    <t>Коньяк Аджарі 40% 5 зірок с/пл 0,25л</t>
  </si>
  <si>
    <t>Коньяк Аджарі 40% 5 зірок с/пл 0,5л</t>
  </si>
  <si>
    <t>Коньяк Азнаурі 40% 3 зірки с/пл 0,25л</t>
  </si>
  <si>
    <t>Коньяк Азнаурі 40% 3 зірки с/пл 0,35л</t>
  </si>
  <si>
    <t>Коньяк Азнаурі 40% 3 зірки с/пл 0,5л</t>
  </si>
  <si>
    <t>Коньяк Азнаурі 40% 3 зірки с/пл 0,7л</t>
  </si>
  <si>
    <t>Коньяк Азнаурі 40% 3 зірки с/пл 1,0л</t>
  </si>
  <si>
    <t>Коньяк Азнаурі 40% 4 зірки с/пл 0,5л</t>
  </si>
  <si>
    <t xml:space="preserve">Коньяк Азнаурі 40% 5 зірок к/у 0,5л </t>
  </si>
  <si>
    <t>Коньяк Азнаурі 40% 5 зірок с/пл 0,1л</t>
  </si>
  <si>
    <t>Коньяк Азнаурі 40% 5 зірок с/пл 0,25л</t>
  </si>
  <si>
    <t>Коньяк Азнаурі 40% 5 зірок с/пл 0,35л</t>
  </si>
  <si>
    <t>Коньяк Азнаурі 40% 5 зірок с/пл 0,5л</t>
  </si>
  <si>
    <t>Коньяк Азнаурі 40% 5 зірок с/пл 1л</t>
  </si>
  <si>
    <t>Коньяк Азнаурі Блек Барел 40% 5 зірок с/пл 0,5л</t>
  </si>
  <si>
    <t>Коньяк Аліко 40% 3 зірки с/пл 0,25л</t>
  </si>
  <si>
    <t>Коньяк Аліко 40% 5 зірок с/пл 0,25л</t>
  </si>
  <si>
    <t>Коньяк Аліко 40% 5 зірок с/пл 0,7л</t>
  </si>
  <si>
    <t>Коньяк Арені 40% 3 зірки с/пл 0,25л</t>
  </si>
  <si>
    <t>Коньяк Арені 40% 3 зірки с/пл 0,5л</t>
  </si>
  <si>
    <t>Коньяк Арені 40% 5 зірок с/пл 0,25л</t>
  </si>
  <si>
    <t>Коньяк Арені 40% 5 зірок с/пл 0,5л</t>
  </si>
  <si>
    <t>Коньяк Болград 40% 3 зірки с/пл 0,25л</t>
  </si>
  <si>
    <t>Коньяк Болград 40% 3 зірки с/пл 0,5л</t>
  </si>
  <si>
    <t>Коньяк Болград 40% 5 зірок с/пл 0,25л</t>
  </si>
  <si>
    <t>Коньяк Болград 40% 5 зірок с/пл 0,5л</t>
  </si>
  <si>
    <t>Коньяк Гудаурі 40% 3 зірки с/пл 0,5л</t>
  </si>
  <si>
    <t>Коньяк Гудаурі 40% 5 зірки с/пл 0,25л</t>
  </si>
  <si>
    <t>Коньяк Гудаурі 40% 5 зірок с/пл 0,5л</t>
  </si>
  <si>
    <t>Коньяк Ерісіоні 40% 3 зірки с/пл 0,25л</t>
  </si>
  <si>
    <t>Коньяк Ерісіоні 40% 3 зірки с/пл 0,5л</t>
  </si>
  <si>
    <t>Коньяк Ерісіоні 40% 5 зірок с/пл 0,25л</t>
  </si>
  <si>
    <t>Коньяк Ерісіоні 40% 5 зірок с/пл 0,5л</t>
  </si>
  <si>
    <t>Коньяк Коблево 40% 5 зірок с/пл 0,25л</t>
  </si>
  <si>
    <t>Коньяк Коктебель 40% 3 зірки с/пл 0,25л</t>
  </si>
  <si>
    <t>Коньяк Коктебель 40% 3 зірки с/пл 0,5л</t>
  </si>
  <si>
    <t>Коньяк Коктебель 40% 4 зірки с/пл 0,5л</t>
  </si>
  <si>
    <t>Коньяк Коктебель 40% 5 зірки с/пл 0,5л</t>
  </si>
  <si>
    <t>Коньяк Коктебель 40% 5 зірок с/пл 0,25л</t>
  </si>
  <si>
    <t>Коньяк Легенда Вірменії 40% 3 зірки с/пл 0,5л</t>
  </si>
  <si>
    <t>Коньяк Легенда Вірменії 40% 5 зірок с/пл 0,5л</t>
  </si>
  <si>
    <t>Коньяк Легенда Грузії 40% 3 зірки с/пл 0,25л</t>
  </si>
  <si>
    <t>Коньяк Легенда Грузії 40% 3 зірки с/пл 0,5л</t>
  </si>
  <si>
    <t>Коньяк Легенда Грузії 40% 5 зірки с/пл 0,25л</t>
  </si>
  <si>
    <t>Коньяк Модерн Колекшн Шабо 40% 3 зірки с/пл 0,5л</t>
  </si>
  <si>
    <t>Коньяк Модерн Колекшн Шабо 40% 5 зіркок с/пл 0,5л</t>
  </si>
  <si>
    <t>Коньяк Резерв Коблево 40% 3 зірки с/пл 0,35л</t>
  </si>
  <si>
    <t>Коньяк Резерв Коблево 40% 3 зірки с/пл 0,5л</t>
  </si>
  <si>
    <t>Коньяк Резерв Коблево 40% 5 зірки с/пл 0,25л</t>
  </si>
  <si>
    <t>Коньяк Резерв Шабо 40% 3 зірки с/пл 0,5л</t>
  </si>
  <si>
    <t>Коньяк Сікварулі 40% 3 роки с/пл 0,5л</t>
  </si>
  <si>
    <t>Коньяк Сікварулі 40% 4 роки с/пл 0,5л</t>
  </si>
  <si>
    <t>Коньяк Сікварулі 40% 5 років с/пл 0,2л</t>
  </si>
  <si>
    <t>Коньяк Сікварулі 40% 5 років с/пл 0,5л</t>
  </si>
  <si>
    <t>Коньяк України Аліко 40% 3 зірки с/пл 0,5л</t>
  </si>
  <si>
    <t>Коньяк України ординарний Десна 40% 3 зірки с/пл 0,25л</t>
  </si>
  <si>
    <t>Коньяк України ординарний ТЕТРІ 40% 3 зірки с/пл 0,5л</t>
  </si>
  <si>
    <t>Коньяк України ординарний ТЕТРІ 40% 5 зірок с/пл 0,5л</t>
  </si>
  <si>
    <t>Коньяк ХО Арені 40% 7 років витр с/пл 0,5л</t>
  </si>
  <si>
    <t>Коньяк Шабо 40% 3 зірки с/пл 0,25л</t>
  </si>
  <si>
    <t>Коньяк Шабо 40% 3 зірки с/пл 0,375л</t>
  </si>
  <si>
    <t>Коньяк Шабо 40% 5 зірок с/пл 0,25л</t>
  </si>
  <si>
    <t>Коньяк Шато Кахеті 40% 3 зірки с/пл 0,25л</t>
  </si>
  <si>
    <t>Коньяк Шато Кахеті 40% 3 зірки с/пл 0,5л</t>
  </si>
  <si>
    <t>Коньяк Шато Кахеті 40% 5 зірок с/пл 0,5л</t>
  </si>
  <si>
    <t>Напій алкогольний Вишня Аліко 30% с/пл 0,5л</t>
  </si>
  <si>
    <t>Напій алкогольний Дика Вишня Азнаурі 30% 5 зірок с/пл 0,1л</t>
  </si>
  <si>
    <t>Напій алкогольний Дика Вишня Азнаурі 30% 5 зірок с/пл 0,25л</t>
  </si>
  <si>
    <t>Напій алкогольний Дика Вишня Азнаурі 30% 5 зірок с/пл 0,5л</t>
  </si>
  <si>
    <t>Напій алкогольний Еспрессо Азнаурі 30% 5 зірок с/пл 0,1л</t>
  </si>
  <si>
    <t>Напій алкогольний Еспрессо Азнаурі 30% 5 зірок с/пл 0,25л</t>
  </si>
  <si>
    <t>Напій алкогольний Еспрессо Азнаурі 30% 5 зірок с/пл 0,5л</t>
  </si>
  <si>
    <t>Напій алкогольний Кава Аліко 30% с/пл 0,5л</t>
  </si>
  <si>
    <t>Напій спиртний Бамбл кава Шабо 30% с/пл 0,5л</t>
  </si>
  <si>
    <t>Напій спиртний Вишня і Шоколад Шабо 30% с/пл 0,5л</t>
  </si>
  <si>
    <t>Напій спиртний Кава Шабо 30% с/пл 0,5л</t>
  </si>
  <si>
    <t>Напій спиртовий Золота колекція Шустов 40% 3 зірки с/пл 0,25л</t>
  </si>
  <si>
    <t>Ликер Креме де Какао Браун Де Кайпер 20% 0,7л</t>
  </si>
  <si>
    <t>Лікер Вишня Сопліца 28% с/пл 0,5л</t>
  </si>
  <si>
    <t>Лікер Кранбері Зубровка 37,5% 0,5л</t>
  </si>
  <si>
    <t>Лікер Лимон та малина Сопліца 28% с/пл 0,5л</t>
  </si>
  <si>
    <t>Бренді 1863 Легенда 36% с/пл 0,5л</t>
  </si>
  <si>
    <t>Бренді виноград Коблево 40% 0,25л</t>
  </si>
  <si>
    <t>Бренді виноград Коблево 40% 0,5л</t>
  </si>
  <si>
    <t>Віскі Блек Вельвет 40% с/пл 0,7л</t>
  </si>
  <si>
    <t>Віскі Блек Классік Лейбл 5 40% с/пл 0,7л</t>
  </si>
  <si>
    <t>Віскі Бурбон Каск Финиш Блек Рем 40% с/пл 0,5л</t>
  </si>
  <si>
    <t>Віскі бурбон Кейвхілл Реббіт Хол 47,5% с/пл 0,7л</t>
  </si>
  <si>
    <t>Віскі Класік блек Лейбл 5 40% с/пл 0,5л</t>
  </si>
  <si>
    <t>Віскі купажоване Ром Каск Селекшн Екстра Чівас Регал 40% к/у 0,7л</t>
  </si>
  <si>
    <t>Віскі односолодове Карібіен Резерв Гленлівет 40% к/у 0,7л</t>
  </si>
  <si>
    <t>Віскі Паспорт 40% с/пл 1,0л</t>
  </si>
  <si>
    <t>Віскі Сінгл Пот Стайл Джеймсон 46% с/пл 0,7л</t>
  </si>
  <si>
    <t>Віскі Файнест Баллантайнс 40% с/пл 0,7л</t>
  </si>
  <si>
    <t>Віскі Файнест Баллантайнс 40% с/пл 1,0л</t>
  </si>
  <si>
    <t>Віскі Ханкі Банністер 40% с/пл 0,5л</t>
  </si>
  <si>
    <t>Віскі Чівас Рігал 40% 12 років витр с/пл 0,05л</t>
  </si>
  <si>
    <t>Віскі Чівас Рігал 40% 12 років витр с/пл 0,5л</t>
  </si>
  <si>
    <t>Віскі Чівас Рігал 40% 12 років витр с/пл 0,7л</t>
  </si>
  <si>
    <t xml:space="preserve">Віскі Чівас Рігал 40% 15 років к/у 0,7л </t>
  </si>
  <si>
    <t xml:space="preserve">Віскі Чівас Рігал 40% 18 років к/у 0,7л </t>
  </si>
  <si>
    <t xml:space="preserve">Віскі Шеррі Каск Чівас Рігал 40% 13 років к/у 0,7л </t>
  </si>
  <si>
    <t>Джин Козацька Рада 37,5% 0,5л</t>
  </si>
  <si>
    <t>Джин Лондон Kiнгдом 38% 0,7л</t>
  </si>
  <si>
    <t>Джин Уітлі Нейлл 43% 0,7л</t>
  </si>
  <si>
    <t>Напій спиртний Світ Бленд Баллантайнс 30% с/пл 0,7л</t>
  </si>
  <si>
    <t>Напій спиртовий Бразил Баллантайнс 30% с/пл 0,7л</t>
  </si>
  <si>
    <t>Напій спиртовий Вілд Баллантайнс 30% с/пл 0,7л</t>
  </si>
  <si>
    <t>Текіла Голд Ольмека 35% с/пл 0,5л</t>
  </si>
  <si>
    <t>Текіла Голд Сомбреро Негро 38% с/пл 0,7л</t>
  </si>
  <si>
    <t>Текіла Сільвер Ольмека 35% с/пл 0,5л</t>
  </si>
  <si>
    <t>Текіла Сільвер Ольмека 35% с/пл 0,7л</t>
  </si>
  <si>
    <t>Текіла Сільвер Сомбреро Негро 38% с/пл 0,7л</t>
  </si>
  <si>
    <t>Настоянка Гірка Кампарі 25% с/пл 0,5л</t>
  </si>
  <si>
    <t>Настоянка Гірка Кампарі 25% с/пл 1,0л</t>
  </si>
  <si>
    <t>Настоянка з Медом на коньяку Калганофф 40% с/пл 0,25л</t>
  </si>
  <si>
    <t>Настоянка з Медом на коньяку Калганофф 40% с/пл 0,5л</t>
  </si>
  <si>
    <t>Настоянка Золота Зубровка 37,5% с/пл 0,5л</t>
  </si>
  <si>
    <t>Настоянка Зубровка 37,5% с/пл 0,5л</t>
  </si>
  <si>
    <t>Настоянка медова з перцем Українська Неміров 40% с/пл 0,37л</t>
  </si>
  <si>
    <t>Настоянка медова з перцем Українська Неміров 40% с/пл 0,5л</t>
  </si>
  <si>
    <t>Настоянка медова з перцем Українська Неміров 40% с/пл 0,7л</t>
  </si>
  <si>
    <t>Настоянка на травах Юнфілтеред Бехерівка 38% с/пл 0,5л</t>
  </si>
  <si>
    <t>Настоянка Перцева Козацька рада 40% с/пл 0,1л</t>
  </si>
  <si>
    <t>Настоянка солодка журавлина Неміров 21% с/пл 0,5л</t>
  </si>
  <si>
    <t>Настоянка Справжня Народна Марка 35% с/пл 0,45л</t>
  </si>
  <si>
    <t>Настоянка Хербал №9 Старіцький і Левицький 38% с/пл 0,5л</t>
  </si>
  <si>
    <t>Настоянка Штоф Журавлина Оригінал Неміров 21% с/пл 0,5л</t>
  </si>
  <si>
    <t>Пиво Бланк Кроненбург 1664 с/пл 0,46л</t>
  </si>
  <si>
    <t>Пиво</t>
  </si>
  <si>
    <t>Пиво БланкКроненбург 1664 л</t>
  </si>
  <si>
    <t xml:space="preserve">Пиво Бланш Грімберген с/б 0,33л </t>
  </si>
  <si>
    <t>Пиво вишня Хард Дрінк Майкас з/б 0,5л</t>
  </si>
  <si>
    <t>Пиво Віденське Опілля 0,5л</t>
  </si>
  <si>
    <t>Пиво Дункель Львівське л</t>
  </si>
  <si>
    <t>Пиво Земан Пиво Пивна душа Преміум л</t>
  </si>
  <si>
    <t>Пиво зі смаком лимона Біле Фрутер Чернігівське з/б 0,5л</t>
  </si>
  <si>
    <t>Пиво Кавун Бірмікс 2,5% з/б 0,5л</t>
  </si>
  <si>
    <t>Пиво Кромбахер з/б 0,5л</t>
  </si>
  <si>
    <t>Пиво Лимон Бірмікс з/б 0,5л</t>
  </si>
  <si>
    <t>Пиво Лимон Гараж Хард з/б 0,48л</t>
  </si>
  <si>
    <t xml:space="preserve">Пиво Лимон Гараж Хард с/пл 0,44л </t>
  </si>
  <si>
    <t>Пиво лимон Хард Дрінк Майкас з/б 0,5л</t>
  </si>
  <si>
    <t>Пиво лимон Хард Дрінк Майкас п/пл 0,88л</t>
  </si>
  <si>
    <t>Пиво Малина Бірмікс з/б 0,5л</t>
  </si>
  <si>
    <t>Пиво Манго Бірмікс з/б 0,5л</t>
  </si>
  <si>
    <t>Пиво Мандарин Сет і Райлі Гараж 4,4% с/пл 0,44л</t>
  </si>
  <si>
    <t>Пиво Марочне 1913 Охтирка л</t>
  </si>
  <si>
    <t>Пиво Медове 2002 Уманьпиво с/пл 0,5л</t>
  </si>
  <si>
    <t>Пиво н/фільтр Блан Вольфас Енгельман з/б 0,568л</t>
  </si>
  <si>
    <t>Пиво напівтемне Авторське ППБ 6,5% с/пл 0,5л</t>
  </si>
  <si>
    <t>Пиво напівтемне Баварське живе №15 Нова Баварія 4,6% п/пл 1,5л</t>
  </si>
  <si>
    <t>Пиво напівтемне вишня Тетерів Хмільна Перша Приватна Броварня п/пл 1,2л</t>
  </si>
  <si>
    <t>Пиво нефильтроване зі смаком кавуна та м'яти Біле Фрутер Чернігівське з/б 0,5л</t>
  </si>
  <si>
    <t>Пиво нефільтроване Ягоди Хайк 5% з/б 0,5л</t>
  </si>
  <si>
    <t>Пиво оригінальне Гіннесс 0,33л</t>
  </si>
  <si>
    <t>Пиво Охтирське Медове Охтирка л</t>
  </si>
  <si>
    <t xml:space="preserve">Пиво Персик Бірмікс з/б 0,5л </t>
  </si>
  <si>
    <t>Пиво Пілcнер Хольстен з/б 0,48л</t>
  </si>
  <si>
    <t>Пиво Пілзнер Калнапіліс з/б 0,568л</t>
  </si>
  <si>
    <t>Пиво Портер Вольфас Енжелмен з/б 0,568л</t>
  </si>
  <si>
    <t>Пиво пшеничне світле Кромбахер з/б 0,5л</t>
  </si>
  <si>
    <t>Пиво розливне світле Київське Оболонь п/пл 0,6л</t>
  </si>
  <si>
    <t>Пиво свiтле Пражечка 5л</t>
  </si>
  <si>
    <t>Пиво свiтле Преміум Факс з/б 0,5л</t>
  </si>
  <si>
    <t>Пиво свiтле Роял Факс з/б 0,5л</t>
  </si>
  <si>
    <t>Пиво свiтле Черновар з/б 0,5л</t>
  </si>
  <si>
    <t>Пиво світле 1715 Львівське з/б 0,48л</t>
  </si>
  <si>
    <t>Пиво світле 1715 Львівське п/пл 2,25л</t>
  </si>
  <si>
    <t>Пиво світле 1715 Львівське с/пл 0,45л</t>
  </si>
  <si>
    <t>Пиво світле 1906 Галісія Айриш Естрелла Галісія 5% с/б 0,33л</t>
  </si>
  <si>
    <t>Пиво світле 1906 Зіберт п/пл 1,15л</t>
  </si>
  <si>
    <t>Пиво світле 1906 Ред Вінтаж Естрелла Галісія 8% с/б 0,33л</t>
  </si>
  <si>
    <t>Пиво світле 20 років Перша Приватна Броварня з/б 0,5л</t>
  </si>
  <si>
    <t>Пиво світле 20 років Перша Приватна Броварня п/пл 2,0л</t>
  </si>
  <si>
    <t>Пиво світле 20 років Перша Приватна Броварня с/пл 0,5л</t>
  </si>
  <si>
    <t>Пиво світле EG Еспешл Естрелла Галісія 5,5% к/у 6*0,33л+келих</t>
  </si>
  <si>
    <t>Пиво світле №13 Нова Баварія л</t>
  </si>
  <si>
    <t>Пиво світле Амстел з/б 0,5л</t>
  </si>
  <si>
    <t>Пиво світле Амстел с/пл 0,5л</t>
  </si>
  <si>
    <t>Пиво світле Ара Вольфас Енгельман 0,5л</t>
  </si>
  <si>
    <t>Пиво світле Баварія з/б 0,5л</t>
  </si>
  <si>
    <t>Пиво світле Баварія с/пл 0,5л</t>
  </si>
  <si>
    <t xml:space="preserve">Пиво світле Баварське живе №11 Нова Баварія 4,0% п/пл 1,5л </t>
  </si>
  <si>
    <t xml:space="preserve">Пиво світле Баварське живе №13 Нова Баварія 4,9% п/пл 1,5л </t>
  </si>
  <si>
    <t>Пиво світле Баварське живе ПРЕМІУМ Нова Баварія 4,9% п/пл 1,5л</t>
  </si>
  <si>
    <t>Пиво світле Баварське Зіберт п/пл 1,75л</t>
  </si>
  <si>
    <t>Пиво світле без глютену Естрелла Галісія 5,5% с/б 0,33л</t>
  </si>
  <si>
    <t>Пиво світле Бірра Морреті 4,6% с/пл 0,33л</t>
  </si>
  <si>
    <t>Пиво світле Блонд Лефф з/б 0,5л</t>
  </si>
  <si>
    <t xml:space="preserve">Пиво світле Блонд Лефф с/б 0,33л </t>
  </si>
  <si>
    <t>Пиво світле Блонд Сен-Пьер з/б 0,5</t>
  </si>
  <si>
    <t>Пиво світле богеміам Преміум Лагер Олд Прага з/б 0,5л</t>
  </si>
  <si>
    <t>Пиво світле Бочкове Перша Приватна Броварня з/б 0,5л</t>
  </si>
  <si>
    <t>Пиво світле Бочкове Перша Приватна Броварня п/пл 2,0л</t>
  </si>
  <si>
    <t xml:space="preserve">Пиво світле Бочкове Перша Приватна Броварня с/пл 0,5л </t>
  </si>
  <si>
    <t>Пиво світле Бочкове Полтавпиво п/пл 1,5л</t>
  </si>
  <si>
    <t>Пиво світле Будвайзер 5л</t>
  </si>
  <si>
    <t>Пиво світле Будвайзер з/б 0,5л</t>
  </si>
  <si>
    <t>Пиво світле Будвайзер с/пл 0,5л</t>
  </si>
  <si>
    <t>Пиво світле Вайсбург Лагер Уманьпиво п/пл 1,0л</t>
  </si>
  <si>
    <t>Пиво світле Велкопоповицький Козел з/б 0,5л</t>
  </si>
  <si>
    <t>Пиво світле Германаріх з/б 0,5л</t>
  </si>
  <si>
    <t>Пиво світле Германаріх п/пл 1,0л</t>
  </si>
  <si>
    <t xml:space="preserve">Пиво світле Грін Туборг с/пл 0,5л </t>
  </si>
  <si>
    <t>Пиво світле ДАБ з/б 0,5л</t>
  </si>
  <si>
    <t>Пиво світле Датч Віндмілл з/б 0,5л</t>
  </si>
  <si>
    <t>Пиво світле Дніпровська Чайка п/пл 2,0л</t>
  </si>
  <si>
    <t>Пиво світле Експорт 1851 Опілля з/б 0,5л</t>
  </si>
  <si>
    <t>Пиво світле Експорт 1851 Опілля с/пл 0,5л</t>
  </si>
  <si>
    <t>Пиво світле Експорт Корифей Опілля з/б 0,5л</t>
  </si>
  <si>
    <t>Пиво світле Експорт Корифей Опілля с/пл 0,5л</t>
  </si>
  <si>
    <t>Пиво світле Експорт Лагер Опілля 11,0% з/б 0,5л</t>
  </si>
  <si>
    <t>Пиво світле Експорт Лагер Опілля 11,0% с/пл 0,5л</t>
  </si>
  <si>
    <t>Пиво світле Екстра Корона з/б 0,33л</t>
  </si>
  <si>
    <t>Пиво світле Екстра Хольстен з/б 0,48л</t>
  </si>
  <si>
    <t>Пиво світле Екстра Швитурис 5,2% з/б 0,568л</t>
  </si>
  <si>
    <t>Пиво світле Екстраміцне Десант з/б 0,5л</t>
  </si>
  <si>
    <t>Пиво світле екстраміцне Десант п/пл 1,25л</t>
  </si>
  <si>
    <t>Пиво світле екстраміцне Десант п/пл 1,75л</t>
  </si>
  <si>
    <t>Пиво світле елегант Іпа Кетен Брук з/б 0,5л</t>
  </si>
  <si>
    <t>Пиво світле елегант Лагер Кетен Брук з/б 0,5л</t>
  </si>
  <si>
    <t>Пиво світле Закарпатське Перша Приватна Броварня п/пл 1,2л</t>
  </si>
  <si>
    <t>Пиво світле Закарпатське Перша Приватна Броварня с/пл 0,5л</t>
  </si>
  <si>
    <t>Пиво світле Зіберт п/пл 2,25л</t>
  </si>
  <si>
    <t>Пиво світле Зіберт с/пл 0,5л</t>
  </si>
  <si>
    <t>Пиво світле Злата Брама 1,75л</t>
  </si>
  <si>
    <t>Пиво світле Злата Брама з/б 0,5л</t>
  </si>
  <si>
    <t xml:space="preserve">Пиво світле Злата Брама п/пл 1,0л </t>
  </si>
  <si>
    <t xml:space="preserve">Пиво світле Злата Брама с/пл 0,45л </t>
  </si>
  <si>
    <t xml:space="preserve">Пиво світле Злата Пражечка з/б 0,5л </t>
  </si>
  <si>
    <t>Пиво світле ІПА Лагунітас 6,2% с/пл 0,355л</t>
  </si>
  <si>
    <t xml:space="preserve">Пиво світле Калнапіліс ж/б 0,568л </t>
  </si>
  <si>
    <t>Пиво Світле Карлсберг з/б 0,5л</t>
  </si>
  <si>
    <t>Пиво світле Карлсберг л</t>
  </si>
  <si>
    <t>Пиво світле Карлсберг с/пл 0,45л</t>
  </si>
  <si>
    <t>Пиво світле Київське Експорт Оболонь 4,7% з/б 0,5л</t>
  </si>
  <si>
    <t>Пиво світле Класік Барлей 4% з/б 0,5л</t>
  </si>
  <si>
    <t>Пиво світле Корабельне Славутич п/пл 1,96л</t>
  </si>
  <si>
    <t>Пиво світле Корифей Бочкове Полтавпиво с/пл 0,5л</t>
  </si>
  <si>
    <t>Пиво світле Корифей Опілля п/пл 1,0л</t>
  </si>
  <si>
    <t>Пиво світле Корифей Опілля с/пл 0,5л</t>
  </si>
  <si>
    <t xml:space="preserve">Пиво світле Корона Екстра с/пл 0,33л </t>
  </si>
  <si>
    <t>Пиво світле Кромбахер 5л</t>
  </si>
  <si>
    <t>Пиво світле Кромбахер с/пл 0,5л</t>
  </si>
  <si>
    <t>Пиво світле Крушовіце з/б 0,5л</t>
  </si>
  <si>
    <t>Пиво світле Крушовіце с/пл 0,5л</t>
  </si>
  <si>
    <t xml:space="preserve">Пиво світле Лагер Елегант Кетен Брук с/пл 0,45л </t>
  </si>
  <si>
    <t>Пиво світле Лайт Хайк з/б 0,5л</t>
  </si>
  <si>
    <t>Пиво світле Лайт Чернігівське з/б 0,5л</t>
  </si>
  <si>
    <t>Пиво світле Лайт Чернігівське п/пл 0,9л</t>
  </si>
  <si>
    <t>Пиво світле Лайт Чернігівське п/пл 1,95л</t>
  </si>
  <si>
    <t>Пиво світле лимон-м'ята Радлер Львівське з/б 0,48л</t>
  </si>
  <si>
    <t>Пиво світле Лящ Полтавпиво з/б 0,5л</t>
  </si>
  <si>
    <t>Пиво світле Лящ Полтавпиво п/пл 1,5л</t>
  </si>
  <si>
    <t>Пиво світле Лящ Полтавпиво с/пл 0,5л</t>
  </si>
  <si>
    <t>Пиво світле Львівське л</t>
  </si>
  <si>
    <t>Пиво світле Львівське п/пл 1,18л</t>
  </si>
  <si>
    <t>Пиво світле Львівське п/пл 2,35л</t>
  </si>
  <si>
    <t>Пиво світле Львівське с/пл 0,5л</t>
  </si>
  <si>
    <t>Пиво світле Марцен Гессер 5,2% з/б 0,5л</t>
  </si>
  <si>
    <t>Пиво світле Микулинецьке 11% п/пл 1,0л</t>
  </si>
  <si>
    <t>Пиво світле Микулинецьке 11% с/пл 0,5л</t>
  </si>
  <si>
    <t>Пиво світле Міллер з/б 0,48л</t>
  </si>
  <si>
    <t>Пиво світле Міллер с/пл 0,45л</t>
  </si>
  <si>
    <t>Пиво світле Міцне Арсенал п/пл 1,22л</t>
  </si>
  <si>
    <t>Пиво світле Міцне Арсенал п/пл 1,96л</t>
  </si>
  <si>
    <t>Пиво світле міцне Тетерів Перша Приватна Броварня с/пл 0,5л</t>
  </si>
  <si>
    <t>Пиво світле М'яке Львівське с/пл 0,45л</t>
  </si>
  <si>
    <t>Пиво світле М'яке Повна Діжка п/пл 0,9л</t>
  </si>
  <si>
    <t xml:space="preserve">Пиво світле н/ф Бланш Елегант Кетен Брук с/пл 0,45л </t>
  </si>
  <si>
    <t>Пиво світле н/фільтр Блонд Вольфас Енгельман з/б 0,568</t>
  </si>
  <si>
    <t>Пиво світле нефільтроване Біле Вайсбург Уманьпиво п/пл 1,0л</t>
  </si>
  <si>
    <t>Пиво світле нефільтроване Біле Вайсбург Уманьпиво с/пл 0,5л</t>
  </si>
  <si>
    <t>Пиво світле нефільтроване Біле Опілля с/пл 0,5л</t>
  </si>
  <si>
    <t>Пиво світле нефільтроване Біле Швитурис 5% 0,568л</t>
  </si>
  <si>
    <t>Пиво світле нефільтроване Бланш елегант Кетен Брук з/б 0,5л</t>
  </si>
  <si>
    <t>Пиво світле нефільтроване Бланш Микулинецьке с/пл 0,5л</t>
  </si>
  <si>
    <t>Пиво світле нефільтроване Бочкове Перша Приватна Броварня з/б 0,5л</t>
  </si>
  <si>
    <t>Пиво світле нефільтроване Бочкове Перша Приватна Броварня п/пл 0,9л</t>
  </si>
  <si>
    <t>Пиво світле нефільтроване Бочкове Перша Приватна Броварня с/пл 0,5л</t>
  </si>
  <si>
    <t>Пиво світле нефільтроване Вайт Селект Калнапіліс з/б 0,568л</t>
  </si>
  <si>
    <t>Пиво світле нефільтроване Вайт Хугарден з/б 0,5л</t>
  </si>
  <si>
    <t>Пиво світле нефільтроване Вайт Хугарден с/пл 0,33л</t>
  </si>
  <si>
    <t>Пиво світле нефільтроване Віт-Бланш Холланд Краун з/б 0,5л</t>
  </si>
  <si>
    <t>Пиво світле нефільтроване ІПА Олві 4,7% з/б 0,5л</t>
  </si>
  <si>
    <t>Пиво світле нефільтроване НЕІПА Олві 4,7% з/б 0,5л</t>
  </si>
  <si>
    <t>Пиво світле нефільтроване Особливе Чорноморська Чайка ППБ 4,3% з/б 0,5л</t>
  </si>
  <si>
    <t>Пиво Світле Оболонь з/б 0,5л</t>
  </si>
  <si>
    <t>Пиво світле Оболонь п/пл 2,2л</t>
  </si>
  <si>
    <t>Пиво Світле Оболонь с/пл 0,5л</t>
  </si>
  <si>
    <t>Пиво світле Оригінал Ловенбрау 5,1% п/пл 0,9л</t>
  </si>
  <si>
    <t>Пиво світле Оригінальне Закарпатське з/б 0,5л</t>
  </si>
  <si>
    <t>Пиво світле Оріджинал Ловенбрау з/б 0,5л</t>
  </si>
  <si>
    <t>Пиво світле Оріджинал Ловенбрау с/пл 0,5л</t>
  </si>
  <si>
    <t>Пиво Світле Охтирка л</t>
  </si>
  <si>
    <t>Пиво світле Пілзнер Вольтерс 4,9% з/б 0,5л</t>
  </si>
  <si>
    <t>Пиво світле Пілзнер Клостеркеллер 4,9% з/б 0,5л</t>
  </si>
  <si>
    <t>Пиво світле Преміум Варштайнер с/пл 0,33л</t>
  </si>
  <si>
    <t>Пиво світле Преміум Хайк з/б 0,5л</t>
  </si>
  <si>
    <t>Пиво світле пшеничне Вайзен Вольтерс 5,3% з/б 0,5л</t>
  </si>
  <si>
    <t>Пиво світле розлив Свіжий Перша Приватна Броварня з/б 0,5л</t>
  </si>
  <si>
    <t>Пиво світле розлив Свіжий Перша Приватна Броварня п/пл 1,2л</t>
  </si>
  <si>
    <t>Пиво світле Росе Кроненбург 1664 з/б 0,33л</t>
  </si>
  <si>
    <t>Пиво світле Свіжий розлив Перша Приватна Броварня с/б 0,65л</t>
  </si>
  <si>
    <t>Пиво світле Сеньйор Картель з/б 0,33л</t>
  </si>
  <si>
    <t>Пиво світле Сіверська Легенда 4% с/пл 0,45л</t>
  </si>
  <si>
    <t>Пиво світле Сіверська Легенда п/пл 1,8л</t>
  </si>
  <si>
    <t>Пиво світле Сол с/пл 0,33</t>
  </si>
  <si>
    <t>Пиво світле Старопрамен з/б 0,48л</t>
  </si>
  <si>
    <t>Пиво світле Старопрамен с/пл 0,45л</t>
  </si>
  <si>
    <t>Пиво світле Титан Чернігівське п/пл 1,95л</t>
  </si>
  <si>
    <t>Пиво світле Традиційне Оболонь п/пл 1,25л</t>
  </si>
  <si>
    <t>Пиво світле фільтроване Медове Микулинецьке 0,5л</t>
  </si>
  <si>
    <t>Пиво світле Хейнекен 5% з/б 0,5л</t>
  </si>
  <si>
    <t>Пиво світле Хейнекен 5% с/пл 0,5л</t>
  </si>
  <si>
    <t>Пиво світле Хеллес Клостеркеллер 4,9% з/б 0,5л</t>
  </si>
  <si>
    <t>Пиво світле Холланд з/б 0,5</t>
  </si>
  <si>
    <t>Пиво світле Чернігівське п/пл 1,12л</t>
  </si>
  <si>
    <t>Пиво світле Чернігівське с/пл 0,5л</t>
  </si>
  <si>
    <t>Пиво світле Чорноморська Чайка с/пл 0,45л</t>
  </si>
  <si>
    <t>Пиво світле яблуко-м'ята Радлер Львівське з/б 0,48л</t>
  </si>
  <si>
    <t>Пиво спеціальне зі смаком коктейлю Інком Такс Хайк Вайб 4,3% з/б 0,5л</t>
  </si>
  <si>
    <t>Пиво спеціальне зі смаком коктейлю Мохіто Хайк Вайб 4,3% з/б 0,5л</t>
  </si>
  <si>
    <t>Пиво спеціальне нефільтроване Лимон Сеньйор Картель 4,6% с/пл 0,33л</t>
  </si>
  <si>
    <t>Пиво спеціальне світле пшеничне пастеризоване Бланк Кроненбург 1664 4.8% з/б 0,5л</t>
  </si>
  <si>
    <t xml:space="preserve">Пиво текіла Десперадос с/пл 0,33 </t>
  </si>
  <si>
    <t>Пиво темне 1906 Блек Купаж Естрелла Галісія 7,2% с/б 0,33л</t>
  </si>
  <si>
    <t>Пиво темне Блек Вольтерс 5% з/б 0,5л</t>
  </si>
  <si>
    <t>Пиво темне богеміам Лагер Олд Прага з/б 0,5л</t>
  </si>
  <si>
    <t xml:space="preserve">Пиво темне Браун Ель Ньюкасл с/пл 0,33 </t>
  </si>
  <si>
    <t>Пиво темне Бруне Лефф з/б 0,5л</t>
  </si>
  <si>
    <t xml:space="preserve">Пиво темне Бруне Лефф с/б 0,33л </t>
  </si>
  <si>
    <t>Пиво темне Брюн Елегант Кетен Брук з/б 0,5л</t>
  </si>
  <si>
    <t xml:space="preserve">Пиво темне Будвайзер ж/б 0,5л </t>
  </si>
  <si>
    <t>Пиво темне Будвайзер с/пл 0,5л</t>
  </si>
  <si>
    <t>Пиво темне Велкопоповицький Козел з/б 0,5л</t>
  </si>
  <si>
    <t>Пиво темне ДАБ з/б 0,5л</t>
  </si>
  <si>
    <t>Пиво темне Диканські вечори Полтавпиво п/пл 1,5л</t>
  </si>
  <si>
    <t>Пиво темне Диканські вечори Полтавпиво с/пл 0,5л</t>
  </si>
  <si>
    <t xml:space="preserve">Пиво темне Кромбахер с/пл 0,5л </t>
  </si>
  <si>
    <t>Пиво темне Крушовіце з/б 0,5л</t>
  </si>
  <si>
    <t>Пиво темне Крушовіце с/пл 0,5л</t>
  </si>
  <si>
    <t>Пиво темне Лев Львівське з/б 0,48л</t>
  </si>
  <si>
    <t>Пиво темне Оксамитове Повна Діжка 4,2% с/пл 0,45л</t>
  </si>
  <si>
    <t>Пиво темне Різдвяне Львівське з/б 0,48л</t>
  </si>
  <si>
    <t>Пиво темне Різдвяне Львівське п/пл 1,12л</t>
  </si>
  <si>
    <t xml:space="preserve">Пиво темне Різдвяне Львівське с/пл 0,5л </t>
  </si>
  <si>
    <t>Пиво Хард лимон Гараж п/пл 0,9л</t>
  </si>
  <si>
    <t>Пиво Хардкор Карамбола Гараж з/б 0,5л</t>
  </si>
  <si>
    <t>Пиво Хардкор Карамбола Гараж с/пл 0,44л</t>
  </si>
  <si>
    <t>Пиво Чернігівське Титан світле 0,5л</t>
  </si>
  <si>
    <t>Пиво Чернігівське Титан світле 1,0л пет</t>
  </si>
  <si>
    <t>Пиво Черновар темне 0,5л ж/б</t>
  </si>
  <si>
    <t>Пиво черрі Хардкор Гараж з/б 0,5л</t>
  </si>
  <si>
    <t>Пиво черрі Хардкор Гараж с/б 0,44л</t>
  </si>
  <si>
    <t>Пиво Чеський Пілснер імпорт л</t>
  </si>
  <si>
    <t>Суміш пива з соком пшеничне Грейпфрут Шофферхофер с/пл 0,33л</t>
  </si>
  <si>
    <t>Напій зброджений Аморе Алко Попс з/б 0,5л</t>
  </si>
  <si>
    <t>Сидр</t>
  </si>
  <si>
    <t>Напій зброджений Вишня Яблуко Пані Вишня с/пл 0,33л</t>
  </si>
  <si>
    <t>Напій зброджений Ігрітто Алко Попс з/б 0,5л</t>
  </si>
  <si>
    <t>Напій зброджений Слива Яблуко Пані Слива с/пл 0,33л</t>
  </si>
  <si>
    <t>Сидр Вишня Золотоніський 5,0% з/б 0,5л</t>
  </si>
  <si>
    <t>Сидр Груша Золотоніський 5,0% з/б 0,5л</t>
  </si>
  <si>
    <t>Сидр Епл Брітіш Драй Стронгбоу з/б 5% 0,5л</t>
  </si>
  <si>
    <t>Сидр Епс з/б 0,5л</t>
  </si>
  <si>
    <t>Сидр Ламбруско Бьянко Дольчеліні п/пл 0,8л</t>
  </si>
  <si>
    <t>Сидр Ламбруско Россо Дольчеліні з/б 0,33л</t>
  </si>
  <si>
    <t>Сидр Ламбруско Россо Дольчеліні п/пл 0,8л</t>
  </si>
  <si>
    <t>Сидр Полуниця і Виноград л</t>
  </si>
  <si>
    <t>Сидр Россо Фраголіно Вілла Б'янка 7-8.5% з/б 0,33л</t>
  </si>
  <si>
    <t xml:space="preserve">Сидр солодкий Вишня Сібер 5,5% п/пл 0,8л </t>
  </si>
  <si>
    <t xml:space="preserve">Сидр солодкий Груша Сібер 5,5% п/пл 0,8л </t>
  </si>
  <si>
    <t xml:space="preserve">Сидр солодкий Чорниця Сібер 5,5% п/пл 0,8л </t>
  </si>
  <si>
    <t>Сидр Червоний грейпфрут л</t>
  </si>
  <si>
    <t xml:space="preserve">Сидр чорниця Сомерсбі з/б 0,5л </t>
  </si>
  <si>
    <t>Сидр Чорниця Сомерсбі п/пл 0,95л</t>
  </si>
  <si>
    <t>Сидр яблучний солодкий газований Класік Епс п/пл 1,0л</t>
  </si>
  <si>
    <t>Напій с/а енергетичний Ківі яблуко Бронкс 8% з/б 0,5л</t>
  </si>
  <si>
    <t>Алкогольні коктейлі</t>
  </si>
  <si>
    <t>Напій слабоалкогольний Беррі Кінгз Брідж 7,0% з/б 0,5л</t>
  </si>
  <si>
    <t>Напій слабоалкогольний біл н/сол Фраголіно Бьянко Фрателлі з/б 0,33л</t>
  </si>
  <si>
    <t>Напій слабоалкогольний Біттер Лимон Оболонь 8,0% с/пл 0,33л</t>
  </si>
  <si>
    <t>Напій слабоалкогольний Бора Бора Дзен з/б 0,5л</t>
  </si>
  <si>
    <t>Напій слабоалкогольний Бора бора Шейк 7,0% з/б 0,5л</t>
  </si>
  <si>
    <t xml:space="preserve">Напій слабоалкогольний Бора бора Шейк 7,0% с/б 0,33л </t>
  </si>
  <si>
    <t>Напій слабоалкогольний Бренді кола Оболонь 8,0% з/б 0,5л</t>
  </si>
  <si>
    <t xml:space="preserve">Напій слабоалкогольний Бренді кола Оболонь 8,0% с/пл 0,3л </t>
  </si>
  <si>
    <t>Напій слабоалкогольний Бронкс Блек оранж Оболонь 8,0% з/б 0,5л</t>
  </si>
  <si>
    <t>Напій слабоалкогольний Бронкс Темна Вишня Оболонь 8,0% з/б 0,5л</t>
  </si>
  <si>
    <t>Напій слабоалкогольний грейпфрут Джин Оболонь 8,0% с/пл 0,3л</t>
  </si>
  <si>
    <t>Напій слабоалкогольний Грейпфрут Кінгз Брідж 7,0% з/б 0,5л</t>
  </si>
  <si>
    <t>Напій слабоалкогольний Дайкірі Дзен з/б 0,5л</t>
  </si>
  <si>
    <t>Напій слабоалкогольний Дайкірі Шейк 7,0% з/б 0,5л</t>
  </si>
  <si>
    <t xml:space="preserve">Напій слабоалкогольний Дайкірі Шейк 7,0% с/б 0,33л </t>
  </si>
  <si>
    <t>Напій слабоалкогольний Джек Деніелс з Колою Джек Деніелс 5% з/б 0,33л</t>
  </si>
  <si>
    <t>Напій слабоалкогольний Джин з тоніком Кінгз Брідж 7,0% з/б 0,33л</t>
  </si>
  <si>
    <t>Напій слабоалкогольний джин з тоніком Кінгз Брідж 7,0% з/б 0,5л</t>
  </si>
  <si>
    <t>Напій слабоалкогольний Джин тонік Оболонь 8,0% з/б 0,5л</t>
  </si>
  <si>
    <t>Напій слабоалкогольний Джин тонік Оболонь 8,0% с/пл 0,3л</t>
  </si>
  <si>
    <t>Напій слабоалкогольний Енерджи Блек Рево з/б 0,5л</t>
  </si>
  <si>
    <t xml:space="preserve">Напій слабоалкогольний Енерджи Рево ж/б 0,5л </t>
  </si>
  <si>
    <t>Напій слабоалкогольний Мохіто Шейк 7,0% з/б 0,5л</t>
  </si>
  <si>
    <t>Напій слабоалкогольний Ром кола Оболонь 8,0% с/пл 0,3л</t>
  </si>
  <si>
    <t>Напій слабоалкогольний Секс на пляжі Дзен з/б 0,5л</t>
  </si>
  <si>
    <t>Напій слабоалкогольний Секс на пляжі Шейк 7,0% з/б 0,5л</t>
  </si>
  <si>
    <t>Напій слабоалкогольний Секс на пляжі Шейк 7,0% с/б 0,33л</t>
  </si>
  <si>
    <t xml:space="preserve">Напій слабоалкогольний Текіла лайм Оболонь 8,0% с/пл 0,33л </t>
  </si>
  <si>
    <t xml:space="preserve">Напій слабоалкогольний чер н/сол Фраголіно Россо Фрателлі з/б 0,33л </t>
  </si>
  <si>
    <t>Напій слабоалкогольний Черрі Рево Енерджи з/б 0,5л</t>
  </si>
  <si>
    <t>Вино ігристе біл брют 1821 Вінтаж Болград 10,5-12,5% 0,75л</t>
  </si>
  <si>
    <t>Ігристі вина</t>
  </si>
  <si>
    <t>Вино ігристе біл брют Азнаурі 10-13,5% 0,75л</t>
  </si>
  <si>
    <t>Вино ігристе біл брют Артемівське 10-13,5% 0,75л</t>
  </si>
  <si>
    <t>Вино ігристе біл Брют Вілла ЮА 10-13,5% 0,75л</t>
  </si>
  <si>
    <t>Вино ігристе біл Брют КАВА Жауме Серра 11,5% 0,75</t>
  </si>
  <si>
    <t>Вино ігристе біл Брют Маренго 10-13,5% 0,75л</t>
  </si>
  <si>
    <t>Вино ігристе біл брют Ореанда 10,5-12,5% 0,75л</t>
  </si>
  <si>
    <t>Вино ігристе біл брют Піно Гріджио Блан Канті 11% 0,75л</t>
  </si>
  <si>
    <t>Вино ігристе біл брют Тетенже Резерв Тайттінґер 12,5% с/пл 0,75л</t>
  </si>
  <si>
    <t xml:space="preserve">Вино ігристе біл екс сух Брют Мондоро 12% под/у 0,75л </t>
  </si>
  <si>
    <t>Вино ігристе біл н/сол 1821 Вінтаж Болград 10,5-12,5% 0,75л</t>
  </si>
  <si>
    <t>Вино ігристе біл н/сол 1821 Вінтаж Мускат Болград 10-13,5% 0,75л</t>
  </si>
  <si>
    <t>Вино ігристе біл н/сол Азнаурі 10-13,5% 0,75л</t>
  </si>
  <si>
    <t>Вино ігристе біл н/сол біла етикетка Артемівське 10-13,5% 0,75л</t>
  </si>
  <si>
    <t>Вино ігристе біл н/сол Бьянко Фраголіно Фрателлі 6-6,9% 0,75л</t>
  </si>
  <si>
    <t>Вино ігристе біл н/сол Вілла ЮА 10-13,5% 0,75л</t>
  </si>
  <si>
    <t>Вино ігристе біл н/сол Голд Шабо 10,5-13,5% 0,75л</t>
  </si>
  <si>
    <t>Вино ігристе біл н/сол Коктебель10,5-12,5% 0,75л</t>
  </si>
  <si>
    <t>Вино ігристе біл н/сол Маренго 10-13,5% 0,75л</t>
  </si>
  <si>
    <t>Вино ігристе біл н/сол Мускатне Голд Шабо 10,5-13,5% 0,75л</t>
  </si>
  <si>
    <t>Вино ігристе біл н/сол Мускатне Коктебель 10,5-13,5% 0,75л</t>
  </si>
  <si>
    <t>Вино ігристе біл н/сол Ореанда 10,5-12,5% 0,75л</t>
  </si>
  <si>
    <t>Вино ігристе біл н/сол Салюте Асті Коктебель 10-13,5% 0,75л</t>
  </si>
  <si>
    <t>Вино ігристе біл н/сол чорна етикетка Артемівське 10-13,5% 0,75л</t>
  </si>
  <si>
    <t>Вино ігристе біл н/сух Артемівське 10-13,5% 0,75л</t>
  </si>
  <si>
    <t>Вино ігристе біл н/сух КАВА Жауме Серра 11,5% 0,75л</t>
  </si>
  <si>
    <t>Вино ігристе біл н/сух Ореанда 10,5-12,5% 0,75л</t>
  </si>
  <si>
    <t>Вино ігристе біл сол Артемівське 10-13,5% 0,75л</t>
  </si>
  <si>
    <t>Вино ігристе біл сол Асті Сан Мартіно 10,5-12,5% 0,75л</t>
  </si>
  <si>
    <t>Вино ігристе біл сол Асті Чинзано 7% 0,75л</t>
  </si>
  <si>
    <t>Вино ігристе біл сух Міоль Просекко Тревізо Фріззанте Бортоломіол 11% 0,75л</t>
  </si>
  <si>
    <t>Вино ігристе біле брют Дімміто 11,5% с/пл 0,75л</t>
  </si>
  <si>
    <t>Вино ігристе біле брют Проветто 10,5% с/пл 0,75л</t>
  </si>
  <si>
    <t>Вино ігристе біле брют Шабо Прімо Секко 11,8% с/пл 0,75л</t>
  </si>
  <si>
    <t>Вино ігристе біле екстра сухе Просекко DOC Піровано 11% с/пл 0,75л</t>
  </si>
  <si>
    <t>Вино ігристе біле екстрасухе Шабо Прімо Секко 12% с/пл 0,75л</t>
  </si>
  <si>
    <t>Вино ігристе біле н/сол Чарліс ду Лак 8,4% с/пл 0,75л</t>
  </si>
  <si>
    <t>Вино ігристе біле н/сол Шабо Прімо Секко 11,3% с/пл 0,75л</t>
  </si>
  <si>
    <t>Вино ігристе біле н/сух Дімміто 11,5% с/пл 0,75л</t>
  </si>
  <si>
    <t>Вино ігристе біле солодке Асті Вілла ЮА 10-13,5% с/пл 0,75л</t>
  </si>
  <si>
    <t>Вино ігристе Бортоломіол Пріор Вальдобб'ядене Просекко Суперіоре біл брют 12% 0,75л</t>
  </si>
  <si>
    <t>Вино ігристе Бортоломіол Суавіс Вальдобб'ядене Просекко Суперіоре біл н/сух 11% 0,75л</t>
  </si>
  <si>
    <t>Вино ігристе Декорді Просекко Фріззанте біл сух 11% 0,75л</t>
  </si>
  <si>
    <t>Вино ігристе рож брют 1821 Вінтаж Болград 10-13,5% 0,75л</t>
  </si>
  <si>
    <t>Вино ігристе рож брют Піно Гріджио Блан Канті 11% 0,75л</t>
  </si>
  <si>
    <t>Вино ігристе рож брют Шабо Прімо Секко 12,6% с/пл 0,75л</t>
  </si>
  <si>
    <t>Вино ігристе рож н/сол Асті Вілла ЮА 10-13,5% с/пл 0,75л</t>
  </si>
  <si>
    <t>Вино ігристе рож н/сол Маренго 10-13,5% 0,75л</t>
  </si>
  <si>
    <t>Вино ігристе рож н/сол Фраголіно Розато Фрателлі 6-6,9% 0,75л</t>
  </si>
  <si>
    <t>Вино ігристе рож н/сух Артемівське 10-13,5% 0,75л</t>
  </si>
  <si>
    <t>Вино ігристе рож н/сух Голд Шабо 10,5-13,5% 0,75л</t>
  </si>
  <si>
    <t>Вино ігристе рожеве н/сол Чарліс ду Лак 8,4% с/пл 0,75л</t>
  </si>
  <si>
    <t>Вино ігристе рожеве сухе Проветто 10,5% с/пл 0,75л</t>
  </si>
  <si>
    <t>Вино ігристе чер н/сол Артемівське 10-13,5% 0,75л</t>
  </si>
  <si>
    <t>Вино ігристе чер н/сол Россо Фраголіно Фрателлі 6-6,9% 0,75л</t>
  </si>
  <si>
    <t>Вино ігристе Юве і Кампс Резерва де ла Фамілья Гран Резерва біл брют 12% 0,75л</t>
  </si>
  <si>
    <t>Набір Вино ігристе Кордоню Анна Блан де Блан біл брют 11,5% 0,75л х 2 шт у подарунковій упаковці</t>
  </si>
  <si>
    <t>Напій винний ігристий біл н/сол Фраголіно Бьянко 6-6,9% 0,75л</t>
  </si>
  <si>
    <t>Напій винний ігристий біл н/сол Фраголіно Полуниця Маренго 7,5%0,75л</t>
  </si>
  <si>
    <t>Напій винний ігристий біл н/сол Фраголіно Салюте Бьянко Ентре 6-6,9% 1,5л</t>
  </si>
  <si>
    <t>Напій винний ігристий чер сол полуниця Фраголіно Сан Маре 7,5% 0,75л</t>
  </si>
  <si>
    <t>Напій ігристий Шпріц Колібрі 8% с/пл 0,75л</t>
  </si>
  <si>
    <t>Шампанське бел брют Імперіал Моет+Шандон 12% 0,375л</t>
  </si>
  <si>
    <t>Борошно в/г кг</t>
  </si>
  <si>
    <t>Борошно</t>
  </si>
  <si>
    <t xml:space="preserve">Так </t>
  </si>
  <si>
    <t>Борошно Вівсяне Пікантна Кухня 1,0кг</t>
  </si>
  <si>
    <t>Борошно вівсяне Сто пудів м/у 1кг</t>
  </si>
  <si>
    <t>Борошно гречане Сто Пудов 1,0кг</t>
  </si>
  <si>
    <t>Борошно Житнє обдирне Пікантна Кухня 1,0кг</t>
  </si>
  <si>
    <t>Борошно житнє хлібопекарське обдирне Сто пудів м/у 1кг</t>
  </si>
  <si>
    <t>Борошно з твердих сортів пшениці органічне Екород м/у 800гр</t>
  </si>
  <si>
    <t>Борошно зі спельти органічне Екород м/у 800гр</t>
  </si>
  <si>
    <t>Борошно кокосове Сто Пудів м/у 300гр</t>
  </si>
  <si>
    <t>Борошно Кукурудзяне Пікантна Кухня 1,0кг</t>
  </si>
  <si>
    <t>Борошно кукурудзяне тонкого помелу Сквирянка м/у 800гр</t>
  </si>
  <si>
    <t>Борошно кукурудзяне тонкого помелу Сто пудів м/у 1кг</t>
  </si>
  <si>
    <t>Борошно мигдалеве Сто пудів д/п 200гр</t>
  </si>
  <si>
    <t>Борошно Новопокровське пшеничне 5,0кг</t>
  </si>
  <si>
    <t>Борошно пшеничне вищий сорт ЄвроМіл м/у 5кг</t>
  </si>
  <si>
    <t>Борошно пшеничне вищого сорту ЄвроМіл м/у 1кг</t>
  </si>
  <si>
    <t>Борошно пшеничне вищого сорту ЄвроМіл м/у 2кг</t>
  </si>
  <si>
    <t>Борошно пшеничне Новопокровське 1,0кг</t>
  </si>
  <si>
    <t>Борошно пшеничне Новопокровське 2,0кг</t>
  </si>
  <si>
    <t>Борошно пшеничне Рома м/у 1кг</t>
  </si>
  <si>
    <t>Борошно пшеничне Рома м/у 2 кг</t>
  </si>
  <si>
    <t>Борошно Пшеничне Хуторок 1,0кг</t>
  </si>
  <si>
    <t>Борошно пшеничне Хуторок 2,0кг</t>
  </si>
  <si>
    <t>Борошно пшеничне Хуторок м/у 5кг</t>
  </si>
  <si>
    <t>Борошно рисове органічне Екород м/у 500гр</t>
  </si>
  <si>
    <t>Борошно Рисове Пікантна Кухня 1,0кг</t>
  </si>
  <si>
    <t>Борошно рисове Сто пудів м/у 1кг</t>
  </si>
  <si>
    <t>Борошно темпура для панірування Акура 150гр</t>
  </si>
  <si>
    <t>Борошно цільнозернове з твердих сортів Сто Пудов 1,0кг</t>
  </si>
  <si>
    <t>Крохмаль кукурудзяний Сто пудів м/у 400гр</t>
  </si>
  <si>
    <t>Крохмаль, загущувач</t>
  </si>
  <si>
    <t>Крохмаль Сто Пудов 500гр</t>
  </si>
  <si>
    <t>Агар-агар харчовий Приправка 8гр</t>
  </si>
  <si>
    <t>Желатин, агар-агар</t>
  </si>
  <si>
    <t>Ароматизатор Ваніль Доктор Оеткер 8гр</t>
  </si>
  <si>
    <t>Суміші для приготування десертів, пудингів, киселів, желе</t>
  </si>
  <si>
    <t>Ароматизатор лимон Доктор Оеткер 8гр</t>
  </si>
  <si>
    <t>Ароматизатор мигдаль Доктор Оеткер 8гр</t>
  </si>
  <si>
    <t>Ароматизатор натуральний харчовий Апельсин Украса с/б 5мл</t>
  </si>
  <si>
    <t>Ароматизатор Пікантна Кухня Ваніль 1,5гр</t>
  </si>
  <si>
    <t>Ароматизатор харчовий Барбарис Украса с/б 5мл</t>
  </si>
  <si>
    <t>Ароматизатор харчовий Ваніль Украса с/б 5мл</t>
  </si>
  <si>
    <t>Ванільний цукор, ванілін, цукрова пудра</t>
  </si>
  <si>
    <t>Ароматизатор харчовий Дюшес Украса с/б 5мл</t>
  </si>
  <si>
    <t>Ароматизатор харчовий Коньяк Украса с/б 5мл</t>
  </si>
  <si>
    <t>Барвник гелевий натуральний мікс Добрик к/у шт</t>
  </si>
  <si>
    <t>Ванілін Мрія 2гр</t>
  </si>
  <si>
    <t>Ванільний цукор Мрія 10гр</t>
  </si>
  <si>
    <t>Ванільний цукор Пікантна Кухня 8гр</t>
  </si>
  <si>
    <t>Ванільний цукор Приправка 10гр</t>
  </si>
  <si>
    <t>Гарячий шоколад Доктор Оеткер 21гр</t>
  </si>
  <si>
    <t>Крем та глазур для десертів</t>
  </si>
  <si>
    <t>Гарячий шоколад зі смаком Лісового горіха Доктор Оеткер 21гр</t>
  </si>
  <si>
    <t>Глазур зі смаком ванілі Деко 75гр</t>
  </si>
  <si>
    <t>Глазур зі смаком шоколаду Добрик 75гр</t>
  </si>
  <si>
    <t>Глазур кондитерська кольорова Добрик 75гр</t>
  </si>
  <si>
    <t>Глазур темний та білий шоколад Доктор Оеткер 100гр</t>
  </si>
  <si>
    <t>Глазур темний шоколад Доктор Оеткер 100гр</t>
  </si>
  <si>
    <t>Дріжджі прес спирт Градус м/у 0,5кг</t>
  </si>
  <si>
    <t>Дріжжі</t>
  </si>
  <si>
    <t>Дріжджі пресовані Духмяна Хата 100гр</t>
  </si>
  <si>
    <t>Дріжджі сухі хлібопекарські Пікантна кухня п/е 10гр</t>
  </si>
  <si>
    <t>Дріжджі сухі швидкодіючі Доктор Оеткер 7гр</t>
  </si>
  <si>
    <t>Дріжджі сухі швидкодіючі Золоті Саф-Інстант м/у 11гр</t>
  </si>
  <si>
    <t>Дріжджі хлібопекарські сухі Приправка м/у 7гр</t>
  </si>
  <si>
    <t>Желатин Доктор Оеткер 9гр</t>
  </si>
  <si>
    <t>Желатин Мрія 25гр</t>
  </si>
  <si>
    <t>Желатин Приправка 15гр</t>
  </si>
  <si>
    <t>Желатин Швидкорозчинний Пікантна Кухня 15гр</t>
  </si>
  <si>
    <t>Желе ананас Мрія м/у 78гр</t>
  </si>
  <si>
    <t>Желе Апельсин Карамікс 80гр</t>
  </si>
  <si>
    <t>Желе апельсин Мрія м/у 78гр</t>
  </si>
  <si>
    <t>Желе вишня Карамікс 80гр</t>
  </si>
  <si>
    <t>Желе вишня Мрія м/у 78гр</t>
  </si>
  <si>
    <t>Желе для торту Прозоре Доктор Оеткер 8гр</t>
  </si>
  <si>
    <t>Желе Ківі Карамікс 80гр</t>
  </si>
  <si>
    <t>Желе ківі Мрія м/у 78гр</t>
  </si>
  <si>
    <t>Желе лісова ягода Мрія м/у 78гр</t>
  </si>
  <si>
    <t>Желе Малина Карамікс 80гр</t>
  </si>
  <si>
    <t>Желе полуниця Мрія м/у 78гр</t>
  </si>
  <si>
    <t>Желеутворююча речовина Желфікс 2:1 Доктор Оеткер 25гр</t>
  </si>
  <si>
    <t>Загущувач для вершків Доктор Оеткер 8гр</t>
  </si>
  <si>
    <t>Згущувач для сметани Смета Пікантна Кухня 12гр</t>
  </si>
  <si>
    <t>Какао порошок Мрія 100гр</t>
  </si>
  <si>
    <t>Кисіль зі смаком вишні Пікантна кухня п/е 65гр</t>
  </si>
  <si>
    <t>Кисіль зі смаком лісових ягід Пікантна кухня п/е 65гр</t>
  </si>
  <si>
    <t>Кисіль зі смаком персика Пікантна кухня п/е 65гр</t>
  </si>
  <si>
    <t>Кисіль зі смаком полуниці Пікантна кухня п/е 65гр</t>
  </si>
  <si>
    <t>Кисіль швидкого приготування зі шматочками фруктів зі смаком Лісових ягід Доктор Оеткер 31,5гр</t>
  </si>
  <si>
    <t>Кисіль швидкого приготування зі шматочками фруктів зі смаком Малини Доктор Оеткер 31,5гр</t>
  </si>
  <si>
    <t>Крем для торту з шоколадним смаком Доктор Оеткер 55г</t>
  </si>
  <si>
    <t>Крем для торту зі смаком ванілі Доктор Оеткер 50гр</t>
  </si>
  <si>
    <t>Макова начинка Санта Віта к/у 500гр</t>
  </si>
  <si>
    <t>Макова начинка Сто Пудов 500гр</t>
  </si>
  <si>
    <t>Макова начинка суха Сто Пудов 200гр</t>
  </si>
  <si>
    <t>Молочний коктейль з банановим смаком Доктор Оеткер 33гр</t>
  </si>
  <si>
    <t>Молочний коктейль з полуничним смаком Доктор Оеткер 33гр</t>
  </si>
  <si>
    <t>Молочний коктейль з шоколадним смаком Доктор Оеткер 32гр</t>
  </si>
  <si>
    <t>Пудинг з ванільним смаком Доктор Оеткер 40гр</t>
  </si>
  <si>
    <t>Пудинг з вершковим смаком Доктор Оеткер 40гр</t>
  </si>
  <si>
    <t>Пудинг з полуничним смаком Доктор Оеткер 40гр</t>
  </si>
  <si>
    <t>Пудинг з шоколадним смаком Доктор Оеткер 50гр</t>
  </si>
  <si>
    <t>Розпушувач Амоній Доктор Оеткер 7гр</t>
  </si>
  <si>
    <t>Сода, розпушувач</t>
  </si>
  <si>
    <t>Розпушувач Доктор Оеткер 10гр</t>
  </si>
  <si>
    <t>Розпушувач Приправка 18гр</t>
  </si>
  <si>
    <t>Сода Сто Пудов 400гр</t>
  </si>
  <si>
    <t>Стружка кокосова біла Пікантна кухня п/е 40гр</t>
  </si>
  <si>
    <t>Прикраси, присипки, кокосова стружка</t>
  </si>
  <si>
    <t>Стружка кокосова Доктор Оеткер 80гр</t>
  </si>
  <si>
    <t>Суміш для випікання Брауні шоколадний з апельсиновою цедрою Приправка м/у 300гр</t>
  </si>
  <si>
    <t>Суміш для випікання Вафлі Бельгійські Сто Пудів к/у 354гр</t>
  </si>
  <si>
    <t>Суміш для випікання Мафін шоколадний з бельгійським шоколадом Приправка м/у 300гр</t>
  </si>
  <si>
    <t>Суміш для випікання Млинці Сто Пудів к/у 500гр</t>
  </si>
  <si>
    <t>Суміш для випікання Оладки Сто Пудів к/у 500гр</t>
  </si>
  <si>
    <t>Суміш желююча Вареннячко 1:1 Пікантна кухня 20г</t>
  </si>
  <si>
    <t>Суміш суха для приготування заварного крему Доктор Оеткер 55гр</t>
  </si>
  <si>
    <t>Сухе молоко незбиране Сто Пудів 26% 150гр</t>
  </si>
  <si>
    <t>Цукрова пудра з ванільним смаком Доктор Оеткер 80гр</t>
  </si>
  <si>
    <t>Цукрова пудра Пікантна кухня п/е 200гр</t>
  </si>
  <si>
    <t>Висівки пшеничні з твердих сортів пшениці Трапеза м/у 400гр</t>
  </si>
  <si>
    <t>Висівки</t>
  </si>
  <si>
    <t>Горох колотий в пакетиках для варіння Терра 400гр</t>
  </si>
  <si>
    <t>Бобові крупи, горох</t>
  </si>
  <si>
    <t>Горох Колотий Екород м/у 400гр</t>
  </si>
  <si>
    <t>Горох колотий зелений Холмс п/п 800гр</t>
  </si>
  <si>
    <t>Горох колотий Ситий Пан 1,0кг</t>
  </si>
  <si>
    <t>Горох колотий Терра 900гр</t>
  </si>
  <si>
    <t>Горох Розколотий Сто пудів м/у 0,4кг</t>
  </si>
  <si>
    <t>Квасоля Екород м/у 400гр</t>
  </si>
  <si>
    <t>Крупа Булгур Аттуаль м/у 500гр</t>
  </si>
  <si>
    <t>Булгур</t>
  </si>
  <si>
    <t>Крупа Булгур Бісан п/б 800гр</t>
  </si>
  <si>
    <t>Крупа Булгур в пакетах для варіння Терра 400гр</t>
  </si>
  <si>
    <t>Крупа Булгур з овочами по-турецьки Трапеза м/у 250гр</t>
  </si>
  <si>
    <t>Крупа Булгур зі смаженою вермішеллю Трапеза м/у 500гр</t>
  </si>
  <si>
    <t>Крупа Булгур кг</t>
  </si>
  <si>
    <t xml:space="preserve">Крупа Булгур Крупний №2 Холмс в/п 400гр </t>
  </si>
  <si>
    <t xml:space="preserve">Крупа Булгур Крупний №2 Холмс п/п 800гр </t>
  </si>
  <si>
    <t>Крупа Булгур крупний Аттуаль м/у 1кг</t>
  </si>
  <si>
    <t>Крупа Булгур крупний Аттуаль м/у 500гр</t>
  </si>
  <si>
    <t>Крупа Булгур крупний Трапеза м/у 1кг</t>
  </si>
  <si>
    <t>Крупа Булгур середній Аттуаль м/у 1кг</t>
  </si>
  <si>
    <t>Крупа Булгур середній Трапеза м/у 1кг</t>
  </si>
  <si>
    <t>Крупа Булгур Терра 500гр</t>
  </si>
  <si>
    <t>Крупа Булгур Трапеза к/у 4*70гр</t>
  </si>
  <si>
    <t>Крупа Булгур турецький Ситий Пан 1,0кг</t>
  </si>
  <si>
    <t>Крупа Вівсяна плющена Сквирянка м/у 500гр</t>
  </si>
  <si>
    <t>Вівсяна крупа</t>
  </si>
  <si>
    <t>Крупа Вівсяна плющена Терра 500гр</t>
  </si>
  <si>
    <t xml:space="preserve">Крупа Вівсяна плющена Холмс п/п 500гр </t>
  </si>
  <si>
    <t>Крупа Вівсяна різана Сквирянка м/у 600гр</t>
  </si>
  <si>
    <t>Крупа Вівсяна швидкого приготування Терра 400гр</t>
  </si>
  <si>
    <t>Крупа Гречана 1,0кг</t>
  </si>
  <si>
    <t>Гречка</t>
  </si>
  <si>
    <t>Крупа Гречана в пакетиках для варіння Сто Пудів 400гр</t>
  </si>
  <si>
    <t>Крупа Гречана кг</t>
  </si>
  <si>
    <t>Крупа Гречана несмажена Сто Пудів 800гр</t>
  </si>
  <si>
    <t>Крупа Гречана Сквирянка м/у 800гр</t>
  </si>
  <si>
    <t>Крупа Гречана Сто пудів м/у 1кг</t>
  </si>
  <si>
    <t>Крупа Гречана Сто пудів м/у 400гр</t>
  </si>
  <si>
    <t>Крупа Гречана Терра 800гр</t>
  </si>
  <si>
    <t>Крупа Гречана Холмс в/п 400гр</t>
  </si>
  <si>
    <t>Крупа Гречана Холмс п/п 800гр</t>
  </si>
  <si>
    <t>Крупа Гречана швидкорозварювальна Терра 400гр</t>
  </si>
  <si>
    <t>Крупа Гречана Ядриця Екород м/у 400гр</t>
  </si>
  <si>
    <t>Крупа Гречана Ядриця пропарена органічна Екород м/у 400гр</t>
  </si>
  <si>
    <t>Крупа Гречана ядриця швидкорозварювана Аттуаль м/у 1кг</t>
  </si>
  <si>
    <t>Крупа Гречана ядриця швидкорозварювана Трапеза к/у 5*80гр</t>
  </si>
  <si>
    <t>Крупа Гречана ядриця швидкорозварювана Трапеза м/у 800гр</t>
  </si>
  <si>
    <t>Крупа Кіноа біла Трапеза м/у 250гр</t>
  </si>
  <si>
    <t>Суперфуд</t>
  </si>
  <si>
    <t>Крупа Кукурудзяна дрібна Екстра Сквірянка м/у 800гр</t>
  </si>
  <si>
    <t>Кукурудзяна крупа</t>
  </si>
  <si>
    <t>Крупа кукурудзяна Полента Аттуаль м/у 800гр</t>
  </si>
  <si>
    <t>Крупа Кукурудзяна Полента Сто пудів м/у 300гр</t>
  </si>
  <si>
    <t>Крупа Кус-Кус Аттуаль м/у 450гр</t>
  </si>
  <si>
    <t>Кус-кус</t>
  </si>
  <si>
    <t>Крупа Кус-Кус Бісан п/б 750гр</t>
  </si>
  <si>
    <t>Крупа Кус-кус в пакетиках для варіння Жменька 400гр</t>
  </si>
  <si>
    <t>Крупа Кус-кус з овочами по-марокканськи Трапеза м/у 250гр</t>
  </si>
  <si>
    <t>Каша швидкого приготування</t>
  </si>
  <si>
    <t>Крупа Кускус Сто пудів м/у 400гр</t>
  </si>
  <si>
    <t>Крупа Кус-кус Терра 500гр</t>
  </si>
  <si>
    <t>Крупа Кус-Кус Трапеза к/у 4*70гр</t>
  </si>
  <si>
    <t>Крупа Кус-кус Трапеза м/у 500гр</t>
  </si>
  <si>
    <t>Крупа Кус-кус Холмс п/п 500гр</t>
  </si>
  <si>
    <t>Крупа Кус-кус швидкого приготування Терра 400гр</t>
  </si>
  <si>
    <t>Крупа манна Аттуаль м/у 900гр</t>
  </si>
  <si>
    <t>Манна крупа</t>
  </si>
  <si>
    <t>Крупа Манна Екород м/у 400гр</t>
  </si>
  <si>
    <t>Крупа манна Ситий Пан 1,0кг</t>
  </si>
  <si>
    <t>Крупа Манна Сто пудів м/у 900гр</t>
  </si>
  <si>
    <t>Крупа Манна Терра м/у 800гр</t>
  </si>
  <si>
    <t>Крупа Манна Холмс 800гр</t>
  </si>
  <si>
    <t>Крупа Перлова кг</t>
  </si>
  <si>
    <t>Перлова крупа</t>
  </si>
  <si>
    <t>Крупа Перлова органічна Екород 400гр</t>
  </si>
  <si>
    <t>Крупа Перлова Ситий Пан 1,0кг</t>
  </si>
  <si>
    <t>Крупа Перлова Сквирянка м/у 800гр</t>
  </si>
  <si>
    <t>Крупа Перлова Терра 900гр</t>
  </si>
  <si>
    <t>Крупа Перлова Холмс п/п 800гр</t>
  </si>
  <si>
    <t>Крупа пшенична Артек Аттуаль м/у 800гр</t>
  </si>
  <si>
    <t>Пшенична крупа</t>
  </si>
  <si>
    <t>Крупа Пшенична Артек Сто пудів м/у 400гр</t>
  </si>
  <si>
    <t>Крупа пшенична Артек Трапеза к/у 4*70гр</t>
  </si>
  <si>
    <t>Крупа Пшенична із твердої пшениці Артек Сквирянка м/у 800гр</t>
  </si>
  <si>
    <t>Крупа Пшенична кутя Різдвяна люкс Сто Пудов 400гр</t>
  </si>
  <si>
    <t>Крупа Пшенична озима кг</t>
  </si>
  <si>
    <t>Крупа Пшенична полтавська озима Сто Пудов 700гр</t>
  </si>
  <si>
    <t>Крупа Пшенична Ситий Пан 1,0кг</t>
  </si>
  <si>
    <t>Крупа Пшенична Терра 700гр</t>
  </si>
  <si>
    <t>Крупа Пшенична ярова Холмс в/п 400гр</t>
  </si>
  <si>
    <t>Крупа Пшенична ярова швидкого приготування Терра 400гр</t>
  </si>
  <si>
    <t>Крупа Пшоно кг</t>
  </si>
  <si>
    <t>Пшоняна крупа</t>
  </si>
  <si>
    <t>Крупа Пшоно органічне Екород 400гр</t>
  </si>
  <si>
    <t>Крупа Пшоно Ситий Пан 1,0кг</t>
  </si>
  <si>
    <t>Крупа Пшоно Сто пудів м/у 400гр</t>
  </si>
  <si>
    <t>Крупа Пшоно Сто Пудов 1,0кг</t>
  </si>
  <si>
    <t>Крупа Пшоно Холмс п/п 800гр</t>
  </si>
  <si>
    <t>Крупа Пшоно швидкого приготування Терра 400гр</t>
  </si>
  <si>
    <t>Крупа Пшоно шліфоване Сквирянка м/у 800гр</t>
  </si>
  <si>
    <t>Крупа Пшоно шліфоване Терра м/у 900гр</t>
  </si>
  <si>
    <t>Крупа Пшоняна Екстра Сквирянка м/у 600гр</t>
  </si>
  <si>
    <t>Крупа Ячна №1 Терра м/у 700гр</t>
  </si>
  <si>
    <t>Ячнева крупа</t>
  </si>
  <si>
    <t>Крупа Ячна вагова кг</t>
  </si>
  <si>
    <t>Крупа Ячна Ситий Пан 1,0кг</t>
  </si>
  <si>
    <t>Крупа Ячна Сто Пудов 700гр</t>
  </si>
  <si>
    <t>Крупа Ячна Холмс п/п 800гр</t>
  </si>
  <si>
    <t>Маш органічний Екород м/у 400гр</t>
  </si>
  <si>
    <t>Насіння льону органічне Екород 400гр</t>
  </si>
  <si>
    <t>Насіння свіже</t>
  </si>
  <si>
    <t>Насіння чіа чорне смажене Трапеза д/п 250гр</t>
  </si>
  <si>
    <t>Нут органічний Екород м/у 400гр</t>
  </si>
  <si>
    <t>Рис Арборіо Сто Пудов 400гр</t>
  </si>
  <si>
    <t>Рисова крупа</t>
  </si>
  <si>
    <t>Рис Басмати пропарений Гімалаї Трапеза к/у 5*80гр</t>
  </si>
  <si>
    <t>Рис Басматі Аттуаль м/у 500гр</t>
  </si>
  <si>
    <t>Рис Басматі в пакетиках для варіння Терра 400гр</t>
  </si>
  <si>
    <t>Рис Басматі натурал Гімалаї Трапеза к/у 5*80гр</t>
  </si>
  <si>
    <t>Рис Басматі пропарений Аттуаль м/у 500гр</t>
  </si>
  <si>
    <t>Рис Басматі пропарений Гімалаї Трапеза м/у 500гр</t>
  </si>
  <si>
    <t>Рис Басматі Сто Пудов м/у 400гр</t>
  </si>
  <si>
    <t>Рис бурий нешліфований Аттуаль м/у 500гр</t>
  </si>
  <si>
    <t>Рис бурий нешліфований Таїланд Трапеза к/у 5*80гр</t>
  </si>
  <si>
    <t>Рис бурий нешліфований Таїланд Трапеза м/у 500гр</t>
  </si>
  <si>
    <t>Рис в пакетиках для варіння Холмс 400гр</t>
  </si>
  <si>
    <t>Рис для приготування суші Aкура м/у 250гр</t>
  </si>
  <si>
    <t>Компоненти для суші</t>
  </si>
  <si>
    <t>Рис для суші Акура д/п 400гр</t>
  </si>
  <si>
    <t>Рис для суші Хокайдо клуб м/у 300гр</t>
  </si>
  <si>
    <t>Рис довгозернистий Аттуаль м/у 1кг</t>
  </si>
  <si>
    <t>Рис довгозернистий кг</t>
  </si>
  <si>
    <t>Рис довгозернистий пропарений Аттуаль м/у 1кг</t>
  </si>
  <si>
    <t>Рис довгозернистий пропарений Для плову Сто пудів м/у 400гр</t>
  </si>
  <si>
    <t>Рис довгозернистий пропарений Ситий Пан 1,0кг</t>
  </si>
  <si>
    <t>Рис довгозернистий пропарений Таїланд Трапеза к/у 5*80гр</t>
  </si>
  <si>
    <t>Рис довгозернистий пропарений шліфований Басматі Голден Селла Бісан п/б 800гр</t>
  </si>
  <si>
    <t>Рис довгозернистий Таїланд Трапеза к/у 5*80гр</t>
  </si>
  <si>
    <t>Рис довгозернистий Терра 900гр</t>
  </si>
  <si>
    <t>Рис довгозернистий Трапеза м/у 1 кг</t>
  </si>
  <si>
    <t>Рис довгозернистий шліфований Басматі Кремі Селла Бісан п/б 800гр</t>
  </si>
  <si>
    <t>Рис довгозернистий шліфований Сто пудів м/у 1кг</t>
  </si>
  <si>
    <t>Рис Єгипетський Панов 1,0кг</t>
  </si>
  <si>
    <t>Рис Жасмин Аттуаль м/у 500гр</t>
  </si>
  <si>
    <t>Рис Жасмин Таїланд Трапеза к/у 5*80гр</t>
  </si>
  <si>
    <t>Рис Жасмин Таїланд Трапеза м/у 500гр</t>
  </si>
  <si>
    <t>Рис Жасмін в пакетиках для варіння Терра 400гр</t>
  </si>
  <si>
    <t>Рис Жасмін довгозернистий шліфований Бісан п/б 800гр</t>
  </si>
  <si>
    <t>Рис Камолино Єгипет Трапеза к/у 5*80гр</t>
  </si>
  <si>
    <t>Рис Камолино Єгипет Трапеза м/у 500гр</t>
  </si>
  <si>
    <t>Рис Камолино Трапеза м/у 1кг</t>
  </si>
  <si>
    <t>Рис круглозернистий Аттуаль м/у 1кг</t>
  </si>
  <si>
    <t>Рис круглозернистий в пакетиках для варіння Жменька к/у 400гр</t>
  </si>
  <si>
    <t>Рис круглозернистий в пакетиках для варіння Терра 400гр</t>
  </si>
  <si>
    <t>Рис круглозернистий кг</t>
  </si>
  <si>
    <t>Рис круглозернистий Ситий Пан м/у 1,0кг</t>
  </si>
  <si>
    <t>Рис круглозернистий Сто пудів м/у 400гр</t>
  </si>
  <si>
    <t>Рис круглозернистий Терра 900гр</t>
  </si>
  <si>
    <t>Рис круглозернистий Трапеза м/у 1кг</t>
  </si>
  <si>
    <t>Рис Натуральний Червоний Чорний Бісан п/б 800гр</t>
  </si>
  <si>
    <t>Рис нешліфований Сто Пудів м/у 400гр</t>
  </si>
  <si>
    <t>Рис пропарений в пакетиках для варіння Парбоїлд Жменька к/у 400гр</t>
  </si>
  <si>
    <t>Рис пропарений Сто пудів м/у 1кг</t>
  </si>
  <si>
    <t>Рис рожевий Трипілля Сто Пудів м/у 400гр</t>
  </si>
  <si>
    <t>Рис Червоний довгозернистий нешліфований Бісан п/б 800гр</t>
  </si>
  <si>
    <t>Рис Червоний нешліфований Сто Пудів м/у 400гр</t>
  </si>
  <si>
    <t>Рис червоний+чорний нешліфований Асорті Трапеза к/у 5*80гр</t>
  </si>
  <si>
    <t>Рис Чорний довгозернистий нешліфований Бісан п/б 750гр</t>
  </si>
  <si>
    <t>Рис Японіка для суші круглий шліфований Бісан п/б 800гр</t>
  </si>
  <si>
    <t>Рисове асорті чорний+пропарений Трапеза к/у 5*80гр</t>
  </si>
  <si>
    <t>Сочевица червона Трапеза м/у 500гр</t>
  </si>
  <si>
    <t>Сочевиця зелена кг</t>
  </si>
  <si>
    <t>Сочевиця зелена Сто пудів м/у 350гр</t>
  </si>
  <si>
    <t>Сочевиця червона Аттуаль м/у 500гр</t>
  </si>
  <si>
    <t>Сочевиця червона кг</t>
  </si>
  <si>
    <t>Сочевиця Червона органічна Екород м/у 400гр</t>
  </si>
  <si>
    <t>Сочевиця червона Сто пудів м/у 350гр</t>
  </si>
  <si>
    <t>Суміш Булгур і кіноа з овочами по-стамбульськи Трапеза м/у 250гр</t>
  </si>
  <si>
    <t>Суміш Булгур крупний для плову Трапеза м/у 500гр</t>
  </si>
  <si>
    <t>Суміш Булгур середній для гарніру Трапеза м/у 500гр</t>
  </si>
  <si>
    <t>Суміш суха басматі з карі та овочами По-індійськи Трапеза д/п 250гр</t>
  </si>
  <si>
    <t>Суміш суха Булгур з овочами зі смаком яловичини Трапеза д/п 250гр</t>
  </si>
  <si>
    <t>Суміш суха Булгур зі смаком сиру чедер Трапеза д/п 250гр</t>
  </si>
  <si>
    <t>Суміш суха Кус-кус з овочами зі смаком курки Трапеза д/п 250гр</t>
  </si>
  <si>
    <t>Суміш суха Кус-кус зі смаком сиру чеддер Трапеза д/п 250гр</t>
  </si>
  <si>
    <t>Суміш суха рис Басматі з овочами зі смаком курки Трапеза д/п 250гр</t>
  </si>
  <si>
    <t>Суп-пюре з сочевиці Масурдал по-індійськи Трапеза д/п 250гр</t>
  </si>
  <si>
    <t>Супи, пюре швидкого приготування</t>
  </si>
  <si>
    <t>Суп-пюре з сочевиці Мерджимек Чорбаси по-турецьки Трапеза д/пс250гр</t>
  </si>
  <si>
    <t>Бульйон Грибний 4 Смаки 60гр</t>
  </si>
  <si>
    <t>Бульйони швидкого приготування</t>
  </si>
  <si>
    <t>Бульйон Курячий 4 Смаки 60гр</t>
  </si>
  <si>
    <t>Бульйон Курячий Галіна Бланка 10гр</t>
  </si>
  <si>
    <t>Бульйон курячий з кропом та петрушкою Галіна Бланка 10гр</t>
  </si>
  <si>
    <t>Бульйон М`ясний 4 Смаки 60гр</t>
  </si>
  <si>
    <t>Бульйон Овочевий 4 Смаки 60гр</t>
  </si>
  <si>
    <t>Бульйон яловичий Масокс Вітана 72гр</t>
  </si>
  <si>
    <t>Вермішель зі смаком Курки гостра Мівіна м/у 60гр</t>
  </si>
  <si>
    <t>Локшина, вермішель швидкого приготування</t>
  </si>
  <si>
    <t>Вермішель швидк приготув зі смаком Курячого бульйону негостра Мівіна м/у 59,2гр</t>
  </si>
  <si>
    <t>Вермішель швидкого приготування зі смаком гострої Курки Ріва м/у 60гр</t>
  </si>
  <si>
    <t>Вермішель швидкого приготування зі смаком Грибів негостра Голден Драгрон м/у 65гр</t>
  </si>
  <si>
    <t>Вермішель швидкого приготування зі смаком Грибів Ріва м/у 60гр</t>
  </si>
  <si>
    <t>Вермішель швидкого приготування зі смаком Курки негостра Голден Драгон м/у 65гр</t>
  </si>
  <si>
    <t>Вермішель швидкого приготування зі смаком Курки Ріва м/у 60гр</t>
  </si>
  <si>
    <t>Вермішель швидкого приготування зі смаком М'яса негостра Голден Драгон м/у 65г</t>
  </si>
  <si>
    <t>Вермішель швидкого приготування зі смаком Сиру та Бекону Ріва м/у 60гр</t>
  </si>
  <si>
    <t>Вермішель швидкого приготування Курочка Щедро м/у 60гр</t>
  </si>
  <si>
    <t>Вермішель швидкого приготування Яловичина Щедро м/у 60гр</t>
  </si>
  <si>
    <t>Крем-суп зі смаком грибів з крутонами Ріва м/у 15,5гр</t>
  </si>
  <si>
    <t>Крем-суп швидкого приготування зі смаком Курки з крутонами Ріва м/у 17гр</t>
  </si>
  <si>
    <t>Крем-суп швидкого приготування зі смаком Курки з локшиною Ріва м/у 17гр</t>
  </si>
  <si>
    <t>Крем-суп швидкого приготування зі смаком Овочів з крутонами Ріва м/у 17гр</t>
  </si>
  <si>
    <t>Локшина з соусом Курка Теріякі ВОК Гладз ст 95гр</t>
  </si>
  <si>
    <t>Локшина з соусом Мі Горенг ВОК Гладз ст 95гр</t>
  </si>
  <si>
    <t>Локшина з соусом Соба ВОК Гладз ст 95гр</t>
  </si>
  <si>
    <t>Локшина Курка+соус Сальса Гладз ст 85гр</t>
  </si>
  <si>
    <t>Локшина рисова з соусом Фо Га Діскавері Гладз 65гр</t>
  </si>
  <si>
    <t>Локшина швидкого приготування зі смаком Грибів Ріва ст 75гр</t>
  </si>
  <si>
    <t>Локшина швидкого приготування зі смаком Курки Ріва м/у 85гр</t>
  </si>
  <si>
    <t>Локшина швидкого приготування зі смаком Курки Ріва ст 75гр</t>
  </si>
  <si>
    <t>Локшина швидкого приготування зі смаком смаженої Свинини Ріва ст 75гр</t>
  </si>
  <si>
    <t>Локшина швидкого приготування зі смаком Яловичини Ріва м/у 85гр</t>
  </si>
  <si>
    <t>Локшина швидкого приготування зі смаком Яловичини Ріва ст 75гр</t>
  </si>
  <si>
    <t>Локшина швидкого приготування Курка + Соус Сальса Гладз м/у 75гр</t>
  </si>
  <si>
    <t>Локшина швидкого приготування Яловичина + Соус Томатний з базиліком Гладз м/у 75гр</t>
  </si>
  <si>
    <t>Локшина Яловичина+Соус Томатний з базиліком Гладз ст 85гр</t>
  </si>
  <si>
    <t>Пюре картопляне з Грибами 4 Смаки 30гр</t>
  </si>
  <si>
    <t>Пюре картопляне зі смаком Вершків 4 Смаки 30гр</t>
  </si>
  <si>
    <t>Пюре картопляне зі смаком Вершків Ріва м/у 40гр</t>
  </si>
  <si>
    <t>Пюре картопляне зі смаком Вершків Хуторок м/у 30гр</t>
  </si>
  <si>
    <t>Пюре картопляне зі смаком Курки 4 Смаки 30гр</t>
  </si>
  <si>
    <t>Пюре картопляне зі смаком Курки Мівіна м/у 37гр</t>
  </si>
  <si>
    <t>Пюре картопляне зі смаком Курки смаженою цибулею та зеленню Хуторок м/у 30гр</t>
  </si>
  <si>
    <t>Пюре картопляне зі смаком Яловичина Ріва м/у 40гр</t>
  </si>
  <si>
    <t>Пюре картопляне швидкого пригротування Курка Ріва м/у 40гр</t>
  </si>
  <si>
    <t>Пюре швидкого приготування картопляне зі смаком Вершків Мівіна м/у 37гр</t>
  </si>
  <si>
    <t>Суп гороховий традиційний Дачка м/у 150гр</t>
  </si>
  <si>
    <t>Суп Харчо традиційний Дачка м/у 150гр</t>
  </si>
  <si>
    <t>Суп швидкого приготування з вермишеллю зі смаком Курки 4 Смаки м/у 15гр</t>
  </si>
  <si>
    <t>Суп швидкого приготування з вермішеллю із смаком Грибів 4 Смаки м/у 15гр</t>
  </si>
  <si>
    <t>Суп швидкого приготування з грінками зі смаком курки 4 Смаки 15гр</t>
  </si>
  <si>
    <t>Швидко-суп з грінками зі смаком грибів 4 Смаки 15гр</t>
  </si>
  <si>
    <t>Вермішель гнізда тонкі 609 Реджія м/у 500гр</t>
  </si>
  <si>
    <t>Макаронні вироби з борошна твердих сортів</t>
  </si>
  <si>
    <t>Вермішель з зелених бобів Фунчоза Aкура м/у 150гр</t>
  </si>
  <si>
    <t>Макаронні вироби етнічної кухні</t>
  </si>
  <si>
    <t>Вермішель кукурудзяна Акура 250гр</t>
  </si>
  <si>
    <t>Локшина Гречана соба Акура м/у 300гр</t>
  </si>
  <si>
    <t>Локшина пшенична Удон Акура м/у 300гр</t>
  </si>
  <si>
    <t>Локшина рамен Акура 300гр</t>
  </si>
  <si>
    <t>Локшина Рисова Акура 150гр</t>
  </si>
  <si>
    <t>Локшина Рисова органічна з томатами і шпинатом без глютену Натурата 250гр</t>
  </si>
  <si>
    <t>Локшина Рисова органічна з цільнозернового борошна спагетті без глютену Натурата 250гр</t>
  </si>
  <si>
    <t>Локшина яєчна Акура 300гр</t>
  </si>
  <si>
    <t>Макарони Барілла №93 мушлі 500гр</t>
  </si>
  <si>
    <t>Макарони вагові Перо кг</t>
  </si>
  <si>
    <t>Макаронні вироби з борошна м'яких сортів</t>
  </si>
  <si>
    <t>Макарони вагові Спіралі кг</t>
  </si>
  <si>
    <t>Макарони Вермішель Ля Паста м/у 400гр</t>
  </si>
  <si>
    <t>Макарони Вермішель Чесна марка 1,0кг</t>
  </si>
  <si>
    <t>Макарони Витий ріжок №63 Реджія 500гр</t>
  </si>
  <si>
    <t>Макарони Гнізда №615 Реджія 500гр</t>
  </si>
  <si>
    <t>Макарони Гоміті Рігаті №60 Паста Реджія м/у 500гр</t>
  </si>
  <si>
    <t>Макарони Дурум мушлі 100% Соренті 400гр</t>
  </si>
  <si>
    <t>Макарони Дурум спагетті 100% Соренті 400гр</t>
  </si>
  <si>
    <t>Макарони з грибами Тальятелле Далла Коста к/у 250гр</t>
  </si>
  <si>
    <t>Макарони з чорнилами каракатиці Далла Коста к/у 500гр</t>
  </si>
  <si>
    <t>Макарони з яйцем і шпинатом Тальоліні Далла Коста к/у 250гр</t>
  </si>
  <si>
    <t>Макарони Завитки Чумак м/у 400гр</t>
  </si>
  <si>
    <t>Макарони Зірочки №80 Реджія 500гр</t>
  </si>
  <si>
    <t>Макарони Канелоні 109 Реджія к/у 250гр</t>
  </si>
  <si>
    <t>Макарони Канелоні Коллецьоне №88 Барілла к/у 250г</t>
  </si>
  <si>
    <t>Макарони Капеліні №21 Реджія 500гр</t>
  </si>
  <si>
    <t>Макарони Капелліні №1 Барілла к/у 500гр</t>
  </si>
  <si>
    <t>Макарони Капелліні Армандо м/у 500гр</t>
  </si>
  <si>
    <t>Макарони Кільця №79 Реджія 500гр</t>
  </si>
  <si>
    <t>Макарони коліщатко Ярка м/у 1,0кг</t>
  </si>
  <si>
    <t>Макарони Лазанья №205 Реджія 500гр</t>
  </si>
  <si>
    <t>Макарони Лінгвіне №5 Паста Реджія м/у 500г</t>
  </si>
  <si>
    <t>Макарони Локшина Лагманна Сто пудів м/у 400гр</t>
  </si>
  <si>
    <t>Макарони Метелики №83 Реджія 500гр</t>
  </si>
  <si>
    <t>Макарони Метелики дрібні №84 Реджія 500гр</t>
  </si>
  <si>
    <t>Макарони метелики Коллецьоне № 65 Барілла к/у 500гр</t>
  </si>
  <si>
    <t>Макарони Метелики Чумак м/у 400гр</t>
  </si>
  <si>
    <t>Макарони Мушлі №62 Реджія 500гр</t>
  </si>
  <si>
    <t>Макарони мушлі Ярка м/у 1,0кг</t>
  </si>
  <si>
    <t>Макарони Океан Ля Паста м/у 350гр</t>
  </si>
  <si>
    <t xml:space="preserve">Макарони Паста Міста Армандо м/у 500гр </t>
  </si>
  <si>
    <t>Макарони Пенне Армандо м/у 500гр</t>
  </si>
  <si>
    <t>Макарони Пенне Рігате Ля Паста м/у 400гр</t>
  </si>
  <si>
    <t>Макарони Пенніне Рігате Феліцетті 500гр</t>
  </si>
  <si>
    <t>Макарони Пера Хуторок м/у 800гр</t>
  </si>
  <si>
    <t>Макарони Пера Ярка м/у 1кг</t>
  </si>
  <si>
    <t>Макарони Перо №32 Реджія м/у 500гр</t>
  </si>
  <si>
    <t>Макарони Перо рифлене №34 Реджія 500гр</t>
  </si>
  <si>
    <t>Макарони Перо рифлене №73 Барілла к/у 500гр</t>
  </si>
  <si>
    <t>Макарони Перо Чесна марка 1,0кг</t>
  </si>
  <si>
    <t>Макарони Перфетто Рігатоні №626 Ля Паста м/у 400гр</t>
  </si>
  <si>
    <t>Макарони Перфетто спагетті Ля Паста м/у 400гр</t>
  </si>
  <si>
    <t>Макарони Перфетто Стортеллі №929/35 Ля Паста м/у 400гр</t>
  </si>
  <si>
    <t>Макарони Ракушка Чесна марка 1,0кг</t>
  </si>
  <si>
    <t>Макарони Реджія №68 Лумачіні 500гр</t>
  </si>
  <si>
    <t>Макарони рифлені Ріжки Ярка м/у 1кг</t>
  </si>
  <si>
    <t>Макарони Ріжка ріфлена Чесна марка 1,0кг</t>
  </si>
  <si>
    <t>Макарони ріжки Хуторок м/у 800гр</t>
  </si>
  <si>
    <t>Макарони Спагетті №5 Барілла к/у 500гр</t>
  </si>
  <si>
    <t>Макарони Спагетті Армандо м/у 500гр</t>
  </si>
  <si>
    <t>Макарони Спагетті Ля Паста м/у 400гр</t>
  </si>
  <si>
    <t>Макарони Спагетті Тагляті №77 Паста Реджія м/у 500гр</t>
  </si>
  <si>
    <t>Макарони Спагетті Хуторок м/у 450гр</t>
  </si>
  <si>
    <t>Макарони Спагетті Хуторок м/у 700гр</t>
  </si>
  <si>
    <t>Макарони Спагетті Ярка м/у 0,9кг</t>
  </si>
  <si>
    <t>Макарони Спагеттіні №3 Барілла к/у 500гр</t>
  </si>
  <si>
    <t>Макарони спагеттіні Феліцетті 500гр</t>
  </si>
  <si>
    <t>Макарони Спагеттіні Чумак м/у 400гр</t>
  </si>
  <si>
    <t>Макарони Спіралі №98 Барілла к/у 500гр</t>
  </si>
  <si>
    <t>Макарони Спіраль Чесна марка 1,0кг</t>
  </si>
  <si>
    <t>Макарони Спіральки Чумак м/у 400гр</t>
  </si>
  <si>
    <t>Макарони Стортеллі Ля Паста м/у 400гр</t>
  </si>
  <si>
    <t>Макарони Тальятелле Коллецьоне №16 Барілла к/у 500гр</t>
  </si>
  <si>
    <t xml:space="preserve">Макарони Фарфале Армандо м/у 500гр </t>
  </si>
  <si>
    <t>Макарони Фарфалле №65 Барілла к/у 500гр</t>
  </si>
  <si>
    <t>Макарони Феттучіні Коллецьоне №166 Барілла к/у 500гр</t>
  </si>
  <si>
    <t>Макарони Фетучіні №614 Реджія 500гр</t>
  </si>
  <si>
    <t>Макарони Фетучіні Армандо м/у 500гр</t>
  </si>
  <si>
    <t>Макарони Філіні №30 Барілла к/у 500гр</t>
  </si>
  <si>
    <t>Макарони Фуcілі Армандо м/у 500гр</t>
  </si>
  <si>
    <t>Макарони Фузіллі триколор 65 Реджія м/у 500гр</t>
  </si>
  <si>
    <t>Макарони Фьоккі Феліцетті 500гр</t>
  </si>
  <si>
    <t>Макарони Цифри Ля Паста м/у 350гр</t>
  </si>
  <si>
    <t>Макарони цільнозернові Спагеттіні №5 Барілла к/у 500гр</t>
  </si>
  <si>
    <t>Макарони Черепашки Ля Паста м/у 400гр</t>
  </si>
  <si>
    <t>Макарони Чиффері Рігаті №88 Паста Реджія м/у 500гр</t>
  </si>
  <si>
    <t>Макарони яєчні Кума Роні м/у 250гр</t>
  </si>
  <si>
    <t>Мед Акацієвий Правильний мед с/б 250гр</t>
  </si>
  <si>
    <t>Фруктова, солодка консервація, мед</t>
  </si>
  <si>
    <t xml:space="preserve">Мед Акацієвий Правильний мед с/б 400гр </t>
  </si>
  <si>
    <t xml:space="preserve">Мед Гречаний Правильний мед с/б 250гр </t>
  </si>
  <si>
    <t xml:space="preserve">Мед Гречаний Правильний мед с/б 400гр </t>
  </si>
  <si>
    <t>Мед Липовий Правильний мед с/б 250гр</t>
  </si>
  <si>
    <t xml:space="preserve">Мед Липовий Правильний мед с/б 400гр </t>
  </si>
  <si>
    <t>Мед органічний Екород 250гр</t>
  </si>
  <si>
    <t xml:space="preserve">Мед Різнотрав'я (квітковий) Правильний мед с/б 250гр </t>
  </si>
  <si>
    <t xml:space="preserve">Мед Різнотрав'я (квітковий) Правильний мед с/б 400гр </t>
  </si>
  <si>
    <t xml:space="preserve">Мед Соняшниковий Правильний мед с/б 250гр </t>
  </si>
  <si>
    <t xml:space="preserve">Мед Соняшниковий Правильний мед с/б 400гр </t>
  </si>
  <si>
    <t>Мед фасований соняшниковий 645гр с/б</t>
  </si>
  <si>
    <t>Оцет бальзамічний Білий Kюне с/пл 0,25л</t>
  </si>
  <si>
    <t>Оцет</t>
  </si>
  <si>
    <t>Оцет бальзамічний з Модени Боначіні 6% с/пл 0,5л</t>
  </si>
  <si>
    <t>Оцет винний Бальзамічний Кюне 6% c/пл 0,25л</t>
  </si>
  <si>
    <t>Оцет винний Білий Руна 6% с/пл 0,5л</t>
  </si>
  <si>
    <t>Оцет винний Пряний 5% Kюне с/пл 0,75л</t>
  </si>
  <si>
    <t>Оцет винний Яблучний Кюне 5% с/пл 0,25л</t>
  </si>
  <si>
    <t>Оцет З білого вина Kюне 6% с/пл 0,25л</t>
  </si>
  <si>
    <t>Оцет з червоного вина Kюне 6% с/пл 0,25л</t>
  </si>
  <si>
    <t>Оцет Рисовий для суші Хокайдо клуб п/пл 0,2л</t>
  </si>
  <si>
    <t>Оцет Рисовий Чесна Марка п/пл 200мл</t>
  </si>
  <si>
    <t>Оцет Рідний Край 9,0% 1,0л</t>
  </si>
  <si>
    <t>Оцет Яблучний 5% Кюне с/пл 0,75л</t>
  </si>
  <si>
    <t>Оцет яблучний елітний Руна 6% с/пл 0,5л</t>
  </si>
  <si>
    <t>Оцет яблучний СІМ'Я 6% 0,9л</t>
  </si>
  <si>
    <t>Оцтова кислота харчова Чесна Марка 9,0% п/пл 0,9л</t>
  </si>
  <si>
    <t>Базилік Приправка 20гр</t>
  </si>
  <si>
    <t>Спеції</t>
  </si>
  <si>
    <t>Базилік сушений Пікантна Кухня 10гр</t>
  </si>
  <si>
    <t>Васабі Акура 43гр</t>
  </si>
  <si>
    <t>Спеції, приправи, пасти, соуси азійської кухні</t>
  </si>
  <si>
    <t>Водорості вакаме Акура 20гр</t>
  </si>
  <si>
    <t>Водорості ламінарія Акура 25гр</t>
  </si>
  <si>
    <t>Гвоздика ціла Мрія 10гр</t>
  </si>
  <si>
    <t>Гвоздика ціла Пікантна Кухня 10гр</t>
  </si>
  <si>
    <t xml:space="preserve">Гірчиця в зернах Пікантна Кухня м/у 200гр </t>
  </si>
  <si>
    <t>Гірчиця Васабі міцний Акура 140гр</t>
  </si>
  <si>
    <t>Аджика, гірчиця, хрін</t>
  </si>
  <si>
    <t>Гірчичний порошок Пікантна Кухня м/у 100гр</t>
  </si>
  <si>
    <t>Зіра в зернах Каннамела 20гр</t>
  </si>
  <si>
    <t>Імбир маринований білий Акура 230гр</t>
  </si>
  <si>
    <t>Імбир маринований рожевий Акура 450гр</t>
  </si>
  <si>
    <t>Імбир маринований рожевий Акура 70гр</t>
  </si>
  <si>
    <t>Імбир Маринований Хокайдо д/п 80гр</t>
  </si>
  <si>
    <t>Імбир маринований Чесна Марка с/б 230гр</t>
  </si>
  <si>
    <t>Імбир мелений Каннамела 20гр</t>
  </si>
  <si>
    <t>Килимок бамбуковий макісу Акура шт</t>
  </si>
  <si>
    <t>Кінза Ексклюзив професіонал Приправка м/у 15гр</t>
  </si>
  <si>
    <t>Концентрат основа для Глінтвєйтну Акура 80гр</t>
  </si>
  <si>
    <t>Кориця мелена Мрія м/у 15гр</t>
  </si>
  <si>
    <t>Кориця мелена Пікантна Кухня 20гр</t>
  </si>
  <si>
    <t>Коріандр Каннамела у млинку 15гр</t>
  </si>
  <si>
    <t>Коріандр мелений Приправка 20гр</t>
  </si>
  <si>
    <t>Кріп зелень сушена Пікантна Кухня 10гр</t>
  </si>
  <si>
    <t>Кунжут суміш білого та чорного Акура 50гр</t>
  </si>
  <si>
    <t>Куркума мелена Пікантна Кухня 15гр</t>
  </si>
  <si>
    <t>Лавровий лист Карамікс 50гр</t>
  </si>
  <si>
    <t>Лавровий лист Мрія 10гр</t>
  </si>
  <si>
    <t>Лимонна кислота Мрія 100гр</t>
  </si>
  <si>
    <t>Кислота лимонна</t>
  </si>
  <si>
    <t>Лимонна кислота Мрія 25гр</t>
  </si>
  <si>
    <t>Лимонна кислота Приправка 20гр</t>
  </si>
  <si>
    <t>Майоран Вітана 14гр с/б</t>
  </si>
  <si>
    <t>Мускатний горіх мелений Каннамела 25гр</t>
  </si>
  <si>
    <t>Набір для суші оптимальний Акура шт</t>
  </si>
  <si>
    <t>Насіння льону Акура 100гр</t>
  </si>
  <si>
    <t>Насіння льону Ексклюзив професіонал Приправка м/у 100гр</t>
  </si>
  <si>
    <t>Норі для приготування суші 5 листів Чесна Марка 15гр</t>
  </si>
  <si>
    <t>Норі для приготування суші Акура 10 листів м/у 28гр</t>
  </si>
  <si>
    <t>Норі для приготування суші Акура 5 листів шт</t>
  </si>
  <si>
    <t>Норі для приготування суші Хокайдо клуб 5 листів 15гр</t>
  </si>
  <si>
    <t>Паніровка з копченими томатами Хрусткі крильця ВВК Приправка 120гр</t>
  </si>
  <si>
    <t>Приправи</t>
  </si>
  <si>
    <t>Паніровка з часником та гірчицею Чікен нагетс Класік Приправка 120гр</t>
  </si>
  <si>
    <t>Папір Рисовий Акура 50гр</t>
  </si>
  <si>
    <t>Паприка копчена мелена Акура 20гр</t>
  </si>
  <si>
    <t>Паприка мелена Пікантна Кухня 20гр</t>
  </si>
  <si>
    <t>Паприка ніжна Каннамела 25гр</t>
  </si>
  <si>
    <t>Паста соєва темна Акура 80гр</t>
  </si>
  <si>
    <t>Паста том ям Акура 30гр</t>
  </si>
  <si>
    <t>Перець горошок духм'яний Пікантна Кухня 20гр</t>
  </si>
  <si>
    <t>Перець духмяний горошок Карамікс 15гр</t>
  </si>
  <si>
    <t>Перець духмяний горошок Мрія 20гр</t>
  </si>
  <si>
    <t>Перець лимонний 4 Смаки 20гр</t>
  </si>
  <si>
    <t>Перець рожевий Каннамела 18гр</t>
  </si>
  <si>
    <t>Перець часниковий 4 Смаки 20гр</t>
  </si>
  <si>
    <t>Перець червоний мелений Мрія 20гр</t>
  </si>
  <si>
    <t>Перець червоний мелений стручковий Пікантна Кухня 20гр</t>
  </si>
  <si>
    <t>Перець червоний чилі Приправка подріблений 50гр</t>
  </si>
  <si>
    <t>Перець чилі Каннамела гострий мелений 25г</t>
  </si>
  <si>
    <t>Перець чилі Каннамела подрібнений 15гр</t>
  </si>
  <si>
    <t>Перець чорний Вітана млинок 65гр</t>
  </si>
  <si>
    <t>Перець чорний горошок Мрія 20гр</t>
  </si>
  <si>
    <t>Перець чорний горошок Пікантна Кухня 20гр</t>
  </si>
  <si>
    <t>Перець чорний Каннамела 40гр</t>
  </si>
  <si>
    <t>Перець чорний мелений Каннамела 40гр</t>
  </si>
  <si>
    <t>Перець чорний мелений Пікантна Кухня 20гр</t>
  </si>
  <si>
    <t>Перець чорний Ному у млинку 60гр</t>
  </si>
  <si>
    <t>Перець шматочки Чілі Вітана с/б 45гр</t>
  </si>
  <si>
    <t>Петрушка зелень сушена Пікантна Кухня 10гр</t>
  </si>
  <si>
    <t>Приправа 10 овочів Торчин 60гр</t>
  </si>
  <si>
    <t>Приправа Апетитні крильця ГРИЛЬ Пікантна Кухня 30гр</t>
  </si>
  <si>
    <t>Приправа Апетитні крильця Кулінарний Шедевр Приправка 30гр</t>
  </si>
  <si>
    <t>Приправа Базилік Каміс м/у 8гр</t>
  </si>
  <si>
    <t>Приправа васабі Акура 20гр</t>
  </si>
  <si>
    <t>Приправа Вогняні реберця ГРИЛЬ Пікантна Кухня 30гр</t>
  </si>
  <si>
    <t>Приправа гранульована 15 овочів трав та спецій Пікантна Кухня 70гр</t>
  </si>
  <si>
    <t>Приправа гранульована Куряча Пікантна Кухня 70гр</t>
  </si>
  <si>
    <t>Приправа гранульований сушений Часник Акура 10гр</t>
  </si>
  <si>
    <t>Приправа гранульований сушений Часник Акура 50гр</t>
  </si>
  <si>
    <t>Приправа для В'єтнамського супу Фо Бо Акура 15гр</t>
  </si>
  <si>
    <t>Приправа для Гуакамолє Акура 15гр</t>
  </si>
  <si>
    <t>Приправа для Пом'якшення м'яса Котані 25гр</t>
  </si>
  <si>
    <t>Приправа для салату Грецька Котані 13гр</t>
  </si>
  <si>
    <t>Приправа для салату Італійська Котані 13гр</t>
  </si>
  <si>
    <t>Приправа для салату Цезар Котані 13гр</t>
  </si>
  <si>
    <t>Приправа для Смажених ребер Котані 40гр</t>
  </si>
  <si>
    <t>Приправа для Смаження м`яса Пікантна Кухня 30гр</t>
  </si>
  <si>
    <t>Приправа для Яєчні омлету з томатами і травами Котані 20гр</t>
  </si>
  <si>
    <t>Приправа до картоплі з беконом Американська Приправка 25гр</t>
  </si>
  <si>
    <t>Приправа до картоплі з пармезаном Італійська Приправка 25гр</t>
  </si>
  <si>
    <t>Приправа до картоплі Каміс м/у 30гр</t>
  </si>
  <si>
    <t>Приправа до Картоплі Котані 20гр</t>
  </si>
  <si>
    <t>Приправа до картоплі Мрія 25гр</t>
  </si>
  <si>
    <t>Приправа До картоплі Пікантна Кухня 30гр</t>
  </si>
  <si>
    <t>Приправа До курки Ексклюзив Приправка 50гр</t>
  </si>
  <si>
    <t>Приправа до Курки з часником Котані 30гр</t>
  </si>
  <si>
    <t>Приправа До курки Каміс м/у 30гр</t>
  </si>
  <si>
    <t>Приправа До курки Мрія 25гр</t>
  </si>
  <si>
    <t>Приправа До курки Пікантна Кухня 30гр</t>
  </si>
  <si>
    <t>Приправа До м’яса Каміс м/у 20гр</t>
  </si>
  <si>
    <t>Приправа до моркви по-корейськи Мрія 20гр</t>
  </si>
  <si>
    <t>Приправа До моркви по-корейськи Пікантна Кухня 30гр</t>
  </si>
  <si>
    <t>Приправа до Морської риби Котані 26гр</t>
  </si>
  <si>
    <t>Приправа До м'яса Ексклюзив Приправка 45гр</t>
  </si>
  <si>
    <t>Приправа До м'яса з гірчицею Кулінарний Шедевр Приправка 30гр</t>
  </si>
  <si>
    <t>Приправа До плову Ексклюзив Приправка 45гр</t>
  </si>
  <si>
    <t>Приправа до плову Мрія м/у 25гр</t>
  </si>
  <si>
    <t>Приправа До плову Пікантна Кухня 30гр</t>
  </si>
  <si>
    <t>Приправа до ребер Каміс м/у 20гр</t>
  </si>
  <si>
    <t>Приправа до Стейку Котані 42гр</t>
  </si>
  <si>
    <t>Приправа До фаршу та котлет Каміс м/у 20гр</t>
  </si>
  <si>
    <t>Приправа До шашлику Ексклюзив Приправка 45гр</t>
  </si>
  <si>
    <t>Приправа До шашлику Мрія 25гр</t>
  </si>
  <si>
    <t>Приправа До шашлику Пікантна Кухня 30гр</t>
  </si>
  <si>
    <t>Приправа з перцем чилі та кумином до курки Кулінарний шедевр Приправка д/п 30гр</t>
  </si>
  <si>
    <t>Приправа з часником та орегано для страв з овочів та картоплі Кулінарний шедевр Приправка д/п 30гр</t>
  </si>
  <si>
    <t>Приправа з ягодами ялівцю та тим'яном до м'яса кулінарний шедевр Приправка д/п 30гр</t>
  </si>
  <si>
    <t>Приправа Італійські трави Акура 30гр</t>
  </si>
  <si>
    <t>Приправа Італійські трави Котані 14гр</t>
  </si>
  <si>
    <t>Приправа Італійські трави Котані млинок 48гр</t>
  </si>
  <si>
    <t>Приправа Карі Каннамела 25гр</t>
  </si>
  <si>
    <t>Приправа Каррі Каміс м/у 20гр</t>
  </si>
  <si>
    <t>Приправа Каррі Пікантна Кухня 30г</t>
  </si>
  <si>
    <t>Приправа Котані трави Франції млинок 33гр</t>
  </si>
  <si>
    <t>Приправа Куряча Мівіна 80гр</t>
  </si>
  <si>
    <t>Приправа Майоран Каміс м/у 7гр</t>
  </si>
  <si>
    <t>Приправа Мексиканські крильця Приправка 30гр</t>
  </si>
  <si>
    <t>Приправа овочі по-італійськи Приправка 25гр</t>
  </si>
  <si>
    <t>Приправа Паприка копчена мелена Котані 25гр</t>
  </si>
  <si>
    <t>Приправа перець Лимонний Акура 15гр</t>
  </si>
  <si>
    <t>Приправа перець червоний солодкий Паприка Котані 35гр</t>
  </si>
  <si>
    <t>Приправа перець чорний Котані млинок 36гр</t>
  </si>
  <si>
    <t>Приправа Пікантна рибка ГРИЛЬ Пікантна Кухня 30гр</t>
  </si>
  <si>
    <t>Приправа Приправка Кулінарний Шедевр ароматна курочка з лимоном 30гр</t>
  </si>
  <si>
    <t>Приправа Приправка Кулінарний Шедевр до спагетті та рису 30гр</t>
  </si>
  <si>
    <t>Приправа Ребра барбекю Приправка 30гр</t>
  </si>
  <si>
    <t>Приправа смакова Куряча Пікантна Кухня 80гр</t>
  </si>
  <si>
    <t>Приправа Соковитий стейк ГРИЛЬ Пікантна Кухня 30гр</t>
  </si>
  <si>
    <t>Приправа Суміш овочів та спецій Мрія 20гр</t>
  </si>
  <si>
    <t>Приправа суміш перців горошком Акура 50гр</t>
  </si>
  <si>
    <t>Приправа суміш перців Котані млинок 35гр</t>
  </si>
  <si>
    <t>Приправа Суміш прянощів до кави Акура 10гр</t>
  </si>
  <si>
    <t>Приправа Суміш трав томати оливки Котані 20гр</t>
  </si>
  <si>
    <t>Приправа Сухарі панірувальні Хрустка скоринка Приправка 100гр</t>
  </si>
  <si>
    <t>Панірувальна суміш</t>
  </si>
  <si>
    <t>Приправа сушена Зіра (кумин) Акура 10гр</t>
  </si>
  <si>
    <t>Приправа сушений Базилік Акура 10гр</t>
  </si>
  <si>
    <t>Приправа сушений Бодян Акура 10гр</t>
  </si>
  <si>
    <t>Приправа сушений Розмарин Акура 10гр</t>
  </si>
  <si>
    <t>Приправа Техаський стейк з сичуанським перцем Приправка 30гр</t>
  </si>
  <si>
    <t>Приправа Тим’ян Каміс м/у 8гр</t>
  </si>
  <si>
    <t>Приправа томати Часник та базилік Акура 15гр</t>
  </si>
  <si>
    <t>Приправа трави Греції Приправка 10гр</t>
  </si>
  <si>
    <t>Приправа трави Італії Приправка м/у 10гр</t>
  </si>
  <si>
    <t>Приправа трави Франції Котані 17гр</t>
  </si>
  <si>
    <t>Приправа трави Франції Приправка м/у 10гр</t>
  </si>
  <si>
    <t>Приправа універсальна 12 овочів та трав Ріва м/у 60гр</t>
  </si>
  <si>
    <t>Приправа універсальна 15 овочів трав та спецій Смакко 70гр</t>
  </si>
  <si>
    <t>Приправа універсальна Грибна з овочами та зеленню Смакко 80гр</t>
  </si>
  <si>
    <t>Приправа універсальна Грибна Ріва м/у 80гр</t>
  </si>
  <si>
    <t>Приправа універсальна Куряча з овочами та зеленню Смакко 80гр</t>
  </si>
  <si>
    <t>Приправа універсальна куряча Ріва м/у 80гр</t>
  </si>
  <si>
    <t>Приправа універсальна М'ясна з овочами та зеленню Смакко 80гр</t>
  </si>
  <si>
    <t>Приправа універсальна Українська кухня Ріва м/у 60гр</t>
  </si>
  <si>
    <t>Приправа хмелі-сунелі Мрія м/у 20гр</t>
  </si>
  <si>
    <t>Приправа Хмелі-Сунелі Пікантна Кухня 30г</t>
  </si>
  <si>
    <t>Приправа цілий Кардамон Акура 5гр</t>
  </si>
  <si>
    <t>Прованські Трави Каміс м/у 8гр</t>
  </si>
  <si>
    <t>Прянощі для консервації Духмяний маринад Пікантна кухня м/у 30г</t>
  </si>
  <si>
    <t>Прянощі для консервації Лагідний маринад Пікантна кухня м/у 30г</t>
  </si>
  <si>
    <t>Прянощі для консервації Малосольні огірки Пікантна кухня м/у 30гр</t>
  </si>
  <si>
    <t>Прянощі для консервації Мариновані огірки Пікантна кухня м/у 30гр</t>
  </si>
  <si>
    <t>Прянощі для консервації Мариновані помідори Пікантна кухня м/у 30гр</t>
  </si>
  <si>
    <t>Сіль гімалайська Вітана млинок 140гр</t>
  </si>
  <si>
    <t>Сіль</t>
  </si>
  <si>
    <t>Сіль морська Вітана млинок 150гр</t>
  </si>
  <si>
    <t>Соєві биточки Акура 70гр</t>
  </si>
  <si>
    <t>Соя і соєві продукти</t>
  </si>
  <si>
    <t xml:space="preserve">Спеції 4 перця Вітана млинок 65гр </t>
  </si>
  <si>
    <t>Спеції для Барбекю Вітана с/б 100гр</t>
  </si>
  <si>
    <t>Спеції до крилець Барбекю Вітана 23гр</t>
  </si>
  <si>
    <t>Спеції до курки Барбекю Вітана 23гр</t>
  </si>
  <si>
    <t>Спеції до свинини Барбекю Вітана 23гр</t>
  </si>
  <si>
    <t>Спеції до яловичини Барбекю Вітана 23гр</t>
  </si>
  <si>
    <t>Суміш перців болгарські 4 Смаки 20гр</t>
  </si>
  <si>
    <t>Суміш перців класична Мрія 30гр</t>
  </si>
  <si>
    <t>Суміш перців Креольська Каннамела в млинку 25гр</t>
  </si>
  <si>
    <t>Суміш перців мелена з прянощами Мрія 30гр</t>
  </si>
  <si>
    <t>Суміш прянощів Італійські трави Мрія 10гр</t>
  </si>
  <si>
    <t>Суміш спецій Барбекю Ному 55гр</t>
  </si>
  <si>
    <t>Суміш спецій для птиці Ному у млинку 50гр</t>
  </si>
  <si>
    <t>Суміш спецій Індійська Ному 70гр</t>
  </si>
  <si>
    <t>Суміш спецій Іспанська Ному 60гр</t>
  </si>
  <si>
    <t>Суміш спецій Ному для стейків та барбекю у млинку 55гр</t>
  </si>
  <si>
    <t>Суміш спецій Східна Ному 60гр</t>
  </si>
  <si>
    <t>Сухарі панірувальні Акура 100гр</t>
  </si>
  <si>
    <t>Сухарі панірувальні Ямуна 130гр</t>
  </si>
  <si>
    <t>Цедра Апельсину Котані 20гр</t>
  </si>
  <si>
    <t>Цедра Лимону Котані 20гр</t>
  </si>
  <si>
    <t>Часник з травами та сіллю Котані млинок с/пл 50гр</t>
  </si>
  <si>
    <t>Чорний перець мелений Каміс м/у 16гр</t>
  </si>
  <si>
    <t>Масло з оливкових вижимок Маестро де Оліва п/пл 1л</t>
  </si>
  <si>
    <t>Олія оливкова</t>
  </si>
  <si>
    <t>Масло кокосове органічне Екород c/б 200мл</t>
  </si>
  <si>
    <t>Олія смакова</t>
  </si>
  <si>
    <t>Олія волоського горіха Світанок 0,25л</t>
  </si>
  <si>
    <t>Олія гарбузова Акура 250мл</t>
  </si>
  <si>
    <t>Олія кокосова неочищена Органічна Біо Пленет 200мл</t>
  </si>
  <si>
    <t>Олія кукурудзяна рафінована дезодорована Кама п/пл 1л</t>
  </si>
  <si>
    <t>Олія кунжутна Акура с/пл 250мл</t>
  </si>
  <si>
    <t>Олія лляна Акура 250мл</t>
  </si>
  <si>
    <t>Олія лляна нерафінована недезодорована холодного пресування Олейна с/пл 250мл</t>
  </si>
  <si>
    <t>Олія оливкова Арбекіна вірджін Пікуаль Касас де Хуалдо 500мл</t>
  </si>
  <si>
    <t>Олія оливкова Вижимка Іберіка с/пл 0,5л</t>
  </si>
  <si>
    <t>Олія оливкова Екстра Вірджин Бассо п/пл 1000гр</t>
  </si>
  <si>
    <t>Олія оливкова Екстра Вірджин Еллада с/пл 0,25л</t>
  </si>
  <si>
    <t>Олія оливкова Екстра Вірджин Еллада с/пл 0,5л</t>
  </si>
  <si>
    <t>Олія оливкова Екстра Вірджин Реджія с/пл 1000гр</t>
  </si>
  <si>
    <t>Олія оливкова Екстра Вірджин Реджія с/пл 500гр</t>
  </si>
  <si>
    <t>Олія оливкова Екстра вірджін Арбекіна Касас де Хуалдо 500мл</t>
  </si>
  <si>
    <t>Олія оливкова Екстра Вірджін Маестро де Оліва с/пл 0,5л</t>
  </si>
  <si>
    <t>Олія оливкова Кастелларе ді Кастелліна Л'ОліоНово екстра вірджін 0,75л</t>
  </si>
  <si>
    <t>Олія оливкова нерафінована Екстра вірджин Оскар фудз с/пл 250мл</t>
  </si>
  <si>
    <t>Олія оливкова нерафінована Екстра вірджин Оскар фудс с/пл 500мл</t>
  </si>
  <si>
    <t>Олія оливкова нерафінована Екстра вірджін Іберіка с/пл 0,25л</t>
  </si>
  <si>
    <t>Олія оливкова нерафінована Екстра Вірджін Іберіка с/пл 0,5л</t>
  </si>
  <si>
    <t>Олія оливкова рафінована Іберіка с/пл 0,25л</t>
  </si>
  <si>
    <t>Олія оливкова рафінована Іберіка с/пл 0,5л</t>
  </si>
  <si>
    <t>Олія ріпакова рафінована першого віджиму Базилік-орегано-розмарин Олейна с/пл 0,25л</t>
  </si>
  <si>
    <t>Олія ріпакова рафінована першого віджиму Перец чилі-базилік-томати Олейна с/пл 0,25л</t>
  </si>
  <si>
    <t>Олія ріпакова рафінована першого віджиму Томат-часник-базилік Олейна с/пл 0,25л</t>
  </si>
  <si>
    <t>Олія ріпакова рафінована першого віджиму Часник-базилік Олейна с/пл 0,25л</t>
  </si>
  <si>
    <t>Олія соняшникова з оливковою олією Олейна 0,87л</t>
  </si>
  <si>
    <t>Олія соняшникова</t>
  </si>
  <si>
    <t>Олія соняшникова Королівський Смак рафінована 5,0л</t>
  </si>
  <si>
    <t>Олія соняшникова нерафінована домашня Чумак 0,9л</t>
  </si>
  <si>
    <t>Олія соняшникова нерафінована Майола п/пл 0,850л</t>
  </si>
  <si>
    <t>Олія соняшникова нерафінована органічна Екород с/пл 0,5л</t>
  </si>
  <si>
    <t>Олія соняшникова рафінована вітамінізована Щедрий дар п/пл 0,75л</t>
  </si>
  <si>
    <t>Олія соняшникова рафінована дезодорована виморожена Пресова Олейна п/пл 0,5л</t>
  </si>
  <si>
    <t>Олія соняшникова рафінована дезодорована виморожена Пресова Олейна п/пл 1,8л</t>
  </si>
  <si>
    <t>Олія соняшникова рафінована дезодорована виморожена Традиційна Олейна п/пл 3л</t>
  </si>
  <si>
    <t>Олія соняшникова рафінована дезодорована виморожена Традиційна Олейна п/пл 5л</t>
  </si>
  <si>
    <t>Олія соняшникова рафінована Золота Чумак п/пл 0,9л</t>
  </si>
  <si>
    <t>Олія соняшникова рафінована Золота Чумак п/пл 5л</t>
  </si>
  <si>
    <t>Олія соняшникова рафінована Олейна 0,85л</t>
  </si>
  <si>
    <t>Олія соняшникова рафінована Стожар 0,85л</t>
  </si>
  <si>
    <t>Олія соняшникова рафінована Чесна Марка 3,0л</t>
  </si>
  <si>
    <t>Олія соняшникова рафінована Шеф Стожар п/пл 5л</t>
  </si>
  <si>
    <t>Олія соняшникова рафінована Щедрий Дар 0,85л</t>
  </si>
  <si>
    <t>Олія соняшникова рафінована Щедрий дар п/пл 3л</t>
  </si>
  <si>
    <t>Суміш олій рослинних Три зерна Олейна с/пл 0,5л</t>
  </si>
  <si>
    <t>Сіль вагова кг</t>
  </si>
  <si>
    <t>Сіль гімалайська рожева Приправка д/п 200гр</t>
  </si>
  <si>
    <t>Сіль гімалайська харчова з середземноморськими травами Приправка д/п 200гр</t>
  </si>
  <si>
    <t>Сіль Екстра Сто Пудов 400гр</t>
  </si>
  <si>
    <t>Сіль йодована Екстра Сто пудів к/у 400гр</t>
  </si>
  <si>
    <t>Сіль Кухонна кам'яна 1кг</t>
  </si>
  <si>
    <t>Сіль морська дрібна Салюте ді Маре 750гр</t>
  </si>
  <si>
    <t>Сіль морська йодована Каннамела в млинку 63гр</t>
  </si>
  <si>
    <t>Сіль морська йодована сільничка Салюте ді Маре 350гр</t>
  </si>
  <si>
    <t>Сіль морська крупна Салюте ді Маре 750гр</t>
  </si>
  <si>
    <t>Сіль морська середня Салюте ді Маре 750гр</t>
  </si>
  <si>
    <t>Сіль морська сільничка Салюте ді Маре 350гр</t>
  </si>
  <si>
    <t>Сіль морська харчова №1 Морячка 1кг</t>
  </si>
  <si>
    <t>Сіль морська харчова №1 Морячка д/п 0,45кг</t>
  </si>
  <si>
    <t xml:space="preserve">Сіль морська харчова №1 Морячка сільничка 0,5кг </t>
  </si>
  <si>
    <t>Сіль морська харчова Екстра йодована №1 Морячка 1кг</t>
  </si>
  <si>
    <t>Сіль морська харчова Екстра йодована №1 Морячка д/п 0,45кг</t>
  </si>
  <si>
    <t>Сіль морська харчова з добавками прянощів Араратська Салюте ді Маре 100гр</t>
  </si>
  <si>
    <t>Сіль морська харчова з добавками прянощів Сванська Салюте ді Маре 100гр</t>
  </si>
  <si>
    <t>Сіль морська харчова з добавками прянощів Сицилійська Салюте ді Маре 100гр</t>
  </si>
  <si>
    <t>Сіль морська харчова йодована №1 Морячка 1кг</t>
  </si>
  <si>
    <t xml:space="preserve">Сіль морська харчова йодована №1 Морячка д/п 0,45кг </t>
  </si>
  <si>
    <t>Сіль рожева Гімалайська Каннамела 590гр</t>
  </si>
  <si>
    <t>Сіль рожева Гімалайська Каннамела в млинку 60гр</t>
  </si>
  <si>
    <t>Сіль рожева Гімалайська Ному у млинку 125гр</t>
  </si>
  <si>
    <t>Сіль рожева харчова помел №0 Гімалайська Салюте Ді Маре д/п 500гр</t>
  </si>
  <si>
    <t>Сіль рожева харчова помел №3 Гімалайська Салюте ді Маре д/п 500гр</t>
  </si>
  <si>
    <t>Сіль харчова Морська Сто пудів м/у 700гр</t>
  </si>
  <si>
    <t>Сіль червона Гавайська Каннамела в млинку 60гр</t>
  </si>
  <si>
    <t>Цукор 5,0кг</t>
  </si>
  <si>
    <t>Цукор</t>
  </si>
  <si>
    <t xml:space="preserve">Цукор білий кристалічний стік Ата м/у 100*5г </t>
  </si>
  <si>
    <t>Цукор білий пресований швидкорозчинний Сто пудів к/у 250гр</t>
  </si>
  <si>
    <t>Цукор кг</t>
  </si>
  <si>
    <t>Цукор рафінад Сахарок к/у 250гр</t>
  </si>
  <si>
    <t>Цукор рафінад Сахарок к/у 500гр</t>
  </si>
  <si>
    <t>Цукор тростинний Голден Кейн м/у 500гр</t>
  </si>
  <si>
    <t>Цукор тростинний куск Голден Кейн м/у 500гр</t>
  </si>
  <si>
    <t>Аджика Абхазька Руна с/б 212гр</t>
  </si>
  <si>
    <t>Аджика Гостра Жирнов 100гр</t>
  </si>
  <si>
    <t>Аджика гостра Кавказька Верес д/п 130гр</t>
  </si>
  <si>
    <t>Аджика Пікантна апетитна Верес д/п 130гр</t>
  </si>
  <si>
    <t>Аджика По-грузинськи Руна с/б 212гр</t>
  </si>
  <si>
    <t>Аджика По-кавказьки Руна с/б 212гр</t>
  </si>
  <si>
    <t>Аджика По-Херсонськи Чесна марка с/б 430гр</t>
  </si>
  <si>
    <t xml:space="preserve">Аджика По-Херсонськи Чесна марка с/б 460гр </t>
  </si>
  <si>
    <t>Аджика Хабанеро вогняна Верес д/п 130гр</t>
  </si>
  <si>
    <t>Васабі міцний Хокайдо клуб д/п 140гр</t>
  </si>
  <si>
    <t>Гірчиця Американська Торчин д/п 130гр</t>
  </si>
  <si>
    <t>Гірчиця гостра По-діжонськи Kюне с/б 250мл</t>
  </si>
  <si>
    <t>Гірчиця з базиліком та зернами чорної гірчиці Французька Щедро д/п 120гр</t>
  </si>
  <si>
    <t>Гірчиця з цілих зерен Діжонська Торчин д/п 130гр</t>
  </si>
  <si>
    <t>Гірчиця зерниста Kюне с/б 250мл</t>
  </si>
  <si>
    <t>Гірчиця Класична ВХС с/б 125гр</t>
  </si>
  <si>
    <t xml:space="preserve">Гірчиця лагідна Європейська Королівський Смак д/п 130гр </t>
  </si>
  <si>
    <t>Гірчиця Лагідна Хайнц п/пл 240гр</t>
  </si>
  <si>
    <t>Гірчиця Медова Щедро д/п 120гр</t>
  </si>
  <si>
    <t>Гірчиця міцна Королівська Королівський смак д/п 130гр</t>
  </si>
  <si>
    <t>Гірчиця міцна МакМай 130гр</t>
  </si>
  <si>
    <t xml:space="preserve">Гірчиця міцна Оліс п/б 100гр </t>
  </si>
  <si>
    <t>Гірчиця Міцна Торчин д/п 130гр</t>
  </si>
  <si>
    <t>Гірчиця Помірної міцності Kюне с/б 250мл</t>
  </si>
  <si>
    <t>Гірчиця Українська Жирнов с/б 200гр</t>
  </si>
  <si>
    <t>Гірчиця Французька Королівський смак д/п 130гр</t>
  </si>
  <si>
    <t>Заправка Буряково-томатна Торчин д/п 220гр</t>
  </si>
  <si>
    <t>Заправки, маринади</t>
  </si>
  <si>
    <t>Заправка для борщу МакМай д/п 270гр</t>
  </si>
  <si>
    <t>Заправка До борщу Руна с/б 470гр</t>
  </si>
  <si>
    <t>Заправка томатна З болгарським перцем Торчин д/п 220гр</t>
  </si>
  <si>
    <t>Заправка томатна З болграрським перцем Томатіно д/п 240гр</t>
  </si>
  <si>
    <t>Кетчуп болгарський МакМай д/п 270гр</t>
  </si>
  <si>
    <t>Червоні соуси, кетчуп</t>
  </si>
  <si>
    <t>Кетчуп гострий Гриль Пати Хаме с/б 300гр</t>
  </si>
  <si>
    <t>Кетчуп гострий Гриль Пати Хаме с/б 520гр</t>
  </si>
  <si>
    <t>Кетчуп для дітей від 3-х років Королівський смак д/п 180гр</t>
  </si>
  <si>
    <t>Кетчуп До шашлику Оліс п/пл 830гр</t>
  </si>
  <si>
    <t>Кетчуп До шашлику пастеризований Торчин д/п 250гр</t>
  </si>
  <si>
    <t>Кетчуп з банановим пюре для дітей від 3років Натуральний Приправка д/п 200гр</t>
  </si>
  <si>
    <t>Кетчуп з білим перцем та коріандром Шашличний Щедро д/п 250гр</t>
  </si>
  <si>
    <t>Кетчуп з гострим перцем халапеньо Ред Хот Чумак д/п 250гр</t>
  </si>
  <si>
    <t>Кетчуп з паприкою пастеризований Торчин д/п 250гр</t>
  </si>
  <si>
    <t>Кетчуп з часником До шашлику Приправка д/п 250гр</t>
  </si>
  <si>
    <t>Кетчуп з часником Оліс д/п 250гр</t>
  </si>
  <si>
    <t>Кетчуп З часником пастеризований Торчин д/п 250гр</t>
  </si>
  <si>
    <t>Кетчуп Класичний пастеризований для дітей від 3років Торчин д/п 200гр</t>
  </si>
  <si>
    <t>Кетчуп Лагідний Iделіа д/п 250гр</t>
  </si>
  <si>
    <t>Кетчуп Лагідний Жирнов д/п 300гр</t>
  </si>
  <si>
    <t>Кетчуп Лагідний Оліс д/п 250гр</t>
  </si>
  <si>
    <t>Кетчуп Лагідний пастеризований Торчин д/п 250гр</t>
  </si>
  <si>
    <t>Кетчуп пастеризований Грузинський МакМай д/п 270гр</t>
  </si>
  <si>
    <t>Кетчуп пастеризований До шашлику Чумак д/п 250гр</t>
  </si>
  <si>
    <t>Кетчуп пастеризований з базиліком Лагідний Приправка д/п 250гр</t>
  </si>
  <si>
    <t>Кетчуп пастеризований Лагідний Чумак д/п 250гр</t>
  </si>
  <si>
    <t>Кетчуп пастеризований Чилі МакМай д/п 270гр</t>
  </si>
  <si>
    <t>Кетчуп пастеризований Шашличний Жирнов д/п 300гр</t>
  </si>
  <si>
    <t>Кетчуп томатний Гриль Пати Хаме с/б 300гр</t>
  </si>
  <si>
    <t>Кетчуп томатний Гриль Пати Хаме с/б 520гр</t>
  </si>
  <si>
    <t>Кетчуп Чилі пастеризований Торчин д/п 250гр</t>
  </si>
  <si>
    <t>Кетчуп Чилі Щедро д/п 250гр</t>
  </si>
  <si>
    <t>Кетчуп Шашличний Iделіа д/п 250гр</t>
  </si>
  <si>
    <t xml:space="preserve">Кетчуп Шашличний Жирнов п/пл 360гр </t>
  </si>
  <si>
    <t>Майонез для дітей від 3років Домашній Щедро 67% д/п 190гр</t>
  </si>
  <si>
    <t>Майонез</t>
  </si>
  <si>
    <t xml:space="preserve">Майонез Домашній Оліс 50% д/п 560гр </t>
  </si>
  <si>
    <t>Майонез Європейський Торчин 72% д/п 300гр</t>
  </si>
  <si>
    <t>Майонез Королівський Королівський смак 67% д/п 160гр</t>
  </si>
  <si>
    <t>Майонез Королівський Королівський смак 67% д/п 300гр</t>
  </si>
  <si>
    <t>Майонез Королівський Королівський смак 67% д/п 500гр</t>
  </si>
  <si>
    <t>Майонез Королівський Королівський смак 67% м/у 180гр</t>
  </si>
  <si>
    <t>Майонез Королівський Смак імператорський 75% 300гр д/п</t>
  </si>
  <si>
    <t>Майонез на перепелиних яйцях Європейський Королівський смак 72% д/п 300гр</t>
  </si>
  <si>
    <t>Майонез на перепелиних яйцях Європейський Королівський смак 72% м/у 340гр</t>
  </si>
  <si>
    <t>Майонез Преміум Жирнов 74% м/у 350гр</t>
  </si>
  <si>
    <t>Майонез Провансаль 67% Чумак м/у 300гр</t>
  </si>
  <si>
    <t>Майонез Провансаль Жирнов 67% д/п 300гр</t>
  </si>
  <si>
    <t>Майонез Провансаль Жирнов 67% м/у 330гр</t>
  </si>
  <si>
    <t>Майонез Провансаль МакМай 67% д/п 600гр</t>
  </si>
  <si>
    <t>Майонез Провансаль МакМай 67% м/у 170гр</t>
  </si>
  <si>
    <t>Майонез Провансаль МакМай 67% м/у 320гр</t>
  </si>
  <si>
    <t>Майонез Провансаль Чумак 67% д/п 300гр</t>
  </si>
  <si>
    <t>Майонез Провансаль Щедро 67% м/у 300гр</t>
  </si>
  <si>
    <t>Майонез Ремія Соус 50% 250мл с/б</t>
  </si>
  <si>
    <t>Майонез Руна 67% с/б 415гр</t>
  </si>
  <si>
    <t>Майонез Столовий Національні Українські традиції 67% д/п 500гр</t>
  </si>
  <si>
    <t>Майонез Столовий Оліс 67% д/п 170гр</t>
  </si>
  <si>
    <t>Майонез Столовий Оліс 67% д/п 560гр</t>
  </si>
  <si>
    <t>Майонез Традиційний Гуляй-поле 67% м/у 160гр</t>
  </si>
  <si>
    <t>Майонез Традиційний Гуляй-поле 67% м/у 340гр</t>
  </si>
  <si>
    <t>Майонез Файний Національні Українські Традиції 72% д/п 500гр</t>
  </si>
  <si>
    <t>Майонез Файний Оліс 72% д/п 300гр</t>
  </si>
  <si>
    <t>Майонезний соус апетитний Оліс 15% п/пл 830гр</t>
  </si>
  <si>
    <t>Майонезний соус Весняний Королівський смак 40% м/у 340гр</t>
  </si>
  <si>
    <t>Майонезний соус Делікатесний Торчин 28% д/п 300гр</t>
  </si>
  <si>
    <t>Майонезний соус Екстра Оліс 40% д/п 300гр</t>
  </si>
  <si>
    <t>Майонезний соус екстра Оліс 40% д/п 560гр</t>
  </si>
  <si>
    <t>Майонезний соус Салатний Гуляй-поле 30% м/у 160гр</t>
  </si>
  <si>
    <t>Майонезний соус Салатний Гуляй-поле 30% м/у 340гр</t>
  </si>
  <si>
    <t>Маринад Tеріякі Kiккоман c/пл 0,25л</t>
  </si>
  <si>
    <t>Маринад з гірчицею До свинини Верес д/п 140гр</t>
  </si>
  <si>
    <t>Маринад з куркумою До курки Верес д/п 140гр</t>
  </si>
  <si>
    <t>Маринад з паприкою До шашлику Верес д/п 140гр</t>
  </si>
  <si>
    <t>Маринад Сливовий Торчин д/п 160гр</t>
  </si>
  <si>
    <t xml:space="preserve">Маринад соєво-імбирний Торчин д/п 160гр </t>
  </si>
  <si>
    <t>Паста томатна 25% Оліс д/п 250гр</t>
  </si>
  <si>
    <t>Томатна паста</t>
  </si>
  <si>
    <t>Паста томатна Бехдіс з/б 800гр</t>
  </si>
  <si>
    <t xml:space="preserve">Паста томатна Господарочка с/б 450гр </t>
  </si>
  <si>
    <t>Паста томатна Домашні продукти 28% з/б 400гр</t>
  </si>
  <si>
    <t>Паста томатна Домашня МакМай 25% м/у 70гр</t>
  </si>
  <si>
    <t xml:space="preserve">Паста томатна домашня МакМай с/б 300гр </t>
  </si>
  <si>
    <t>Паста томатна Жирнов шайба 100гр</t>
  </si>
  <si>
    <t>Паста томатна З Бабусиної грядки с/б 400гр</t>
  </si>
  <si>
    <t>Паста томатна з томатів Пассата Піцутелло Косі Коме 350гр</t>
  </si>
  <si>
    <t>Паста томатна Королівський Смак класична 480гр с/б т/о</t>
  </si>
  <si>
    <t>Паста томатна Пассата Ціріо т/п 200гр</t>
  </si>
  <si>
    <t>Паста томатна Херсонська Наш продукт і К 25% м/у 70гр</t>
  </si>
  <si>
    <t xml:space="preserve">Паста томатна Чесна Марка с/б 480гр </t>
  </si>
  <si>
    <t>Сік лайма концентрований П'ячеллі 200мл</t>
  </si>
  <si>
    <t>Сік лимона концентрований Акура п/пл 220мл</t>
  </si>
  <si>
    <t>Сік лимона концентрований П'ячеллі 200мл</t>
  </si>
  <si>
    <t>Соус Азіатський Жирнов п/пл 360гр</t>
  </si>
  <si>
    <t>Соус Американський Бургер Хайнц п/пл 220гр</t>
  </si>
  <si>
    <t>Білі соуси</t>
  </si>
  <si>
    <t>Соус Американський кетчуп Реміа 450гр</t>
  </si>
  <si>
    <t>Соус Араб'ята томатний з гострим перцем Барілла с/б 400гр</t>
  </si>
  <si>
    <t>Соус Арізона Барбекю (Американська кухня) Пері Пері с/пл 320гр</t>
  </si>
  <si>
    <t>Соус Бальзамік Чесна Марка п/пл 200гр</t>
  </si>
  <si>
    <t>Соус бальзамічний Крема Біанко Боначіні с/б 500мл</t>
  </si>
  <si>
    <t>Соус Барбекю Густо д/п 180гр</t>
  </si>
  <si>
    <t>Соус Барбекю Оліс д/п 180гр</t>
  </si>
  <si>
    <t>Соус Барбекю оригрінал Руна с/пл 255гр</t>
  </si>
  <si>
    <t>Соус Барбекю пікантний Kюне с/пл 0,25л</t>
  </si>
  <si>
    <t>Соус Барбекю Хайнц п/пл 0,22л</t>
  </si>
  <si>
    <t>Соус Барбекю Чесна Марка п/пл 200гр</t>
  </si>
  <si>
    <t>Соус Болоньєзе Пері Пері с/б 310гр</t>
  </si>
  <si>
    <t>Соус болоньєзе Профешионал (Італійська кухня) Бонсай п/пл 1л</t>
  </si>
  <si>
    <t>Соус Вустерширський Аппель с/пл 0,14л</t>
  </si>
  <si>
    <t>Соус горіховий Преміум Бонсай п/пл 500гр</t>
  </si>
  <si>
    <t xml:space="preserve">Соус гострий Світ Чилі Май Тай п/пл 0,7л </t>
  </si>
  <si>
    <t xml:space="preserve">Соус гострий Український Наш продукт с/б 450гр </t>
  </si>
  <si>
    <t>Соус Грибний Густо д/п 180гр</t>
  </si>
  <si>
    <t>Соус для піци Бонсай Профешионал п/пл 1,0л</t>
  </si>
  <si>
    <t>Соус для стейків мед і гірчиця Гриль Пати Хаме с/б 250мл</t>
  </si>
  <si>
    <t>Соус для стейків сливово-чорничний Гриль Пати Хаме с/б 250мл</t>
  </si>
  <si>
    <t>Соус для стейків солодкий BBQ Гриль Пати Хаме с/б 230мл</t>
  </si>
  <si>
    <t>Соус для стейків чілі з часником Гриль Пати Хаме с/б 250мл</t>
  </si>
  <si>
    <t>Соус Журавлиний Чесна Марка п/пл 200гр</t>
  </si>
  <si>
    <t>Соус Журавлинний Пері Пері с/пл 330гр</t>
  </si>
  <si>
    <t>Соус з базиліком без часнику Песто гренуезький Барілла с/б 190гр</t>
  </si>
  <si>
    <t xml:space="preserve">Соус з базиліком і чилі Песто Барілла с/б 195гр </t>
  </si>
  <si>
    <t>Соус з базиліком Песто Женовезе Барілла с/б 190гр</t>
  </si>
  <si>
    <t>Соус з блакитним сиром Ремія п/п 250гр</t>
  </si>
  <si>
    <t>Соус з гостринкою Мексикано Верес д/п 200гр</t>
  </si>
  <si>
    <t>Соус з грибами Руна с/б 485гр</t>
  </si>
  <si>
    <t>Соус З кінзою Руна с/б 485гр</t>
  </si>
  <si>
    <t>Соус з кокосовим молоком та кафір-лаймом Карі Приправка д/п 140гр</t>
  </si>
  <si>
    <t>Соус з медом Теріякі барбекю Kiккоман с/пл 0,25л</t>
  </si>
  <si>
    <t>Соєві соуси</t>
  </si>
  <si>
    <t>Соус з паприкою та базиліком Бургер Щедро д/п 200гр</t>
  </si>
  <si>
    <t>Соус з підсмаженим кунжутом Теріякі Kiккоман с/пл 0,25л</t>
  </si>
  <si>
    <t>Соус з пряними травами Тартар Торчин д/п 200гр</t>
  </si>
  <si>
    <t>Соус з прянощами Барбекю Iделіa д/п 200гр</t>
  </si>
  <si>
    <t>Соус з тамариндом і імбиром пастеризований Вок Приправка д/п 140гр</t>
  </si>
  <si>
    <t>Соус з томатами та сиром Рікотта Барілла с/б 400гр</t>
  </si>
  <si>
    <t>Соус з часником Ремія с/пл 250мл</t>
  </si>
  <si>
    <t>Соус з чорносливом та чорною гірчицею Барбекю Щедро д/п 200гр</t>
  </si>
  <si>
    <t>Соус Карі Руна с/пл 235гр</t>
  </si>
  <si>
    <t>Соус Кетчуп Папричи Пері Пері с/б 320гр</t>
  </si>
  <si>
    <t>Соус кисло-солодкий Денсой п/пл 250гр</t>
  </si>
  <si>
    <t>Соус кімчі Акура 200мл</t>
  </si>
  <si>
    <t>Соус класичний Барбекю Реміа 450гр</t>
  </si>
  <si>
    <t>Соус коктейль Ремія с/пл 250мл</t>
  </si>
  <si>
    <t>Соус копчена Соусна Хата слива п/пл 250гр</t>
  </si>
  <si>
    <t>Соус легкий Світ Чілі Май Тай п/пл 700мл</t>
  </si>
  <si>
    <t>Соус Лечо Руна с/б 485гр</t>
  </si>
  <si>
    <t>Соус майонезний Бургер Торчин д/п 200гр</t>
  </si>
  <si>
    <t>Соус майонезний веган 67% Реміа с/б 350мл</t>
  </si>
  <si>
    <t>Соус майонезний з естрагоном і гірчицею Тартар Щедро 30% д/п 200гр</t>
  </si>
  <si>
    <t>Соус Майонезний з кетчупом Торчин д/п 190гр</t>
  </si>
  <si>
    <t>Соус майонезний з перцем розе Папрік Щедро 30% д/п 200гр</t>
  </si>
  <si>
    <t>Соус майонезний з травами Італьяно Верес д/п 200гр</t>
  </si>
  <si>
    <t>Соус майонезний класичний часниковий Верес д/п 200гр</t>
  </si>
  <si>
    <t>Соус майонезний лагідний Американо Верес д/п 200гр</t>
  </si>
  <si>
    <t>Соус майонезний Тартар Руна с/пл 210гр</t>
  </si>
  <si>
    <t>Соус майонезний Часниковий Руна с/пл 210гр</t>
  </si>
  <si>
    <t>Соус Манго-чилі Щедро д/п 200гр</t>
  </si>
  <si>
    <t>Соус Маргарита Густо д/п 180гр</t>
  </si>
  <si>
    <t>Соус медовий Барбекю Ремія п/пл 450мл</t>
  </si>
  <si>
    <t>Соус Мексиканський Жирнов п/пл 360гр</t>
  </si>
  <si>
    <t>Соус Мексиканський Ремія с/пл 250мл</t>
  </si>
  <si>
    <t>Соус Мехіко Руна c/пл 235гр</t>
  </si>
  <si>
    <t>Соус Наполетано Реджія с/б 350гр</t>
  </si>
  <si>
    <t>Соус Наршараб Чесна Марка п/пл 200гр</t>
  </si>
  <si>
    <t xml:space="preserve">Соус Неаполітанський з базиліком Наш продукт с/б 450гр </t>
  </si>
  <si>
    <t>Соус оригінальний Сацебелi Верес д/п 200гр</t>
  </si>
  <si>
    <t>Соус Папрік Густо д/п 180гр</t>
  </si>
  <si>
    <t>Соус Папрік з копченою паприкою Торчин д/п 200гр</t>
  </si>
  <si>
    <t>Соус пастеризований з імбиром та кунжутом Приправка Вок д/п 140гр</t>
  </si>
  <si>
    <t>Соус пастеризований з сичуанським перцем і часником Вок Приправка д/п 140гр</t>
  </si>
  <si>
    <t>Соус пастеризований з тімутським перцем та чилі Вок Приправка д/п 140гр</t>
  </si>
  <si>
    <t>Соус пастеризований з чорним перцем і соєвим соусом Вок Приправка д/п 140гр</t>
  </si>
  <si>
    <t>Соус пастеризований Кунжутний Пері Пері с/пл 310гр</t>
  </si>
  <si>
    <t>Соус пастеризований Манго-чилі Пері Пері с/пл 320гр</t>
  </si>
  <si>
    <t>Соус Перцевий зелений Табаско 60мл</t>
  </si>
  <si>
    <t>Соус перцевий Табаско Хабанеро 60мл</t>
  </si>
  <si>
    <t>Соус Перцевий Чіпотле Табаско к/у 0,06л</t>
  </si>
  <si>
    <t>Соус Песто З базиліком та рукколою Барілла с/б 190гр</t>
  </si>
  <si>
    <t>Соус Песто Россо з томатами та базиліком Барілла с/б 200гр</t>
  </si>
  <si>
    <t>Соус Приправка Готуємо у соусі чорний перець та карамель 140гр</t>
  </si>
  <si>
    <t>Соус Пряні трави Пері Пері с/пл 310гр</t>
  </si>
  <si>
    <t>Соус Ремія гірчиця-мед 250гр п/п</t>
  </si>
  <si>
    <t>Соус Рікотта з горіхами Песто Барілла с/б 195гр</t>
  </si>
  <si>
    <t>Соус салатний Бальзаміко Кюне с/б 250гр</t>
  </si>
  <si>
    <t>Соус салатний з йогуртом Кюне с/б 250гр</t>
  </si>
  <si>
    <t>Соус салатний З травами Кюне с/пл 0,25л</t>
  </si>
  <si>
    <t>Соус салатний Італійський з духмяними травами Кюне с/пл 0,25л</t>
  </si>
  <si>
    <t>Соус салатний Медово-гірчичний Кюне с/б 250гр</t>
  </si>
  <si>
    <t>Соус салатний Тисяча островів Кюне с/пл 0,25л</t>
  </si>
  <si>
    <t>Соус салатний Цезар Кюне с/пл 0,25л</t>
  </si>
  <si>
    <t>Соус Сальса чилі Хайнц п/пл 220гр</t>
  </si>
  <si>
    <t>Соус Сацебелі Густо д/п 180гр</t>
  </si>
  <si>
    <t>Соус Сацебелі Жирнов п/пл 360гр</t>
  </si>
  <si>
    <t>Соус Сацебелі Іделіа д/п 200гр</t>
  </si>
  <si>
    <t>Соус Сацебелі Руна с/б 485гр</t>
  </si>
  <si>
    <t>Соус Світ Чилі Май Тай п/пл 0,7л</t>
  </si>
  <si>
    <t>Соус Сирний Густо д/п 180гр</t>
  </si>
  <si>
    <t>Соус Сирний Оліс д/п 180гр</t>
  </si>
  <si>
    <t>Соус соєвий Kіккоман с/пл 0,150л</t>
  </si>
  <si>
    <t>Соус соєвий Денсой п/пл 1,0л</t>
  </si>
  <si>
    <t>Соус соєвий для Морепродуктів Акура 200мл</t>
  </si>
  <si>
    <t>Соус соєвий для Салату Акура 200мл</t>
  </si>
  <si>
    <t>Соус соєвий для Смаження Акура 200мл</t>
  </si>
  <si>
    <t>Соус соєвий для Суші Aкура п/пл 0,2л</t>
  </si>
  <si>
    <t>Соус соєвий з імбиром та часником густий Теріяки Бонсай п/пл 0,235л</t>
  </si>
  <si>
    <t>Соус соєвий з устрицями та кунжутом густий Якіторі Бонсай п/пл 0,235л</t>
  </si>
  <si>
    <t>Соус соєвий Кіккоман п/пл 500мл</t>
  </si>
  <si>
    <t>Соус соєвий Кіккоман с/пл 0,15л</t>
  </si>
  <si>
    <t>Соус соєвий Класичний Бонсай п/пл 0,89л</t>
  </si>
  <si>
    <t>Соус соєвий Класичний Торчин с/пл 0,19л</t>
  </si>
  <si>
    <t>Соус соєвий Класичний Чесна Марка п/пл 500гр</t>
  </si>
  <si>
    <t>Соус соєвий Легкий Kiккоман с/пл 0,15л</t>
  </si>
  <si>
    <t>Соус соєвий Преміум Акура 200мл</t>
  </si>
  <si>
    <t>Соус соєвий преміум Профешіонал Акура 500мл</t>
  </si>
  <si>
    <t>Соус соєвий Теріякі Aкура п/пл 0,2л</t>
  </si>
  <si>
    <t>Соус соєвий Теріякі Хокайдо клуб п/пл 0,2л</t>
  </si>
  <si>
    <t>Соус соєвий Теріякі Чесна Марка 200гр</t>
  </si>
  <si>
    <t>Соус соєвий Унагі Бонсай п/пл 0,24л</t>
  </si>
  <si>
    <t>Соус соєвий Якіторі Kіккоман с/пл 0,25л</t>
  </si>
  <si>
    <t>Соус солодкий Чилі Aкура п/пл 0,5л</t>
  </si>
  <si>
    <t>Соус солодкий чилі Азіатіко Верес д/п 200гр</t>
  </si>
  <si>
    <t>Соус Солодкий чилі Оліс д/п 180гр</t>
  </si>
  <si>
    <t>Соус Солодкий чилі Руна с/пл 240гр</t>
  </si>
  <si>
    <t>Соус солодкий чилі Соусна Хата п/пл 250гр</t>
  </si>
  <si>
    <t>Соус Солодкий чілі Чесна Марка п/пл 200гр</t>
  </si>
  <si>
    <t>Соус Стейк Kюне с/пл 0,25л</t>
  </si>
  <si>
    <t>Соус стейковий з медом і копченим перцем Барбекю Вітана 230мл</t>
  </si>
  <si>
    <t>Соус Тартар Kюне с/пл 0,25л</t>
  </si>
  <si>
    <t>Соус Тартар Пері Пері с/пл 280гр</t>
  </si>
  <si>
    <t>Соус ткемалі Денсой п/пл 250гр</t>
  </si>
  <si>
    <t>Соус томатний Арраб'ята Реджія с/б 350гр</t>
  </si>
  <si>
    <t>Соус томатний з базиліком Базіліко Барілла с/б 400гр</t>
  </si>
  <si>
    <t>Соус томатний з баклажанами Норма Реджія с/б 350гр</t>
  </si>
  <si>
    <t>Соус томатний з овочами Наполетана Барілла c/б 400гр</t>
  </si>
  <si>
    <t>Соус томатний з оливками Барілла с/б 400гр</t>
  </si>
  <si>
    <t>Соус томатний з прянощами Сацебелі Торчин д/п 200гр</t>
  </si>
  <si>
    <t>Соус томатний з яловичиною та свининою Болоньєзе Барілла с/б 400гр</t>
  </si>
  <si>
    <t>Соус томатний Пассата Ціріо к/у 3х200гр</t>
  </si>
  <si>
    <t>Соус томатний пастеризований Український Томатіно с/б 460гр</t>
  </si>
  <si>
    <t>Соус томатний Сацебелі Томатіно с/б 460гр</t>
  </si>
  <si>
    <t>Соус томатний Шашличний Томатіно с/б 460гр</t>
  </si>
  <si>
    <t>Соус Український Кетча Руна с/б 485гр</t>
  </si>
  <si>
    <t>Соус Устричний Акура 200мл</t>
  </si>
  <si>
    <t xml:space="preserve">Соус Херсонський Наш продукт с/б 450гр </t>
  </si>
  <si>
    <t>Соус Цезар Ремія с/пл 0,25л</t>
  </si>
  <si>
    <t>Соус Цибуля зі сметаною Чумак д/п 200гр</t>
  </si>
  <si>
    <t>Соус Часниковий Оліс д/п 180гр</t>
  </si>
  <si>
    <t>Соус Часниковий Реміа 450гр</t>
  </si>
  <si>
    <t>Соус Часниковий Хайнц п/пл 0,22л</t>
  </si>
  <si>
    <t>Соус Часниковий Чумак д/п 200гр</t>
  </si>
  <si>
    <t>Соус Чилі Kюне с/пл 0,25л</t>
  </si>
  <si>
    <t>Соус Чілі Ремія с/пл 250мл</t>
  </si>
  <si>
    <t>Соус Шаурма Торчин д/п 200гр</t>
  </si>
  <si>
    <t>Соус Шашличний фірмовий Руна с/б 485гр</t>
  </si>
  <si>
    <t>Соус Шрірача Акура 200мл</t>
  </si>
  <si>
    <t>Соус-дрессінг лимона Атака 380мл</t>
  </si>
  <si>
    <t>Соус-дрессінг салатний бальзамічний Ремія с/пл 250мл</t>
  </si>
  <si>
    <t>Томатне пюре Пассата З Бабусиної грядки 380гр</t>
  </si>
  <si>
    <t>Хрін з буряком Вінницький ВХС с/б 125гр</t>
  </si>
  <si>
    <t>Гранола з горіхами Гуд монін д/п 330гр</t>
  </si>
  <si>
    <t>Сухі сніданки, пластівці</t>
  </si>
  <si>
    <t>Гранола полуниця Доктор Беннер м/у 40гр</t>
  </si>
  <si>
    <t>Гранола хрустка Лісові ягоди Axa м/у 330гр</t>
  </si>
  <si>
    <t>Гранола шоколад та мигдаль Доктор Беннер м/у 40гр</t>
  </si>
  <si>
    <t>Каша вівсяна Вершки-банан-полуниця Терра 38гр</t>
  </si>
  <si>
    <t>Каша вівсяна з бананом полуницею та вершками Холмс 40гр</t>
  </si>
  <si>
    <t>Каша вівсяна з бананом та ківі Холмс 40гр</t>
  </si>
  <si>
    <t>Каша вівсяна з курагою Вал м/у 40гр</t>
  </si>
  <si>
    <t>Каша вівсяна з лісовими ягодами Вал м/у 40гр</t>
  </si>
  <si>
    <t>Каша вівсяна з Малиною та вершками Холмс 40гр</t>
  </si>
  <si>
    <t>Каша вівсяна з молоком та полуницею Вал м/у 40гр</t>
  </si>
  <si>
    <t>Каша вівсяна з чорницею та насінням чіа Вал м/у 40гр</t>
  </si>
  <si>
    <t>Каша вівсяна Манго-ківі-ананас Терра 38гр</t>
  </si>
  <si>
    <t>Каша вівсяна Холмс з малиною ожиною лохиною та вершками 40гр</t>
  </si>
  <si>
    <t>Каша вівсяна Холмс з чорною смородиною 40гр</t>
  </si>
  <si>
    <t>Каша гречана Гриби та вершки Терра 38гр</t>
  </si>
  <si>
    <t>Каша гречана Яловичина Терра 38гр</t>
  </si>
  <si>
    <t>Кранчі абрикосові Доктор Беннер м/у 375гр</t>
  </si>
  <si>
    <t>Мюслі</t>
  </si>
  <si>
    <t>Кранчі Доктор Беннер горіхові 375гр</t>
  </si>
  <si>
    <t>Крупа Вівсяна Геркулес Доктор Беннер м/у 500гр</t>
  </si>
  <si>
    <t>Крупа Вівсяна Геркулес Хуторок к/у 400гр</t>
  </si>
  <si>
    <t>Крупа Вівсяна для дітей від 3років миттєвого приготування Сквирянка м/у 400гр</t>
  </si>
  <si>
    <t>Крупа Вівсяна Доктор Беннер м/у 400гр</t>
  </si>
  <si>
    <t>Крупа Вівсяна дрібнозернова мікс з суміші 3-х злаків Холмс к/у 700гр</t>
  </si>
  <si>
    <t>Крупа Вівсяна дрібнозернова мікс з суміші 5-ти злаків Холмс к/у 700гр</t>
  </si>
  <si>
    <t>Крупа Вівсяна дрібнозернова мікс з суміші7-ми злаків Холмс к/у 700гр</t>
  </si>
  <si>
    <t>Крупа Вівсяна кг</t>
  </si>
  <si>
    <t>Крупа Вівсяна не потребує варіння Ніжнесенька Сквирянка 300гр</t>
  </si>
  <si>
    <t>Крупа Вівсяна органічна Екорд к/у 300гр</t>
  </si>
  <si>
    <t>Крупа Вівсяна плющена Трапеза м/у 500гр</t>
  </si>
  <si>
    <t>Крупа Вівсяна Сквирянка м/у 400гр</t>
  </si>
  <si>
    <t>Крупа Вівсяна Сто Пудов 400гр</t>
  </si>
  <si>
    <t>Крупа Вівсяна Терра 600гр</t>
  </si>
  <si>
    <t>Крупа Вівсяна Холмс к/у 800гр</t>
  </si>
  <si>
    <t xml:space="preserve">Крупа Вівсяна Холмс п/п 400гр </t>
  </si>
  <si>
    <t>Мюслі еліт Доктор Беннер 30% м/у 400гр</t>
  </si>
  <si>
    <t>Мюслі запечені Кранчі Бананові Доктор Беннер м/у 375гр</t>
  </si>
  <si>
    <t>Мюслі запечені Кранчі Вишневі Доктор Беннер м/у 375гр</t>
  </si>
  <si>
    <t>Мюслі запечені Кранчі Шоколадні Доктор Беннер м/у 375гр</t>
  </si>
  <si>
    <t>Мюслі Тропік Вал 350гр</t>
  </si>
  <si>
    <t>Мюслі фітнес Доктор Беннер 20% м/у 400гр</t>
  </si>
  <si>
    <t>Мюслі Фітнес Доктор Беннер м/у 400гр</t>
  </si>
  <si>
    <t>Пластівці асорті з суміші 7-ми злаків Холмс п/п 400гр</t>
  </si>
  <si>
    <t>Пластівці Гречані миттєвого приготування Сквирянка м/у 400гр</t>
  </si>
  <si>
    <t>Пластівці гречані Холмс п/п 400гр</t>
  </si>
  <si>
    <t>Пластівці Кукурудзяні глазуровані Вал 300гр</t>
  </si>
  <si>
    <t>Пластівці кукурудзяні глазуровані з Медом Золоте Зерно к/у 80гр</t>
  </si>
  <si>
    <t>Пластівці кукурудзяні глазуровані Золоте Зерно к/у 80г</t>
  </si>
  <si>
    <t>Пластівці кукурудзяні цукровою глазур'ю Молочні Золоте Зерно к/у 200гр</t>
  </si>
  <si>
    <t>Пластівці молоч Золоте Зерно 200гр</t>
  </si>
  <si>
    <t>Пластівці суміш 3-х злаків не потребують варіння без глютену Сквирянка 400гр</t>
  </si>
  <si>
    <t>Пластівці суміш 4-х злаків не потребують варіння Сквирянка 400гр</t>
  </si>
  <si>
    <t>Пластівці швидкого приготування суміш з 7 видів зернових Терра к/у 600гр</t>
  </si>
  <si>
    <t>Сніданки готові кільця з какао Доктор Беннер м/у 400гр</t>
  </si>
  <si>
    <t>Сніданки сухі зернові 4 видів Глазуровані Старт к/у 75гр</t>
  </si>
  <si>
    <t>Сніданки сухі зернові Кульки Дуо Старт к/у 250гр</t>
  </si>
  <si>
    <t>Сніданки сухі зернові подушечки з молочною начинкою Старт к/у 250гр</t>
  </si>
  <si>
    <t>Сніданки сухі круп'яні подушечки неглазуровані з молочною начинкою Смачна Забава Золоте Зерно м/у 10</t>
  </si>
  <si>
    <t>Сніданки сухі Кульки з какао Золоте Зерно к/у 75г</t>
  </si>
  <si>
    <t>Сніданки сухі Кульки мікс глазуровані цукровою пудрою з какао і молоком Золоте Зерно к/у 75гр</t>
  </si>
  <si>
    <t>Сніданки сухі подушечки з начинкою з какао Смачна Забава Золоте Зерно м/у 100г</t>
  </si>
  <si>
    <t>Сніданок сух запеч гранола з білим шокол Гуд монін д/п 255гр</t>
  </si>
  <si>
    <t>Сніданок сухий з вітамінами та мінеральними речовинами Несквік м/у 200гр</t>
  </si>
  <si>
    <t>Сніданок сухий запечений гранола з журавлиною Гуд монін д/п 255гр</t>
  </si>
  <si>
    <t>Сніданок сухий запечений гранола з курагою Гуд монін д/п 140гр</t>
  </si>
  <si>
    <t>Сніданок сухий запечений гранола з шоколадом Гуд монін д/п140гр</t>
  </si>
  <si>
    <t>Сніданок сухий Кільця зі згущеним молоком Золоте Зерно к/у 75гр</t>
  </si>
  <si>
    <t>Сніданок сухий Сіні Мініс Нестле м/у 210гр</t>
  </si>
  <si>
    <t>Суміш пластівців 4 злака Екстра Сто пудов 400гр</t>
  </si>
  <si>
    <t>Сухий сніданок Кільця зі смаком Полуниці та Банану Старт к/у 250гр</t>
  </si>
  <si>
    <t>Сухий сніданок кольорові кульки Доктор Беннер 150гр</t>
  </si>
  <si>
    <t>Сухий сніданок Лайон 700гр</t>
  </si>
  <si>
    <t>Сухий сніданок мед горіхи Корн Флекс 250гр</t>
  </si>
  <si>
    <t>Сухий сніданок Мед горіхи Корн Флекс 450гр</t>
  </si>
  <si>
    <t>Сухий сніданок Мікс Несквік 375гр</t>
  </si>
  <si>
    <t>Сухий сніданок Несквік 375гр</t>
  </si>
  <si>
    <t>Сухий сніданок Сіні Мініс 375гр</t>
  </si>
  <si>
    <t>Сухий сніданок Трікс 190гр</t>
  </si>
  <si>
    <t>Сухий сніданок Трікс 350гр</t>
  </si>
  <si>
    <t>Сухий сніданок тріо мікс Доктор Беннер 150гр</t>
  </si>
  <si>
    <t>Сухий сніданок фрукти Фітнес 225гр</t>
  </si>
  <si>
    <t>Сухий сніданок Хвилі Несквік 210гр</t>
  </si>
  <si>
    <t>Сухий сніданок Чуррос Сіні Мініс 210гр</t>
  </si>
  <si>
    <t>Арахіс смажений кг</t>
  </si>
  <si>
    <t>Горіхи</t>
  </si>
  <si>
    <t>Арахіс смажений солоний Горіхи та фрукти д/п 100гр</t>
  </si>
  <si>
    <t>Асорті горіхове Лайт Мікс Міссо ст 120гр</t>
  </si>
  <si>
    <t>Асорті горіхове Натурель Мікс Міссо ст 120гр</t>
  </si>
  <si>
    <t>Асорті Горіхове Санта Віта м/у 200гр</t>
  </si>
  <si>
    <t>Асорті смажених горіхів Горіхи та Фрукт д/п 100гр</t>
  </si>
  <si>
    <t>Асорті солоних горіхів Коктейл Солті Міссо ст 120гр</t>
  </si>
  <si>
    <t>Асорті фруктово-горіхове Гармонія Санта Віта м/у 200гр</t>
  </si>
  <si>
    <t>Асорті фруктово-горіхове Енергія Санта Віта м/у 200гр</t>
  </si>
  <si>
    <t>Асорті фруктово-горіхове Журавлина+Кеш'ю Санта Віта м/у 200гр</t>
  </si>
  <si>
    <t>Асорті фруктово-горіхове Здоров'я Санта Віта м/у 200гр</t>
  </si>
  <si>
    <t>Асорті фруктово-горіхове Лайт Мікс Міссо м/у 40гр</t>
  </si>
  <si>
    <t>Асорті фруктово-горіхове Насолода Санта Віта м/у 200гр</t>
  </si>
  <si>
    <t>Асорті фруктово-горіхове Тонус Санта Віта м/у 200гр</t>
  </si>
  <si>
    <t>Банан сушений Алмонд м/у 100гр</t>
  </si>
  <si>
    <t>Сухофрукти</t>
  </si>
  <si>
    <t>Банан чипси кг</t>
  </si>
  <si>
    <t>Банани сушені Санта Віта м/у 100гр</t>
  </si>
  <si>
    <t>Вишня в'ялена кг</t>
  </si>
  <si>
    <t>Волоський горіх кг</t>
  </si>
  <si>
    <t>Горіх Бразильський кг</t>
  </si>
  <si>
    <t>Горіх макадамія кг</t>
  </si>
  <si>
    <t>Горіхи мікс к/у 500гр</t>
  </si>
  <si>
    <t>Груша сушена кг</t>
  </si>
  <si>
    <t>Диня в'ялена кг</t>
  </si>
  <si>
    <t>Диня Канталупа сушена кг</t>
  </si>
  <si>
    <t>Цукати</t>
  </si>
  <si>
    <t>Журавлина в'ялена кг</t>
  </si>
  <si>
    <t>Ізюм Золотий Санта Віта м/у 150гр</t>
  </si>
  <si>
    <t>Ізюм Світлий Санта Віта м/у 150гр</t>
  </si>
  <si>
    <t>Ізюм Чілійський Санта Віта м/у 200гр</t>
  </si>
  <si>
    <t>Інжир кг</t>
  </si>
  <si>
    <t>Кеш'ю сирий кг</t>
  </si>
  <si>
    <t>Кеш'ю сирий Роні 150гр</t>
  </si>
  <si>
    <t>Кеш'ю смажений Горіхи та фрукти д/п 100гр</t>
  </si>
  <si>
    <t>Кеш'ю смажений кг</t>
  </si>
  <si>
    <t>Кеш'ю смажений солоний Міссо м/у 40гр</t>
  </si>
  <si>
    <t>Кеш'ю сушений Кілого 150гр</t>
  </si>
  <si>
    <t>Кіноа кг</t>
  </si>
  <si>
    <t>Кокосова стружка кг</t>
  </si>
  <si>
    <t>Кориця паличка кг</t>
  </si>
  <si>
    <t>Кунжут білий Санта Віта м/у 125гр</t>
  </si>
  <si>
    <t>Кунжут кг</t>
  </si>
  <si>
    <t>Кунжут чорний Санта Віта м/у 125гр</t>
  </si>
  <si>
    <t>Курага Джумба кг</t>
  </si>
  <si>
    <t>Курага кг</t>
  </si>
  <si>
    <t>Мак кг</t>
  </si>
  <si>
    <t>Манго без цукру Роні 150гр</t>
  </si>
  <si>
    <t>Манго мармелад кубик Кінг 500гр</t>
  </si>
  <si>
    <t>Манго сушене Алмонд д/п 100гр</t>
  </si>
  <si>
    <t>Мигдалеві пластівці кг</t>
  </si>
  <si>
    <t>Мигдаль сирий кг</t>
  </si>
  <si>
    <t>Мигдаль смажений Горіхи та фрукти д/п 100гр</t>
  </si>
  <si>
    <t>Мигдаль смажений кг</t>
  </si>
  <si>
    <t>Мигдаль смажений Міссо м/у 40гр</t>
  </si>
  <si>
    <t>Насіння гарбуза ядро Роні 150гр</t>
  </si>
  <si>
    <t>Насіння гарбузове кг</t>
  </si>
  <si>
    <t>Насіння льону кг</t>
  </si>
  <si>
    <t>Насіння льону Санта Віта м/у 125гр</t>
  </si>
  <si>
    <t>Насіння соняшникове кг</t>
  </si>
  <si>
    <t>Пекан в шкарлупі кг</t>
  </si>
  <si>
    <t>Родзинки Еліт кг</t>
  </si>
  <si>
    <t>Родзинки кг</t>
  </si>
  <si>
    <t>Родзинки сині кг</t>
  </si>
  <si>
    <t>Суміш горіхів Асорті Дуо Мікс Могї м/у 70гр</t>
  </si>
  <si>
    <t>Суміш горіхів Асорті Енерджі Мікс Могї м/у 55гр</t>
  </si>
  <si>
    <t>Суміш горіхів Асорті Студент Мікс Могї м/у 70гр</t>
  </si>
  <si>
    <t>Суміш горіхів Асорті Фіт Мікс Могї м/у 70гр</t>
  </si>
  <si>
    <t>Суміш горіхів Мілітері едішн Кілого 150гр</t>
  </si>
  <si>
    <t>Суміш горіхів Мілітері едішн Кілого 75гр</t>
  </si>
  <si>
    <t>Суміш горіхів Протеїн Фіт Мікс Могї м/у 70гр</t>
  </si>
  <si>
    <t>Суміш горіхова Алесто м/у 500гр</t>
  </si>
  <si>
    <t>Суміш компотна з сухофруктів кг</t>
  </si>
  <si>
    <t>Фініки 500гр</t>
  </si>
  <si>
    <t>Фініки Еліт кг</t>
  </si>
  <si>
    <t>Фініки кг</t>
  </si>
  <si>
    <t>Фініки Туніс 200гр</t>
  </si>
  <si>
    <t>Фісташка смажена солона Горіхи та фрукти д/п 100гр</t>
  </si>
  <si>
    <t>Фісташки смажені кг</t>
  </si>
  <si>
    <t>Фісташки смажені солоні Міссо м/у 150гр</t>
  </si>
  <si>
    <t>Фісташки смажені солоні Міссо м/у 400гр</t>
  </si>
  <si>
    <t>Фісташки смажені солоні Міссо м/у 40гр</t>
  </si>
  <si>
    <t>Фісташки смажені солоні Міссо ст 120гр</t>
  </si>
  <si>
    <t>Фруктово-горіхове асорті кг</t>
  </si>
  <si>
    <t>Фундук сирий кг</t>
  </si>
  <si>
    <t>Фундук смажений Горіхи та фрукти д/п 100гр</t>
  </si>
  <si>
    <t>Фундук смажений кг</t>
  </si>
  <si>
    <t>Фундук сушений Кілого 150гр</t>
  </si>
  <si>
    <t>Цукати ананас кг</t>
  </si>
  <si>
    <t>Цукати диня кг</t>
  </si>
  <si>
    <t>Цукати імбир кг</t>
  </si>
  <si>
    <t>Цукати кг</t>
  </si>
  <si>
    <t>Цукати ківі кг</t>
  </si>
  <si>
    <t>Цукати папайя кубик мікс кг</t>
  </si>
  <si>
    <t>Цукати помело кг</t>
  </si>
  <si>
    <t>Чіа кг</t>
  </si>
  <si>
    <t>Чорнослив в'ялений кг</t>
  </si>
  <si>
    <t>Чурчхела з волоським горіхом Горіхи та фрукти к/у 90гр</t>
  </si>
  <si>
    <t>Чурчхела з мигдалем Горіхи та фрукти к/у 90гр</t>
  </si>
  <si>
    <t>Чурчхела з фундуком Горіхи та фрукти к/у 90гр</t>
  </si>
  <si>
    <t>Шипшина кг</t>
  </si>
  <si>
    <t>Яблуко сушене в шоколаді Роні п/б 150гр</t>
  </si>
  <si>
    <t>Ядра насіння гарбуза Санта Віта м/у 125гр</t>
  </si>
  <si>
    <t>Замінник цукру Хуксол 1200шт</t>
  </si>
  <si>
    <t>Фруктоза Сто Пудов 200гр</t>
  </si>
  <si>
    <t>Варення з абрикос Дари ланів с/б 360гр</t>
  </si>
  <si>
    <t>Варення з вишні Дари ланів с/б 360гр</t>
  </si>
  <si>
    <t>Варення з малини Дари ланів с/б 360гр</t>
  </si>
  <si>
    <t>Варення з полуниць Дари ланів с/б 360гр</t>
  </si>
  <si>
    <t>Джем Абрикосовий Верес 370гр</t>
  </si>
  <si>
    <t>Джем абрикосовий Верес д/п 140гр</t>
  </si>
  <si>
    <t>Джем абрикосовий Ландор с/б 260гр</t>
  </si>
  <si>
    <t>Джем малиновий Верес д/п 140гр</t>
  </si>
  <si>
    <t>Джем полуничний Верес д/п 140гр</t>
  </si>
  <si>
    <t>Джем полуничний Ландор с/б 260гр</t>
  </si>
  <si>
    <t>Конфітюр Апельсин з цедрою Місіс Бріджес 340гр</t>
  </si>
  <si>
    <t>Конфітюр Вишневий Верес 370гр</t>
  </si>
  <si>
    <t>Курд Апельсиновий Місіс Бріджес 340гр</t>
  </si>
  <si>
    <t>Молоко кокосове Орієнт Тейст з/б 400гр</t>
  </si>
  <si>
    <t>Вершки згущені з цукром Первомайський МКК 15% д/п 290гр</t>
  </si>
  <si>
    <t>Молоко згущене варене Іриска нежирне Полтавочка 5% с/б 500гр</t>
  </si>
  <si>
    <t>Молоко згущене варене нежирне Іриска Первомайський МКК с/б 470гр</t>
  </si>
  <si>
    <t>Молоко згущене варене нежирне Іриска Первомайський МКК с/б 500гр</t>
  </si>
  <si>
    <t>Молоко згущене з цукром і какао Первомайський МКК 7,5% д/п 290гр</t>
  </si>
  <si>
    <t>Молоко згущене з цукром Полтавочка 8,5% п/пл 380гр</t>
  </si>
  <si>
    <t>Молоко згущене незбиране з цукром Первомайський МКК 8,5% д/п 440гр</t>
  </si>
  <si>
    <t>Молоко згущене незбиране з цукром Первомайський МКК 8,5% з/б 370гр</t>
  </si>
  <si>
    <t>Молоко згущене незбиране з цукром Полтавочка 8,5% д/п 290гр</t>
  </si>
  <si>
    <t>Продукт молокомісткий Молоко згущене варене Іриска Зорька 8,5% відро кг</t>
  </si>
  <si>
    <t>Продукт молокомісткий Молоко згущене з цукром Зорька 8,5% відро кг</t>
  </si>
  <si>
    <t>Анчоус в олії Вітторія с/б 80гр</t>
  </si>
  <si>
    <t>Рибна консервація</t>
  </si>
  <si>
    <t>Кілька Балтійська в томатному соусі Ризьке Золото с/б 280гр</t>
  </si>
  <si>
    <t>Кілька бланширована в томатному соусі Кайа 240гр</t>
  </si>
  <si>
    <t>Лосось в оливковій олії Ризьке золото ключ з/б 240гр</t>
  </si>
  <si>
    <t xml:space="preserve">Лосось в соусі Паприка Боцман ключ з/б 190гр </t>
  </si>
  <si>
    <t>Лосось дикий у власному соку Бест Тайм з/б 210гр</t>
  </si>
  <si>
    <t>Лосось з овочами в пікантному соусі По-Мексиканськи Кайа з/б 220гр</t>
  </si>
  <si>
    <t>Лосось з овочами в томатному соусі По-Італійськи Кайа з/б 220гр</t>
  </si>
  <si>
    <t>Оселедець в олії по Гданськи Євра Фіш з/б 170гр</t>
  </si>
  <si>
    <t>Оселедець в томатному соусі Євра Фіш з/б 170гр</t>
  </si>
  <si>
    <t>Оселедця філе в томатному соусі Євра Фіш з/б 170гр</t>
  </si>
  <si>
    <t>Салака копчена Брівайс Вілніс ключ з/б 240гр</t>
  </si>
  <si>
    <t>Салат гострий зі скумбрією Секо 130гр</t>
  </si>
  <si>
    <t>Салат з лосося з овочами Секо 130гр</t>
  </si>
  <si>
    <t>Салат з тунцем та овочами Ріо Маре к/у 160гр</t>
  </si>
  <si>
    <t>Салат з тунцем червоною квасолею кукурудзою та овочами Мексикано Ріо Маре к/у 160гр</t>
  </si>
  <si>
    <t>Сардина атлантична в олії №3 Балтияс ДСТУ ключ з/б 240гр</t>
  </si>
  <si>
    <t>Сардина в оливковій олії Арктика з/б 230гр</t>
  </si>
  <si>
    <t>Сардина в олії Брівайс Вілніс ключ ж/б 240гр</t>
  </si>
  <si>
    <t>Сардина в олії Домашні продукти ключ з/б 200гр</t>
  </si>
  <si>
    <t>Сардина в томатному соусі Брівайс Вілніс ключ з/б 240гр</t>
  </si>
  <si>
    <t>Сардина в томатному соусі Чесна Марка з/б 240гр</t>
  </si>
  <si>
    <t xml:space="preserve">Сардина з додаванням олії Кайа ключ з/б 240гр </t>
  </si>
  <si>
    <t>Сардина Ісландська філе томлене в олії Шторм д/п 185гр</t>
  </si>
  <si>
    <t>Сардина Ісландська філе шматками в олії Бест Тайм з/б 125гр</t>
  </si>
  <si>
    <t>Сардина Ісландська філе шматками томатному соку Бест Тайм з/б 125гр</t>
  </si>
  <si>
    <t>Сардина обсмаж в томатному соусі Ризьке золото з/б 240гр</t>
  </si>
  <si>
    <t>Скумбріі філе в томатному соусі Євра Фіш з/б 170гр</t>
  </si>
  <si>
    <t>Скумбрія в оліі Євра Фіш з/б 170гр</t>
  </si>
  <si>
    <t>Скумбрія в олії Брівайс Вілніс ключ з/б 240гр</t>
  </si>
  <si>
    <t>Скумбрія в олії Домашні продукти ключ з/б 200гр</t>
  </si>
  <si>
    <t>Скумбрія в олії Кайа з/б 240гр</t>
  </si>
  <si>
    <t>Скумбрія в томатному соусі Євра Фіш з/б 170гр</t>
  </si>
  <si>
    <t xml:space="preserve">Скумбрія томлена в олії Шторм д/п 225гр </t>
  </si>
  <si>
    <t>Скумбрія філе подрібнене в томатному соку з чілі Бест Тайм з/б 125гр</t>
  </si>
  <si>
    <t>Тунець в оливковій олії Ріо Маре з/б 3*80гр</t>
  </si>
  <si>
    <t>Тунець в оливковій олії Ріо Маре з/б 80гр</t>
  </si>
  <si>
    <t>Тунець в оливковій олії Ріо Маре к/у 160гр</t>
  </si>
  <si>
    <t>Тунець в оливковій олії Чіара з/б 240гр (3*80)</t>
  </si>
  <si>
    <t xml:space="preserve">Тунець в олії для салатів Аквамарин ключ з/б 185гр </t>
  </si>
  <si>
    <t xml:space="preserve">Тунець в олії філе Аквамарин ключ з/б 185гр </t>
  </si>
  <si>
    <t>Тунець в соняшниковій олії Чіара з/б 240гр (3*80)</t>
  </si>
  <si>
    <t>Тунець з овочами По-італійськи Кайа ключ з/б 185гр</t>
  </si>
  <si>
    <t>Тунець з овочами По-мексиканськи Кайа ключ з/б 185гр</t>
  </si>
  <si>
    <t>Тунець салатний в олії Віллерман з/б 150гр</t>
  </si>
  <si>
    <t>Тунець салатний в олії Домашні продукти з/б 150гр</t>
  </si>
  <si>
    <t>Тунець салатний у власному соку Домашні продукти з/б 150гр</t>
  </si>
  <si>
    <t>Тунець салатний у власному соці Віллерман з/б 150гр</t>
  </si>
  <si>
    <t>Тунець у власному соку Ріо Маре к/у 160гр</t>
  </si>
  <si>
    <t>Тунець у власному соку Ріо Маре к/у 3х80гр</t>
  </si>
  <si>
    <t>Тунець філе з оливковою олією Каллипо с/б 170гр</t>
  </si>
  <si>
    <t>Тунець філе Кон Пепер Каллипо с/б 170гр</t>
  </si>
  <si>
    <t>Тунець цілий в Оливковій олії Іберіка з/б 150гр</t>
  </si>
  <si>
    <t>Тунець цілий в олії Домашні продукти з/б 150гр</t>
  </si>
  <si>
    <t>Тунець цілий у власному соку Домашні продукти з/б 150гр</t>
  </si>
  <si>
    <t>Тунець цілий у Власному соку Іберіка з/б 150гр</t>
  </si>
  <si>
    <t>Тунець цілий у Соняшниковій олії Іберіка з/б 150гр</t>
  </si>
  <si>
    <t>Тунець Чанк Вайт Чили Пеппер Каллипо с/б 170гр</t>
  </si>
  <si>
    <t>Тунець Чанк Лентичче Каллипо с/б 170гр</t>
  </si>
  <si>
    <t xml:space="preserve">Тунець шматочки в олії Бест Тайм з/б 185гр </t>
  </si>
  <si>
    <t>Тунець шматочки у власному соку Бест Тайм з/б 185гр</t>
  </si>
  <si>
    <t>Шпроти в олії №2 Балтійські з/б 160гр</t>
  </si>
  <si>
    <t>Шпроти в олії №3 Балтійські з/б 240гр</t>
  </si>
  <si>
    <t>Шпроти в олії великі Фіш Лайн з/б ключ 190гр</t>
  </si>
  <si>
    <t>Шпроти в олії Ризьке Золото з/б 160гр</t>
  </si>
  <si>
    <t>Шпроти в олії Ризьке Золото ключ з/б 240гр</t>
  </si>
  <si>
    <t>Шпроти в олії Ризьке Золото с/б 270гр</t>
  </si>
  <si>
    <t>Шпроти в олії Ризькі Брівайс Вілніс з/б 190гр</t>
  </si>
  <si>
    <t>Шпроти в олії Ризькі Фіш Лайн з/б ключ 160гр</t>
  </si>
  <si>
    <t>Шпроти в томатному соусі Євра Фіш з/б 170гр</t>
  </si>
  <si>
    <t xml:space="preserve">Шпроти копчені в олії Секо с/б 280гр </t>
  </si>
  <si>
    <t>Конина тушкована Алексіс з/б 525гр</t>
  </si>
  <si>
    <t>М'ясна консервація</t>
  </si>
  <si>
    <t>Консерви м'ясні свинна у власному соку Голонка Вербена с/б 500гр</t>
  </si>
  <si>
    <t>Консерви м'ясні Серце яловиче Алексіс з/б 525гр</t>
  </si>
  <si>
    <t>Консерви м'ясні Сніданок м'ясний з яловичиною Вербена з/б 325гр</t>
  </si>
  <si>
    <t>Консерви м'ясні Щічки Свинні Вербена с/б 500гр</t>
  </si>
  <si>
    <t>Консерви м'ясні Язики Свинні Вербена с/б 500гр</t>
  </si>
  <si>
    <t>М'ясо курки тушковане Вербена с/б 500гр</t>
  </si>
  <si>
    <t>М'ясо курки у власному соку Вербена з/б 325гр</t>
  </si>
  <si>
    <t>М'ясо курки у власному соку Вербена з/б 525гр</t>
  </si>
  <si>
    <t>Паштет з грибами Туліп з/б 125гр</t>
  </si>
  <si>
    <t>Паштет з курятиною Вербена з/б 160гр</t>
  </si>
  <si>
    <t>Паштет зі свининою Вербена з/б 160гр</t>
  </si>
  <si>
    <t>Паштет печінковий з Горіхами Вербена с/б 200гр</t>
  </si>
  <si>
    <t>Паштет печінковий з Чорносливом Вербена с/б 200гр</t>
  </si>
  <si>
    <t>Паштет Печінковий зі свининою Вербена з/б 325гр</t>
  </si>
  <si>
    <t>Свинина тушкована Алексіс з/б 525гр</t>
  </si>
  <si>
    <t>Свинина тушкована Вербена з/б 325гр</t>
  </si>
  <si>
    <t>Свинина тушкована Вербена з/б 525гр</t>
  </si>
  <si>
    <t>Свинина тушкована Вербена с/б 500гр</t>
  </si>
  <si>
    <t>Свинина тушкована Волинська Вербена з/б 325гр</t>
  </si>
  <si>
    <t>Свинина тушкована Волинська Вербена з/б 525гр</t>
  </si>
  <si>
    <t>Свинина тушкована Туліп з/б 200гр</t>
  </si>
  <si>
    <t>Свинина тушкована Чесна Марка ДСТУ з/б 525гр</t>
  </si>
  <si>
    <t>Свинина тушкована Чесна Марка ДСТУ с/б 500гр</t>
  </si>
  <si>
    <t>Тушкована каша Горохова зі свининою Вербена с/б 500гр</t>
  </si>
  <si>
    <t>Тушкована каша Гречана зі свининою Вербена з/б 525гр</t>
  </si>
  <si>
    <t>Тушкована каша Гречана зі свининою Вербена с/б 500гр</t>
  </si>
  <si>
    <t>Тушкована каша Перлова зі свининою Вербена с/б 500гр</t>
  </si>
  <si>
    <t>Тушкована каша Пшенична зі свининою Вербена з/б 525гр</t>
  </si>
  <si>
    <t>Тушкована каша Рисова зі свининою Вербена с/б 500гр</t>
  </si>
  <si>
    <t>Шинка пікнік Туліп з/б 340гр</t>
  </si>
  <si>
    <t>Шинка рублена Туліп з/б 200гр</t>
  </si>
  <si>
    <t>Яловичина тушкована Алексіс з/б 525гр</t>
  </si>
  <si>
    <t>Яловичина тушкована Вербена з/б 525гр</t>
  </si>
  <si>
    <t xml:space="preserve">Яловичина тушкована Поліська Вербена с/б 500гр </t>
  </si>
  <si>
    <t>Яловичина тушкована с/б Вербена 500гр</t>
  </si>
  <si>
    <t>Яловичина тушкована Чесна Марка ДСТУ з/б 525гр</t>
  </si>
  <si>
    <t>Яловичина тушкована Чесна Марка ДСТУ с/б 500гр</t>
  </si>
  <si>
    <t xml:space="preserve">Гриби мариновані Асорті Іберіка с/б 280гр </t>
  </si>
  <si>
    <t>Овочева консервація</t>
  </si>
  <si>
    <t>Гриби мариновані Боровики Іберіка с/б 280гр</t>
  </si>
  <si>
    <t xml:space="preserve">Гриби мариновані грузді Шиітаке Іберіка с/б 280гр </t>
  </si>
  <si>
    <t>Гриби мариновані Опеньки Іберіка с/б 280гр</t>
  </si>
  <si>
    <t>Гриби мариновані Шампіньйони Світанок 430гр</t>
  </si>
  <si>
    <t>Гриби мариновані Шампіньйони Світанок 720гр</t>
  </si>
  <si>
    <t>Гриби опеньки мариновані цілі Домашні продукти 280гр</t>
  </si>
  <si>
    <t>Гриби стерилізовані різані Шампіньйони Світанок 720гр</t>
  </si>
  <si>
    <t xml:space="preserve">Гриби шампіньйони мариновані закусочні Чесна Марка с/б 314гр </t>
  </si>
  <si>
    <t>Гриби шампіньйони мариновані Маринадо с/б 275гр</t>
  </si>
  <si>
    <t>Гриби шампіньйони мариновані цілі Домашні продукти с/б 280гр</t>
  </si>
  <si>
    <t>Артишок маринований Хелком с/б 195гр</t>
  </si>
  <si>
    <t>Асорті овочеве консервоване Хаме Паті мікс Знойміа с/б 340гр</t>
  </si>
  <si>
    <t>Асорті овочеве Корнішон-чері Батальйон смаку с/б 520гр</t>
  </si>
  <si>
    <t>Асорті овочеве Огірки-помідори Батальйон смаку с/б 1450гр</t>
  </si>
  <si>
    <t>Баклажани в аджиці Верес с/б 500гр</t>
  </si>
  <si>
    <t xml:space="preserve">Баклажани з томатами в томатному соусі Господарочка с/б 470гр </t>
  </si>
  <si>
    <t xml:space="preserve">Баклажани обсмажені в аджиці Господарочка с/б 470гр </t>
  </si>
  <si>
    <t>Буряк маринований Вербена с/б 500гр</t>
  </si>
  <si>
    <t>Горошок зелений Бондюель консервований 200гр ж/б</t>
  </si>
  <si>
    <t xml:space="preserve">Горошок зелений консервований Бондюель з/б 400гр </t>
  </si>
  <si>
    <t xml:space="preserve">Горошок зелений консервований Верес з/б 420гр </t>
  </si>
  <si>
    <t>Горошок зелений консервований вищий гатунок Крят с/б 460гр</t>
  </si>
  <si>
    <t xml:space="preserve">Горошок зелений консервований Господарочка с/б 450гр </t>
  </si>
  <si>
    <t>Горошок зелений консервований Делішес з/б 420гр</t>
  </si>
  <si>
    <t xml:space="preserve">Горошок зелений консервований Делішес с/б 450гр </t>
  </si>
  <si>
    <t xml:space="preserve">Горошок зелений консервований З Бабусиної грядки с/б 500гр </t>
  </si>
  <si>
    <t>Горошок зелений консервований Маринадо з/б 425гр</t>
  </si>
  <si>
    <t>Горошок зелений консервований Наш Продукт с/б 450гр</t>
  </si>
  <si>
    <t>Горошок зелений консервований Хайнц з/б 400гр</t>
  </si>
  <si>
    <t>Закуска Йофі! Бабагануш з баклажанів гриль 250гр</t>
  </si>
  <si>
    <t>Закуски</t>
  </si>
  <si>
    <t>Закуска Йофі! Даал Індійська з сочевиці 250гр</t>
  </si>
  <si>
    <t>Закуска Йофі! Хумус з бобових з в'яленими томатами та базиліком 250гр</t>
  </si>
  <si>
    <t>Закуска Йофі! Хумус з бобових з грибами 250гр</t>
  </si>
  <si>
    <t>Закуска Йофі! Хумус з бобових з паприкою 250гр</t>
  </si>
  <si>
    <t>Закуска Йофі! Хумус з бобових класичний 250гр</t>
  </si>
  <si>
    <t xml:space="preserve">Закуска овочеве Рагу Верес с/б 500гр </t>
  </si>
  <si>
    <t xml:space="preserve">Ікра з баклажанів Господарочка с/б 445гр </t>
  </si>
  <si>
    <t xml:space="preserve">Ікра з баклажанів Наш Продукт с/б 440гр </t>
  </si>
  <si>
    <t>Ікра з кабачків Господарочка літня 445гр с/б</t>
  </si>
  <si>
    <t>Ікра з кабачків Господарочка с/б 440гр</t>
  </si>
  <si>
    <t xml:space="preserve">Ікра з кабачків екстра Верес с/б 500гр </t>
  </si>
  <si>
    <t>Ікра з кабачків літня Крят с/б 485гр</t>
  </si>
  <si>
    <t xml:space="preserve">Ікра з кабачків Маринадо с/б 480гр </t>
  </si>
  <si>
    <t xml:space="preserve">Кабачки мариновані різані Господарочка с/б 660гр </t>
  </si>
  <si>
    <t>Каперси мариновані Хелком с/б 200гр</t>
  </si>
  <si>
    <t>Квасоля біла Чесна Марка с/б 450гр</t>
  </si>
  <si>
    <t xml:space="preserve">Квасоля біла Чесна Марка с/б 480гр </t>
  </si>
  <si>
    <t xml:space="preserve">Квасоля в томатному соусі Вербена с/б 540гр </t>
  </si>
  <si>
    <t>Квасоля в томатному соусі Господарочка з/б 420гр</t>
  </si>
  <si>
    <t>Квасоля в томатному соусі З Бабусиної грядки с/б 530гр</t>
  </si>
  <si>
    <t>Квасоля в томатному соусі Чесна Марка с/б 450гр</t>
  </si>
  <si>
    <t xml:space="preserve">Квасоля в томатному соусі Чесна Марка с/б 480гр </t>
  </si>
  <si>
    <t>Квасоля Верес з овочами 500гр с/б</t>
  </si>
  <si>
    <t>Квасоля натуральна Вербена с/б 540гр</t>
  </si>
  <si>
    <t>Квасоля натуральна Господарочка з/б 420гр</t>
  </si>
  <si>
    <t>Квасоля ніжна з відбірних сортів Верес з/б 400гр</t>
  </si>
  <si>
    <t>Квасоля червона Бондюель з/б 400гр</t>
  </si>
  <si>
    <t>Квасоля червона в гострому соусі з Чилі Господарочка з/б 420гр</t>
  </si>
  <si>
    <t xml:space="preserve">Квасоля червона Верес ж/б 400гр </t>
  </si>
  <si>
    <t xml:space="preserve">Корнішони делікатесні Маринадо с/б 370гр </t>
  </si>
  <si>
    <t>Кукурудза Бондюель голд солодка 340гр ж/б</t>
  </si>
  <si>
    <t>Кукурудза Бондюель консервована 170гр ж/б</t>
  </si>
  <si>
    <t>Кукурудза консервована Бондюель з/б 340гр</t>
  </si>
  <si>
    <t xml:space="preserve">Кукурудза консервована Верес з/б 340гр </t>
  </si>
  <si>
    <t>Кукурудза консервована Делішес з/б 340гр</t>
  </si>
  <si>
    <t>Кукурудза консервована Маринадо з/б 425гр</t>
  </si>
  <si>
    <t>Кукурудза консервована солодка Домашні продукти з/б 425мл</t>
  </si>
  <si>
    <t>Кукурудза консервована Хайнц з/б 400гр</t>
  </si>
  <si>
    <t>Кукурудза консервована Хуторок з/б 425гр</t>
  </si>
  <si>
    <t>Кукурудза солодка консерв Домашні продукти з/б 340гр</t>
  </si>
  <si>
    <t>Кукурудзянi початки консервовані Кюне с/б 180гр</t>
  </si>
  <si>
    <t xml:space="preserve">Лечо в томатному соусі Господарочка с/б 470гр </t>
  </si>
  <si>
    <t>Нут консервований у томатному соусі З Бабусиної грядки 535гр</t>
  </si>
  <si>
    <t>Овочева суміш Італія мікс Бондюель з/б 310гр</t>
  </si>
  <si>
    <t>Овочева суміш Мексика Мікс Бондюель з/б 300гр</t>
  </si>
  <si>
    <t>Огірки коктейльні Хаме Знойміа с/б 340гр</t>
  </si>
  <si>
    <t>Огірки мариновані (6-9 см) Домашні продукти 680гр</t>
  </si>
  <si>
    <t>Огірки мариновані Батальйон смаку с/б 1,45кг</t>
  </si>
  <si>
    <t>Огірки мариновані Батальйон смаку с/б 680гр</t>
  </si>
  <si>
    <t>Огірки мариновані Верес с/б 300гр</t>
  </si>
  <si>
    <t>Огірки мариновані Верес с/б 500гр</t>
  </si>
  <si>
    <t xml:space="preserve">Огірки мариновані Господарочка с/б 660гр </t>
  </si>
  <si>
    <t>Огірки мариновані з кетчупом чилі Верес с/б 500гр</t>
  </si>
  <si>
    <t>Огірки мариновані Корнішони 1-4см Іберіка с/б 370мл</t>
  </si>
  <si>
    <t>Огірки мариновані Корнішони 3-6см Іберіка с/б 500мл</t>
  </si>
  <si>
    <t>Огірки мариновані Корнішони Батальйон смаку с/б 520гр</t>
  </si>
  <si>
    <t xml:space="preserve">Огірки мариновані Корнішони нарізані 5-7мм Іберіка с/б 370мл </t>
  </si>
  <si>
    <t>Огірки мариновані Маринадо с/б 720гр</t>
  </si>
  <si>
    <t>Огірки мариновані слабокислі Щедрий Хутір с/б 850гр</t>
  </si>
  <si>
    <t>Огірки мариновані Хуторок с/б 680гр</t>
  </si>
  <si>
    <t>Огірки пікулі делікатесні Банка с/б 300гр</t>
  </si>
  <si>
    <t>Перець гострий маринований По-мексиканськи Банка с/б 300гр</t>
  </si>
  <si>
    <t>Перець гострий Пірі-пірі Іберіка с/б 100гр</t>
  </si>
  <si>
    <t>Перець маринований Батальйон смаку с/б 680гр</t>
  </si>
  <si>
    <t>Перець маринований гострий Хуторок с/б 575гр</t>
  </si>
  <si>
    <t xml:space="preserve">Перець Халапеньо порізаний кільцями 5-7мм Іберіка с/б 370мл </t>
  </si>
  <si>
    <t>Рагу з обсмажених овочів в гострому соусі Господарочка с/б 470мл</t>
  </si>
  <si>
    <t>Рагу з обсмажених овочів в томатному соусі Господарочка с/б 470мл</t>
  </si>
  <si>
    <t xml:space="preserve">Рататуй По-домашньому Господарочка с/б 470гр </t>
  </si>
  <si>
    <t>Салат Білоцерківський Крят с/б 460гр</t>
  </si>
  <si>
    <t>Томати висушені на сонці в Оливковій олії екстра вірджін Франтоіо ді Сантагьята 200гр</t>
  </si>
  <si>
    <t xml:space="preserve">Томати в'ялені в олії Господарочка с/б 300гр </t>
  </si>
  <si>
    <t>Томати в'ялені в олії Поллі с/б 280гр</t>
  </si>
  <si>
    <t>Томати вялені половинки в олії Хелком с/б 280гр</t>
  </si>
  <si>
    <t>Томати консервовані з зеленню по-херсонськи Щедрий Хутір с/б 850гр</t>
  </si>
  <si>
    <t>Томати мариновані Батальйон смаку с/б 1,45кг</t>
  </si>
  <si>
    <t>Томати мариновані Батальйон смаку с/б 890гр</t>
  </si>
  <si>
    <t>Томати мариновані Господарочка с/б 660гр</t>
  </si>
  <si>
    <t>Томати мариновані Домашні Господарочка с/б 660гр</t>
  </si>
  <si>
    <t xml:space="preserve">Томати мариновані Маринадо с/б 720гр </t>
  </si>
  <si>
    <t>Томати очищені в томатному соку Господарочка з/б 390гр</t>
  </si>
  <si>
    <t>Томати очищені в томатному соку З Бабусиної грядки с/б 500гр</t>
  </si>
  <si>
    <t>Томати Очищені нарізані в томатному соку Іберіка з/б 400гр</t>
  </si>
  <si>
    <t>Томати Очищені цілі в томатному соку Іберіка з/б 400гр</t>
  </si>
  <si>
    <t>Томати перетерті Польпа ді Помідоро Вітторія з/б 400гр</t>
  </si>
  <si>
    <t>Томати цілі Пеллаті ді Помідоро Вітторія з/б 400гр</t>
  </si>
  <si>
    <t>Томати цілі чищені в своєму соці Реджія з/б 400гр</t>
  </si>
  <si>
    <t xml:space="preserve">Томати черрі мариновані Верес с/б 500гр </t>
  </si>
  <si>
    <t>Томати черрі мариновані Маринадо с/б 480гр</t>
  </si>
  <si>
    <t>Томати черрі мариновані Хуторок с/б 720гр</t>
  </si>
  <si>
    <t>Томатне пюре Пассата Помідоро Вітторіа с/б 720мл</t>
  </si>
  <si>
    <t>Томатне пюре Реджія с/б 680гр</t>
  </si>
  <si>
    <t xml:space="preserve">Томатне пюре Хелком т/п 500гр </t>
  </si>
  <si>
    <t>Фалафель Йофі! смажений 180гр</t>
  </si>
  <si>
    <t>Хумус з в'яленими томатами та базиліком Йофі! ст 250гр</t>
  </si>
  <si>
    <t>Хумус З грибами Йофі! п/у 250гр</t>
  </si>
  <si>
    <t>Хумус Йофі! Барбекю 250гр</t>
  </si>
  <si>
    <t>Хумус Йофі! з баклажанами 250гр</t>
  </si>
  <si>
    <t>Хумус Йофі! з гострим перцем 250гр</t>
  </si>
  <si>
    <t>Хумус Йофі! з медом та гірчицею по-діжонськи 250гр</t>
  </si>
  <si>
    <t>Хумус Йофі! з оливками 250гр</t>
  </si>
  <si>
    <t>Хумус Йофі! з розмарином та морською сіллю 250гр</t>
  </si>
  <si>
    <t>Хумус Йофі! з соусом песто 250гр</t>
  </si>
  <si>
    <t>Хумус Класичний Йофі! ст 250гр</t>
  </si>
  <si>
    <t>Хумус Тосканський сад Йофі! ст 250гр</t>
  </si>
  <si>
    <t>Цибуля консервована Кюне с/б 330гр</t>
  </si>
  <si>
    <t>Часник Іберіка с/б 100гр</t>
  </si>
  <si>
    <t>Ананас кільцями в сиропі Дольче Віта з/б 580мл</t>
  </si>
  <si>
    <t xml:space="preserve">Ананас кільцями в сиропі Іберіка з/б 565гр </t>
  </si>
  <si>
    <t>Ананас кільцями в сиропі Оскар з/б 580мл</t>
  </si>
  <si>
    <t>Ананас шматочками в сиропі Валміс з/б 580мл</t>
  </si>
  <si>
    <t>Ананас шматочками в сиропі Дольче Віта з/б 580мл</t>
  </si>
  <si>
    <t>Ананас шматочками в сиропі Іберіка з/б 565гр</t>
  </si>
  <si>
    <t>Ананас шматочками в сиропі Оскар з/б 580мл</t>
  </si>
  <si>
    <t>Ананас шматочками в сиропі Хелком з/б 565гр</t>
  </si>
  <si>
    <t>Ананас шматочками Домашні продукти з/б 580мл</t>
  </si>
  <si>
    <t>Джем Імбирний з лимоном Акура 200гр</t>
  </si>
  <si>
    <t>Джем Лимонний Акура 200гр</t>
  </si>
  <si>
    <t>Джем Ожиновий Дідусеві ягоди с/б 360гр</t>
  </si>
  <si>
    <t>Джем Полуничний Дідусеві ягоди с/б 360гр</t>
  </si>
  <si>
    <t>Джем Ревінь з імбирем Маккейс 340гр</t>
  </si>
  <si>
    <t>Джем Смородиновий Дідусеві ягоди с/б 360гр</t>
  </si>
  <si>
    <t>Молоко кокосове Органічне Кліарспрінг 200мл</t>
  </si>
  <si>
    <t>Персики половинками в сиропі Домашні продукти з/б 850мл</t>
  </si>
  <si>
    <t>Персики половинками в сиропі Оскар з/б 850мл</t>
  </si>
  <si>
    <t>Сироп Амаретто Лофт 700гр</t>
  </si>
  <si>
    <t>Сироп Апельсин Лофт 700гр</t>
  </si>
  <si>
    <t>Сироп Аппероль Лофт 700гр</t>
  </si>
  <si>
    <t>Сироп Бабл гам Лофт 700гр</t>
  </si>
  <si>
    <t>Сироп Баунті Лофт 700гр</t>
  </si>
  <si>
    <t>Сироп Бейліз Лофт 700гр</t>
  </si>
  <si>
    <t>Сироп Блю кюрасао Лофт 700гр</t>
  </si>
  <si>
    <t>Сироп Ванільна карамель Лофт 700гр</t>
  </si>
  <si>
    <t>Сироп Вишня Лофт 700гр</t>
  </si>
  <si>
    <t>Сироп Гренадін Лофт 700гр</t>
  </si>
  <si>
    <t>Сироп з плодів Шипшини ехінацеї та м'яти Акура 200мл</t>
  </si>
  <si>
    <t>Сироп Ірландський крем Лофт 700гр</t>
  </si>
  <si>
    <t>Сироп Карамель Лофт 700гр</t>
  </si>
  <si>
    <t>Сироп Малина Лофт 700гр</t>
  </si>
  <si>
    <t>Сироп Полуниця Лофт 700гр</t>
  </si>
  <si>
    <t>Топпінг Вишня Лофт 280гр</t>
  </si>
  <si>
    <t>Топпінг Карамель Лофт 280гр</t>
  </si>
  <si>
    <t>Топпінг Малина Лофт 280гр</t>
  </si>
  <si>
    <t>Топпінг Полуниця Лофт 280гр</t>
  </si>
  <si>
    <t>Топпінг Солона Карамель Лофт 280гр</t>
  </si>
  <si>
    <t>Топпінг Шоколад Лофт 280гр</t>
  </si>
  <si>
    <t>Каперси Іберіка с/б 100гр</t>
  </si>
  <si>
    <t xml:space="preserve">Каперси Оскар с/б 100гр </t>
  </si>
  <si>
    <t>Маслини без кісточки Домашні продукти 300мл</t>
  </si>
  <si>
    <t>Маслини без кісточки Економ Іберіка з/б 280гр</t>
  </si>
  <si>
    <t>Маслини без кісточки Іберіка д/п 170гр</t>
  </si>
  <si>
    <t xml:space="preserve">Маслини без кісточки Іберіка з/б 420гр </t>
  </si>
  <si>
    <t>Маслини без кісточки Куполива з/б 314гр</t>
  </si>
  <si>
    <t xml:space="preserve">Маслини без кісточки Маестро де Оліва д/п 170гр </t>
  </si>
  <si>
    <t>Маслини без кісточки Маестро де Оліва з/б 280гр</t>
  </si>
  <si>
    <t>Маслини без кісточки Олів Лайн з/б 420гр</t>
  </si>
  <si>
    <t>Маслини без кісточки Оскар 280гр</t>
  </si>
  <si>
    <t>Маслини з кісточкою Іберіка з/б 280гр</t>
  </si>
  <si>
    <t>Маслини з кісточкою Іберіка з/б 420гр</t>
  </si>
  <si>
    <t>Маслини кг</t>
  </si>
  <si>
    <t>Маслини чорні з/к Куполива з/б 314мл</t>
  </si>
  <si>
    <t>Маслини чорні фарш пастою лосося Куполива з/б 314мл</t>
  </si>
  <si>
    <t>Маслини Юнус з/б 500гр</t>
  </si>
  <si>
    <t>Оливки без кісточки Домашні продукти з/б 300мл</t>
  </si>
  <si>
    <t>Оливки без кісточки Іберіка д/п 170гр</t>
  </si>
  <si>
    <t>Оливки без кісточки Іберіка з/б 280гр</t>
  </si>
  <si>
    <t xml:space="preserve">Оливки без кісточки Маестро де Оліва д/п 170гр </t>
  </si>
  <si>
    <t>Оливки без кісточки Маестро де Оліва з/б 280гр</t>
  </si>
  <si>
    <t>Оливки без кісточки Оскар 280гр</t>
  </si>
  <si>
    <t>Оливки без кісточки Хелком с/б 330гр</t>
  </si>
  <si>
    <t>Оливки з анчоусом Оскар з/б 300гр</t>
  </si>
  <si>
    <t>Оливки з анчоусом Хелком з/б 280гр</t>
  </si>
  <si>
    <t>Оливки з Блакитним сиром Іберіка з/б 300гр</t>
  </si>
  <si>
    <t xml:space="preserve">Оливки з Каперсами Іберіка з/б 300гр </t>
  </si>
  <si>
    <t>Оливки з кісточкою Афіна с/б 360гр</t>
  </si>
  <si>
    <t>Оливки з кісточкою Маестро де Оліва з/б 280гр</t>
  </si>
  <si>
    <t xml:space="preserve">Оливки з корнішонами Кімбо Браво с/б 1кг </t>
  </si>
  <si>
    <t>Оливки з креветкою Маестро де Оліва з/б 280гр</t>
  </si>
  <si>
    <t>Оливки з лимоном Оскар з/б 300гр</t>
  </si>
  <si>
    <t>Оливки з лимоном Хелком з/б 280гр</t>
  </si>
  <si>
    <t>Оливки з лососем Хелком з/б 280гр</t>
  </si>
  <si>
    <t>Оливки з сиром Хелком з/б 280гр</t>
  </si>
  <si>
    <t>Оливки з сьомгою Маестро де Оліва з/б 280гр</t>
  </si>
  <si>
    <t>Оливки з сьомгою Маестро де Оліва з/б 300гр</t>
  </si>
  <si>
    <t>Оливки з тунцем Маестро де Оліва з/б 280гр</t>
  </si>
  <si>
    <t>Оливки зелені б/к Куполива з/б 314мл</t>
  </si>
  <si>
    <t>Оливки зелені гігант з кісточкою Верді Вітторія ф/п 850гр</t>
  </si>
  <si>
    <t>Оливки зелені з/к Куполива з/б 314мл</t>
  </si>
  <si>
    <t>Оливки зелені фаршировані пастою з шинкою хамон Хелком з/б 280мл</t>
  </si>
  <si>
    <t>Оливки кг</t>
  </si>
  <si>
    <t xml:space="preserve">Оливки Кесо Азул Бернал с/б 436гр </t>
  </si>
  <si>
    <t>Оливки Осман гриль 650гр с/б</t>
  </si>
  <si>
    <t xml:space="preserve">Оливки фаршировані Анчоусом Іберіка з/б 280гр </t>
  </si>
  <si>
    <t xml:space="preserve">Оливки фаршировані Креветкою Іберіка з/б 280гр </t>
  </si>
  <si>
    <t>Оливки фаршировані Лимоном Іберіка з/б 280гр</t>
  </si>
  <si>
    <t>Оливки фаршировані мигдалем Афіна с/б 360гр</t>
  </si>
  <si>
    <t>Оливки фаршировані пастою з паприки Хелком м/у 195гр</t>
  </si>
  <si>
    <t>Оливки чорні з кісточкою Вітторія ф/п 850гр</t>
  </si>
  <si>
    <t>Паштет з вершковим маслом Одеський Онісс ж/б 240гр</t>
  </si>
  <si>
    <t>Паштет з грибами Французький Онісс ж/б 240гр</t>
  </si>
  <si>
    <t>Паштет з індиком Варо 130гр</t>
  </si>
  <si>
    <t>Паштет курячий Варо 130гр</t>
  </si>
  <si>
    <t>Паштет печінковий з грибами Вербена с/б 200гр</t>
  </si>
  <si>
    <t>Паштет печінковий з журавлиною Вербена с/б 200гр</t>
  </si>
  <si>
    <t>Паштет печінковий зі свининою Вербена с/б 200гр</t>
  </si>
  <si>
    <t>Паштет Печінковий зі свининою Вербена с/б 500гр</t>
  </si>
  <si>
    <t>Паштет Печінковий Онісс з/б 240гр</t>
  </si>
  <si>
    <t>Паштет печінковий Туліп з/б 125гр</t>
  </si>
  <si>
    <t>Паштет трюфель Рон с/б 160гр</t>
  </si>
  <si>
    <t>Закуска Грибна Пікнік ст 100гр</t>
  </si>
  <si>
    <t xml:space="preserve">Закуска копчена курочка Смаколики Тульчинка ст 90гр </t>
  </si>
  <si>
    <t>Закуска Куряча Пікнік ст 100гр</t>
  </si>
  <si>
    <t xml:space="preserve">Закуска смажені грибочки Смаколики Тульчинка ст 90гр </t>
  </si>
  <si>
    <t>Закуска шинка по-домашньому Смаколики Тульчинка ст 90гр</t>
  </si>
  <si>
    <t>Закуска Шинка-сир Пікнік ст 100гр</t>
  </si>
  <si>
    <t>Хумус гострий Хангрі Папа ст 250гр</t>
  </si>
  <si>
    <t>Хумус класичний Хангрі Папа ст 250гр</t>
  </si>
  <si>
    <t>Хумус Папа з тхіною Хангрі ст 250гр</t>
  </si>
  <si>
    <t>Сухарі панірувальні Кулиничі кг</t>
  </si>
  <si>
    <t>Вино б/алк н/сол роз Розе Натурео Торрес 0,0% 0,75л</t>
  </si>
  <si>
    <t>Безалкогольне вино</t>
  </si>
  <si>
    <t>Вино б/алк н/сол чер Гарнача Сирах Натурео Торрес 0,0% 0,75л</t>
  </si>
  <si>
    <t>Вино безалкогольне червоне напівсолодке Каберне Совіньон Мішель Шнайдер с/пл 0,75л</t>
  </si>
  <si>
    <t>Пиво безалкогольне Грейпфрут Зіберт з/б 0,5л</t>
  </si>
  <si>
    <t>Безалкогольне пиво</t>
  </si>
  <si>
    <t>Пиво безалкогольне Лайм Гараж з/б 0,5л</t>
  </si>
  <si>
    <t>Пиво безалкогольне Малина Гараж з/б 0,5л</t>
  </si>
  <si>
    <t>Пиво безалкогольне Микулинецьке с/пл 0,5л</t>
  </si>
  <si>
    <t>Пиво безалкогольне світле Оболонь с/пл 0,5л</t>
  </si>
  <si>
    <t>Пиво безалкогольне світле Перша Приватна Броварня с/пл 0,5л</t>
  </si>
  <si>
    <t>Пиво світле б/а Естрелла Галісія 0,0% з/б 0,5л</t>
  </si>
  <si>
    <t>Пиво світле б/а Серо Сеньйор Картель 0,4% с/пл 0,33л</t>
  </si>
  <si>
    <t>Пиво світле безалкогольне 1715 Львівське с/пл 0,45л</t>
  </si>
  <si>
    <t>Пиво світле безалкогольне №0 Закарпатське 0,5% з/б 0,5л</t>
  </si>
  <si>
    <t>Пиво світле безалкогольне Будвайзер з/б 0,5л</t>
  </si>
  <si>
    <t xml:space="preserve">Пиво світле безалкогольне Зеро Елегант Кетен Брук с/пл 0,45л </t>
  </si>
  <si>
    <t>Пиво світле безалкогольне Зеро Корона Екстра 0% с/пл 0,33л</t>
  </si>
  <si>
    <t>Пиво світле безалкогольне Карлсберг з/б 0,33л</t>
  </si>
  <si>
    <t>Пиво світле безалкогольне нефільтроване Оболонь з/б 0,5л</t>
  </si>
  <si>
    <t>Пиво світле безалкогольне нефільтроване Перша Приватна Броварня з/б 0,5л</t>
  </si>
  <si>
    <t>Пиво світле безалкогольне Перша Приватна Броварня з/б 0,5л</t>
  </si>
  <si>
    <t>Пиво світле безалкогольне Хейнекен з/б 0,33л</t>
  </si>
  <si>
    <t>Пиво темне б/а 6 Малтас Естрелла Галісія 0,0% с/б 0,25л</t>
  </si>
  <si>
    <t>Вода газ Бонаква 0,5л</t>
  </si>
  <si>
    <t>Питна вода газована</t>
  </si>
  <si>
    <t>Вода газ Бонаква 1,0л</t>
  </si>
  <si>
    <t>Вода газ Бонаква 1,5л</t>
  </si>
  <si>
    <t>Вода газ Куяльник 1,5л</t>
  </si>
  <si>
    <t>Лікувально-столова вода</t>
  </si>
  <si>
    <t>Вода газ лимон-лайм-м'ята Флейворд Вотер Моршинська п/пл 1,5л</t>
  </si>
  <si>
    <t>Вода мінеральна</t>
  </si>
  <si>
    <t>Вода газ Лужанська 0,5л</t>
  </si>
  <si>
    <t>Вода газ Лужанська 1,5л</t>
  </si>
  <si>
    <t>Вода газ Перр'є 0,33л</t>
  </si>
  <si>
    <t>Вода газ Перр'є с/б 0,75</t>
  </si>
  <si>
    <t>Вода газ Роганська 0,5л</t>
  </si>
  <si>
    <t>Вода газ Роганська 1,5л</t>
  </si>
  <si>
    <t>Вода газ Роганська 3,0л</t>
  </si>
  <si>
    <t>Вода газована мінеральна Сан Пеллєгріно п/пл 0,5л</t>
  </si>
  <si>
    <t>Вода Грейпфрут-імбир Оболонська 1,0л</t>
  </si>
  <si>
    <t>Вода Грейпфрут-імбир Оболонська 2,0л</t>
  </si>
  <si>
    <t>Вода лайм м'ята Оболонська 2,0л</t>
  </si>
  <si>
    <t>Вода лимон Оболонська 1,0л</t>
  </si>
  <si>
    <t>Вода Лимон-апельсин Оболонська 1,0л</t>
  </si>
  <si>
    <t>Вода мінеральна газ Набеглаві п/пл 0,5л</t>
  </si>
  <si>
    <t>Вода мінеральна газ Набеглаві п/пл 1л</t>
  </si>
  <si>
    <t>Вода мінеральна газ Набеглаві с/пл 0,5л</t>
  </si>
  <si>
    <t>Вода негаз Аква Лайф 5,0л</t>
  </si>
  <si>
    <t>Питна вода негазована</t>
  </si>
  <si>
    <t>Вода негаз артезіанська Оболонська 6,0л</t>
  </si>
  <si>
    <t>Вода негаз Бонаква 0,5л</t>
  </si>
  <si>
    <t>Вода негаз Бонаква 1,0л</t>
  </si>
  <si>
    <t>Вода негаз Бонаква 1,5л</t>
  </si>
  <si>
    <t>Вода негаз Бювет 5,0л</t>
  </si>
  <si>
    <t>Вода негаз Вітал Бювет 0,5л</t>
  </si>
  <si>
    <t>Вода негаз Вітал Бювет 1,5л</t>
  </si>
  <si>
    <t>Вода негаз лагідна Миргородська 1,5л</t>
  </si>
  <si>
    <t>Вода негаз Моршинська 0,5л</t>
  </si>
  <si>
    <t>Вода негаз Моршинська 0,75</t>
  </si>
  <si>
    <t>Вода негаз Моршинська 6,0л</t>
  </si>
  <si>
    <t>Вода негаз Натуралє Роччета с/пл 0,5л</t>
  </si>
  <si>
    <t>Вода негаз Оболонська-2 2,0л</t>
  </si>
  <si>
    <t>Вода негаз Прозора 1,5л</t>
  </si>
  <si>
    <t>Вода негаз Роганська 0,5л</t>
  </si>
  <si>
    <t>Вода негаз Роганська 1,5л</t>
  </si>
  <si>
    <t>Вода негаз Роганська 3,0л</t>
  </si>
  <si>
    <t>Вода негаз Роганська 7,0л</t>
  </si>
  <si>
    <t>Вода негаз Спорт Бювет 0,75л</t>
  </si>
  <si>
    <t>Вода негаз спорт Моршинська 0,5л</t>
  </si>
  <si>
    <t>Вода негаз спорт Моршинська 0,75л</t>
  </si>
  <si>
    <t>Вода негаз спортік Моршинська 0,33л</t>
  </si>
  <si>
    <t>Вода негаз тонус кисень Куяльник 1,5л</t>
  </si>
  <si>
    <t>Вода негаз Фіджи п/пл 0,5л</t>
  </si>
  <si>
    <t>Вода негазована Себек п/пл 0,5л</t>
  </si>
  <si>
    <t>Вода негазована Себек п/пл 2л</t>
  </si>
  <si>
    <t>Вода негазована Себек п/пл 6л</t>
  </si>
  <si>
    <t>Вода Сатіс газ з сифоном 1,8л</t>
  </si>
  <si>
    <t>Вода сильногаз №5 Бювет 1,5л</t>
  </si>
  <si>
    <t>Вода сильногаз №7 Бювет 1,5л</t>
  </si>
  <si>
    <t>Вода сильногаз Миргородська 0,5л</t>
  </si>
  <si>
    <t>Вода сильногаз Миргородська 1,5л</t>
  </si>
  <si>
    <t>Вода сильногаз Оболонська 1,0л</t>
  </si>
  <si>
    <t>Вода сильногаз Оболонська 2,0л</t>
  </si>
  <si>
    <t>Вода сильногаз Прозора 1,5л</t>
  </si>
  <si>
    <t>Вода сильногаз УМВ Поляна Квасова 1,5л</t>
  </si>
  <si>
    <t>Вода сильногазована Себек п/пл 0,5л</t>
  </si>
  <si>
    <t>Вода сильногазована Себек п/пл 2л</t>
  </si>
  <si>
    <t>Вода слабогаз апельсин-грейпфрут Флейворд Вотер Моршинська п/пл 1,5л</t>
  </si>
  <si>
    <t>Вода слабогаз Вітал Бювет 0,5л</t>
  </si>
  <si>
    <t>Вода слабогаз Вітал Бювет 1,5л</t>
  </si>
  <si>
    <t>Вода слабогаз лагідна Миргородська 1,5л</t>
  </si>
  <si>
    <t>Вода слабогаз Моршинська 0,5л</t>
  </si>
  <si>
    <t>Вода слабогаз Моршинська 0,75л</t>
  </si>
  <si>
    <t>Напій безалкогольний з вмістом соди для спеціального призначення Ізота 0,95л</t>
  </si>
  <si>
    <t>Продукт харчовий для спеціальних медичних цілей Рео 0,95л</t>
  </si>
  <si>
    <t>Вода з соком лимона Моршинська п/пл 0,5л</t>
  </si>
  <si>
    <t>Вода з соком лимона Моршинська п/пл 1,5л</t>
  </si>
  <si>
    <t>Вода з соком яблука Моршинська п/пл 0,5л</t>
  </si>
  <si>
    <t>Вода з соком яблуко Моршинська п/пл 1,5л</t>
  </si>
  <si>
    <t>Вода каркаде-журавлина-м'ята Бювет 0,5л</t>
  </si>
  <si>
    <t>Солодкі негазовані напої</t>
  </si>
  <si>
    <t xml:space="preserve">Вода н/газ з соком Лимона Моршинська з/б 0,33л </t>
  </si>
  <si>
    <t>Вода н/газ з соком Полуниці Моршинська з/б 0,33л</t>
  </si>
  <si>
    <t>Вода н/газ з соком Полуниці Моршинська п/пл 0,5л</t>
  </si>
  <si>
    <t>Вода н/газ з соком Полуниці Моршинська п/пл 1,5л</t>
  </si>
  <si>
    <t>Вода н/газ з соком Яблука Моршинська з/б 0,33л</t>
  </si>
  <si>
    <t>Напій апельсин Айфреш 1,5л</t>
  </si>
  <si>
    <t>Напій Апельсин Мірінда з/б 0,33л</t>
  </si>
  <si>
    <t>Солодкі газовані напої</t>
  </si>
  <si>
    <t>Напій Апельсин Фанта 0,5л</t>
  </si>
  <si>
    <t>Напій апельсин Фанта 0,75л</t>
  </si>
  <si>
    <t xml:space="preserve">Напій Апельсин Фанта з/б 0,33л </t>
  </si>
  <si>
    <t>Напій Апельсин Фанта п/пл 1,25л</t>
  </si>
  <si>
    <t>Напій Апельсин Фанта п/пл 1,75л</t>
  </si>
  <si>
    <t>Напій Апельсин Чупа Чупс з/б 0,345л</t>
  </si>
  <si>
    <t>Напій б/а газований зі смаком Ананасу ОКФ п/пл 0,35л</t>
  </si>
  <si>
    <t>Напій б/а газований зі смаком Дині ОКФ п/пл 0,35л</t>
  </si>
  <si>
    <t>Напій б/а газований зі смаком Кавуна ОКФ п/пл 0,35л</t>
  </si>
  <si>
    <t>Напій б/а газований зі смаком Лохини ОКФ п/пл 0,35л</t>
  </si>
  <si>
    <t>Напій б/а газований зі смаком Персика ОКФ п/пл 0,35л</t>
  </si>
  <si>
    <t>Напій б/а газований зі смаком Полуниці ОКФ п/пл 0,35л</t>
  </si>
  <si>
    <t>Напій б/а н/газ з соком яблука Живчик п/пл 0,5л</t>
  </si>
  <si>
    <t>Напій б/а н/газ з соком яблука Живчик п/пл 1л</t>
  </si>
  <si>
    <t>Напій б/а с/газ з соком яблука та екстрактом лаванди Живчик з/б 0,33л</t>
  </si>
  <si>
    <t>Напій б/алк сильногазований Зеро Пепсі п/пл 0,75л</t>
  </si>
  <si>
    <t>Напій б/алк сильногазований Лимонад Себек п/пл 0,5л</t>
  </si>
  <si>
    <t>Напій б/алк сильногазований Лимонад Себек п/пл 2л</t>
  </si>
  <si>
    <t>Напій б/алк сильногазований Мохіто Себек п/пл 0,5л</t>
  </si>
  <si>
    <t>Напій б/алк сильногазований Мохіто Себек п/пл 2л</t>
  </si>
  <si>
    <t>Напій б/алк сильногазований Мультіфрут Себек п/пл 2л</t>
  </si>
  <si>
    <t>Напій б/алк сильногазований Пепсі п/пл 0,75л</t>
  </si>
  <si>
    <t>Напій б/алк сильногазований смак Ананаса Себек п/пл 0,5л</t>
  </si>
  <si>
    <t>Напій Байкал Бон Буассон п/пл 1,75л</t>
  </si>
  <si>
    <t>Напій безалкогольний білий Фраголіно Бьянко Фрателлі 0% 0,75л</t>
  </si>
  <si>
    <t>Напій безалкогольний напій соковмістний Ігриста Полуниця Шейк з/б 0,33л</t>
  </si>
  <si>
    <t>Напій безалкогольний напій соковмістний Хуго Шейк з/б 0,33л</t>
  </si>
  <si>
    <t>Напій Бітер гранат Швепс п/пл 0,75л</t>
  </si>
  <si>
    <t>Напій Бітер лимон Швепс п/пл 0,75л</t>
  </si>
  <si>
    <t>Напій блек Пепсі 0,5л</t>
  </si>
  <si>
    <t>Напій блек Пепсі з/б 0,33л</t>
  </si>
  <si>
    <t>Напій ваніла Кока Кола п/пл 0,5л</t>
  </si>
  <si>
    <t>Напій ваніла Кока Кола п/пл 1,25л</t>
  </si>
  <si>
    <t>Напій виноград зеро Фанта п/пл 1,25л</t>
  </si>
  <si>
    <t>Напій Вишня Зеро Пепсі Кола п/пл 0,5л</t>
  </si>
  <si>
    <t>Напій Вишня Кока Кола 0,5л</t>
  </si>
  <si>
    <t>Напій Вишня Кока Кола 1,25л</t>
  </si>
  <si>
    <t>Напій вітамінна вода чорна смородина м'ята Бювет 0,5л</t>
  </si>
  <si>
    <t>Напій газ Апельсин Живчик 2,0л</t>
  </si>
  <si>
    <t>Напій газ Вишня Др.Пеппер з/б 0,33л</t>
  </si>
  <si>
    <t>Напій газ дієтичний Др.Пеппер з/б 0,33л</t>
  </si>
  <si>
    <t>Напій газ класичний Др.Пеппер з/б 0,33л</t>
  </si>
  <si>
    <t>Напій газ Курьосіті Кола Фентіманс с/пл 0,275л</t>
  </si>
  <si>
    <t>Напій газ Лайм Мята Моджо з/б 0,33л</t>
  </si>
  <si>
    <t>Напій газ лимонад Розе Фентіманс с/пл 0,275л</t>
  </si>
  <si>
    <t>Напій газ Смарт кола Живчик з/б 0,33л</t>
  </si>
  <si>
    <t>Напій газ Тонік Фентіманс с/пл 0,2л</t>
  </si>
  <si>
    <t>Напій газ Чінотто Моджо з/б 0,33л</t>
  </si>
  <si>
    <t>Напій газ Яблуко Живчик 1,0л</t>
  </si>
  <si>
    <t>Напій газ Яблуко Живчик 2,0л</t>
  </si>
  <si>
    <t>Напій газ Яблуко Живчикп п/пл 0,5л</t>
  </si>
  <si>
    <t xml:space="preserve">Напій газ Яблуко та екстрактом валеріани Живчик з/б 0,33л </t>
  </si>
  <si>
    <t>Напій Гранат Швепс з/б 0,33л</t>
  </si>
  <si>
    <t>Напій груша газ Живчик 2,0л</t>
  </si>
  <si>
    <t>Напій Груша Натахтарі с/пл 0,5л</t>
  </si>
  <si>
    <t>Напій Джинджер Бір Фентіманс с/пл 0,275л</t>
  </si>
  <si>
    <t>Напій диня Чупа Чупс з/б 0,345л</t>
  </si>
  <si>
    <t>Напій з насінням Ананас Бісан с/пл 290мл</t>
  </si>
  <si>
    <t>Напій з насінням Лічі Бісан с/пл 290мл</t>
  </si>
  <si>
    <t>Напій з насінням Манго Бісан с/пл 290мл</t>
  </si>
  <si>
    <t>Напій з насінням Мікс фруктів Бісан с/пл 290мл</t>
  </si>
  <si>
    <t>Напій Зелене яблуко Чупа Чупс з/б 0,345л</t>
  </si>
  <si>
    <t>Напій зеро Апельсин Фанта 1,25л</t>
  </si>
  <si>
    <t>Напій Зеро Кока Кола 0,5л</t>
  </si>
  <si>
    <t>Напій Зеро Кока Кола 0,75л</t>
  </si>
  <si>
    <t>Напій Зеро Кока Кола з/б 0,33л</t>
  </si>
  <si>
    <t>Напій Зеро Кока Кола п/пл 1,25л</t>
  </si>
  <si>
    <t>Напій Зеро Кока Кола п/пл 1,75л</t>
  </si>
  <si>
    <t>Напій зеро Мандарин Фанта 1,25л</t>
  </si>
  <si>
    <t>Напій Ізабелла Черкаські лимонади 0,5л</t>
  </si>
  <si>
    <t>Напій Індіан тонік Швепс з/б 0,33л</t>
  </si>
  <si>
    <t>Напій Індіан тонік Швепс п/пл 0,75л</t>
  </si>
  <si>
    <t>Напій кава Зеро Кока Кола з/б 0,25л</t>
  </si>
  <si>
    <t>Напій кава карамель Зеро Кока Кола з/б 0,25л</t>
  </si>
  <si>
    <t>Напій кавун Чупа Чупс з/б 0,345л</t>
  </si>
  <si>
    <t>Напій Кисла чорниця Чупа Чупс з/б 0,345л</t>
  </si>
  <si>
    <t>Напій Кока Кола 0,5л</t>
  </si>
  <si>
    <t>Напій Кока Кола 0,75л</t>
  </si>
  <si>
    <t xml:space="preserve">Напій Кока Кола з/б 0,25л </t>
  </si>
  <si>
    <t>Напій Кока Кола з/б 0,33л</t>
  </si>
  <si>
    <t>Напій крем-вершки Натахтарі с/пл 0,5л</t>
  </si>
  <si>
    <t>Напій Крем-Сода Бон Буассон п/пл 1,75л</t>
  </si>
  <si>
    <t>Напій Крем-сода Черкаські лимонади с/пл 0,5л</t>
  </si>
  <si>
    <t xml:space="preserve">Напій Лимон Бітер Швепс з/б 0,33л </t>
  </si>
  <si>
    <t>Напій Лимон Зеро Пепсі Кола п/пл 0,5л</t>
  </si>
  <si>
    <t>Напій Лимонад Оболонь 2,0л</t>
  </si>
  <si>
    <t>Напій лимон-лайм Натахтарі с/пл 0,5л</t>
  </si>
  <si>
    <t>Напій Лимон-м'ята Ментос з/б 0,240л</t>
  </si>
  <si>
    <t>Напій Манго Чупа Чупс з/б 0,345л</t>
  </si>
  <si>
    <t>Напій Мандарин Зеро Фанта п/пл 0,5л</t>
  </si>
  <si>
    <t>Напій Мандарин Швепс з/б 0,33л</t>
  </si>
  <si>
    <t>Напій Мандарин Швепс п/пл 0,75л</t>
  </si>
  <si>
    <t xml:space="preserve">Напій Мохіто Швепс з/б 0,33л </t>
  </si>
  <si>
    <t>Напій Мохіто Швепс п/пл 0,75л</t>
  </si>
  <si>
    <t>Напій мультивітамін Айс Кул з/б 0,5л</t>
  </si>
  <si>
    <t>Напій оранж зеро Мірінда п/пл 0,5л</t>
  </si>
  <si>
    <t>Напій Пепсі блек 0,33л пет</t>
  </si>
  <si>
    <t>Напій Пепсі з/б 0,33л</t>
  </si>
  <si>
    <t>Напій Пепсі Кола 0,5л</t>
  </si>
  <si>
    <t>Напій Пепсі Кола п/пл 0,33л</t>
  </si>
  <si>
    <t>Напій Пепсі манго 0,5л</t>
  </si>
  <si>
    <t>Напій Пепсі с/пл 0,3л</t>
  </si>
  <si>
    <t>Напій Перпл тонік Швепс з/б 0,33л</t>
  </si>
  <si>
    <t xml:space="preserve">Напій Перпл Тонік Швепс п/пл 0,75л </t>
  </si>
  <si>
    <t>Напій персик Айфреш 0,5л</t>
  </si>
  <si>
    <t>Напій Пінк тонік Швепс з/б 0,33л</t>
  </si>
  <si>
    <t>Напій помело Айс Кул з/б 0,5л</t>
  </si>
  <si>
    <t>Напій сапераві Натахтарі с/пл 0,5л</t>
  </si>
  <si>
    <t>Напій Севенап 0,5л</t>
  </si>
  <si>
    <t>Напій Севенап з/б 0,33л</t>
  </si>
  <si>
    <t>Напій Ситро Бон Буассон п/пл 1,75л</t>
  </si>
  <si>
    <t>Напій Ситро Оболонь 1,0л</t>
  </si>
  <si>
    <t>Напій Ситро Розмай Лісовий л</t>
  </si>
  <si>
    <t xml:space="preserve">Напій Ситро Черкаські лимонади с/б 0,5л </t>
  </si>
  <si>
    <t xml:space="preserve">Напій слаб/газ Лимонада Ягоди Моршинська з/б 0,33л </t>
  </si>
  <si>
    <t>Напій слаб/газ Лимонада Ягоди Моршинська п/пл 0,5л</t>
  </si>
  <si>
    <t>Напій слаб/газ Лимонада Ягоди Моршинська п/пл 1,5л</t>
  </si>
  <si>
    <t>Напій слабогаз Мохіто Лимонада Моршинська з/б 0,33л</t>
  </si>
  <si>
    <t>Напій слабогаз Мохіто Лимонада Моршинська п/пл 0,5л</t>
  </si>
  <si>
    <t>Напій слабогаз Мохіто Лимонада Моршинська п/пл 1,5л</t>
  </si>
  <si>
    <t>Напій соковмісний Ананас Бісан з/б 250мл</t>
  </si>
  <si>
    <t>Напій соковмісний Лічі Бісан з/б 250мл</t>
  </si>
  <si>
    <t>Напій соковмісний Манго Бісан з/б 250мл</t>
  </si>
  <si>
    <t>Напій соковмісний Мікс фруктів Бісан з/б 250мл</t>
  </si>
  <si>
    <t>Напій соковмісний середньогазований зі смаком апельсина та персика Лимонада Моршинська з/б 0.33л</t>
  </si>
  <si>
    <t>Напій соковмісний середньогазований зі смаком апельсина та персика Лимонада Моршинська п/пл 0,5л</t>
  </si>
  <si>
    <t>Напій соковмісний середньогазований зі смаком апельсина та персика Лимонада Моршинська п/пл 1,5л</t>
  </si>
  <si>
    <t>Напій соковмісний середньогазований зі смаком грейпфрута Лимонада Моршинська з/б 0.33л</t>
  </si>
  <si>
    <t>Напій соковмісний середньогазований зі смаком грейпфрута Лимонада Моршинська п/пл 0,5л</t>
  </si>
  <si>
    <t>Напій соковмісний середньогазований зі смаком грейпфрута Лимонада Моршинська п/пл 1,5л</t>
  </si>
  <si>
    <t>Напій соковмісний середньогазований зі смаком яблука Лимонада Моршинська з/б 0.33л</t>
  </si>
  <si>
    <t>Напій соковмісний середньогазований зі смаком яблука Лимонада Моршинська п/пл 0,5л</t>
  </si>
  <si>
    <t>Напій соковмісний середньогазований зі смаком яблука Лимонада Моршинська п/пл 1,5л</t>
  </si>
  <si>
    <t>Напій Спрайт 0,5л</t>
  </si>
  <si>
    <t>Напій Спрайт 0,75л</t>
  </si>
  <si>
    <t>Напій Спрайт з/б 0,33л</t>
  </si>
  <si>
    <t>Напій Спрайт п/пл 1,25л</t>
  </si>
  <si>
    <t>Напій Спрайт п/пл 1,75л</t>
  </si>
  <si>
    <t>Напій Тархун Натахтарі с/пл 0,5л</t>
  </si>
  <si>
    <t xml:space="preserve">Напій Тутті Фрутті Хіхо з/б 0,25л </t>
  </si>
  <si>
    <t>Напій Тутті Фрутті яблуко Хіхо з/б 250мл</t>
  </si>
  <si>
    <t>Напій Фруктова вода смак Ананаса Біола п/пл 2л</t>
  </si>
  <si>
    <t>Напій Фруктова вода смак Барбарис Біола п/пл 2л</t>
  </si>
  <si>
    <t>Напій Фруктова вода смак Кактуса та рамбутану Біола п/пл 2л</t>
  </si>
  <si>
    <t>Напій Фруктова вода смак Полуниці та ківі Біола п/пл 2л</t>
  </si>
  <si>
    <t>Напій Фруктова вода смак Тропік Біола п/пл 2л</t>
  </si>
  <si>
    <t>Напій Фруктова вода Чамбо Біола п/пл 2л</t>
  </si>
  <si>
    <t>Напій Фруктовий мікс Ментос з/б 0,240л</t>
  </si>
  <si>
    <t>Напій Шоката Зеро Фанта п/пл 0,5л</t>
  </si>
  <si>
    <t>Напій шоката зеро Фанта п/пл 1,25л</t>
  </si>
  <si>
    <t>Напій Шприц Аперитиво Швепс з/б 0,33л</t>
  </si>
  <si>
    <t>Напій Шприц Аперитиво Швепс п/пл 0,75л</t>
  </si>
  <si>
    <t>Напій Яблуко содова Ментос з/б 0,240л</t>
  </si>
  <si>
    <t>Енергетичний напій б/а Доктор Монстер Енерджі 0,5л</t>
  </si>
  <si>
    <t>Напої енергетичні</t>
  </si>
  <si>
    <t>Енергетичний напій б/а Локо Монстер Енерджі 0,5л</t>
  </si>
  <si>
    <t>Енергетичний напій б/а Ультра Монстер Енерджі 0,5л</t>
  </si>
  <si>
    <t>Енергетичний напій Банан Комодо з/б 0,25л</t>
  </si>
  <si>
    <t>Енергетичний напій без цукру Комодо з/б 0,25л</t>
  </si>
  <si>
    <t>Енергетичний напій Буст Нон Стоп з/б 0,25л</t>
  </si>
  <si>
    <t>Енергетичний напій Буст Нон Стоп з/б 0,5л</t>
  </si>
  <si>
    <t>Енергетичний напій Бьорн з/б 0,5л</t>
  </si>
  <si>
    <t>Енергетичний напій Гуава Бьорн з/б 0,25л</t>
  </si>
  <si>
    <t>Енергетичний напій Джангл Нон Стоп з/б 0,25л</t>
  </si>
  <si>
    <t>Енергетичний напій Джангл Нон Стоп з/б 0,5л</t>
  </si>
  <si>
    <t>Енергетичний напій Екзотик Баттері з/б 0,33л</t>
  </si>
  <si>
    <t>Енергетичний напій Екзотик Баттері з/б 0,5л</t>
  </si>
  <si>
    <t>Енергетичний напій екстра Блек п/пл 1,0л</t>
  </si>
  <si>
    <t>Енергетичний напій Мікс Баттері з/б 0,5л</t>
  </si>
  <si>
    <t xml:space="preserve">Енергетичний напій Монстер Енерджи з/б 500мл х24 </t>
  </si>
  <si>
    <t>Енергетичний напій Оригінальний Воля Моршинська з/б 0,33л</t>
  </si>
  <si>
    <t xml:space="preserve">Енергетичний напій Оріджинал Бьорн з/б 0,25л </t>
  </si>
  <si>
    <t>Енергетичний напій Оріджинал Нон Стоп з/б 0,25л</t>
  </si>
  <si>
    <t>Енергетичний напій Оріджинал Нон Стоп з/б 0,5л</t>
  </si>
  <si>
    <t>Енергетичний напій Пауер Піт Буль з/б 0,25л</t>
  </si>
  <si>
    <t>Енергетичний напій Піна Колада Комодо з/б 0,25л</t>
  </si>
  <si>
    <t>Енергетичний напій Піт Буль 0,5л</t>
  </si>
  <si>
    <t>Енергетичний напій Піт Буль 1,0л</t>
  </si>
  <si>
    <t>Енергетичний напій Піт Буль з/б 0,25л</t>
  </si>
  <si>
    <t>Енергетичний напій Ред Булл 0,25л</t>
  </si>
  <si>
    <t>Енергетичний напій Ред Булл 0,473л</t>
  </si>
  <si>
    <t>Енергетичний напій Сільвер Піт Буль з/б 0,25л</t>
  </si>
  <si>
    <t>Енергетичний напій слабогаз Журавлина Воля Моршинська з/б 0,33л</t>
  </si>
  <si>
    <t>Енергетичний напій слабогаз Ківі Полуниця Воля Моршинська з/б 0,33л</t>
  </si>
  <si>
    <t>Енергетичний напій слабогаз Манго Апельсин Воля Моршинська з/б 0,33л</t>
  </si>
  <si>
    <t>Енергетичний напій стронг фокус Хелл з/б 0,25л</t>
  </si>
  <si>
    <t>Енергетичний напій Темна енергія Бьорн з/б 0,25л</t>
  </si>
  <si>
    <t>Енергетичний напій Тропічні Фрукти-Канабіс Блек 0,5л</t>
  </si>
  <si>
    <t>Енергетичний напій ультра Блек п/пл 1л</t>
  </si>
  <si>
    <t>Енергетичний напій Фреш Баттері з/б 0,33л</t>
  </si>
  <si>
    <t>Енергетичний напій Фруктовий Пунш Бьорн з/б 0,25л</t>
  </si>
  <si>
    <t>Енергетичний напій Чорна Смородина Комодо з/б 0,25л</t>
  </si>
  <si>
    <t>Енергетичний напій чорний Блек п/пл 1,0л</t>
  </si>
  <si>
    <t>Енергетичний напій Юнікорн Баттері з/б 0,3л</t>
  </si>
  <si>
    <t>Енергетичний напій Яблуко Ківі Бьорн з/б 0,25л</t>
  </si>
  <si>
    <t>Енергетичний напій Яблуко Ківі Бьорн з/б 0,5л</t>
  </si>
  <si>
    <t>Напій енергетичний б/алк Нуль цукру Монстер Енерджи з/б 0,5л</t>
  </si>
  <si>
    <t>Напій енергетичний б/алк Оранж Файр Бьорн з/б 0,25л</t>
  </si>
  <si>
    <t>Напій енергетичний с/газ Австралійський лимонад з соком Монстр Енерджі з/б 0,5л</t>
  </si>
  <si>
    <t xml:space="preserve">Напій енергетичний слаб/газ Ягідний Мікс Воля Моршинська з/б 0,33л </t>
  </si>
  <si>
    <t>Напій енергетичный б/а Кавун-диня Бест Шот з/б 0,5л</t>
  </si>
  <si>
    <t>Напій енергетичный б/а Манго-кокос Бест Шот з/б 0,5л</t>
  </si>
  <si>
    <t>Напій ферментований Класична Роял Комбуча з/б 0,33л</t>
  </si>
  <si>
    <t>Комбуча</t>
  </si>
  <si>
    <t>Напій ферментований Мохіто Роял Комбуча з/б 0,33л</t>
  </si>
  <si>
    <t>Напій ферментований Чорниця Роял Комбуча з/б 0,33л</t>
  </si>
  <si>
    <t>Напій Апельсин Медонія м/у 0,2л</t>
  </si>
  <si>
    <t>Нектар</t>
  </si>
  <si>
    <t>Напій Мультивітамін Медонія м/у 0,2л</t>
  </si>
  <si>
    <t xml:space="preserve">Напій Персик Медонія м/у 0,2л </t>
  </si>
  <si>
    <t>Напій Полуниця Медонія м/у 0,2л</t>
  </si>
  <si>
    <t>Напій соковий Ананасово-кокосовий Джусік т/п 0,2л</t>
  </si>
  <si>
    <t>Напій соковий Апельсин-яблуко Оранж Мікс Каппі п/пл 0,5л</t>
  </si>
  <si>
    <t>Напій соковий Апельсин-яблуко Оранж Мікс Каппі п/пл 1л</t>
  </si>
  <si>
    <t>Напій соковий Бананово-полуничний Джусік т/п 0,2л</t>
  </si>
  <si>
    <t>Напій соковий з м'якоттю Мультифрукт Садочок т/п 0,2л</t>
  </si>
  <si>
    <t>Напій соковий з м'якоттю Мультифрукт Садочок т/п 0,5л</t>
  </si>
  <si>
    <t>Напій соковий з м'якоттю Мультифрукт Садочок т/п 0,95л</t>
  </si>
  <si>
    <t>Напій соковий зі смаком апельсину Сонячний Апельсин Софік м/у 200мл</t>
  </si>
  <si>
    <t>Напій соковий зі смаком гуави Екзотик Софік м/у 200мл</t>
  </si>
  <si>
    <t>Напій соковий зі смаком манго Мультифрукт Софік м/у 200мл</t>
  </si>
  <si>
    <t>Напій соковий зі смаком маракуї Тропікал Софік м/у 200мл</t>
  </si>
  <si>
    <t>Напій соковий зі смаком персика Рум'яний персик Софік м/у 200мл</t>
  </si>
  <si>
    <t>Напій соковий Мультифруктовий Джусік т/п 0,2л</t>
  </si>
  <si>
    <t xml:space="preserve">Напій соковий Яблучно-виноградний Джусік т/п 0,2л </t>
  </si>
  <si>
    <t>Напій соковий Ягоди Каппі п/пл 0,5л</t>
  </si>
  <si>
    <t>Напій соковий Ягоди Каппі п/пл 1л</t>
  </si>
  <si>
    <t xml:space="preserve">Напій Яблуко Медонія м/у 0,2л </t>
  </si>
  <si>
    <t>Нектар Апельсиновий Біола п/пл 1л</t>
  </si>
  <si>
    <t>Нектар Апельсиновий Каппі т/п 1л</t>
  </si>
  <si>
    <t>Нектар Апельсин-Яблоко Садочок т/п 0,95л</t>
  </si>
  <si>
    <t>Нектар Банан полуниця яблуко та чорноплідної горобини Каппі т/п 1л</t>
  </si>
  <si>
    <t>Нектар Банан-полуниця Каппі Міні т/п 200мл</t>
  </si>
  <si>
    <t>Нектар Виноград-яблуко Каппі Міні т/п 200мл</t>
  </si>
  <si>
    <t>Нектар Вишневий Біола п/пл 1л</t>
  </si>
  <si>
    <t>Нектар Гранат яблуко та чорноплідної горобини Каппі т/п 1л</t>
  </si>
  <si>
    <t>Нектар Груша-яблуко Каппі Міні т/п 200мл</t>
  </si>
  <si>
    <t>Нектар Екзотік Каппі т/п 1л</t>
  </si>
  <si>
    <t>Нектар Імуніті Яблуко малина суниця Садочок т/п 0,95л</t>
  </si>
  <si>
    <t>Нектар Коктейльна колекція Апельсиновий Сандора 0,95л</t>
  </si>
  <si>
    <t>Нектар Коктейльна колекція Виноград червоний Сандора 0,95л</t>
  </si>
  <si>
    <t>Нектар Коктейльна колекція Грейпфрукт Сандора 0,95л</t>
  </si>
  <si>
    <t>Нектар Кривава Мері Біола п/пл 1л</t>
  </si>
  <si>
    <t>Нектар Мангово-апельсиновий Біола п/пл 1л</t>
  </si>
  <si>
    <t>Нектар Мультивітамінний Біола п/пл 0,25л</t>
  </si>
  <si>
    <t>Нектар Мультивітамінний Біола п/пл 1л</t>
  </si>
  <si>
    <t>Нектар Мультифрукт Джаффа т/п 0,95л</t>
  </si>
  <si>
    <t>Нектар Мультифрукт Каппі Міні т/п 200мл</t>
  </si>
  <si>
    <t>Нектар Персик Каппі Міні т/п 200мл</t>
  </si>
  <si>
    <t>Нектар Персик Каппі т/п 1л</t>
  </si>
  <si>
    <t>Нектар Смаки світу Карнавал Латинська Америка Сандора т/п 0,95л</t>
  </si>
  <si>
    <t>Нектар Смаки світу Сонячні Кариби Сандора т/п 0,95л</t>
  </si>
  <si>
    <t>Нектар Яблуко-ягоди-виноград Каппі Міні т/п 200мл</t>
  </si>
  <si>
    <t>Нектар Яблучно-виноградний Біола п/пл 0,25л</t>
  </si>
  <si>
    <t>Нектар Яблучно-виноградний Біола п/пл 1л</t>
  </si>
  <si>
    <t>Сік Ананас Джаффа т/п 0,95л</t>
  </si>
  <si>
    <t>Сік</t>
  </si>
  <si>
    <t xml:space="preserve">Сік Ананас Сандора т/п 0,95л </t>
  </si>
  <si>
    <t>Сік Апельсин Аваланш с/б 1,0л</t>
  </si>
  <si>
    <t xml:space="preserve">Сік Апельсин Джаффа т/п 0,95л </t>
  </si>
  <si>
    <t xml:space="preserve">Сік Апельсин Сандора т/п 0,95л </t>
  </si>
  <si>
    <t>Сік банан-яблуко-полуниця Сандора т/п 0,95л</t>
  </si>
  <si>
    <t>Сік Березовий з настоєм шипшини Банка с/пл 1л</t>
  </si>
  <si>
    <t>Сік Березовий натуральний Банка с/пл 1л</t>
  </si>
  <si>
    <t xml:space="preserve">Сік Виноградний Аваланш с/б 1,0л </t>
  </si>
  <si>
    <t>Сік Вишневий Аваланш с/б 1,0л</t>
  </si>
  <si>
    <t xml:space="preserve">Сік Вишня Джаффа т/п 0,95л </t>
  </si>
  <si>
    <t>Сік Вишня Наш Сік ОКЗДХ т/п 1,93л</t>
  </si>
  <si>
    <t xml:space="preserve">Сік Вишня Сандора т/п 0,95л </t>
  </si>
  <si>
    <t>Сік Гарбузовий Банка с/пл 1л</t>
  </si>
  <si>
    <t>Сік Гранат Аваланш с/б 1,0л</t>
  </si>
  <si>
    <t xml:space="preserve">Сік Гранат Бессарабка с/б 1,0л </t>
  </si>
  <si>
    <t xml:space="preserve">Сік Гранат Наш Сік ОКЗДХ т/п 0,95л </t>
  </si>
  <si>
    <t>Сік груша-яблуко Наш Сік ОКЗДХ т/п 0,95л</t>
  </si>
  <si>
    <t xml:space="preserve">Сік Лимон Сандора т/п 0,95л </t>
  </si>
  <si>
    <t>Сік морквяний з м`якоттю стерилізований Наш Продукт с/б 1л</t>
  </si>
  <si>
    <t>Сік Морквяний натуральний Банка с/пл 1л</t>
  </si>
  <si>
    <t xml:space="preserve">Сік Мультивітамін Наш Сік ОКЗДХ т/п 0,2л </t>
  </si>
  <si>
    <t>Сік Мультивітамін Садочок т/п 0,2л</t>
  </si>
  <si>
    <t xml:space="preserve">Сік Мультивітамін Садочок т/п 0,95л </t>
  </si>
  <si>
    <t xml:space="preserve">Сік Мультифрукт Галиція т/п 0,2л </t>
  </si>
  <si>
    <t>Сік Мультифрукт Галиція т/п 1,0л</t>
  </si>
  <si>
    <t xml:space="preserve">Сік Мультифрукт Наш Сік ОКЗДХ т/п 0,2л </t>
  </si>
  <si>
    <t xml:space="preserve">Сік Мультифрукт Наш Сік ОКЗДХ т/п 0,95л </t>
  </si>
  <si>
    <t xml:space="preserve">Сік Мультифрукт Наш Сік ОКЗДХ т/п 1,93л </t>
  </si>
  <si>
    <t xml:space="preserve">Сік Мультифрукт Садочок т/п 0,2л </t>
  </si>
  <si>
    <t>Сік неосвітлений Яблуко-виноград-ананас Галиція т/п 1л</t>
  </si>
  <si>
    <t>Сік неосвітлений Яблуко-вишня Галиція с/пл 0,3л</t>
  </si>
  <si>
    <t>Сік неосвітлений Яблуко-вишня Галиція с/пл 1,0л</t>
  </si>
  <si>
    <t>Сік неосвітлений Яблуко-груша Галиція с/пл 1,0л</t>
  </si>
  <si>
    <t>Сік неосвітлений Яблуко-мандарин Галиція с/пл 0,3л</t>
  </si>
  <si>
    <t xml:space="preserve">Сік персик Сандора т/п 0,95л </t>
  </si>
  <si>
    <t>Сік Персик яблуко Садочок т/п 0,2л</t>
  </si>
  <si>
    <t>Сік Садочок ананас-яблуко 0,2л т/п</t>
  </si>
  <si>
    <t>Сік Садочок ананас-яблуко 0,95л т/п</t>
  </si>
  <si>
    <t>Сік Садочок мультивітамін 0,5л т/п</t>
  </si>
  <si>
    <t>Сік Садочок мультифрукт 0,5л т/п</t>
  </si>
  <si>
    <t>Сік Садочок яблуко-морква-полуниця 0,2л т/п</t>
  </si>
  <si>
    <t>Сік Сандора банан-яблуко-полуниця 0,5л т/п</t>
  </si>
  <si>
    <t>Сік Сандора гранат 0,95л т/п</t>
  </si>
  <si>
    <t>Сік Сандора мультивітамін 0,5л т/п</t>
  </si>
  <si>
    <t>Сік Сандора мультивітамін 0,95л т/п</t>
  </si>
  <si>
    <t>Сік сицилійський апельсин Сандора т/п 0,95л</t>
  </si>
  <si>
    <t xml:space="preserve">Сік смузі Яблуко-банан-манго-апельсин Галиція т/п 0,2л </t>
  </si>
  <si>
    <t xml:space="preserve">Сік смузі Яблуко-груша Галиція т/п 0,2л </t>
  </si>
  <si>
    <t xml:space="preserve">Сік Томат Наш Сік ОКЗДХ т/п 1,93л </t>
  </si>
  <si>
    <t>Сік Томат Пікантний Сандора 0,95л</t>
  </si>
  <si>
    <t>Сік Томатний Біола п/пл 1л</t>
  </si>
  <si>
    <t>Сік Томатний Галиція с/пл 0,3л</t>
  </si>
  <si>
    <t>Сік томатний з сіллю стерилізований Наш Продукт с/б 1л</t>
  </si>
  <si>
    <t>Сік Томатний Каппі т/п 1л</t>
  </si>
  <si>
    <t xml:space="preserve">Сік томатний Сандора т/п 0,95л </t>
  </si>
  <si>
    <t xml:space="preserve">Сік Тропічні фрукти Джаффа т/п 0,95л </t>
  </si>
  <si>
    <t>Сік Яблуко Галиція с/пл 0,3л</t>
  </si>
  <si>
    <t xml:space="preserve">Сік яблуко Галиція т/п 0,2л </t>
  </si>
  <si>
    <t xml:space="preserve">Сік яблуко Галиція т/п 1,0л </t>
  </si>
  <si>
    <t>Сік Яблуко Каппі т/п 1л</t>
  </si>
  <si>
    <t>Сік яблуко Найсік с/пл 1,0л</t>
  </si>
  <si>
    <t xml:space="preserve">Сік Яблуко Наш Сік ОКЗДХ т/п 0,2л </t>
  </si>
  <si>
    <t xml:space="preserve">Сік Яблуко Наш Сік ОКЗДХ т/п 0,95л </t>
  </si>
  <si>
    <t xml:space="preserve">Сік Яблуко Садочок т/п 0,95л </t>
  </si>
  <si>
    <t>Сік Яблуко Сандора т/п 0,95л</t>
  </si>
  <si>
    <t xml:space="preserve">Сік яблуко-виноград Наш Сік ОКЗДХ т/п 0,2л </t>
  </si>
  <si>
    <t xml:space="preserve">Сік Яблуко-виноград Наш Сік ОКЗДХ т/п 0,95л </t>
  </si>
  <si>
    <t xml:space="preserve">Сік Яблуко-виноград Садочок т/п 0,2л </t>
  </si>
  <si>
    <t xml:space="preserve">Сік Яблуко-виноград Садочок т/п 0,95л </t>
  </si>
  <si>
    <t>Сік яблуко-вишня Галиція т/п 1,0л</t>
  </si>
  <si>
    <t>Сік Яблуко-вишня Садочок т/п 0,95л</t>
  </si>
  <si>
    <t>Сік Яблуко-груша Галиція с/пл 0,3л</t>
  </si>
  <si>
    <t>Сік яблуко-груша Галиція т/п 0,2л</t>
  </si>
  <si>
    <t xml:space="preserve">Сік яблуко-груша Галиція т/п 1,0л </t>
  </si>
  <si>
    <t>Сік яблуко-персик ОКЗДХ Наш Сік т/п 0,2л</t>
  </si>
  <si>
    <t xml:space="preserve">Сік Яблуко-полуниця Наш Сік ОКЗДХ т/п 0,2л </t>
  </si>
  <si>
    <t>Сік Яблучний Банка с/пл 1л</t>
  </si>
  <si>
    <t>Сік яблучний відновлений стерилізований Наш Продукт с/б 1л</t>
  </si>
  <si>
    <t>Сік яблучний Гарден Гадз д/п 1л</t>
  </si>
  <si>
    <t>Сік яблучний з м`якоттю стерилізований Наш Продукт с/б 1л</t>
  </si>
  <si>
    <t>Сік яблучно-гарбузовий з м`якоттю стерилізований Наш Продукт с/б 1л</t>
  </si>
  <si>
    <t>Сік яблучно-морквяний з м`якоттю стерилізований Наш Продукт с/б 1л</t>
  </si>
  <si>
    <t>Сік Яблучно-морквяний Банка с/пл 1л</t>
  </si>
  <si>
    <t>Сік Березовий з журавлиною Банка с/пл 1л</t>
  </si>
  <si>
    <t>Сік Березовий з лаймом та м'ятою Банка с/пл 1л</t>
  </si>
  <si>
    <t>Сік Томатний з сіллю Банка с/пл 1л</t>
  </si>
  <si>
    <t>Сік Яблучно-гарбузовий Банка с/пл 1л</t>
  </si>
  <si>
    <t>Сік-смузі мультифруктовий з м’якоттю Гарден Гадз к/у 3л</t>
  </si>
  <si>
    <t>Сік-смузі яблучно-вишневий з м’якоттю Гарден Гадз д/п 185мл</t>
  </si>
  <si>
    <t>Сік-смузі яблучно-грушевий з м’якоттю Гарден Гадз д/п 185мл</t>
  </si>
  <si>
    <t>Сік-смузі яблучно-грушевий з м’якоттю Гарден Гадз к/у 3л</t>
  </si>
  <si>
    <t>Сік-смузі яблучно-полуничний з м’якоттю Гарден Гадз д/п 1л</t>
  </si>
  <si>
    <t>Смузі Енергія сонця ФрешМі п/пл 0,25л</t>
  </si>
  <si>
    <t>Смузі, морс, компот</t>
  </si>
  <si>
    <t>Смузі Зелений заряд ФрешМі п/пл 0,25л</t>
  </si>
  <si>
    <t>Смузі Зелений фіт ФрешМі п/пл 0,25л</t>
  </si>
  <si>
    <t>Смузі Зелений фіт ФрешМі п/пл 0,7л</t>
  </si>
  <si>
    <t>Смузі Краса манго ФрешМі п/пл 0,25л</t>
  </si>
  <si>
    <t>Смузі Краса манго ФрешМі п/пл 0,7л</t>
  </si>
  <si>
    <t>Смузі Солодка ягода ФрешМі п/пл 0,25л</t>
  </si>
  <si>
    <t>Смузі Тотально тропічний ФрешМі п/пл 0,25л</t>
  </si>
  <si>
    <t>Смузі Шалена вишня ФрешМі п/пл 0,25л</t>
  </si>
  <si>
    <t>Фреш апельсиновий ФрешМі п/пл 0,5л</t>
  </si>
  <si>
    <t>Фреш ФрешМі апельсиновий 0,25л</t>
  </si>
  <si>
    <t>Чай зелений Ліптон 0,5л</t>
  </si>
  <si>
    <t>Холодний чай</t>
  </si>
  <si>
    <t>Чай зелений Ліптон 1,0л</t>
  </si>
  <si>
    <t>Чай холодний зелений зі смаком лохини та лаванди Зеро Фьюзті п/пл 0,5л</t>
  </si>
  <si>
    <t>Чай холодний зелений зі смаком лохини та лаванди Зеро Фьюзті п/пл 1л</t>
  </si>
  <si>
    <t>Чай чорний Лимон Ліптон 0,5л</t>
  </si>
  <si>
    <t>Чай чорний лимон Ліптон 1,0л</t>
  </si>
  <si>
    <t>Чай чорний Лимон-лемонграс Фьюзті 0,5л</t>
  </si>
  <si>
    <t>Чай чорний Лимон-лемонграс Фьюзті 1,0л</t>
  </si>
  <si>
    <t>Чай чорний Лісові ягоди Фьюзті 0,5л</t>
  </si>
  <si>
    <t>Чай чорний Лісові ягоди Фьюзті 1,0л</t>
  </si>
  <si>
    <t>Чай чорний малина Ліптон п/пл 0,5л</t>
  </si>
  <si>
    <t>Чай чорний малина Ліптон п/пл 1,0л</t>
  </si>
  <si>
    <t>Чай чорний Персик гібіскус Фьюзті 0,5л</t>
  </si>
  <si>
    <t>Чай чорний Персик гібіскус Фьюзті 1л</t>
  </si>
  <si>
    <t>Чай чорний Персик Ліптон 0,5л</t>
  </si>
  <si>
    <t>Чай чорний персик Ліптон п/пл 1,0л</t>
  </si>
  <si>
    <t>Броколі заморожена кг</t>
  </si>
  <si>
    <t>Овочі, зелень заморожені</t>
  </si>
  <si>
    <t>Горошок зелений с/м кг</t>
  </si>
  <si>
    <t>Горошок зелений Спела 350гр</t>
  </si>
  <si>
    <t>Грибний жульєн з маслюками та підберезниками Хортекс 400гр</t>
  </si>
  <si>
    <t>Овочеві суміші заморожені</t>
  </si>
  <si>
    <t>Картопля фрі пряма Вічі 750гр</t>
  </si>
  <si>
    <t>Картопля фрі заморожена</t>
  </si>
  <si>
    <t>Квасоля стручкова порізана Спела 350гр</t>
  </si>
  <si>
    <t>Квасоля стручкова Рудь кг</t>
  </si>
  <si>
    <t>Овочева суміш Весняна Хортекс 400гр</t>
  </si>
  <si>
    <t>Овочева суміш для жарки Італійська Спела 400гр</t>
  </si>
  <si>
    <t>Овочева суміш для жарки Прованська Спела 400гр</t>
  </si>
  <si>
    <t>Овочева суміш для жарки Хортекс 400гр</t>
  </si>
  <si>
    <t>Овочева суміш з грибами Лобіо с/м кг</t>
  </si>
  <si>
    <t>Овочева суміш Мексика Хортекс 400гр</t>
  </si>
  <si>
    <t>Овочева суміш Мексиканська Лайт с/м кг</t>
  </si>
  <si>
    <t>Овочева суміш По-грецьки Хортекс 400гр</t>
  </si>
  <si>
    <t>Овочева суміш семикомпонентна Хладик кг</t>
  </si>
  <si>
    <t>Перець соломка тріо с/м кг</t>
  </si>
  <si>
    <t>Вишня без кісточки с/м кг</t>
  </si>
  <si>
    <t>Фрукти, ягоди заморожені</t>
  </si>
  <si>
    <t>Вишня без кісточки Хортекс 300гр</t>
  </si>
  <si>
    <t>Компотна суміш Літній компот с/м Спела м/у 400гр</t>
  </si>
  <si>
    <t>Компотна суміш с/м кг</t>
  </si>
  <si>
    <t>Малина с/м кг</t>
  </si>
  <si>
    <t>Манго кубик заморожене кг</t>
  </si>
  <si>
    <t>Манго порізаний Спела в/у 300гр</t>
  </si>
  <si>
    <t>Полуниця с/м кг</t>
  </si>
  <si>
    <t>Смородина Спела 300гр</t>
  </si>
  <si>
    <t>Фруктова суміш Тропічний мікс Спела в/у 300гр</t>
  </si>
  <si>
    <t>Піца Пепероні Вічі 300гр</t>
  </si>
  <si>
    <t>Борошняні напівфабрикати</t>
  </si>
  <si>
    <t>Морозиво 100% морозиво+шоколад Рудь циліндр 500гр</t>
  </si>
  <si>
    <t>Морозиво великих об'ємів</t>
  </si>
  <si>
    <t xml:space="preserve">Морозиво 100% пломбір Рудь в/ст 70гр </t>
  </si>
  <si>
    <t>Морозиво порційне</t>
  </si>
  <si>
    <t xml:space="preserve">Морозиво 100% пломбір Рудь циліндр 1,0кг </t>
  </si>
  <si>
    <t>Морозиво 8.5% у вафельному стакані Вершкове Ласунка м/у 70гр</t>
  </si>
  <si>
    <t>Морозиво Арахіс-солона карамель Магнат ст 350гр</t>
  </si>
  <si>
    <t>Морозиво Блек кава Рудь в/ріж 70гр</t>
  </si>
  <si>
    <t>Морозиво ваніль-сорбет маракуя Банкет Ласунка ст 500гр</t>
  </si>
  <si>
    <t xml:space="preserve">Морозиво Вершкове туба Ласунка м/у 600гр </t>
  </si>
  <si>
    <t>Морозиво Вишня Мікс Де-люкс Ласунка 550гр</t>
  </si>
  <si>
    <t>Морозиво Вишня-Шоколад в кондитерській глазурі Каштан 75гр</t>
  </si>
  <si>
    <t xml:space="preserve">Морозиво Десерт-морозиво Рудь циліндр 400гр </t>
  </si>
  <si>
    <t>Морозиво ескімо крем-брюле з маком в глазурі з кунжутом Стоп-наркотик Ласунка 85гр</t>
  </si>
  <si>
    <t>Морозиво жувальна гумка-кольорове драже Банкет Ласунка ст 500гр</t>
  </si>
  <si>
    <t xml:space="preserve">Морозиво згущене молоко Стакан Великан Ласунка в/ст 100гр </t>
  </si>
  <si>
    <t xml:space="preserve">Морозиво зимова вишня Морозко Хладик ст 500гр </t>
  </si>
  <si>
    <t>Морозиво зі смаком жувальної гумки та маршмеллоу Мікс Де-люкс Ласунка 550гр</t>
  </si>
  <si>
    <t>Морозиво зі смаком йогурту Манго-маракуя Магнат ст 350гр</t>
  </si>
  <si>
    <t>Морозиво Золотий рецепт Рудь 60гр</t>
  </si>
  <si>
    <t>Морозиво Імперіум Крем-сир-груша Рудь в/ріж 150гр</t>
  </si>
  <si>
    <t>Морозиво Імперіум Лимонний Курд-Меренга Рудь в/ріж 150гр</t>
  </si>
  <si>
    <t xml:space="preserve">Морозиво ківі Гран-Прі Ласунка в/ріж 155гр </t>
  </si>
  <si>
    <t>Морозиво ківі-ананас Браво Хладик 70гр</t>
  </si>
  <si>
    <t xml:space="preserve">Морозиво крем-брюле-карамель Хладик Морозко ст 500гр </t>
  </si>
  <si>
    <t>Морозиво лимон-м'ята Мохіто Айс Ласунка 95гр</t>
  </si>
  <si>
    <t xml:space="preserve">Морозиво лісові ягоди Пролісок Рудь в/ст 60гр </t>
  </si>
  <si>
    <t xml:space="preserve">Морозиво малина Гран-Прі Ласунка в/ріж 155гр </t>
  </si>
  <si>
    <t>Морозиво Малинова панакота Магнат ст 350гр</t>
  </si>
  <si>
    <t>Морозиво манго-малина Браво Хладик 70гр</t>
  </si>
  <si>
    <t>Морозиво Марс 41,8гр</t>
  </si>
  <si>
    <t>Морозиво молочне Баунті 39,1гр</t>
  </si>
  <si>
    <t>Морозиво молочне Снікерс 48гр</t>
  </si>
  <si>
    <t>Морозиво молочне Твікс 40гр</t>
  </si>
  <si>
    <t xml:space="preserve">Морозиво Морозко Хладик циліндр 500гр </t>
  </si>
  <si>
    <t>Морозиво Мочі пломбір-полуниця Рудь 6*40гр</t>
  </si>
  <si>
    <t>Морозиво плодово-ягідне в глазурі Сніговик Хладик на паличці 80гр</t>
  </si>
  <si>
    <t xml:space="preserve">Морозиво плодово-ягідне Сніговик Хладик в/ст 80гр </t>
  </si>
  <si>
    <t xml:space="preserve">Морозиво пломбір абрикос вишня Стакан Великан Ласунка в/ст 100гр </t>
  </si>
  <si>
    <t>Морозиво пломбір в глазурі Каштан Хладик 75гр</t>
  </si>
  <si>
    <t>Морозиво пломбір в кондитерській глазурі Фісташка-Малина Хрещатик 75гр</t>
  </si>
  <si>
    <t>Морозиво пломбір Ваніль та солона карамель Макарун 60гр</t>
  </si>
  <si>
    <t xml:space="preserve">Морозиво пломбір з какао та вареним згущеним молоком з глазур'ю Стакан Великан Ласунка в/ст 100гр </t>
  </si>
  <si>
    <t>Морозиво пломбір зі смаком лісового горіха в/ст Хрещатик м/у 90гр</t>
  </si>
  <si>
    <t>Морозиво пломбір Золотий Стандарт Хладик Хрещатик 15% в/ст 90гр</t>
  </si>
  <si>
    <t>Морозиво пломбір Київський Торт Хладик Хрещатик 15% 500гр</t>
  </si>
  <si>
    <t xml:space="preserve">Морозиво пломбір Київський Торт Хладик Хрещатик 15% в/ріж 140гр </t>
  </si>
  <si>
    <t>Морозиво пломбір Крем-брюле Хладик Хрещатик 12% в/ст 90гр</t>
  </si>
  <si>
    <t>Морозиво пломбір Манго та маракуя Макарун 60гр</t>
  </si>
  <si>
    <t>Морозиво пломбір Медовик Хладик Хрещатик 15% 500гр</t>
  </si>
  <si>
    <t>Морозиво пломбір Наполеон Хладик Хрещатик 15% 500гр</t>
  </si>
  <si>
    <t xml:space="preserve">Морозиво пломбір Наполеон Хладик Хрещатик 15% в/ріж 140гр </t>
  </si>
  <si>
    <t xml:space="preserve">Морозиво пломбір Полуниця-ваніль Кидс Хрещатик 12% в/ріж 80гр </t>
  </si>
  <si>
    <t>Морозиво пломбір полуничний з полуницею в глазурі Каштан Хладик 75гр</t>
  </si>
  <si>
    <t>Морозиво пломбір сендвіч з какао Хладик Хрещатик 15% 75гр</t>
  </si>
  <si>
    <t xml:space="preserve">Морозиво пломбір Стакан Великан Ласунка м/у 95гр </t>
  </si>
  <si>
    <t>Морозиво пломбір та фруктовий лід Вишня-апельсин-яблуко Гвинт Ласунка 70гр</t>
  </si>
  <si>
    <t>Морозиво пломбір у вафельному цукровому стакані Малюк-Ам Ласунка 80гр</t>
  </si>
  <si>
    <t>Морозиво пломбір у вершковій глазурі Золотий Каштан Хладик 70гр</t>
  </si>
  <si>
    <t xml:space="preserve">Морозиво пломбір Хладик 5% в/ст 60гр </t>
  </si>
  <si>
    <t>Морозиво пломбір шоколадний в глазурі Золотий Каштан Хладик 70гр</t>
  </si>
  <si>
    <t>Морозиво пломбір шоколадний в глазурі Каштан Хладик 75гр</t>
  </si>
  <si>
    <t>Морозиво пломбір шоколадний Золотий Стандарт Хладик Хрещатик 12% в/ст 90гр</t>
  </si>
  <si>
    <t>Морозиво пломбір-полуниця Мочі Рудь 50гр</t>
  </si>
  <si>
    <t>Морозиво пломбір-сніккі Мочі Рудь 50гр</t>
  </si>
  <si>
    <t xml:space="preserve">Морозиво полуниця Морозко Хладик ст 500гр </t>
  </si>
  <si>
    <t xml:space="preserve">Морозиво Полуниця-ківі циліндр Рудь 500гр </t>
  </si>
  <si>
    <t xml:space="preserve">Морозиво полуниця-манго Банкет Ласунка ст 500гр </t>
  </si>
  <si>
    <t>Морозиво Полуниця-манго Гран-Прі Ласунка в/ріж 155гр</t>
  </si>
  <si>
    <t xml:space="preserve">Морозиво Празький Рудь пл/конт 500гр </t>
  </si>
  <si>
    <t>Морозиво Пролісок Рудь в/ст 60гр</t>
  </si>
  <si>
    <t xml:space="preserve">Морозиво Райдуга Рудь в/ст 80гр </t>
  </si>
  <si>
    <t>Морозиво Рудь брикет 100гр</t>
  </si>
  <si>
    <t>Морозиво смородина-солона карамель Мочі Рудь 50гр</t>
  </si>
  <si>
    <t>Морозиво солона карамель в глазурі Каштан Хладик 75гр</t>
  </si>
  <si>
    <t xml:space="preserve">Морозиво Супер Пупер Ласунка в/ст 60гр </t>
  </si>
  <si>
    <t xml:space="preserve">Морозиво Супер шоколад Рудь в/ст 70гр </t>
  </si>
  <si>
    <t xml:space="preserve">Морозиво Супер шоколад Рудь циліндр 500гр </t>
  </si>
  <si>
    <t xml:space="preserve">Морозиво Тірамісу Рудь пл/конт 500гр </t>
  </si>
  <si>
    <t xml:space="preserve">Морозиво Тоффі Рудь в/ріж 70гр </t>
  </si>
  <si>
    <t xml:space="preserve">Морозиво Фісташка Рудь в/ріж 70гр </t>
  </si>
  <si>
    <t xml:space="preserve">Морозиво фісташкове Морозко Хладик ст 500гр </t>
  </si>
  <si>
    <t>Морозиво Фісташковий пломбір в/ст Хрещатик 12% м/у 90гр</t>
  </si>
  <si>
    <t>Морозиво фруктовий лід вишня-абрикос-яблуко Світлофор Ласунка 95гр</t>
  </si>
  <si>
    <t>Морозиво фундук двошарове Магнат Хладик 12% в/ріж 140гр</t>
  </si>
  <si>
    <t>Морозиво Хладик Каштан арахіс-карамель в кондитерській глазурі 75гр</t>
  </si>
  <si>
    <t>Морозиво Хладик Магнат шоколад 140гр в/ріж</t>
  </si>
  <si>
    <t>Морозиво Хладик Хрещатик Медовик пломбір 15% 140гр в/ріж</t>
  </si>
  <si>
    <t>Морозиво Хладик Хрещатик пломбір 4*90гр в/ст</t>
  </si>
  <si>
    <t xml:space="preserve">Морозиво Червоний оксамит Рудь пл/конт 500гр </t>
  </si>
  <si>
    <t>Морозиво чізкейк малина Хладик Магнат в/ріж 140гр</t>
  </si>
  <si>
    <t xml:space="preserve">Морозиво чізкейк полуниця Магнат Хладик в/ріж 140гр </t>
  </si>
  <si>
    <t>Морозиво Чорниця-ожина Рудь циліндр 500гр</t>
  </si>
  <si>
    <t>Морозиво шоколад Гран-Прі Ласунка в/ріж 155гр</t>
  </si>
  <si>
    <t xml:space="preserve">Морозиво шоколадне з апельсиновою підваркою Банкет Ласунка ст 500гр </t>
  </si>
  <si>
    <t xml:space="preserve">Морозиво шоколадне Морозко Хладик циліндр 500гр </t>
  </si>
  <si>
    <t xml:space="preserve">Морозиво шоколадне Пролісок Рудь в/ст 60гр </t>
  </si>
  <si>
    <t xml:space="preserve">Морозиво шоколадний зі згущеним молоком в глазурі Факел Ласунка в/ріж 90гр </t>
  </si>
  <si>
    <t>Морозиво щербет Кавун Ласунка на паличці 70гр</t>
  </si>
  <si>
    <t>Морозиво-десерт Дубайський шоколад Рудь м/у 40гр</t>
  </si>
  <si>
    <t>Морозиво-десерт Мочі Фісташка з макарунсами Рудь м/у 50гр</t>
  </si>
  <si>
    <t>Морозиво-десерт пломбір Вершкове тістечко Дочі Рудь м/у 50гр</t>
  </si>
  <si>
    <t>Морозиво-десерт пломбір Лимонне тістечко Дочі Рудь м/у 50гр</t>
  </si>
  <si>
    <t>Бендерики з м'ясом Хладик кг</t>
  </si>
  <si>
    <t>Бургери рибні Вічі 500гр</t>
  </si>
  <si>
    <t>Рибні напівфабрикати</t>
  </si>
  <si>
    <t>Бургери рибні з лососю кг</t>
  </si>
  <si>
    <t>Кулінарія заморожена</t>
  </si>
  <si>
    <t>Голубці сільські Хладик кг</t>
  </si>
  <si>
    <t>Гречаники (КМК) 800гр</t>
  </si>
  <si>
    <t>М'ясні напівфабрикати</t>
  </si>
  <si>
    <t>Котлети домашні Еліка кг</t>
  </si>
  <si>
    <t>Котлети з курячого філе (КМК) 800гр</t>
  </si>
  <si>
    <t>Котлети курячі Домашні (КМК) 800гр</t>
  </si>
  <si>
    <t>Млинці з вишнею Хуторок 370гр</t>
  </si>
  <si>
    <t>Млинці з куркою Французькі Хладик кг</t>
  </si>
  <si>
    <t>Млинці з куркою Хуторок 370гр</t>
  </si>
  <si>
    <t>Млинці з сиром Хуторок 370гр</t>
  </si>
  <si>
    <t>Млинці французькі з куркою Еліка кг</t>
  </si>
  <si>
    <t>Нагетси заморожені Хладик кг</t>
  </si>
  <si>
    <t>Палички рибні з хека кг</t>
  </si>
  <si>
    <t>Піца Прошутто Альберто 320гр</t>
  </si>
  <si>
    <t>Сирники Українські КМК кг</t>
  </si>
  <si>
    <t>Сирники, запіканки заморожені</t>
  </si>
  <si>
    <t>Сирні палички у паніровці Моцарелла кг</t>
  </si>
  <si>
    <t>Хінкалі Еліка кавказькі кг</t>
  </si>
  <si>
    <t>Хінкалі Еліка кг</t>
  </si>
  <si>
    <t>Хінкалі кавказькі Хладик кг</t>
  </si>
  <si>
    <t>Хінкалі По-кавказьки Хуторок 1,0кг</t>
  </si>
  <si>
    <t>Хінкалі Царські Хладик кг</t>
  </si>
  <si>
    <t>Чебуреки з м'ясом смажені Класичні Еліка кг</t>
  </si>
  <si>
    <t>Чебуреки Хладик з м'ясом смажені кг</t>
  </si>
  <si>
    <t>Вареники з заварного тіста з вишнею Левада м/у 400гр</t>
  </si>
  <si>
    <t>Вареники з капустою (КМК) кг</t>
  </si>
  <si>
    <t>Вареники з картоплею (КМК) кг</t>
  </si>
  <si>
    <t>Вареники з сиром Левада м/у 400гр</t>
  </si>
  <si>
    <t>Вареники картопля гриби Еліка кг</t>
  </si>
  <si>
    <t>Вареники картопля Знатні Еліка кг</t>
  </si>
  <si>
    <t>Вареники серце печінка Еліка кг</t>
  </si>
  <si>
    <t>Вареники Сир Улюблені Еліка кг</t>
  </si>
  <si>
    <t>Вареники Хуторок картопля цибуля 900гр</t>
  </si>
  <si>
    <t>Пельмені бульмені Хладик кг</t>
  </si>
  <si>
    <t>Пельмені Домашні Еліка кг</t>
  </si>
  <si>
    <t>Пельмені Містер Пельмень Еліка кг</t>
  </si>
  <si>
    <t>Пельмені По-гуцульські Еліка кг</t>
  </si>
  <si>
    <t>Пельмені Престиж Еліка кг</t>
  </si>
  <si>
    <t>Основа для піци Вічі 320гр</t>
  </si>
  <si>
    <t>Тісто листкове Хладик 900гр</t>
  </si>
  <si>
    <t>Тісто листкове Хрещатик 900гр</t>
  </si>
  <si>
    <t>Тісто листково-дріжджове Рудь 500гр</t>
  </si>
  <si>
    <t>Тісто листково-дріжджове Хладик 900гр</t>
  </si>
  <si>
    <t>Тісто листково-дріжджове Хрещатик 900гр</t>
  </si>
  <si>
    <t>Вареники з капустою Салтівські 500гр</t>
  </si>
  <si>
    <t>Напівфабрикати власного виробництва</t>
  </si>
  <si>
    <t>Вареники з капустою Салтівські кг</t>
  </si>
  <si>
    <t>Вареники з картоплею Салтівські 1кг</t>
  </si>
  <si>
    <t>Вареники з картоплею Салтівські кг</t>
  </si>
  <si>
    <t>Вареники з м'ясом Харківські 500гр</t>
  </si>
  <si>
    <t>Вареники з м'ясом Харківські кг</t>
  </si>
  <si>
    <t>Вареники з сиром Салтівські 1кг</t>
  </si>
  <si>
    <t>Вареники з сиром Салтівські 500гр</t>
  </si>
  <si>
    <t>Вареники з сиром Салтівські кг</t>
  </si>
  <si>
    <t>Вареники з сиром та зеленню Салтівські 1кг</t>
  </si>
  <si>
    <t>Вареники з сиром та зеленню Салтівські 500гр</t>
  </si>
  <si>
    <t>Вареники з сиром та зеленню Салтівські кг</t>
  </si>
  <si>
    <t>Гречаники з курячим м'ясом Салтівські 1кг</t>
  </si>
  <si>
    <t>Гречаники зі свининою Салтівські 1кг</t>
  </si>
  <si>
    <t>Гречаники зі свининою Салтівські 600гр</t>
  </si>
  <si>
    <t>Гречаники зі свининою Салтівські кг</t>
  </si>
  <si>
    <t>Зрази з м'ясом н/ф 600гр</t>
  </si>
  <si>
    <t>Зрази з м'ясом н/ф кг</t>
  </si>
  <si>
    <t>Котлети з індичкою Салтівскі 600гр</t>
  </si>
  <si>
    <t>Котлети з індичкою Салтівскі кг</t>
  </si>
  <si>
    <t>Котлети з індичкою Салтівські 1кг</t>
  </si>
  <si>
    <t>Котлети з телятиною Салтівскі 600гр</t>
  </si>
  <si>
    <t>Котлети зі свининою Салтівські 1кг</t>
  </si>
  <si>
    <t>Котлети зі свининою Салтівські 600гр</t>
  </si>
  <si>
    <t>Котлети зі свининою Салтівські кг</t>
  </si>
  <si>
    <t>Котлети курячі Салтівські 1кг</t>
  </si>
  <si>
    <t>Котлети курячі Салтівські 600гр</t>
  </si>
  <si>
    <t>Котлети курячі Салтівські кг</t>
  </si>
  <si>
    <t>Млинці з курячим м'ясом Богодухівські 1 кг</t>
  </si>
  <si>
    <t>Млинці з курячим м'ясом та грибами Салтівські н/ф 1кг</t>
  </si>
  <si>
    <t>Млинці з курячим м'ясом та грибами Салтівські н/ф 310гр</t>
  </si>
  <si>
    <t>Млинці з курячим м'ясом та грибами Салтівські н/ф кг</t>
  </si>
  <si>
    <t>Млинці з м'ясом Салтівські н/ф 1кг</t>
  </si>
  <si>
    <t>Млинці з м'ясом Салтівські н/ф 300гр</t>
  </si>
  <si>
    <t>Млинці з м'ясом Салтівські н/ф кг</t>
  </si>
  <si>
    <t>Млинці з сиром Салтівські н/ф 1кг</t>
  </si>
  <si>
    <t>Млинці з сиром Салтівські н/ф кг</t>
  </si>
  <si>
    <t>Пельмені з курячим філе Салтівські 500гр</t>
  </si>
  <si>
    <t>Пельмені з курячим філе Салтівські кг</t>
  </si>
  <si>
    <t>Пельмені з м'ясом індички Салтівські 1кг</t>
  </si>
  <si>
    <t>Пельмені з м'ясом індички Салтівські 500гр</t>
  </si>
  <si>
    <t>Пельмені з м'ясом індички Салтівські кг</t>
  </si>
  <si>
    <t>Пельмені з свининою Салтівські 500гр</t>
  </si>
  <si>
    <t>Пельмені з свининою Салтівські кг</t>
  </si>
  <si>
    <t>Пельмені з телятиною Салтівські 1кг</t>
  </si>
  <si>
    <t>Пельмені з телятиною Салтівські кг</t>
  </si>
  <si>
    <t>Пельмені зі свининою Салтівські 1кг</t>
  </si>
  <si>
    <t>Пельмені козацькі 1,5кг</t>
  </si>
  <si>
    <t>Пельмені козацькі 1кг</t>
  </si>
  <si>
    <t>Пельмені козацькі кг</t>
  </si>
  <si>
    <t>Сирники Салтівські н/ф 1кг</t>
  </si>
  <si>
    <t>Сирники Салтівські н/ф 310гр</t>
  </si>
  <si>
    <t>Сирники Салтівські н/ф кг</t>
  </si>
  <si>
    <t>Каша молочно-вівсяна безлактозна банан Яготинське 2% т/п 200гр</t>
  </si>
  <si>
    <t>Каші сухі молочні</t>
  </si>
  <si>
    <t>Каша молочно-гречана Яготинське 2% т/п 200гр</t>
  </si>
  <si>
    <t>Каша молочно-пшенична Яготинське 2% т/п 200гр</t>
  </si>
  <si>
    <t>Каша молочно-рисова Яготинське 2% т/п 200гр</t>
  </si>
  <si>
    <t>Каша суха молочна для дітей від 4міс Гречана Малютка к/у 250гр</t>
  </si>
  <si>
    <t>Каша суха молочна для дітей від 4міс Рисова Малютка к/у 250гр</t>
  </si>
  <si>
    <t>Пюре для дітей від 5міс фруктове Яблуко-банан Равлик Боб д/п 90гр</t>
  </si>
  <si>
    <t>Пюре фруктове</t>
  </si>
  <si>
    <t>Пюре для дітей від 5міс фруктове Яблуко-груша Равлик Боб д/п 90гр</t>
  </si>
  <si>
    <t>Пюре для дітей від 5міс фруктове Яблуко-манго Равлик Боб д/п 90гр</t>
  </si>
  <si>
    <t>Пюре для дітей від 5міс фруктове Яблуко-персик Равлик Боб д/п 90гр</t>
  </si>
  <si>
    <t>Пюре для дітей від 6міс зі злаками та смаком печива без цукру Фруктовий салатик Чудо-Чадо д/п 90гр</t>
  </si>
  <si>
    <t>Пюре для дітей від 6міс стерилізоване Яблуко-персик Агуша д/п 90гр</t>
  </si>
  <si>
    <t>Пюре для дітей від 6міс фруктово-ягідне Яблуко-груша-чорна смородина Равлик Боб д/п 90гр</t>
  </si>
  <si>
    <t>Пюре для дітей від 6міс фруктово-ягідне Яблуко-малина Равлик Боб д/п 90гр</t>
  </si>
  <si>
    <t>Пюре для дітей від 6міс Яблуко-банан Чудо-чадо д/п 90гр</t>
  </si>
  <si>
    <t>Пюре для дітей від 8міс фруктово-ягідне Вітамінний салатик Чудо-Чадо д/п 90гр</t>
  </si>
  <si>
    <t>Пюре з цукром для дітей від 5-ти місяців Яблуко-морква-айва Чудо-Чадо д/п 90гр</t>
  </si>
  <si>
    <t>Пюре з цукром для дітей від 5-ти місяців Яблуко-персик Чудо-Чадо д/п 90гр</t>
  </si>
  <si>
    <t>Пюре Стерилізоване Яблуко-полуниця-чорниця для дітей від 6міс Агуня д/п 90гр</t>
  </si>
  <si>
    <t>Сік Банан-яблуко Чудо-чадо т/п 0,2л</t>
  </si>
  <si>
    <t>Соки, нектари, морси для дитячого харчування</t>
  </si>
  <si>
    <t>Сік Яблуко для дітей від 4міс Чудо-чадо т/п 0,2л</t>
  </si>
  <si>
    <t>Сік яблуко-груша Чудо Чадо ОКЗДХ т/п 0,2л</t>
  </si>
  <si>
    <t xml:space="preserve">Сік яблуко-персик Чудо Чадо ОКЗДХ т/п 0,2л </t>
  </si>
  <si>
    <t>Смузи-пюре Бананово-ягідний бум Крейзі Фрут Джаффа д/п 100гр</t>
  </si>
  <si>
    <t>Смузі-пюре Грушево-яблучний заряд зі злаками Крейзі Фрут Джаффа д/п 100гр</t>
  </si>
  <si>
    <t>Смузі-пюре Тропічний челендж Крейзі Фрут Джаффа д/п 100гр</t>
  </si>
  <si>
    <t xml:space="preserve">Смузі-пюре фруктове Яблуко-Малина Равлик Боб д/п 200гр </t>
  </si>
  <si>
    <t xml:space="preserve">Смузі-пюре фруктове Яблуко-Манго Равлик Боб д/п 200гр </t>
  </si>
  <si>
    <t xml:space="preserve">Смузі-пюре фруктове Яблуко-Чорна Смородина Равлик Боб д/п 200гр </t>
  </si>
  <si>
    <t>Суміш суха молочна 2 до 12міс Малютка Преміум 350гр</t>
  </si>
  <si>
    <t>Замінник грудного молока, суміш</t>
  </si>
  <si>
    <t>Суміш суха молочна 3 від 12міс Малютка Преміум 350гр</t>
  </si>
  <si>
    <t>Суміш суха молочна для дітей 0-6міс №1 Малютка к/у 350гр</t>
  </si>
  <si>
    <t>Суміш суха молочна для дітей 6-12міс №2 Малютка к/у 350гр</t>
  </si>
  <si>
    <t>Суміш суха молочна для дітей від 12міс №3 Малютка к/у 350гр</t>
  </si>
  <si>
    <t>Суміш суха молочна з Гречаним борошном Малюк к/у 350гр</t>
  </si>
  <si>
    <t>Суміш суха молочна з Пребіотиками та Нуклеотидами для дітей 0-6міс №1 Малютка Преміум к/у 350гр</t>
  </si>
  <si>
    <t>Суміш суха молочна з Рисовим кукурудзяним вівсяним та гречаним борошном Малюк 350гр</t>
  </si>
  <si>
    <t>Суміш суха на молочно-зерновій основі для дітей від 4міс з Рисовим борошном Малиш к/у 350гр</t>
  </si>
  <si>
    <t>Суміш суха на молочно-зерновій основі з Вівсяним борошном для дітей від 4міс Малюк к/у 350гр</t>
  </si>
  <si>
    <t>Батончик з цілим фундуком та горіхами начинкою з фруктозою Креамо Королівський шарм АВК м/у 25гр</t>
  </si>
  <si>
    <t>Батончики</t>
  </si>
  <si>
    <t>Батончик зерновий з наповнювачем Лісові ягоди АХА 23гр</t>
  </si>
  <si>
    <t>Злакові батончики</t>
  </si>
  <si>
    <t>Батончик Карамель арахіс та кунжут Іт Мі 40гр</t>
  </si>
  <si>
    <t>Батончик протеїновий з вишнею 4 Енергії Вале м/у 40гр</t>
  </si>
  <si>
    <t>Дієтичні продукти</t>
  </si>
  <si>
    <t>Батончик протеїновий з какао Монстерс Вале м/у 80гр</t>
  </si>
  <si>
    <t>Батончик протеїновий з курагою Монстерс Вале м/у 80гр</t>
  </si>
  <si>
    <t>Батончик протеїновий з полуницею Монстерс Вале м/у 80гр</t>
  </si>
  <si>
    <t>Батончик протеїновий з чорносливом Монстерс Вале м/у 80гр</t>
  </si>
  <si>
    <t>Батончик протеїновий зі смаком лісових ягід 4 Енергії Вале м/у 40гр</t>
  </si>
  <si>
    <t>Батончик у вафельному папері Курага фінік яблуко родзинки та злаки Іт Мі 40гр</t>
  </si>
  <si>
    <t>Батончик у чорній кондитерській глазурі Родзинки яблуко арахіс та злаки Іт Мі 40гр</t>
  </si>
  <si>
    <t>Батончик цільні злаки шоколад Фітнес 23,5гр</t>
  </si>
  <si>
    <t>Вафлі шоколадні без цукру Діет Натур Барквілос де Чоко Гуллон 180гр</t>
  </si>
  <si>
    <t>Вафлі фасовані</t>
  </si>
  <si>
    <t>Грильяж рисовий на фруктозі зі стевією Жайвір 62гр</t>
  </si>
  <si>
    <t>Грильяж ваговий</t>
  </si>
  <si>
    <t>Дієтична добавка Аскорбінка Вітамін С КВЗ 25мг</t>
  </si>
  <si>
    <t>Дієтична добавка з апельсиновим смаком Аскорбінка Вітамін С КВЗ 25мг</t>
  </si>
  <si>
    <t>Дієтична добавка з полуничним смаком Аскорбінка Вітамін С КВЗ 25мг</t>
  </si>
  <si>
    <t>Драже у молочному шоколаді з фруктозою Відбірний фундук АВК 75гр</t>
  </si>
  <si>
    <t>Драже фасовані</t>
  </si>
  <si>
    <t>Драже у шоколаді з фруктозою Родзинки АВК 75гр</t>
  </si>
  <si>
    <t>Ерітрітол Грін Ліф д/п 300гр</t>
  </si>
  <si>
    <t>Діабетичні продукти</t>
  </si>
  <si>
    <t>Козинаки з мигдалем на фруктозі зі стевією Асорті Жайвір 50гр</t>
  </si>
  <si>
    <t>Козинаки фасовані</t>
  </si>
  <si>
    <t>Козинаки соняшникові зі стевією без цукру Жайвір 65гр</t>
  </si>
  <si>
    <t>Печиво без цукру та глютену з шоколадною крихтою Гуллон 130гр</t>
  </si>
  <si>
    <t>Печиво Діабетичне ХБФ 200гр</t>
  </si>
  <si>
    <t>Печиво з фруктозою Марія Житомирські ласощі 240гр</t>
  </si>
  <si>
    <t>Печиво фасоване</t>
  </si>
  <si>
    <t>Печиво на фруктозі Діабетичне ХБФ 400гр</t>
  </si>
  <si>
    <t>Печиво твіст без цукру Гуллон 210гр</t>
  </si>
  <si>
    <t>Снеки зі шматочками натурального абрикоса Сендвіч Бранч АВК 56гр</t>
  </si>
  <si>
    <t>Здорове харчування</t>
  </si>
  <si>
    <t>Снеки із сиром Пармезан Сендвіч Бранч АВК 56гр</t>
  </si>
  <si>
    <t>Снеки із сиром Чеддер Сендвіч Бранч АВК 56гр</t>
  </si>
  <si>
    <t>Снеки Лісові ягоди Сендвіч Бранч АВК 56гр</t>
  </si>
  <si>
    <t>Снеки садова полуниця Сендвіч Бранч АВК 56гр</t>
  </si>
  <si>
    <t>Солодка Стевія 1:1 Грін Ліф д/п 300гр</t>
  </si>
  <si>
    <t>Трубочки зі смаком згущеного молока на фруктозі Бам-Бук АВК 250гр</t>
  </si>
  <si>
    <t>Халва на фруктозі без цукру Дружківська 200гр</t>
  </si>
  <si>
    <t>Халва фасована</t>
  </si>
  <si>
    <t>Халва соняшникова на фруктозі Горіховий Мікс Жайвір 160гр</t>
  </si>
  <si>
    <t>Цукерки вафельні на фруктозі з арахісом ХКФ кг</t>
  </si>
  <si>
    <t>Цукерки в шоколаді вагові</t>
  </si>
  <si>
    <t>Цукерки вафельні на фруктозі ХКФ кг</t>
  </si>
  <si>
    <t>Цукерки з фруктозою Батончики Житомирські ласощі кг</t>
  </si>
  <si>
    <t>Цукерки шоколадні чорні Мигдаль смородина льон чіа Супер фуд Міленіум 80гр</t>
  </si>
  <si>
    <t>Цукерки в коробках, набори</t>
  </si>
  <si>
    <t>Шоколад чорний без цукру Стевіа Міленіум 74% 100гр</t>
  </si>
  <si>
    <t>Батончик арахісове масло Крімі Снікерс 36,5гр</t>
  </si>
  <si>
    <t>Батончик Баунті 57гр</t>
  </si>
  <si>
    <t>Батончик Бі-реді вафельний Нутелла 22гр</t>
  </si>
  <si>
    <t>Батончик вайт рок Лайон 42гр</t>
  </si>
  <si>
    <t>Батончик вафельний Кріспі Кіндер 34гр</t>
  </si>
  <si>
    <t>Батончик Гулівер АВК м/у 25гр</t>
  </si>
  <si>
    <t>Батончик екстра Твікс 75гр</t>
  </si>
  <si>
    <t>Батончик з арахісом нугою карамеллю Ганстер Вал 100гр</t>
  </si>
  <si>
    <t>Батончик з білого шоколаду з трюфельною начинкою Рошен м/у 41гр</t>
  </si>
  <si>
    <t>Батончик з білого шоколаду з трюфельною начинкою Рошен м/у 41гр Акція</t>
  </si>
  <si>
    <t>Батончик з кокосом та мигдалем Рошен м/у 38гр</t>
  </si>
  <si>
    <t>Батончик з кокосом та мигдалем Рошен м/у 38гр Акція</t>
  </si>
  <si>
    <t>Батончик з начинкою нуга-арахіс Пауер Елван м/у 50гр</t>
  </si>
  <si>
    <t>Батончик Лайон 42гр</t>
  </si>
  <si>
    <t>Батончик Марс 51гр</t>
  </si>
  <si>
    <t>Батончик Марс макс 70гр</t>
  </si>
  <si>
    <t>Батончик молочний з начинкою зі смаком вишневий брауні Тідбіт Рошен 50гр</t>
  </si>
  <si>
    <t>Батончик молочний з начинкою зі смаком вишневий брауні Тідбіт Рошен 50гр Акція</t>
  </si>
  <si>
    <t>Батончик молочний з нугою і м'якою карамеллю з арахісом Тідбіт Рошен 50гр</t>
  </si>
  <si>
    <t>Батончик молочний з нугою і м'якою карамеллю з арахісом Тідбіт Рошен м/у 50гр Акція</t>
  </si>
  <si>
    <t>Батончик молочний шоколад з арахісовою начинкою Рошен 38гр</t>
  </si>
  <si>
    <t>Батончик молочний шоколад з арахісовою начинкою Рошен м/у 38гр Акція</t>
  </si>
  <si>
    <t>Батончик молочний шоколад з арахісом та арахісовим кремом Рошен 39гр</t>
  </si>
  <si>
    <t>Батончик молочний шоколад з арахісом та арахісовим кремом Рошен м/у 39гр Акція</t>
  </si>
  <si>
    <t>Батончик молочний шоколад з начинкою крем-брюле Рошен 43гр</t>
  </si>
  <si>
    <t>Батончик молочний шоколад з начинкою крем-брюле Рошен м/у 43гр Акція</t>
  </si>
  <si>
    <t>Батончик молочно-шоколадний з карамельною начинкою Рошен п/о 40гр</t>
  </si>
  <si>
    <t>Батончик Натс 42гр</t>
  </si>
  <si>
    <t>Батончик Сайз Кінг Натс 60гр</t>
  </si>
  <si>
    <t>Батончик Снікерс 50гр</t>
  </si>
  <si>
    <t>Батончик Твікс 50гр</t>
  </si>
  <si>
    <t>Батончик Тріо Снікерс 112,5гр</t>
  </si>
  <si>
    <t>Батончик чанкі Кіт Кат 40гр</t>
  </si>
  <si>
    <t>Батончик чорний шоколад з начинкою Рошен 43гр</t>
  </si>
  <si>
    <t>Батончик чорний шоколад з начинкою Рошен м/у 43гр Акція</t>
  </si>
  <si>
    <t>Батончик шоколадний Буено Кіндер 43гр</t>
  </si>
  <si>
    <t>Батончик шоколадний в білій глазурі Буено Кіндер 39гр</t>
  </si>
  <si>
    <t>Вафлі глазуровані Арахісовий вафельний кранч Салекс м/у 36гр</t>
  </si>
  <si>
    <t>Вафлі глазуровані Мілк'с Салекс м/у 32гр</t>
  </si>
  <si>
    <t>Вафлі глазуровані молочний шоколад Рошетто Рошен м/у 34гр</t>
  </si>
  <si>
    <t>Вафлі глазуровані Рошетто арахіс Рошен м/у 34гр</t>
  </si>
  <si>
    <t>Вафлі глазуровані чорний шоколад Рошетто Рошен м/у 34гр</t>
  </si>
  <si>
    <t>Вафлі з горіхом фундук Чоко-шокс Полюс м/у 45гр</t>
  </si>
  <si>
    <t>Вафлі з солоною карамеллю Чоко-шокс Полюс м/у 45гр</t>
  </si>
  <si>
    <t>Печиво з начинкою маршмелоу Супер Контік Конті 30гр</t>
  </si>
  <si>
    <t>Печиво Супер Контік зі смаком молока Конті 76гр</t>
  </si>
  <si>
    <t>Печиво-сендвіч зі смаком горіха Супер Контік Конті м/у 90гр</t>
  </si>
  <si>
    <t>Печиво-сендвіч молочний зі смаком кокоса Супер Контік Конті м/у 90гр</t>
  </si>
  <si>
    <t>Печиво-сендвіч смак згущеного молока Супер Контік Конті м/у 90гр</t>
  </si>
  <si>
    <t>Печиво-сендвіч шоколадний смак Супер Контік Конті м/у 90гр</t>
  </si>
  <si>
    <t>Подушечки круп'яні неглазуровані з молочною начинкою Смачна забава Золоте зерно м/у 300гр</t>
  </si>
  <si>
    <t>Печиво в екранах</t>
  </si>
  <si>
    <t>Подушечки круп'яні неглазуровані з шоколадною начинкою Смачна забава Золоте зерно м/у 300гр</t>
  </si>
  <si>
    <t>Торт вафельний глазурований з ароматом карамелі Полюс м/у 50гр</t>
  </si>
  <si>
    <t>Шоколадно-вафельні торти</t>
  </si>
  <si>
    <t>Торт вафельний глазурований з додаванням згущеного молока Полюс м/у 50гр</t>
  </si>
  <si>
    <t>Торт вафельний глазурований Кокос Полюс м/у 50гр</t>
  </si>
  <si>
    <t>Торт вафельний глазурований Мигдаль Полюс м/у 50гр</t>
  </si>
  <si>
    <t>Торт вафельний глазурований Фундук Полюс м/у 50гр</t>
  </si>
  <si>
    <t>Торт вафельний з шоколадним смаком Кінг Річард ХБФ м/у 57гр</t>
  </si>
  <si>
    <t>Тортик вафельний мигдаль та фундук Кінг Річард ХБФ 57гр</t>
  </si>
  <si>
    <t>Цукерки кокос Еден Джой ЖЛ 45гр</t>
  </si>
  <si>
    <t>Цукерки марципан Зентіс м/у 100гр</t>
  </si>
  <si>
    <t>Цукерки марципан Шлуквердер 75гр</t>
  </si>
  <si>
    <t>Шоколад зі злаками Кантрі Кіндер 23гр</t>
  </si>
  <si>
    <t>Шоколад молочний</t>
  </si>
  <si>
    <t>Шоколад молочний з молочною начинкою Макси Кіндер м/у 21гр</t>
  </si>
  <si>
    <t>Шоколад молочний з печивом Орео Мілка 37гр</t>
  </si>
  <si>
    <t>Шоколад молочний полуниця Мус Міленіум 33гр</t>
  </si>
  <si>
    <t>Яйце шоколадне з іграшкою Кіндер Джой Кіндер п/у 20гр</t>
  </si>
  <si>
    <t>Солодощі з іграшками</t>
  </si>
  <si>
    <t>Яйце шоколадне з іграшкою Кіндер Сюрприз Кіндер м/у 20гр</t>
  </si>
  <si>
    <t>Яйце шоколадне з іграшкою Колекційне Кіндер Сюрприз Кіндер м/у 20гр</t>
  </si>
  <si>
    <t>Яйце шоколадне з іграшкою Макси Кіндер Сюрприз Кіндер м/у 100гр</t>
  </si>
  <si>
    <t>Яйце шоколадне з іграшкою Щенячий патруль Зайні м/у 20гр</t>
  </si>
  <si>
    <t>Бісквіт Мілка 35гр</t>
  </si>
  <si>
    <t>Бісквіти фасовані</t>
  </si>
  <si>
    <t>Кекс з наповнювачем з шоколадним ароматом Ведмежатко Престиж кг</t>
  </si>
  <si>
    <t>Кекси, мафіни вагові</t>
  </si>
  <si>
    <t>Кекс Роса Диво Звірятка з наповнювачем зі смаком тофі</t>
  </si>
  <si>
    <t>Кекс Роса Диво Звірятка з наповнювачем зі смаком шоколаду</t>
  </si>
  <si>
    <t>Кекс Роса з родзинками</t>
  </si>
  <si>
    <t>Кекс Традиційний Біскотті кг</t>
  </si>
  <si>
    <t>Кексик із наповнювачем зі смаком банану Диво-звірятка Роса кг</t>
  </si>
  <si>
    <t>Мафін Белла Авеста кг</t>
  </si>
  <si>
    <t>Мафін Зебра Денис кг</t>
  </si>
  <si>
    <t>Мафін Кокос Денис кг</t>
  </si>
  <si>
    <t>Міні пиріг Віденський Денис кг</t>
  </si>
  <si>
    <t>Пироги фасовані</t>
  </si>
  <si>
    <t>Рулет Золотий ключик Рошен 180гр</t>
  </si>
  <si>
    <t>Бісквітні рулети фасовані</t>
  </si>
  <si>
    <t>Рулет молочно-абрикосовий ХБФ 290гр</t>
  </si>
  <si>
    <t>Рулет Празький Рошен 180гр</t>
  </si>
  <si>
    <t>Рулет П'янка вишня Рошен м/у 180гр</t>
  </si>
  <si>
    <t>Тістечка бісквітні вишня-крем П'янка вишня Рошен м/у 300гр</t>
  </si>
  <si>
    <t>Тістечка бісквітні глазуровані ТуКул Мілк Паті Рошен м/у 270гр Акція</t>
  </si>
  <si>
    <t>Тістечка бісквітні глазуровані ТуКул Стравбері Сплеш Рошен м/у 270гр Акція</t>
  </si>
  <si>
    <t>Тістечка бісквітні глазуровані ТуКул Чоко Фест Рошен м/у 270гр Акція</t>
  </si>
  <si>
    <t>Тістечка бісквітні з начинкою зі смаком шоколаду Празький Рошен м/у 300гр</t>
  </si>
  <si>
    <t>Тістечка бісквітні зі смаком згущеного молока Золотий ключик Рошен м/у 300гр</t>
  </si>
  <si>
    <t>Тістечко бісквітне з какао та молочною начинкою Деліз Кіндер м/у 39гр</t>
  </si>
  <si>
    <t>Вафельні рулетики з ароматом пряженого молока Фірмові Тоня к/у кг</t>
  </si>
  <si>
    <t>Вафлі вагові</t>
  </si>
  <si>
    <t>Вафельні трубочки з ванільною начинкою Конафетто Рошен м/у 140гр</t>
  </si>
  <si>
    <t>Вафельні трубочки з горіховою начинкою Конафетто Рошен м/у 140гр</t>
  </si>
  <si>
    <t>Вафельні трубочки з кокосовою начинкою Конафетто Рошен м/у 140гр</t>
  </si>
  <si>
    <t>Вафельні трубочки з молочною начинкою Конафетто Рошен м/у 140гр</t>
  </si>
  <si>
    <t>Вафельні трубочки з начинкою крем-какао Конафетто Рошен м/у 140гр</t>
  </si>
  <si>
    <t>Вафлі арахіс-варене згущене молоко Престижіо Престиж 52гр</t>
  </si>
  <si>
    <t>Вафлі Артек зі смаком молока Престиж пак к/у кг</t>
  </si>
  <si>
    <t>Вафлі Артек лимонні Престиж пакет к/у кг</t>
  </si>
  <si>
    <t>Вафлі Артек Плюс ХЗПТ кг</t>
  </si>
  <si>
    <t>Вафлі Артек ХБФ м/у 130гр</t>
  </si>
  <si>
    <t>Вафлі Балу Пічінгер</t>
  </si>
  <si>
    <t>Вафлі Бам-Бей з какао з начинкою с шоколадним ароматом Престиж к/у кг</t>
  </si>
  <si>
    <t>Вафлі горіх Ваферс Рошен м/у 216гр Акція</t>
  </si>
  <si>
    <t>Вафлі Деліс АСК к/у кг</t>
  </si>
  <si>
    <t>Вафлі з молочно-горіховою начинкою в молочному шоколаді Буено Кіндер к/у 108гр</t>
  </si>
  <si>
    <t>Вафлі з молочною і какао начинкою Кардс Кіндер к/у 3х25,6гр</t>
  </si>
  <si>
    <t>Вафлі з начинкою з шоколадним ароматом Бам-Бей Престиж к/у кг</t>
  </si>
  <si>
    <t>Вафлі зі смаком пломбіру Артек Світоч м/у 71гр</t>
  </si>
  <si>
    <t>Вафлі какао Ваферс Рошен м/у 216гр Акція</t>
  </si>
  <si>
    <t>Вафлі какао-молоко Ваферс Рошен м/у 216гр Акція</t>
  </si>
  <si>
    <t>Вафлі какао-фундук Престижіо Престиж 52гр</t>
  </si>
  <si>
    <t>Вафлі класичні Артек Світоч м/у 71гр</t>
  </si>
  <si>
    <t>Вафлі кокос та мигдаль Ваферс Рошен м/у 216гр Акція</t>
  </si>
  <si>
    <t>Вафлі кранч горіх Екстра Рошен м/у 142гр</t>
  </si>
  <si>
    <t>Вафлі кранч молоко-ваніль Екстра Рошен м/у 142гр</t>
  </si>
  <si>
    <t>Вафлі кранч шоколад Екстра Рошен м/у 142гр</t>
  </si>
  <si>
    <t>Вафлі лимон Ваферс Рошен м/у 216гр Акція</t>
  </si>
  <si>
    <t>Вафлі лимон кранч Екстра Сендвіч Рошен м/у 142гр</t>
  </si>
  <si>
    <t>Вафлі Лимонні ХЗПТ кг</t>
  </si>
  <si>
    <t>Вафлі лісовий горіх Премьер Престиж м/у 35гр</t>
  </si>
  <si>
    <t>Вафлі Маджик Тейл ХБФ кг</t>
  </si>
  <si>
    <t>Вафлі молоко Ваферс Рошен м/у 216гр Акція</t>
  </si>
  <si>
    <t>Вафлі молоко Премьер Престиж м/у 35гр</t>
  </si>
  <si>
    <t>Вафлі молоко-мигдаль Престижіо Престиж 52гр</t>
  </si>
  <si>
    <t>Вафлі Молочні ХЗПТ кг</t>
  </si>
  <si>
    <t>Вафлі полуниця кранч Екстра Сендвіч Рошен м/у 142гр</t>
  </si>
  <si>
    <t>Вафлі Рошен Ваферс какао-молоко 216гр</t>
  </si>
  <si>
    <t>Вафлі солодкі зі смаком масло-ваніль Медальйонс Лекорна м/у 100гр</t>
  </si>
  <si>
    <t>Вафельні коржі</t>
  </si>
  <si>
    <t>Вафлі солоні з сушеною цибулею Медальйонс Лекорна м/у 90гр</t>
  </si>
  <si>
    <t>Вафлі солоні з томатом та базиліком Медальйонс Лекорна м/у 90гр</t>
  </si>
  <si>
    <t>Вафлі Трубочки зі смаком пряженого молока Деліція лоток 400гр</t>
  </si>
  <si>
    <t>Вафлі шоколад Премьер Престиж м/у 35гр</t>
  </si>
  <si>
    <t>Торт вафельний варене згущене молоко Мері Голд ХБФ к/у 220гр</t>
  </si>
  <si>
    <t xml:space="preserve">Торт вафельний капучино Мері Голд ХБФ к/у 220гр </t>
  </si>
  <si>
    <t>Торт вафельний мигдаль та фундук Мері Голд ХБФ к/у 220гр</t>
  </si>
  <si>
    <t>Торт вафельний молоко Мері Голд ХБФ к/у 220гр</t>
  </si>
  <si>
    <t>Торт вафельний шоколадний Мері Голд ХБФ к/у 220гр</t>
  </si>
  <si>
    <t>Торт шоколадно-вафельний Рандеву ХБФ 425гр</t>
  </si>
  <si>
    <t>Торт шоколадно-вафельний Тріумф ХБФ 1000гр</t>
  </si>
  <si>
    <t>Трубочка вафельна Лекорна 40гр</t>
  </si>
  <si>
    <t>Вафельні тарталетки</t>
  </si>
  <si>
    <t>Мармелад дольки Лимон-Апельсин Клім 240гр</t>
  </si>
  <si>
    <t>Мармелад фасований</t>
  </si>
  <si>
    <t>Мармелад желейний з ароматом лимону та апельсину Дольки Клім к/у кг</t>
  </si>
  <si>
    <t>Мармелад ваговий</t>
  </si>
  <si>
    <t>Мармелад желейний з фруктовими ароматами Фантазія Клім к/у кг</t>
  </si>
  <si>
    <t>Мармелад желейний Мармеладна країна Клім 0,5кг</t>
  </si>
  <si>
    <t>Мармелад желейний Мармеладна країна Клім к/у кг</t>
  </si>
  <si>
    <t>Мармелад желейний тришаровий Клім к/у кг</t>
  </si>
  <si>
    <t>Мармелад жувальний Полуниця Елван 15гр</t>
  </si>
  <si>
    <t>Мармелад жувальний Ролси Чупа Чупс 70гр</t>
  </si>
  <si>
    <t>Мармелад жувальний Фанси та ролси Чупа Чупс 220гр</t>
  </si>
  <si>
    <t>Мармелад жувальний Фанси Чупа Чупс 150гр</t>
  </si>
  <si>
    <t>Мармелад жувальний Яблуко Елван 15гр</t>
  </si>
  <si>
    <t>Мармелад Лук о Лук Бургер Кенді 130гр</t>
  </si>
  <si>
    <t>Мармелад Лук о Лук Кенді Суші 300гр</t>
  </si>
  <si>
    <t>Мармелад Тако Лук о Лук Кенді 115гр</t>
  </si>
  <si>
    <t>Мармелад Фінляндія фруктове асорті 260гр</t>
  </si>
  <si>
    <t>Мармелад Фрайс Лук о Лук Кенді 115гр</t>
  </si>
  <si>
    <t>Мармелад яблуко-вишня Равлик Боб 27гр</t>
  </si>
  <si>
    <t>Пастила для дітей</t>
  </si>
  <si>
    <t>Мармелад Яблуко-вишня Равлик Боб 38гр</t>
  </si>
  <si>
    <t xml:space="preserve">Цукерки Банана Ленд Яммі Гаммі Рошен 70гр Акція </t>
  </si>
  <si>
    <t>Желейні вироби фасовані</t>
  </si>
  <si>
    <t>Цукерки Гігантська жабка Фіні кг</t>
  </si>
  <si>
    <t>Желейні вироби вагові</t>
  </si>
  <si>
    <t>Цукерки желейні Анаконди Відал кг</t>
  </si>
  <si>
    <t>Цукерки желейні Вишеньки Фіні кг</t>
  </si>
  <si>
    <t>Цукерки желейні Вотермелон слайс Яммі Гаммі Рошен 70гр Акція</t>
  </si>
  <si>
    <t>Цукерки желейні Гігантська полуниця Фіні кг</t>
  </si>
  <si>
    <t>Цукерки желейні Дейдрім Яммі Гаммі Рошен м/у 70гр</t>
  </si>
  <si>
    <t>Цукерки желейні донатс Яммі Гаммі Рошен м/у 70гр Акція</t>
  </si>
  <si>
    <t>Цукерки желейні маленькі фігурки Мікс Фіні м/у 90гр</t>
  </si>
  <si>
    <t>Цукерки желейні Мікс міні фігурки Фіні кг</t>
  </si>
  <si>
    <t>Цукерки желейні Міні Ведмедики мікс Яммі Гаммі Рошен м/у 165гр</t>
  </si>
  <si>
    <t>Цукерки желейні Міні Ведмедики мікс Яммі Гаммі Рошен м/у 165гр Акція</t>
  </si>
  <si>
    <t>Цукерки желейні полуниця Ролер Фіні м/у 20гр</t>
  </si>
  <si>
    <t>Цукерки желейні Соур Еплс Яммі Гаммі Рошен м/у 165гр</t>
  </si>
  <si>
    <t>Цукерки желейні Фанні кола Яммі Гаммі Рошен 70гр Акція</t>
  </si>
  <si>
    <t>Цукерки желейні Флаффі Шіп Яммі Гаммі Рошен м/у 70гр</t>
  </si>
  <si>
    <t>Цукерки желейні Фруктова атака Фіні кг</t>
  </si>
  <si>
    <t>Цукерки желейні Черв'ячки Фіні м/у 90гр</t>
  </si>
  <si>
    <t>Цукерки желейні Яєшня Фіні кг</t>
  </si>
  <si>
    <t>Цукерки желейні Яммі Гаммі Гелексі Лайф Рошен м/у Акція 70гр</t>
  </si>
  <si>
    <t xml:space="preserve">Цукерки желейні Яммі Гаммі Дейдрім Рошен м/у Акція 70гр </t>
  </si>
  <si>
    <t>Цукерки желейні Яммі Гаммі Капкейки Рошен м/у Акція 70гр</t>
  </si>
  <si>
    <t>Цукерки желейні Яммі Гаммі Соур Еплс Рошен м/у 165гр Акція</t>
  </si>
  <si>
    <t>Цукерки желейні Яммі Гаммі Соур Стравберіз Рошен м/у Акція 70гр</t>
  </si>
  <si>
    <t>Цукерки желейні Яммі Гаммі Флаффі Шіп Рошен м/у Акція 70гр</t>
  </si>
  <si>
    <t>Цукерки желейні Яммі Гаммі Фрозен Його Рошен м/у Акція 70гр</t>
  </si>
  <si>
    <t>Цукерки желейні Яммі Гаммі Черрі Рошен м/у Акція 70гр</t>
  </si>
  <si>
    <t>Цукерки желейні Яммі Гаммі Чізкейкс Рошен м/у Акція 70гр</t>
  </si>
  <si>
    <t xml:space="preserve">Цукерки Карротс Яммі Гаммі Рошен 70гр Акція </t>
  </si>
  <si>
    <t>Цукерки літній мікс Бонні-фрут Рошен 200гр</t>
  </si>
  <si>
    <t>Цукерки мармелад жувальний Ведмедики Троллі кг</t>
  </si>
  <si>
    <t>Цукерки мармелад жувальний Касатка Троллі кг</t>
  </si>
  <si>
    <t>Цукерки мармелад жувальний Кислі світлячки Троллі кг</t>
  </si>
  <si>
    <t>Цукерки мармелад жувальний Корови Троллі кг</t>
  </si>
  <si>
    <t>Цукерки мармелад жувальний Миша Троллі кг</t>
  </si>
  <si>
    <t>Цукерки мармелад жувальний Розвага для всіх Троллі кг</t>
  </si>
  <si>
    <t>Цукерки мармелад жувальний Тарантул Троллі кг</t>
  </si>
  <si>
    <t>Цукерки мармелад жувальний Фруктові черв'яки Троллі кг</t>
  </si>
  <si>
    <t>Цукерки Смаіл Мікс Яммі Гаммі Рошен 70гр Акція</t>
  </si>
  <si>
    <t xml:space="preserve">Цукерки соур белтс Яммі Гаммі Рошен 70гр Акція </t>
  </si>
  <si>
    <t>Цукерки Фіні Зуби кг</t>
  </si>
  <si>
    <t>Цукерки цитрусові фрукти Бонні-фрут Рошен 200гр</t>
  </si>
  <si>
    <t>Гумка жувальна без цукру Бабблмінт Орбіт м/у 29гр</t>
  </si>
  <si>
    <t>Жувальні цукерки, гумки</t>
  </si>
  <si>
    <t>Гумка жувальна без цукру Бабблмінт Орбіт п/б 64гр</t>
  </si>
  <si>
    <t>Гумка жувальна без цукру Баблмінт Орбіт м/у 14гр</t>
  </si>
  <si>
    <t>Гумка жувальна без цукру Весела лохина Орбіт м/у 14гр</t>
  </si>
  <si>
    <t>Гумка жувальна без цукру Вінтерфреш Орбіт м/у 14гр</t>
  </si>
  <si>
    <t>Гумка жувальна без цукру зі смаком фруктів і м'яти Баблфреш Ікс-Фреш Дірол к/у 13,5гр</t>
  </si>
  <si>
    <t>Гумка жувальна без цукру Класичний Вайт Орбіт м/у 14гр</t>
  </si>
  <si>
    <t>Гумка жувальна без цукру Лісова суниця Орбіт м/у 14гр</t>
  </si>
  <si>
    <t>Гумка жувальна без цукру Малина-гранат Вайт Орбіт м/у 14гр</t>
  </si>
  <si>
    <t>Гумка жувальна без цукру Свіжа м'ята Вайт Орбіт м/у 14гр</t>
  </si>
  <si>
    <t>Гумка жувальна без цукру Свіжа м'ята Вайт Орбіт п/б 64гр</t>
  </si>
  <si>
    <t>Гумка жувальна без цукру Свіжість м'яти Ікс-Фреш Дірол к/у 13,5гр</t>
  </si>
  <si>
    <t>Гумка жувальна без цукру Соковитий кавун Орбіт м/у 14гр</t>
  </si>
  <si>
    <t>Гумка жувальна без цукру Солодка м'ята Орбіт м/у 14гр</t>
  </si>
  <si>
    <t>Гумка жувальна без цукру Солодка м'ята Орбіт м/у 29гр</t>
  </si>
  <si>
    <t>Гумка жувальна Зелене яблоко Біг Бабл Чупа Чупс м/у 27,6гр</t>
  </si>
  <si>
    <t>Гумка жувальна Кавун Фіні м/у 90г</t>
  </si>
  <si>
    <t>Гумка жувальна Полуниця Біг Бабл Чупа Чупс м/у 27,6гр</t>
  </si>
  <si>
    <t>Гумка жувальна Солодка вата полуничний смак Чупа Чупс м/у 11гр</t>
  </si>
  <si>
    <t>Карамель, льодяники фасовані</t>
  </si>
  <si>
    <t>Жувальна гумка в тюбику Сквізі Баблз Джонні Бі п/е 30гр</t>
  </si>
  <si>
    <t>Жувальна гумка Крісс фруктові кульки 30гр</t>
  </si>
  <si>
    <t>Жувальна гумка Фіні фруктовий мікс 100гр</t>
  </si>
  <si>
    <t>Іграшка Автомат з жуйками Джонні Бі п/е 23гр</t>
  </si>
  <si>
    <t>Іграшка з жуйками Атака м'яча Джонні Бі п/е 10гр</t>
  </si>
  <si>
    <t>Вата цукрова зі смаком банану Тейсті Лесті відро 20гр</t>
  </si>
  <si>
    <t>Солодка вата</t>
  </si>
  <si>
    <t>Вата цукрова зі смаком полуниці Тейсті Лесті відро 20гр</t>
  </si>
  <si>
    <t>Вата цукрова класична Тейсті Лесті відро 20гр</t>
  </si>
  <si>
    <t>Зефір апельсиновий Смайл Жако 300гр</t>
  </si>
  <si>
    <t>Зефір фасований</t>
  </si>
  <si>
    <t>Зефір Біло-рожевий Жако 350гр</t>
  </si>
  <si>
    <t>Зефір Біло-рожевий Жако к/у кг</t>
  </si>
  <si>
    <t>Зефір ваговий</t>
  </si>
  <si>
    <t>Зефір Біло-рожевий Престиж пак кг</t>
  </si>
  <si>
    <t>Зефір Ванільний аромат Тоня 450гр</t>
  </si>
  <si>
    <t>Зефір КоКо Престиж кг</t>
  </si>
  <si>
    <t>Зефір маршмеллоу Зефірозиво Їж Наше 11гр</t>
  </si>
  <si>
    <t>Маршмеллоу</t>
  </si>
  <si>
    <t>Зефір Престиж Флірт ванільний глазурований</t>
  </si>
  <si>
    <t>Зефір чорничний Смайл Жако 300гр</t>
  </si>
  <si>
    <t>Маршмеллоу з ароматом ванілі Барбекю ЇжНаше м/у 250гр</t>
  </si>
  <si>
    <t>Маршмеллоу з ароматом кавуна Демі м/у 150гр</t>
  </si>
  <si>
    <t>Маршмеллоу з ароматом полуниці Веселі пружинки ЇжНаше м/у 200гр</t>
  </si>
  <si>
    <t>Маршмеллоу з ароматом полуниці Панда Їж Наше м/у 65гр</t>
  </si>
  <si>
    <t>Маршмеллоу Паті Мікс Фіні м/у 80гр</t>
  </si>
  <si>
    <t>Маршмеллоу Попс-джелі-мелоу Мейк Джой 27гр</t>
  </si>
  <si>
    <t>Маршмеллоу Рожевий та білий Демі м/у 60гр</t>
  </si>
  <si>
    <t>Маршмеллоу Тапа-лапка Демі м/у 150гр</t>
  </si>
  <si>
    <t>Маршмеллоу Тапа-лапка Демі м/у 80гр</t>
  </si>
  <si>
    <t>Маршмеллоу Твіст Демі м/у 80гр</t>
  </si>
  <si>
    <t>Маршмеллоу Твіст Фіні м/у 80гр</t>
  </si>
  <si>
    <t>Маршмелоу ароматизоване Тучки-штучки Їж Наше 175гр</t>
  </si>
  <si>
    <t>Маршмелоу Дозки Їж Наше м/у 50гр</t>
  </si>
  <si>
    <t>Маршмелоу зі смаком кавуна Ватермелоу Оккі 30гр</t>
  </si>
  <si>
    <t>Маршмелоу зі смаком Персика Роллс Оккі 140гр</t>
  </si>
  <si>
    <t>Маршмелоу зі смаком Полуниці Оккі 140гр</t>
  </si>
  <si>
    <t>Маршмелоу Паті тайм Мейк Джой 80гр</t>
  </si>
  <si>
    <t>Маршмелоу Пау Вау Мейк Джой 21гр</t>
  </si>
  <si>
    <t>Маршмелоу Рожеві Фіні м/у 80гр</t>
  </si>
  <si>
    <t>Маршмелоу Спрінг Мейк Джой 15гр</t>
  </si>
  <si>
    <t>Маршмелоу твіст зі смаком жуйки Тутті-Фрутті Оккі 30гр</t>
  </si>
  <si>
    <t>Маршмелоу Тучки-штучки Їж Наше м/у 75гр</t>
  </si>
  <si>
    <t>Солодка вата Вата-БУМ Боомза відро 35гр</t>
  </si>
  <si>
    <t>Солодка вата Фруктовий Мікс Асорті Боомза ст 16гр</t>
  </si>
  <si>
    <t>Солодка вата Фруктовий Мікс Боомза відро 30гр</t>
  </si>
  <si>
    <t>Драже Амарантові кульки з кокосом у хрусткій оболонці Клім кг</t>
  </si>
  <si>
    <t>Драже Апельсин Тік Так п/у 18гр</t>
  </si>
  <si>
    <t>Драже Арахіс в йогурті Солодка колекція кг</t>
  </si>
  <si>
    <t>Драже вагові</t>
  </si>
  <si>
    <t>Драже Арахіс в какао і йогурті Солодка колекція кг</t>
  </si>
  <si>
    <t>Драже арахіс в какао Клім кг</t>
  </si>
  <si>
    <t>Драже Арахіс в какао Солодка колекція кг</t>
  </si>
  <si>
    <t>Драже арахіс в кунжуті Клім кг</t>
  </si>
  <si>
    <t>Драже арахіс М&amp;М 45гр</t>
  </si>
  <si>
    <t>Драже арахіс-молочний шоколад М&amp;М 90гр</t>
  </si>
  <si>
    <t>Драже асорті Голден Нат Міленіум 100гр</t>
  </si>
  <si>
    <t>Драже бабл гам Оккі 25гр</t>
  </si>
  <si>
    <t>Драже горіхове арахіс у йогурті Клім м/у 80гр</t>
  </si>
  <si>
    <t>Драже Горіхове арахіс у какао-порошку Клім м/у 80гр</t>
  </si>
  <si>
    <t>Драже горіхове тріо Особливе Клім кг</t>
  </si>
  <si>
    <t>Драже горішки в глазурі Клоун 60гр</t>
  </si>
  <si>
    <t>Драже Діно Еггс у хрусткій оболонці Клім м/у 80гр</t>
  </si>
  <si>
    <t>Драже Др Лаб Міні Канді Джоні Бі 16гр</t>
  </si>
  <si>
    <t>Драже Дропс Мейк Джой 12гр</t>
  </si>
  <si>
    <t>Драже зі смаком пітахаї Тік Так п/у 18гр</t>
  </si>
  <si>
    <t>Драже зі смаком пітахаї Тік Так п/у 54гр</t>
  </si>
  <si>
    <t>Драже кисломікс Скітлс 38гр</t>
  </si>
  <si>
    <t>Драже Корсар кокосове Скава м/у 60гр</t>
  </si>
  <si>
    <t>Драже Лісові ягоди Скітлс 38гр</t>
  </si>
  <si>
    <t>Драже Мигдаль у шоколаді з кокосом Голден Натс Міленіум м/у 100гр</t>
  </si>
  <si>
    <t>Драже молочний шоколад М&amp;М 90гр</t>
  </si>
  <si>
    <t>Драже Морські камінці Клім кг</t>
  </si>
  <si>
    <t>Драже Морські камінці Клім м/у 80гр</t>
  </si>
  <si>
    <t>Драже М'ята Тік Так п/у 18гр</t>
  </si>
  <si>
    <t>Драже Особливе Клім 333гр</t>
  </si>
  <si>
    <t>Драже Полуниця Тік Так п/у 18гр</t>
  </si>
  <si>
    <t>Драже рисові кульки-молочний шоколад М&amp;М 36гр</t>
  </si>
  <si>
    <t>Драже Соняшник в какао Солодка колекція кг</t>
  </si>
  <si>
    <t>Драже Соул Оккі 25гр</t>
  </si>
  <si>
    <t>Драже Фаберже у хрусткій оболонці Конфітрейд кг</t>
  </si>
  <si>
    <t>Драже Фрукти Скітлс 38гр</t>
  </si>
  <si>
    <t>Драже фрутс Оккі 25гр</t>
  </si>
  <si>
    <t>Драже шоколад М&amp;М 45гр</t>
  </si>
  <si>
    <t>Жувальна гумка з ефектом пудри Джонні Бі 35гр</t>
  </si>
  <si>
    <t>Жувальна гумка Крейзі Ролл Джонні Бі 15гр</t>
  </si>
  <si>
    <t>Іграшка-льодяник Дитяча соска Джонні Бі п/е 32гр</t>
  </si>
  <si>
    <t>Іграшка-льодяник Кислий Горщик Джонні Бі п/е 19гр</t>
  </si>
  <si>
    <t>Іграшка-льодяник Ключ від авто Джонні Бі п/е 10гр</t>
  </si>
  <si>
    <t>Іграшка-льодяник Кролик Джонні Бі п/е 23гр</t>
  </si>
  <si>
    <t>Іграшка-льодяник Поп-Іт Спінер Джонні Бі п/е 15гр</t>
  </si>
  <si>
    <t>Іграшка-льодяник Спінер Кенді Джонні Бі п/е 23гр</t>
  </si>
  <si>
    <t>Іграшка-льодяник Хамелеон Джонні Бі п/е 10гр</t>
  </si>
  <si>
    <t>Карамель Мелоді попс Чупа Чупс м/у 15гр</t>
  </si>
  <si>
    <t>Льодяник Айс Крім Мейк Джой 25гр</t>
  </si>
  <si>
    <t>Льодяник Дзиґа Кіко Чупс 25гр</t>
  </si>
  <si>
    <t>Льодяник Діп Фіт Джонні Бі 9гр</t>
  </si>
  <si>
    <t>Льодяник з вибуховою карамеллю П'ятка та палець Джонні Бі п/е 13гр</t>
  </si>
  <si>
    <t>Льодяник зі смаком апельсину та винограду 3Д Скулл Чупа Чупс 15гр</t>
  </si>
  <si>
    <t>Льодяник Неон Вафер Лолліпоп 10гр</t>
  </si>
  <si>
    <t>Льодяник Ніндзя Мейк Джой 25гр</t>
  </si>
  <si>
    <t>Льодяник Оригінал Гурмет Лолліпопс 31гр</t>
  </si>
  <si>
    <t>Льодяник Пеінт Роллер Кенді 7гр</t>
  </si>
  <si>
    <t>Льодяник Тріо Чупа Чупс 29гр</t>
  </si>
  <si>
    <t>Льодяник Фанні попс кавун Мейк Джой 30гр</t>
  </si>
  <si>
    <t>Льодяник Фанні попс полуниця Мейк Джой 40гр</t>
  </si>
  <si>
    <t>Льодяники Апельсин і вітамін С Холс м/у 25,2гр</t>
  </si>
  <si>
    <t>Льодяники без цукру Апельсин Палмолл 45гр</t>
  </si>
  <si>
    <t>Льодяники без цукру Лимон Палмолл 45гр</t>
  </si>
  <si>
    <t>Льодяники в дiсплеї з брелоком Конфітрейд 20гр</t>
  </si>
  <si>
    <t>Льодяники екстра стронг Холс м/у 25,2гр</t>
  </si>
  <si>
    <t>Льодяники Лісові ягоди Калфані 150гр</t>
  </si>
  <si>
    <t>Льодяники Монпансьє Мейк Джой 30гр</t>
  </si>
  <si>
    <t>Льодяники фруктове асорті Калфані 150гр</t>
  </si>
  <si>
    <t>Льодяники Фруктовий мікс Калфані 150гр</t>
  </si>
  <si>
    <t>Льодяники Цитрус Калфані 150гр</t>
  </si>
  <si>
    <t>Льодяник-шипучка зі смаком тропічних фруктів Б-Поп Чупа Чупс 15гр</t>
  </si>
  <si>
    <t>Набір олівці з драже Пес Патрон Монжар 22гр</t>
  </si>
  <si>
    <t>Набір олівці з драже Пірати Монжар 22гр</t>
  </si>
  <si>
    <t>Набір цукерок Сумочка для дівчинки Кіко Чупс шт</t>
  </si>
  <si>
    <t>Набір цукерок Супер Чупс Конфітрейд 200гр</t>
  </si>
  <si>
    <t>Цукерка Біг Діппер пудра Джонні Бі 47гр</t>
  </si>
  <si>
    <t>Цукерка драже Вотч Джонні Бі 14гр</t>
  </si>
  <si>
    <t>Цукерка желейна Солодкі Гонки 6гр</t>
  </si>
  <si>
    <t>Цукерка Мега Ролл Джонні Бі 105гр</t>
  </si>
  <si>
    <t>Цукерка Нічне тату 10гр</t>
  </si>
  <si>
    <t>Цукерка Ручка Кислючий спрей 18гр</t>
  </si>
  <si>
    <t>Цукерка Солодка ручка з джемом 50гр</t>
  </si>
  <si>
    <t>Цукерка Фаєр Бластер фруктова спрей-піна 40мл</t>
  </si>
  <si>
    <t>Цукерка Фінгер Лолліпоп 10гр</t>
  </si>
  <si>
    <t>Цукерка-спрей з підсвіткою Джонні Бі Ламп 28гр</t>
  </si>
  <si>
    <t>Цукерка-сюрприз ріжок Свинка Пеппа 25гр</t>
  </si>
  <si>
    <t>Цукерки водяний пістолет Щенячий патруль Поп апс 20гр</t>
  </si>
  <si>
    <t>Цукерки водяний пістолет Щенячий патруль Поп апс 5гр</t>
  </si>
  <si>
    <t>Цукерки жувальні зі смаком апельсину Чупа Чупс м/у 45гр</t>
  </si>
  <si>
    <t>Цукерки жувальні зі смаком полуниці Чупа Чупс м/у 45гр</t>
  </si>
  <si>
    <t>Цукерки літак Щенячий патруль Поп апс 10гр</t>
  </si>
  <si>
    <t>Цукерки микс Поп апс 10гр</t>
  </si>
  <si>
    <t>Цукерки Шоко-Бонс Кіндер 46гр</t>
  </si>
  <si>
    <t>Цукерки шоколадні арахіс-мигдаль-рис кульки Чоко Кранч Міленіум к/у 100гр</t>
  </si>
  <si>
    <t>Цукерки Щенячий патруль Поп апс 10гр</t>
  </si>
  <si>
    <t>Цукерки яйце сюрприз з Мармеладками Мікс 10гр</t>
  </si>
  <si>
    <t>Яйце з іграшкою і драже Міні Мікс 10гр</t>
  </si>
  <si>
    <t xml:space="preserve">Крекер Буковки ХБФ м/у 180гр </t>
  </si>
  <si>
    <t>Крекери фасовані</t>
  </si>
  <si>
    <t>Крекер Бутербродний ХБФ кг</t>
  </si>
  <si>
    <t>Крекери вагові</t>
  </si>
  <si>
    <t>Крекер Бутербродний ХБФ м/у 400гр</t>
  </si>
  <si>
    <t>Крекер Дукат Грона кг</t>
  </si>
  <si>
    <t>Крекер з молочно-ванільною начинкою Ту Крек Рошен м/у 190гр</t>
  </si>
  <si>
    <t>Крекер з молочно-ванільною начинкою Ту Крек Рошен м/у 235гр</t>
  </si>
  <si>
    <t>Крекер з начинкою какао-горіх Ту Крек Рошен м/у 190гр</t>
  </si>
  <si>
    <t>Крекер з начинкою какао-горіх Ту Крек Рошен м/у 235гр</t>
  </si>
  <si>
    <t>Крекер з шоколадною начинкою Ту Крек Рошен м/у 190гр</t>
  </si>
  <si>
    <t>Крекер з шоколадною начинкою Ту Крек Рошен м/у 235гр</t>
  </si>
  <si>
    <t>Крекер зі смаком сиру Бро Пічкарь кг</t>
  </si>
  <si>
    <t>Крекер Мелодія Грона кг</t>
  </si>
  <si>
    <t xml:space="preserve">Крекер Пасьянс ХБФ м/у 180гр </t>
  </si>
  <si>
    <t>Крекер Соленики з цибулею Культ ЮА кг</t>
  </si>
  <si>
    <t>Крекер солоний Бро Пічкарь кг</t>
  </si>
  <si>
    <t>Крекер Фанні Фішес ХБФ м/у 180гр</t>
  </si>
  <si>
    <t>Крекер Фанні фішс ХБФ 400гр</t>
  </si>
  <si>
    <t>Крекер Цибулька ХБФ кг</t>
  </si>
  <si>
    <t>Крекер Цибулька ХБФ м/у 400гр</t>
  </si>
  <si>
    <t>Крекери та кренделики Микс Крокко м/у 250гр</t>
  </si>
  <si>
    <t>Круасан вишневим наповнювачем Лукас кг</t>
  </si>
  <si>
    <t>Круасани вагові</t>
  </si>
  <si>
    <t>Круасан з начинкою какао-крем Лукас кг</t>
  </si>
  <si>
    <t>Кукурудзяні трубочки з начинкою Молоко Престиж 400гр</t>
  </si>
  <si>
    <t>Кукурудзяні трубочки з начинкою Молоко Престиж кг</t>
  </si>
  <si>
    <t>Печиво вагове</t>
  </si>
  <si>
    <t>Кукурудзяні трубочки з начинкою Фундук Престиж 400гр</t>
  </si>
  <si>
    <t>Кукурудзяні трубочки з начинкою Шоколад Престиж 400гр</t>
  </si>
  <si>
    <t>Набір печива Mікс №3 Тоня к/у 0,5кг</t>
  </si>
  <si>
    <t>Набір печива Mікс №5 Тоня к/у 0,5кг</t>
  </si>
  <si>
    <t>Набір печива Mікс №7 Тоня к/у 0,45кг</t>
  </si>
  <si>
    <t>Набір печива цукрового оздобленого Асорті №3 Пічкарь к/у 500гр</t>
  </si>
  <si>
    <t>Печиво 33 корови згущенка ХБФ 55гр</t>
  </si>
  <si>
    <t>Печиво 33 корови сметанка ХБФ 55гр</t>
  </si>
  <si>
    <t>Печиво Айстра АСК 450гр</t>
  </si>
  <si>
    <t>Печиво Альпійська квіточка Престиж кг</t>
  </si>
  <si>
    <t>Печиво Американо Волхов кг</t>
  </si>
  <si>
    <t>Печиво Апельсинове желе в темній глазурі Атенкі Ріллі Енджой 400гр</t>
  </si>
  <si>
    <t>Печиво аромат вишні Бам-Бей Престиж 400гр</t>
  </si>
  <si>
    <t>Печиво аромат шоколаду Бам-Бей Престиж 400гр</t>
  </si>
  <si>
    <t>Печиво Асорті-2 Тоня к/у 600гр</t>
  </si>
  <si>
    <t>Печиво Асорті-4 Тоня 600гр</t>
  </si>
  <si>
    <t>Печиво біла глазур апельсинове Атенкі Енджой кг</t>
  </si>
  <si>
    <t>Печиво бісквітне Савоярді Гуллон 200гр</t>
  </si>
  <si>
    <t>Печиво ванільне Бельгійське Тоня кг</t>
  </si>
  <si>
    <t>Печиво Ведмедики Тишки ХБФ к/у 250гр</t>
  </si>
  <si>
    <t>Печиво Вершковий смак Корівка ХБФ м/у 55гр</t>
  </si>
  <si>
    <t>Печиво Вечірній Харків АСК 800гр</t>
  </si>
  <si>
    <t>Печиво Вишневе желе в темній глазурі Атенкі Ріллі Енджой 400гр</t>
  </si>
  <si>
    <t>Печиво Вівсяне Волхов кг</t>
  </si>
  <si>
    <t>Печиво вівсяне Десняночка к/у 0,4кг</t>
  </si>
  <si>
    <t>Печиво вівсяне Десняночка пак кг</t>
  </si>
  <si>
    <t>Печиво вівсяне з шоколадними шматочками Десняночка к/у 0,4кг</t>
  </si>
  <si>
    <t>Печиво вівсяне з шоколадними шматочками Десняночка пак кг</t>
  </si>
  <si>
    <t>Печиво Вівсяне Київхліб 360гр</t>
  </si>
  <si>
    <t>Пряники фасовані</t>
  </si>
  <si>
    <t>Печиво Вівсяне Рома кг</t>
  </si>
  <si>
    <t>Печиво Вівсяне Фірмове Тоня кг</t>
  </si>
  <si>
    <t>Печиво Вушка Лукас кг</t>
  </si>
  <si>
    <t xml:space="preserve">Печиво Вушка Лукас фас кг </t>
  </si>
  <si>
    <t>Печиво Горіхове ХБФ кг</t>
  </si>
  <si>
    <t>Печиво Горіхове ХБФ м/у 370гр</t>
  </si>
  <si>
    <t>Печиво Горішок зі згущеним молоком АСК к/у 500гр</t>
  </si>
  <si>
    <t>Печиво Горішок зі згущеним молоком Рома п/у 600гр</t>
  </si>
  <si>
    <t>Печиво Грильяжне Лукас кг</t>
  </si>
  <si>
    <t>Печиво Грильяжне Лукас фас кг</t>
  </si>
  <si>
    <t>Печиво Грильяжне НБХЗ 500гр</t>
  </si>
  <si>
    <t>Печиво Губернія АСК 800гр</t>
  </si>
  <si>
    <t>Печиво двошарове з начинкою з ароматом лісового горіха Хіт м/у 220гр</t>
  </si>
  <si>
    <t>Печиво двошарове з начинкою з ароматом шоколаду Хіт м/у 220гр</t>
  </si>
  <si>
    <t>Печиво двошарове з начинкою з ванілі Хіт м/у 220гр</t>
  </si>
  <si>
    <t>Печиво двошарове з начинкою солона карамель Хіт м/у 220гр</t>
  </si>
  <si>
    <t>Печиво Делікато Престиж кг</t>
  </si>
  <si>
    <t>Печиво Джага-Джага Лукас кг</t>
  </si>
  <si>
    <t>Печиво Диканське Марк кг</t>
  </si>
  <si>
    <t>Печиво з вершковим смаком Мальвіна Деліція кг</t>
  </si>
  <si>
    <t>Печиво з вишневою начинкою Бейгл Паті Ріллі Енджой к/у 400гр</t>
  </si>
  <si>
    <t>Печиво з вишневою начинкою Бейгл паті Ріллі Енджой кг</t>
  </si>
  <si>
    <t>Печиво з какао аромат шоколаду Бам-Бей Престиж 400гр</t>
  </si>
  <si>
    <t>Печиво з какао з начинкою покрите молочним шоколадом Твінс Гуллон к/у 252гр</t>
  </si>
  <si>
    <t>Печиво з молоком і кальцієм Марія+ Ярич м/у 155гр</t>
  </si>
  <si>
    <t>Печиво з молочним смаком Хітове Ріллі Енджой кг</t>
  </si>
  <si>
    <t>Печиво з начинкою з ванільним смаком Голден Орео к/у 176гр</t>
  </si>
  <si>
    <t>Печиво з начинкою із горіхової пасти та какао Бісквітс Нутелла д/п 193гр</t>
  </si>
  <si>
    <t>Печиво з начинкою із горіхової пасти та какао Бісквітс Нутелла м/у 42гр</t>
  </si>
  <si>
    <t>Печиво з начинкою какао Мультікейк Рошен м/у 180гр</t>
  </si>
  <si>
    <t>Печиво з начинкою молоко-крем Мультікейк Рошен м/у 180гр</t>
  </si>
  <si>
    <t>Печиво з цукром Повітряний десерт Тоня к/у 160гр</t>
  </si>
  <si>
    <t>Печиво з шоколадними краплями Американське Ріллі Енджой к/у 300гр</t>
  </si>
  <si>
    <t>Печиво з шоколадними шматочками з медом та горіхами Бельвіта к/у 225гр</t>
  </si>
  <si>
    <t>Печиво затяжне зі смаком пряженого молока Наполеон Грона м/у 228гр</t>
  </si>
  <si>
    <t>Печиво затяжне зі смаком пряженого молока Наполеон Грона тубус кг</t>
  </si>
  <si>
    <t>Печиво затяжне Зоологічне Тоня кг</t>
  </si>
  <si>
    <t>Печиво затяжне Марія Грона м/у 310гр</t>
  </si>
  <si>
    <t>Печиво затяжне Марія Клім м/у 160гр</t>
  </si>
  <si>
    <t>Печиво затяжне Марія оригінальна Ярич м/у 155гр</t>
  </si>
  <si>
    <t>Печиво затяжне сендвіч йогурт Наполеон Грона тубус кг</t>
  </si>
  <si>
    <t>Печиво затяжне-сендвіч Наполеон Грона тубус кг</t>
  </si>
  <si>
    <t>Печиво затяжне-сендвіч шоколадно-горіхове Наполеон Грона кг</t>
  </si>
  <si>
    <t>Печиво здобне Білосніжка Престиж м/у 400гр</t>
  </si>
  <si>
    <t>Печиво здобне в молочній глазурі Селеста Деліція кг</t>
  </si>
  <si>
    <t>Печиво здобне Желейна ягідка Деліція кг</t>
  </si>
  <si>
    <t>Печиво здобне з ароматом банана Симпатяшки Чарівна мозаїка к/у 500гр</t>
  </si>
  <si>
    <t>Печиво здобне з желейною начинкою зі смаком Малини Ловіта Рошен м/у 420гр</t>
  </si>
  <si>
    <t>Печиво здобне з какао Ловіта Брауні Рошен м/у 152гр</t>
  </si>
  <si>
    <t>Печиво здобне з кокосом Ловіта Блонді Брауні Рошен м/у 152гр</t>
  </si>
  <si>
    <t>Печиво здобне з лимоном Ловіта Блонді Брауні Рошен м/у 152гр</t>
  </si>
  <si>
    <t>Печиво здобне з цукровою пудрою Домашнє Деліція кг</t>
  </si>
  <si>
    <t>Печиво здобне збивне зі смаком вишні Деліція кг</t>
  </si>
  <si>
    <t>Печиво здобне збивне зі смаком вишні Деліція лоток 300гр</t>
  </si>
  <si>
    <t>Печиво здобне зі смаком вишні Райські яблучка Деліція кг</t>
  </si>
  <si>
    <t>Печиво здобне зі смаком вишні Райські яблучка Деліція лоток 350гр</t>
  </si>
  <si>
    <t>Печиво здобне Інь-Янь Деліція кг</t>
  </si>
  <si>
    <t>Печиво здобне Інь-Янь Деліція лоток 350гр</t>
  </si>
  <si>
    <t>Печиво здобне Кільце цукрове Роса к/у 0,6кг</t>
  </si>
  <si>
    <t>Печиво здобне Кокосове Десняночка к/у 0,4кг</t>
  </si>
  <si>
    <t>Печиво здобне Кокосові кільця Ріллі Енджой к/у 430гр</t>
  </si>
  <si>
    <t>Печиво здобне Корнетті Деліція кг</t>
  </si>
  <si>
    <t>Печиво здобне Кукурудзяне Престиж м/у 300гр</t>
  </si>
  <si>
    <t>Печиво здобне Кураб'є Престиж м/у 300гр</t>
  </si>
  <si>
    <t>Печиво здобне листкове Вушка Тоня к/у 300гр</t>
  </si>
  <si>
    <t>Печиво здобне Мереживо Деліція кг</t>
  </si>
  <si>
    <t>Печиво здобне пісочне Кіфлики Біскотті к/у 450гр</t>
  </si>
  <si>
    <t>Печиво здобне пісочно-відсадне Дольче місто Мікс Біскотті к/у 450гр</t>
  </si>
  <si>
    <t>Печиво здобне пісочно-відсадне Доменіко Біскотті к/у 500гр</t>
  </si>
  <si>
    <t>Печиво здобне пісочно-відсадне Кокоша Біскотті к/у 500гр</t>
  </si>
  <si>
    <t>Печиво здобне пісочно-відсадне Торкетті Біскотті к/у 400гр</t>
  </si>
  <si>
    <t>Печиво здобне пісочно-відсадне Феєрія Біскотті к/у 450гр</t>
  </si>
  <si>
    <t>Печиво здобне пісочно-відсадне Шарлотка фруктова Біскотті к/у 450гр</t>
  </si>
  <si>
    <t>Печиво здобне полуниця Ха-хатун Чарівна мозаїка к/у 380гр</t>
  </si>
  <si>
    <t>Печиво здобне Селеста Деліція кг</t>
  </si>
  <si>
    <t>Печиво здобне Смайлик із суфле Роса кг</t>
  </si>
  <si>
    <t>Печиво здобне Хрумчик Деліція к/у 300гр</t>
  </si>
  <si>
    <t>Печиво здобне Хрумчик Деліція лоток 250гр</t>
  </si>
  <si>
    <t>Печиво здобне шоколадне з вершковою начинкою Маріо Чарівна мозаїка к/у 420гр</t>
  </si>
  <si>
    <t>Печиво Зернове Лукас к/у 610гр</t>
  </si>
  <si>
    <t>Печиво Зернове Лукас кг</t>
  </si>
  <si>
    <t>Печиво Зернове Лукас фас кг</t>
  </si>
  <si>
    <t>Печиво зі смаком бабл гам Супер-стар Деліція кг</t>
  </si>
  <si>
    <t>Печиво зі смаком пряженого молока Корівка ХБФ м/у 55гр</t>
  </si>
  <si>
    <t>Печиво зі смаком пряженого молока Наполеон Грона кг</t>
  </si>
  <si>
    <t>Печиво Злакове АСК кг</t>
  </si>
  <si>
    <t>Печиво Зоологічне ХБФ 300гр</t>
  </si>
  <si>
    <t>Печиво Зоологічне ХБФ кг</t>
  </si>
  <si>
    <t>Печиво із фруктовим наповнювачем зі смаком апельсину Каліфорнія Лукас кг</t>
  </si>
  <si>
    <t>Печиво Італіано Савоярді Делікато 200гр</t>
  </si>
  <si>
    <t>Печиво Калейдоскоп Денис 450гр</t>
  </si>
  <si>
    <t>Печиво Київхліб Крендельки з цукром 260гр</t>
  </si>
  <si>
    <t>Соломка фасована</t>
  </si>
  <si>
    <t>Печиво Кільце Денис кг</t>
  </si>
  <si>
    <t>Печиво Кільце цукрове АСК 450гр</t>
  </si>
  <si>
    <t>Печиво Кільце цукрове АСК кг</t>
  </si>
  <si>
    <t>Печиво кондитерська глазур вишневе Атенкі Енджой кг</t>
  </si>
  <si>
    <t>Печиво Крекер Денис 400гр</t>
  </si>
  <si>
    <t>Печиво Крендельки з кунжутом Київхліб м/у 260гр</t>
  </si>
  <si>
    <t>Печиво Курочка Ряба ХБФ к/у 600гр</t>
  </si>
  <si>
    <t>Печиво листкове Грильяжне Лукас к/у 500гр</t>
  </si>
  <si>
    <t>Печиво листкове Марцелик з родзинками Лукас к/у 450гр</t>
  </si>
  <si>
    <t>Печиво листкове Хрулик Лукас к/у 500гр</t>
  </si>
  <si>
    <t>Печиво Лілія НБХЗ 500гр</t>
  </si>
  <si>
    <t>Печиво Ловіта з арахісом Рошен м/у 150гр</t>
  </si>
  <si>
    <t>Печиво Ловіта з какао та шматочками глазурі Рошен м/у 150гр</t>
  </si>
  <si>
    <t>Печиво Ловіта з молочною начинкою Рошен м/у 127гр</t>
  </si>
  <si>
    <t>Печиво Ловіта з начинкою з какао Рошен м/у 127гр</t>
  </si>
  <si>
    <t>Печиво Ловіта з шматочками глазурі Рошен м/у 150гр</t>
  </si>
  <si>
    <t>Печиво Ловіта здобне з желейною начинкою зі смаком апельсина Рошен м/у 420гр Акція</t>
  </si>
  <si>
    <t>Печиво Ловіта здобне з желейною начинкою зі смаком какао-вишня Рошен м/у 420гр Акція</t>
  </si>
  <si>
    <t>Печиво Ловіта здобне з желейною начинкою зі смаком малина Рошен м/у 420гр Акція</t>
  </si>
  <si>
    <t>Печиво Ловіта здобне з желейною начинкою зі смаком полуниці Рошен м/у 420гр Акція</t>
  </si>
  <si>
    <t>Печиво Ловіта Софт Крем Кукіс здобне з фундуком Рошен м/у 127гр</t>
  </si>
  <si>
    <t>Печиво Малюки Пічкарь кг</t>
  </si>
  <si>
    <t>Печиво Марія ХБФ кг</t>
  </si>
  <si>
    <t>Печиво Марія ХБФ м/у 230гр</t>
  </si>
  <si>
    <t>Печиво Мар-лі НБХЗ кг</t>
  </si>
  <si>
    <t>Печиво Марцелик з родзинками Лукас кг</t>
  </si>
  <si>
    <t>Печиво Марцелик з родзинками Лукас фас кг</t>
  </si>
  <si>
    <t>Печиво Мигдалеве АСК кг</t>
  </si>
  <si>
    <t>Печиво Мінікружечки чоко Ріллі Енджой кг</t>
  </si>
  <si>
    <t>Печиво молочний аромат Бам-Бей Престиж 400гр</t>
  </si>
  <si>
    <t>Печиво Монетки ХБФ кг</t>
  </si>
  <si>
    <t>Печиво Морелі КультЮА кг</t>
  </si>
  <si>
    <t>Печиво НБХЗ Дует кг</t>
  </si>
  <si>
    <t>Печиво Оригінальне з халвою Престиж кг</t>
  </si>
  <si>
    <t>Печиво пісочно-виїмкове повністю глазуроване з ароматом рому Хеппі стар Тоня кг</t>
  </si>
  <si>
    <t>Печиво Повітряний десерт Тоня кг</t>
  </si>
  <si>
    <t>Печиво пряжене молоко До кави Рошен м/у 370гр</t>
  </si>
  <si>
    <t>Печиво Райдуга Союзне ХЗПТ кг</t>
  </si>
  <si>
    <t>Печиво Ракушка НБХЗ 500гр</t>
  </si>
  <si>
    <t>Печиво Ракушка НБХЗ кг</t>
  </si>
  <si>
    <t>Печиво Роса Дольче Контучі кг</t>
  </si>
  <si>
    <t>Печиво Роса Кільце цукрове кг</t>
  </si>
  <si>
    <t>Печиво Роса Смайлик кг</t>
  </si>
  <si>
    <t>Печиво Сет №1 Ріллі Енджой к/у 500гр</t>
  </si>
  <si>
    <t>Печиво Сет №2 Ріллі Енджой к/у 500гр</t>
  </si>
  <si>
    <t>Печиво Сет №4 Ріллі Енджой к/у 400гр</t>
  </si>
  <si>
    <t xml:space="preserve">Печиво Сірник Денис кг </t>
  </si>
  <si>
    <t>Печиво Снеки мультизлакові Вишня Мажор АВК кг</t>
  </si>
  <si>
    <t>Печиво Снеки мультизлакові з какао Мажор АВК кг</t>
  </si>
  <si>
    <t>Печиво солоне Крекер з кіноа та чіа Гуллон п/б 250гр</t>
  </si>
  <si>
    <t>Печиво солоне Крекер з сиром Чеддер Гуллон п/б 250гр</t>
  </si>
  <si>
    <t>Печиво Союзне Волхов 550г</t>
  </si>
  <si>
    <t>Печиво Союзне Волхов кг</t>
  </si>
  <si>
    <t>Печиво Студентське АСК 800гр</t>
  </si>
  <si>
    <t>Печиво Супер Кісточка Чарівна Мозаїка к/у 400гр</t>
  </si>
  <si>
    <t>Печиво Супер Моніка вишня Деліція лоток 400гр</t>
  </si>
  <si>
    <t>Печиво Творожка Чарівна Мозаїка к/у 400гр</t>
  </si>
  <si>
    <t>Печиво Творожка Чарівна мозаїка кг</t>
  </si>
  <si>
    <t>Печиво Топчик з корицею Лукас кг</t>
  </si>
  <si>
    <t>Печиво Трубочка згущене молоко АСК кг</t>
  </si>
  <si>
    <t>Печиво Фантазія НБХЗ 400гр</t>
  </si>
  <si>
    <t>Печиво Харківське з какао Волхов 240гр</t>
  </si>
  <si>
    <t>Печиво Харківське класичне Волхов 240гр</t>
  </si>
  <si>
    <t>Печиво ХБФ Слобожанщина 600гр</t>
  </si>
  <si>
    <t>Печиво ХБФ Стара колекція 550гр</t>
  </si>
  <si>
    <t>Печиво Хризантема НБХ З кг</t>
  </si>
  <si>
    <t>Печиво Хризантема НБХЗ 500гр</t>
  </si>
  <si>
    <t>Печиво хрустке з какао-молочним декором Кіндеріні Кіндер к/у 4х25гр</t>
  </si>
  <si>
    <t>Печиво хрусткі палички зі смаком згущеного молока Бам-Бук АВК кг</t>
  </si>
  <si>
    <t>Печиво хрусткі палички зі смаком шоколаду Бам-Бук АВК кг</t>
  </si>
  <si>
    <t>Печиво цукрове Артемон Конті кг</t>
  </si>
  <si>
    <t>Печиво цукрове Джозі Ріллі Енджой кг</t>
  </si>
  <si>
    <t>Печиво цукрове До чаю Тоня кг</t>
  </si>
  <si>
    <t>Печиво цукрове з арахісом Артемон Деліція лоток 300гр</t>
  </si>
  <si>
    <t>Печиво цукрове з ароматом пряженого молока До кави Рошен м/у 185гр</t>
  </si>
  <si>
    <t>Печиво цукрове з горіхом Буратіно Конті кг</t>
  </si>
  <si>
    <t>Печиво цукрове з какао Джулія Деліція кг</t>
  </si>
  <si>
    <t>Печиво цукрове з начинкою чорниця-крем Мультікейк Рошен м/у 180гр</t>
  </si>
  <si>
    <t>Печиво цукрове комбіноване Двійнята Домінік кг</t>
  </si>
  <si>
    <t>Печиво цукрове Маргарітка Пічкарь к/у 500гр</t>
  </si>
  <si>
    <t>Печиво цукрове Мультікейк полуниця-крем Рошен м/у 180г</t>
  </si>
  <si>
    <t>Печиво цукрове оздоблене Злата Ірис Пічкарь к/у 450гр</t>
  </si>
  <si>
    <t>Печиво цукрове оздоблене Перлина Пічкарь к/у 500гр</t>
  </si>
  <si>
    <t>Печиво цукрове оздоблене Перлина Пічкарь кг</t>
  </si>
  <si>
    <t>Печиво цукрове Поцілуйчики Пічкарь кг</t>
  </si>
  <si>
    <t>Печиво цукрове сендвіч Блек енд Вайт Тоня кг</t>
  </si>
  <si>
    <t>Печиво цукрове Сеня з апельсином Конті кг</t>
  </si>
  <si>
    <t>Печиво цукрове Топльонкіно Конті кг</t>
  </si>
  <si>
    <t>Печиво Цукрове ХБФ м/у 180гр</t>
  </si>
  <si>
    <t>Печиво цукрове Шале Деліція кг</t>
  </si>
  <si>
    <t>Печиво цукрового оздобленого Асорті №1 Пічкарь к/у 710гр</t>
  </si>
  <si>
    <t>Печиво цукрового оздобленого Асорті №4 Пічкарь к/у 486гр</t>
  </si>
  <si>
    <t>Печиво Шкодник ХБФ кг</t>
  </si>
  <si>
    <t>Печиво шоколад Ювілейний сувенір ХЗПТ кг</t>
  </si>
  <si>
    <t>Печиво Шоколадний смак Корівка ХБФ м/у 180гр</t>
  </si>
  <si>
    <t>Печиво Ювілейний букет ХБФ м/у 200гр</t>
  </si>
  <si>
    <t>Печиво Ювілейний букет ХБФ м/у 55г</t>
  </si>
  <si>
    <t>Печиво-палички вкрите молочним шоколадом Чоко Стікс Мілка м/у 112гр</t>
  </si>
  <si>
    <t>Печиво-сендвіч День і ніч Конті кг</t>
  </si>
  <si>
    <t>Печиво-сендвіч з начинкою кокос-крем Мультікейк Рошен м/у 180гр</t>
  </si>
  <si>
    <t>Печиво-сендвіч з начинкою лимон-крем Мультікейк Рошен м/у 180гр</t>
  </si>
  <si>
    <t>Печиво-сендвіч Канапка-Дуо Тоня кг</t>
  </si>
  <si>
    <t>Снеки мультизлакові зі смаком Банана Креско м/у 74гр</t>
  </si>
  <si>
    <t>Снеки мультизлакові Шоколадний смак Креско м/у 74гр</t>
  </si>
  <si>
    <t>Соломка фігурна солена Брецель Крокко м/у 80гр</t>
  </si>
  <si>
    <t>Пряник з увареним згущеним молоком Львівський Кулиничі м/у 140гр</t>
  </si>
  <si>
    <t>Пряник з яблучним повидлом Львівський Кулиничі м/у 140гр</t>
  </si>
  <si>
    <t>Пряник імбирний великодній в асортименті Світленд м/у 65гр</t>
  </si>
  <si>
    <t>Пряник Львівський Кулиничі м/у 140гр</t>
  </si>
  <si>
    <t>Пряник Особливий Рома кг</t>
  </si>
  <si>
    <t>Пряники вагові</t>
  </si>
  <si>
    <t>Пряники Абрикос Фруктовий сад Київхліб м/у 360гр</t>
  </si>
  <si>
    <t>Пряники Баварські Деліція кг</t>
  </si>
  <si>
    <t>Пряники в цукровій глазурі Баварські Деліція кг</t>
  </si>
  <si>
    <t>Пряники Вишенька Кулиничі м/у 300гр</t>
  </si>
  <si>
    <t>Пряники Вишня Фруктовий сад Київхліб м/у 300гр</t>
  </si>
  <si>
    <t>Пряники Ворзельські з декором Деліція лоток 400гр</t>
  </si>
  <si>
    <t>Пряники Деліція Ведмежата кг</t>
  </si>
  <si>
    <t>Пряники З абрикосовим смаком Десняночка к/у 0,5кг</t>
  </si>
  <si>
    <t>Пряники з апельсиновою начинкою Київхліб м/у 360гр</t>
  </si>
  <si>
    <t>Пряники З вишневим смаком Десняночка к/у 0,5кг</t>
  </si>
  <si>
    <t>Пряники з декором Ворзельські Деліція кг</t>
  </si>
  <si>
    <t>Пряники з какао та вишневим наповнювачем Міні Джой Київхліб м/у 250гр</t>
  </si>
  <si>
    <t>Пряники з какао та сливовим наповнювачем Міні Джой Київхліб м/у 250гр</t>
  </si>
  <si>
    <t>Пряники з какао та яблучним повидлом Міні Джой Київхліб м/у 250гр</t>
  </si>
  <si>
    <t>Пряники з лимонною начинкою Київхліб м/у 300гр</t>
  </si>
  <si>
    <t>Пряники з повидлом Волхов кг</t>
  </si>
  <si>
    <t>Пряники заварні Чоко зайчик Деліція м/у 300г</t>
  </si>
  <si>
    <t>Пряники зі згущенним молоком Кулиничі м/у 300гр</t>
  </si>
  <si>
    <t>Пряники Зі смаком апельсину Десняночка м/у 0,3кг</t>
  </si>
  <si>
    <t>Пряники Зі смаком згущеного молока Десняночка м/у 0,4кг</t>
  </si>
  <si>
    <t>Пряники Зі смаком зеленого яблука Десняночка м/у 0,3кг</t>
  </si>
  <si>
    <t>Пряники Зі смаком полуниці Десняночка м/у 0,3кг</t>
  </si>
  <si>
    <t>Пряники Лимонні Рома кг</t>
  </si>
  <si>
    <t>Пряники Молочний смак Київхліб м/у 360гр</t>
  </si>
  <si>
    <t>Пряники Персик-абрикос Київхліб 300гр</t>
  </si>
  <si>
    <t>Пряники Фігурні Запорізькі Київхліб м/у 420гр</t>
  </si>
  <si>
    <t>Пряники Фруктовий сад Малина Київхліб м/у 300гр</t>
  </si>
  <si>
    <t>Пряники Шоколадний смак Десняночка к/у 0,5кг</t>
  </si>
  <si>
    <t>Соломка глазурована Магік стікс Рома кг</t>
  </si>
  <si>
    <t>Соломка вагова</t>
  </si>
  <si>
    <t>Соломка глазурована Магік стікс Рома м/у 60гр</t>
  </si>
  <si>
    <t>Соломка з італійськими травами та морською сіллю Київхліб м/у 80гр</t>
  </si>
  <si>
    <t>Соломка солена Посмішка 240г</t>
  </si>
  <si>
    <t>Соломка солодка Київхліб м/у 100гр</t>
  </si>
  <si>
    <t>Соломка солодка Київхліб м/у 200гр</t>
  </si>
  <si>
    <t>Соломка солодка Київхліб м/у 400гр</t>
  </si>
  <si>
    <t>Соломка солодка Посмішка 240г</t>
  </si>
  <si>
    <t>Соломка солодка Хрумтик Кулиничі м/у 100гр</t>
  </si>
  <si>
    <t>Соломка солодка Хрумтик Рома кг</t>
  </si>
  <si>
    <t>Соломка солона Рома кг</t>
  </si>
  <si>
    <t>Соломка солона Хрумтик Кулиничі м/у 100гр</t>
  </si>
  <si>
    <t>Сухарі гірчичні Київхліб м/у 260гр</t>
  </si>
  <si>
    <t>Сухарі фасовані</t>
  </si>
  <si>
    <t>Сухарі здобні з родзинками Рома кг</t>
  </si>
  <si>
    <t>Сухарі вагові</t>
  </si>
  <si>
    <t>Сухарі Київські Київхліб 260гр</t>
  </si>
  <si>
    <t>Сухарі Київські Київхліб кг</t>
  </si>
  <si>
    <t>Сухарі Київхліб гірчичні кг</t>
  </si>
  <si>
    <t>Сушка Білосніжка Рома кг</t>
  </si>
  <si>
    <t>Сушка вагова</t>
  </si>
  <si>
    <t>Сушка ваніль Міні-гріссіні Конфеті кг</t>
  </si>
  <si>
    <t>Сушка ванільна Десняночка м/у 0,25кг</t>
  </si>
  <si>
    <t>Сушка фасована</t>
  </si>
  <si>
    <t>Сушка глазуровані Міні-гріссіні Конфеті кг</t>
  </si>
  <si>
    <t>Сушка з маком Десняночка м/у 0,25кг</t>
  </si>
  <si>
    <t>Сушка Київхліб київська кг</t>
  </si>
  <si>
    <t>Сушка Подільська Рома кг</t>
  </si>
  <si>
    <t>Сушки Ванільні Київхліб м/у 250гр</t>
  </si>
  <si>
    <t>Сушки ванільні Флора Рома кг</t>
  </si>
  <si>
    <t>Сушки Гірчичні Київхліб кг</t>
  </si>
  <si>
    <t>Сушки глазуровані Малятко Кулиничі м/у 270гр</t>
  </si>
  <si>
    <t>Сушки глазуровані Сніжинка Київхліб м/у 250гр</t>
  </si>
  <si>
    <t>Сушки з маком Київхліб м/у 420гр</t>
  </si>
  <si>
    <t>Сушки здобні з ваніліном Київхліб кг</t>
  </si>
  <si>
    <t>Сушки Малютка Київхліб кг</t>
  </si>
  <si>
    <t>Сушки Малята Київхліб м/у 250гр</t>
  </si>
  <si>
    <t>Сушки солодкі Ванільні Кулиничі м/у 270гр</t>
  </si>
  <si>
    <t>Сушки Човники київські з маком Київхліб м/у 420гр</t>
  </si>
  <si>
    <t>Сушки Човники київські Київхліб кг</t>
  </si>
  <si>
    <t>Сушки Човники київські Київхліб м/у 340гр</t>
  </si>
  <si>
    <t>Лукум Какаду Суворов кг</t>
  </si>
  <si>
    <t>Пахлава, рахат-лукум вагові</t>
  </si>
  <si>
    <t>Лукум Рахат-лукум ванильный Суворов кг</t>
  </si>
  <si>
    <t>Лукум Фітіль Гранат Тоня кг</t>
  </si>
  <si>
    <t>Пастила з ароматом ванілі Ромни кг</t>
  </si>
  <si>
    <t>Пастила з ароматом полуниці Ромни кг</t>
  </si>
  <si>
    <t>Пахлава Медова БКК 200гр</t>
  </si>
  <si>
    <t>Пахлава, рахат-лукум фасовані</t>
  </si>
  <si>
    <t>Пахлава Східні солодощі асорті БКК 300гр</t>
  </si>
  <si>
    <t>Пішманіє асорті Аманті 240гр</t>
  </si>
  <si>
    <t>Пішманіє ваніль Аманті 240гр</t>
  </si>
  <si>
    <t>Пішманіє диня Аманті 240гр</t>
  </si>
  <si>
    <t>Пішманіє зі смаком ванілі і какао БКК 100гр</t>
  </si>
  <si>
    <t>Пішманіє зі смаком кокосу БКК 100гр</t>
  </si>
  <si>
    <t>Пішманіє фісташка Аманті 240гр</t>
  </si>
  <si>
    <t>Рахат-лукум Арахісовий Стимул кг</t>
  </si>
  <si>
    <t>Рахат-лукум Асорті Стимул кг</t>
  </si>
  <si>
    <t>Рахат-лукум фруктовий №1 Аманті 1,5кг</t>
  </si>
  <si>
    <t>Рахат-лукум фруктовий №2 Аманті1,5кг</t>
  </si>
  <si>
    <t>Солодощі східні Ковбаска горіхова Клім 100гр</t>
  </si>
  <si>
    <t>Грильяж фасований</t>
  </si>
  <si>
    <t>Східні солодощі П'ятачок Роса к/у 0,6кг</t>
  </si>
  <si>
    <t>Східні солодощі П'ятачок Роса кг</t>
  </si>
  <si>
    <t>Козинаки вагові</t>
  </si>
  <si>
    <t>Цукерки Пішманіє Асорті в кольоровій глазурі БКК 1кг</t>
  </si>
  <si>
    <t>Цукерки не шоколадні фасовані</t>
  </si>
  <si>
    <t>Цукерки Пішманіє Асорті в кольоровій глазурі БКК кг</t>
  </si>
  <si>
    <t>Десерт Творожний з малиною Нонпарель100гр</t>
  </si>
  <si>
    <t>Десерти кондитерські</t>
  </si>
  <si>
    <t>Десерт Червоний оксамит Нонпарель ст 100гр</t>
  </si>
  <si>
    <t>Донат з банановою начинкою Тудей Елван м/у 50гр</t>
  </si>
  <si>
    <t>Донати фасовані</t>
  </si>
  <si>
    <t>Донат з вишневою начинкою Тудей Елван м/у 50гр</t>
  </si>
  <si>
    <t>Донат з начинкою какао Тудей Елван м/у 50гр</t>
  </si>
  <si>
    <t>Донат з полуничною начинкою Тудей Елван м/у 50гр</t>
  </si>
  <si>
    <t>Донат зі смаком баблгам Тудей Елван м/у 50гр</t>
  </si>
  <si>
    <t>Еклер Шу ваніль Лебідонька кг</t>
  </si>
  <si>
    <t>Еклери, профітролі</t>
  </si>
  <si>
    <t>Кільце Заварне Лебідонька кг</t>
  </si>
  <si>
    <t>Тістечка комбіновані</t>
  </si>
  <si>
    <t>Кошик з творогом Лебідонька кг</t>
  </si>
  <si>
    <t>Пиріг вишня Кростата ХБФ 50гр</t>
  </si>
  <si>
    <t>Пиріг полуниця Кростата ХБФ 50гр</t>
  </si>
  <si>
    <t>Профітролі з полуницею Рома ст 160гр</t>
  </si>
  <si>
    <t>Профітролі з шоколадом Рома ст 160гр</t>
  </si>
  <si>
    <t>Профітролі зі згущеним молоком Рома ст 160гр</t>
  </si>
  <si>
    <t>Рулет Асорті Лебідонька кг</t>
  </si>
  <si>
    <t>Кремові рулети</t>
  </si>
  <si>
    <t>Рулет Вишневий десерт Лебідонька кг</t>
  </si>
  <si>
    <t>Рулет Полуничка Денис кг</t>
  </si>
  <si>
    <t>Тарт Вишневий Мантінга порційн шт</t>
  </si>
  <si>
    <t>Тарт, Макарунс</t>
  </si>
  <si>
    <t>Тарт Кокосово-шоколадний Мантінга порційн шт</t>
  </si>
  <si>
    <t>Тістечка Горішки зі згущеним молоком БКК к/у 265гр</t>
  </si>
  <si>
    <t>Тістечка Київські з волоським горіхом БКК 200гр</t>
  </si>
  <si>
    <t>Тістечко бісквітне какао-молоко Несквік 26гр</t>
  </si>
  <si>
    <t>Тістечко бісквітне Пінчерята Престиж кг</t>
  </si>
  <si>
    <t>Тістечко бісквітно-повітряне Снікерс Престиж кг</t>
  </si>
  <si>
    <t>Тістечко бісквітно-сирне фруктовий Чізкейк Престиж кг</t>
  </si>
  <si>
    <t>Тістечко вершки-вишня Кошик АСК кг</t>
  </si>
  <si>
    <t>Тістечко Едельвейс Лебідонька кг</t>
  </si>
  <si>
    <t>Тістечко Еклер Дубайський БКК м/у 65гр</t>
  </si>
  <si>
    <t>Тістечко Еклер з фундуком БКК 60гр</t>
  </si>
  <si>
    <t>Тістечко Еклер Рома м/у 90гр</t>
  </si>
  <si>
    <t>Тістечко з фісташковою начинкою Тудей Сноубол Елван 40гр</t>
  </si>
  <si>
    <t>Тістечко Заварне класичне Лебідонька кг</t>
  </si>
  <si>
    <t>Тістечко Заварне Рома м/у 90гр</t>
  </si>
  <si>
    <t>Тістечко Катрін Лебідонька кг</t>
  </si>
  <si>
    <t>Тістечко Макаронс Нонпарель ф/п 21гр</t>
  </si>
  <si>
    <t>Тістечко медове Вишенька Престиж кг</t>
  </si>
  <si>
    <t>Тістечко медове Цитрусик Престиж кг</t>
  </si>
  <si>
    <t>Тістечко П'яна вишня Лебідонька кг</t>
  </si>
  <si>
    <t>Тістечко Сметанник Денис кг</t>
  </si>
  <si>
    <t>Тістечко Тарт Нонпарель ф/п 40гр</t>
  </si>
  <si>
    <t>Тістечко Фрукти в сотах Престиж кг</t>
  </si>
  <si>
    <t>Тістечко черри Чоко Денис кг</t>
  </si>
  <si>
    <t>Торт сирний Чізкейк Нью-Йорк Мантінга порційн шт</t>
  </si>
  <si>
    <t>Торти бісквітні</t>
  </si>
  <si>
    <t>Торт Апельсиновий Престіж 1 кг</t>
  </si>
  <si>
    <t>Торти комбіновані</t>
  </si>
  <si>
    <t>Торт Асорті Холод п/у 600гр</t>
  </si>
  <si>
    <t>Торт Бабл-бум Холод п/у 1кг</t>
  </si>
  <si>
    <t>Торт бісквітний Буратіно Престиж п/у 1кг</t>
  </si>
  <si>
    <t>Торт бісквітний Кармен Престиж кг</t>
  </si>
  <si>
    <t>Торт бісквітний Мулен Руж Престиж кг</t>
  </si>
  <si>
    <t>Торт бісквітний Пінчер з вишнею Престиж 1кг</t>
  </si>
  <si>
    <t>Торт бісквітний Празький Престиж кг</t>
  </si>
  <si>
    <t>Торт бісквітний Сметанник Престиж кг</t>
  </si>
  <si>
    <t>Торт бісквітний Снікерс Престиж п/у 1кг</t>
  </si>
  <si>
    <t>Торт бісквітний Шоколадно-банановий Престиж кг</t>
  </si>
  <si>
    <t>Торт Бісквітно-кремовий Денис кг</t>
  </si>
  <si>
    <t>Торт Богема Холод 1,2кг</t>
  </si>
  <si>
    <t>Торт Бонжур Холод 1,1кг</t>
  </si>
  <si>
    <t>Торт вафельний Капучино Капризуля ХБФ к/у 220гр</t>
  </si>
  <si>
    <t>Торт вафельний Кокос Капризуля ХБФ к/у 225гр</t>
  </si>
  <si>
    <t>Торт вафельний Молоко Капризуля ХБФ к/у 220гр</t>
  </si>
  <si>
    <t>Торт вафельний Шоколад Капризуля ХБФ к/у 220гр</t>
  </si>
  <si>
    <t>Торт Вишня в шоколаді Бріош кг</t>
  </si>
  <si>
    <t>Торт Грильяж Рошен 450гр</t>
  </si>
  <si>
    <t>Торт Деліс ХБФ 1,0кг</t>
  </si>
  <si>
    <t>Торт Деліс ХБФ 500гр</t>
  </si>
  <si>
    <t>Торт Денис Тріумф кг</t>
  </si>
  <si>
    <t>Торт Естерхазі БКК 450гр</t>
  </si>
  <si>
    <t>Торт Золотий ключик Рошен 500гр</t>
  </si>
  <si>
    <t>Торт Золотий ключик Рошен 900гр</t>
  </si>
  <si>
    <t>Торт Кенді Нат ККФ Рошен к/у 1000г</t>
  </si>
  <si>
    <t>Торт Київський дарунок від Шефа БКК к/у 450гр</t>
  </si>
  <si>
    <t>Торт Київський Рошен 450гр</t>
  </si>
  <si>
    <t>Торт Київський Рошен 850гр</t>
  </si>
  <si>
    <t>Торт Меджик Кейк БКК к/у 650гр</t>
  </si>
  <si>
    <t>Торт медовий Бджілка Престиж п/у 1кг</t>
  </si>
  <si>
    <t>Торт Наполеон Денис кг</t>
  </si>
  <si>
    <t>Торт Наполеон Лебідонька кг</t>
  </si>
  <si>
    <t>Торт Наполеон Рошен к/у 1кг</t>
  </si>
  <si>
    <t>Торт Прага Денис кг</t>
  </si>
  <si>
    <t>Торт Пражский ККФ Рошен к/у 520гр</t>
  </si>
  <si>
    <t>Торт Пражский ККФ Рошен к/у 850гр</t>
  </si>
  <si>
    <t>Торт Празький Престіж 1кг</t>
  </si>
  <si>
    <t>Торт Сакура Престиж 1кг</t>
  </si>
  <si>
    <t>Торт Сирний з малиною Холод п/у 500гр</t>
  </si>
  <si>
    <t>Торт Сметанник Лебідонька кг</t>
  </si>
  <si>
    <t>Торт Снікерс Денис кг</t>
  </si>
  <si>
    <t>Торт Солона Карамель Бріош кг</t>
  </si>
  <si>
    <t>Торт Тірамісу Холод п/у 1кг</t>
  </si>
  <si>
    <t>Торт Трюфельний ККФ Рошен к/у 520гр</t>
  </si>
  <si>
    <t>Торт Трюфельний ККФ Рошен к/у 900гр</t>
  </si>
  <si>
    <t>Торт фруктовий Серце Холод п/у 1кг</t>
  </si>
  <si>
    <t>Торт Холод Асорті 1,0кг</t>
  </si>
  <si>
    <t>Торт Холод Бриз 1,0кг</t>
  </si>
  <si>
    <t>Торт Холод Медовик сметана кг</t>
  </si>
  <si>
    <t>Торт Холод Пінчер 800гр</t>
  </si>
  <si>
    <t>Торт Холод Празький 1,0кг</t>
  </si>
  <si>
    <t>Торт Холод Празький 500гр</t>
  </si>
  <si>
    <t>Торт Холод Пьяна вишня 1,1кг</t>
  </si>
  <si>
    <t>Торт Холод Творожний з малиною 1,0кг</t>
  </si>
  <si>
    <t>Торт Холод Тирамісу 600гр</t>
  </si>
  <si>
    <t>Торт Червоний оксамит БКК 600гр</t>
  </si>
  <si>
    <t>Торт Чізкейк з солоною карамеллю Нонпарель 550гр</t>
  </si>
  <si>
    <t>Торт Чотири стихії ККФ Рошен к/у 850гр</t>
  </si>
  <si>
    <t>Торт шоколадний з вишнею Чізкейк Нонпарель 500гр</t>
  </si>
  <si>
    <t>Грильяж Грильяжик попкорн Жайвір кг</t>
  </si>
  <si>
    <t>Грильяж Грильяжик рисовий Жайвір кг</t>
  </si>
  <si>
    <t>Грильяж Палички з соняшниковим насінням Престиж кг</t>
  </si>
  <si>
    <t>Козинаки асорті з мигдалем Жайвір 50гр</t>
  </si>
  <si>
    <t>Козинаки з арахісу Золотий Вік м/у 60гр</t>
  </si>
  <si>
    <t>Козинаки із кунжуту Золотий Вік м/у 60гр</t>
  </si>
  <si>
    <t>Козинаки соняшниковий Жайвір 140гр</t>
  </si>
  <si>
    <t>Козинаки соняшникові Золотий Вік кг</t>
  </si>
  <si>
    <t>Козинаки соняшникові Золотий Вік м/у 60гр</t>
  </si>
  <si>
    <t>Козинаки Хомка АСК 450гр</t>
  </si>
  <si>
    <t>Козинаки Хомка АСК кг</t>
  </si>
  <si>
    <t>Східні солодощі Карамельне зернятко Тоня кг</t>
  </si>
  <si>
    <t>Халва ванільна Дружківка 200гр</t>
  </si>
  <si>
    <t>Халва ванільна Тоня кг</t>
  </si>
  <si>
    <t>Халва вагова</t>
  </si>
  <si>
    <t>Халва з арахісом Дружківка 200гр</t>
  </si>
  <si>
    <t>Халва з арахісом Дружківська кг</t>
  </si>
  <si>
    <t>Халва соняшникова з ароматом ванілі Дружківська кг</t>
  </si>
  <si>
    <t>Халва соняшникова Сто Пудов кг</t>
  </si>
  <si>
    <t>Халва Фантазія Золотий Вік 270гр</t>
  </si>
  <si>
    <t>Баночка з фруктовим пудингом Мармизяка п/у 30гр</t>
  </si>
  <si>
    <t>Батончик Мілк Вай ЖЛ 30гр</t>
  </si>
  <si>
    <t>Батончик Хайпер ЖЛ 35гр</t>
  </si>
  <si>
    <t>Драже Фундук у шоколаді Домінік кг</t>
  </si>
  <si>
    <t>Іграшка з цукерками Автомат для води Джонні Бі п/е 20гр</t>
  </si>
  <si>
    <t>Іграшка з цукерками Автомат для морозива Джонні Бі п/е 8гр</t>
  </si>
  <si>
    <t>Іграшка з цукерками Солодка Каструлька Джонні Бі п/е 48гр</t>
  </si>
  <si>
    <t>Іграшка інерційна машинка з цукерками Спорткар Мармизяка п/у 5гр</t>
  </si>
  <si>
    <t>Іграшка пожежна та поліцейська машинка з цукерками Мармизяка п/у 5гр</t>
  </si>
  <si>
    <t>Карамель з кокосовою начинкою Коконат Рошен кг</t>
  </si>
  <si>
    <t>Цукерки не шоколадні вагові</t>
  </si>
  <si>
    <t>Льодяник кольоровий Смайл Кенді Мейк Джой кг</t>
  </si>
  <si>
    <t>Карамель, льодяники вагові</t>
  </si>
  <si>
    <t>Набір кондитерських виробів № 2 Новорічна Ялинка АВК к/у 300гр</t>
  </si>
  <si>
    <t>Набір кондитерських виробів № 4 Зимові розваги АВК к/у 500гр</t>
  </si>
  <si>
    <t>Набір кондитерських виробів № 5 Різдвяний потяг АВК к/у 750гр</t>
  </si>
  <si>
    <t>Набір подарунковий Годівничка для птахів Рошен к/у 912гр</t>
  </si>
  <si>
    <t>Набір цукерок Гранд Ассортмент Ферреро Колекшн к/у 197гр</t>
  </si>
  <si>
    <t>Набір цукерок Мікс Кіндер к/у 122гр</t>
  </si>
  <si>
    <t>Набір цукерок Новорічна ялинка Celebrations 215 г к/у</t>
  </si>
  <si>
    <t>Новорічний набір Ялинка-чепуринка Конті к/у 305гр</t>
  </si>
  <si>
    <t>Новорічний подарунок №2 Світло Різдва Бомбони 300гр</t>
  </si>
  <si>
    <t>Новорічний подарунок №4 Миколай поспішає Бомбони 380гр</t>
  </si>
  <si>
    <t>Новорічний подарунок Рюкзачок Конті к/у 369гр</t>
  </si>
  <si>
    <t>Новорічний подарунок Сенді Конті к/у 238гр</t>
  </si>
  <si>
    <t>Печиво здобне збивне Бісквіт з ароматом полуниці Балу кг</t>
  </si>
  <si>
    <t>Цукерки в шоколаді фасовані</t>
  </si>
  <si>
    <t>Трубочки вафельні глазуровані бланк Конафетто Рошен кг</t>
  </si>
  <si>
    <t>Цукерка Браслет Джонні Бі п/е 12гр</t>
  </si>
  <si>
    <t>Цукерка вафельна Їстівні гроші Світ-енд-Фан п/е 10гр</t>
  </si>
  <si>
    <t>Цукерка жувальна Картопля Фрі Джонні Бі п/е 45гр</t>
  </si>
  <si>
    <t>Цукерка жувальна Фаст Фуд Джонні Бі п/е 35гр</t>
  </si>
  <si>
    <t>Цукерка жувальна Черв'ячки з кислим гелем Джонні Бі п/е 60гр</t>
  </si>
  <si>
    <t>Цукерка Кільце Світ-енд-Фан п/е 10гр</t>
  </si>
  <si>
    <t>Цукерка фруктова Крейзі фрутс яблуко БКК 14гр</t>
  </si>
  <si>
    <t>Цукерка фруктова Крейзі фрутс яблуко-вишня БКК 14гр</t>
  </si>
  <si>
    <t>Цукерка фруктова Крейзі фрутс яблуко-груша БКК 14гр</t>
  </si>
  <si>
    <t>Цукерка фруктова Крейзі фрутс яблуко-полуниця БКК 14гр</t>
  </si>
  <si>
    <t>Цукерка-cпрей Вогнегасник Джонні Бі п/е 25гр</t>
  </si>
  <si>
    <t>Цукерка-іграшка Бокс 5гр</t>
  </si>
  <si>
    <t>Цукерка-спрей Банан Джонні Бі п/е 25гр</t>
  </si>
  <si>
    <t>Цукерка-спрей Весела Ручка Джонні Бі п/е 6гр</t>
  </si>
  <si>
    <t>Цукерка-спрей Граната Джонні Бі п/е 50гр</t>
  </si>
  <si>
    <t>Цукерки Асорті Аманті кг</t>
  </si>
  <si>
    <t>Цукерки Асорті кг</t>
  </si>
  <si>
    <t>Цукерки асорті Подаруночок від Конті Конті м/у 197гр</t>
  </si>
  <si>
    <t>Цукерки асорті Ретро ХЗПТ кг</t>
  </si>
  <si>
    <t>Цукерки Банана Яммі Гаммі Ленд Рошен 70гр</t>
  </si>
  <si>
    <t>Цукерки Барон Адвент-календар молочний шоколад 200гр</t>
  </si>
  <si>
    <t>Цукерки БатонЧик хрусткий ЖЛ кг</t>
  </si>
  <si>
    <t>Цукерки Білочка Золотий Запас кг</t>
  </si>
  <si>
    <t>Цукерки Бім-Бом Рошен 200гр</t>
  </si>
  <si>
    <t>Цукерки бренді-лікер Шутерс Рошен 150гр</t>
  </si>
  <si>
    <t>Цукерки в молочному шоколаді асорті Елеганс Міленіум 143гр</t>
  </si>
  <si>
    <t>Цукерки в молочному шоколаді Елеганс Асорті Міленіум 285гр</t>
  </si>
  <si>
    <t>Цукерки в молочному шоколаді Любимов 125гр</t>
  </si>
  <si>
    <t xml:space="preserve">Цукерки в шоколаді заспиртована Вишня ХБФ к/у 285гр </t>
  </si>
  <si>
    <t>Цукерки в шоколадному кремі заспиртована Вишня ХБФ кг</t>
  </si>
  <si>
    <t>Цукерки вафельна кулька з цілим мигдалем Франческа Балу кг</t>
  </si>
  <si>
    <t>Цукерки вафельні Гулівер Салекс кг</t>
  </si>
  <si>
    <t>Цукерки вафельні з молочною начинкою Мілк'с Салекс кг</t>
  </si>
  <si>
    <t>Цукерки вафельні Лабубу Асорті ХЗПТ кг</t>
  </si>
  <si>
    <t>Цукерки Веселий кокос Престиж кг</t>
  </si>
  <si>
    <t>Цукерки вишня в шоколаді з лікером Миешко кг</t>
  </si>
  <si>
    <t>Цукерки Вишня+Мигдаль з корицею в шоколадній крихті Міссо к/у 180гр</t>
  </si>
  <si>
    <t>Цукерки Вкуся хрусткий ХБФ кг</t>
  </si>
  <si>
    <t>Цукерки Галаретка Рошен кг</t>
  </si>
  <si>
    <t>Цукерки глазуровані арахіс Бон Блисс ЖЛ кг</t>
  </si>
  <si>
    <t>Цукерки глазуровані Графиня вишенька ХБФ кг</t>
  </si>
  <si>
    <t>Цукерки глазуровані кондитерською глазур'ю Біг Тузя Класік Лукас м/у 33гр</t>
  </si>
  <si>
    <t>Цукерки глазуровані кондитерською глазур'ю Біг Тузя Лайт Лукас м/у 30гр</t>
  </si>
  <si>
    <t>Цукерки глазуровані лікерні Столичні Ріконд кг</t>
  </si>
  <si>
    <t>Цукерки глазуровані Мілаксі Рошен кг</t>
  </si>
  <si>
    <t>Цукерки глазуровані Ніколь ХБФ кг</t>
  </si>
  <si>
    <t>Цукерки глазуровані Ромашка Слобожанська ХБФ кг</t>
  </si>
  <si>
    <t>Цукерки глазуровані Слобожанська Ластівка ХБФ кг</t>
  </si>
  <si>
    <t>Цукерки глазуровані Соренто Рошен кг</t>
  </si>
  <si>
    <t>Цукерки глазуровані Трюфель ХБФ кг</t>
  </si>
  <si>
    <t>Цукерки Дайно Ґан Поп Джоні Бі 10гр</t>
  </si>
  <si>
    <t>Цукерки Делафай трюфель традиційний 200гр</t>
  </si>
  <si>
    <t>Цукерки Евкаліпт-ментол Рошен 200гр</t>
  </si>
  <si>
    <t>Цукерки Еклер Рошен кг</t>
  </si>
  <si>
    <t>Цукерки Ексклюзив Світоч 222гр</t>
  </si>
  <si>
    <t>Цукерки желейні Вишні Яммі Гаммі Рошен м/у 70гр</t>
  </si>
  <si>
    <t>Цукерки желейні Вотермелон слайс Яммі Гаммі Рошен 70гр</t>
  </si>
  <si>
    <t>Цукерки желейні галактичний мікс Фіні 100г</t>
  </si>
  <si>
    <t>Цукерки желейні Гелексі лайф Яммі Гаммі Рошен м/у 70гр</t>
  </si>
  <si>
    <t>Цукерки желейні глазуровані Галаретка асорті Престиж кг</t>
  </si>
  <si>
    <t>Цукерки желейні глазуровані Леді Смородина Світейл кг</t>
  </si>
  <si>
    <t>Цукерки желейні Джеллі Рошен п/е кг</t>
  </si>
  <si>
    <t>Цукерки желейні донатс Яммі Гаммі Рошен 70гр</t>
  </si>
  <si>
    <t>Цукерки желейні Дуо мікс Яммі Гаммі Рошен м/у 70гр</t>
  </si>
  <si>
    <t>Цукерки желейні Кавун Зозоле м/у 75гр</t>
  </si>
  <si>
    <t>Цукерки желейні Кавунові слайси Відал м/у 90гр</t>
  </si>
  <si>
    <t>Цукерки желейні Капкейки Яммі Гаммі Рошен м/у 70гр</t>
  </si>
  <si>
    <t>Цукерки желейні Кісс Троллі м/у 100гр</t>
  </si>
  <si>
    <t>Цукерки желейні Клякса Троллі м/у 100гр</t>
  </si>
  <si>
    <t>Цукерки желейні Криваві очі Відал м/у 90гр</t>
  </si>
  <si>
    <t>Цукерки желейні міні ведмедики мікс Яммі Гаммі Рошен 70гр</t>
  </si>
  <si>
    <t xml:space="preserve">Цукерки желейні міні ведмедики мікс Яммі Гаммі Рошен 70гр Акція </t>
  </si>
  <si>
    <t>Цукерки желейні неглазуровані Джеллі Рошен м/у 200гр</t>
  </si>
  <si>
    <t>Цукерки желейні неглазуровані Райдужні ремені Яммі Гаммі Рошен м/у 70гр</t>
  </si>
  <si>
    <t>Цукерки желейні Піцца Відал 90гр</t>
  </si>
  <si>
    <t>Цукерки желейні Пляшки Коли Троллі м/у 100гр</t>
  </si>
  <si>
    <t>Цукерки желейні Соур Стравберіз Яммі Гаммі Рошен 70гр</t>
  </si>
  <si>
    <t>Цукерки желейні Соур Яммі Гаммі Стікс Рошен 70гр</t>
  </si>
  <si>
    <t>Цукерки желейні Тарантул Троллі м/у 100гр</t>
  </si>
  <si>
    <t>Цукерки желейні Твістс Яммі Гаммі Рошен 70гр</t>
  </si>
  <si>
    <t>Цукерки желейні Фанні кола Яммі Гаммі Рошен м/у 70гр</t>
  </si>
  <si>
    <t>Цукерки желейні Фрозен Його Яммі Гаммі Рошен м/у 70гр</t>
  </si>
  <si>
    <t>Цукерки желейні Фруктові стіки Зозоле м/у 75гр</t>
  </si>
  <si>
    <t>Цукерки желейні черв'ячки Яммі Гаммі Рошен 70гр</t>
  </si>
  <si>
    <t>Цукерки желейні черв'ячки Яммі Гаммі Рошен 70гр Акція</t>
  </si>
  <si>
    <t>Цукерки желейні Чізкейкс Яммі Гаммі Рошен 70гр</t>
  </si>
  <si>
    <t>Цукерки желейні ягоди Фіні 100гр</t>
  </si>
  <si>
    <t>Цукерки Жорж помадно-кремові 420гр</t>
  </si>
  <si>
    <t>Цукерки жувальні Веселка Фрут-телла м/у 41гр</t>
  </si>
  <si>
    <t>Цукерки жувальні зі смаком фруктів Тоффі Ямміс Рошен кг</t>
  </si>
  <si>
    <t>Цукерки жувальні зі смаком яблука Холлс м/у 47гр</t>
  </si>
  <si>
    <t>Цукерки жувальні Тофікс Мікс Елван кг</t>
  </si>
  <si>
    <t>Цукерки жувальні Тофікс Мікс Елван стік кг</t>
  </si>
  <si>
    <t>Цукерки з арахісовою пастою Крок Рошен кг</t>
  </si>
  <si>
    <t>Цукерки з ароматом вишні Галаретта Салекс кг</t>
  </si>
  <si>
    <t>Цукерки з ароматом пряженого молока Верже ХБФ кг</t>
  </si>
  <si>
    <t>Цукерки з вафельними вівсяними пластівцями та какао Хола! Гранола Рошен кг</t>
  </si>
  <si>
    <t>Цукерки з вершковою начинкою Королівський Шарм АВК кг</t>
  </si>
  <si>
    <t xml:space="preserve">Цукерки з вишневим лікером Вишня Рошен к/у 155гр </t>
  </si>
  <si>
    <t>Цукерки з горіховою начинкою Королівський Шарм АВК кг</t>
  </si>
  <si>
    <t>Цукерки з марципаном кульки Моцарт 132гр</t>
  </si>
  <si>
    <t>Цукерки з марципаном кульки Моцарт 297гр</t>
  </si>
  <si>
    <t>Цукерки з медом в шоколаді Метеор Міссо к/у 180гр</t>
  </si>
  <si>
    <t>Цукерки з молоком Джонні Крокер Рошен кг</t>
  </si>
  <si>
    <t>Цукерки з молочного шоколаду Ліндор Ліндт к/у 200гр</t>
  </si>
  <si>
    <t>Цукерки з начинкою та печивом Вері Пері Міленіум кг</t>
  </si>
  <si>
    <t>Цукерки з фісташками Тортуфіно Дубай Престиж кг</t>
  </si>
  <si>
    <t>Цукерки з хурми Равлик Боб 30гр</t>
  </si>
  <si>
    <t>Цукерки з хурми Страйп Равлик Боб 14гр</t>
  </si>
  <si>
    <t>Цукерки з чорного шоколаду какао Ліндор Ліндт 60% к/у 200гр</t>
  </si>
  <si>
    <t>Цукерки з шоколадним кремом Королівський Шарм АВК кг</t>
  </si>
  <si>
    <t>Цукерки з шоколадною начинкою Тоффеліні Рошен кг</t>
  </si>
  <si>
    <t>Цукерки з шоколадом Джонні Крокер Рошен кг</t>
  </si>
  <si>
    <t>Цукерки зі смаком дині Флай Мікс Лукас кг</t>
  </si>
  <si>
    <t>Цукерки зі смаком лимону та ментолу Мінтекс Рошен 140гр</t>
  </si>
  <si>
    <t>Цукерки зі смаком лісових ягід та ментолу Мінтекс Рошен 140гр</t>
  </si>
  <si>
    <t>Цукерки зі смаком м'яти та ментолу Мінтекс Рошен 140гр</t>
  </si>
  <si>
    <t>Цукерки Зоряний вечір ХБФ кг</t>
  </si>
  <si>
    <t>Цукерки Кавовий дует Балу кг</t>
  </si>
  <si>
    <t>Цукерки карамель Бері Рошен 180гр</t>
  </si>
  <si>
    <t>Цукерки Карамель Бері Рошен кг</t>
  </si>
  <si>
    <t>Цукерки Карамель Бім-Бом Рошен кг</t>
  </si>
  <si>
    <t>Цукерки Карамель Бутер-мілк Рошен кг</t>
  </si>
  <si>
    <t>Цукерки Карамель Джус мікс Рошен кг</t>
  </si>
  <si>
    <t>Цукерки Карамель Евкаліпт-ментол Рошен кг</t>
  </si>
  <si>
    <t xml:space="preserve">Цукерки Карамель з фруктово-ягідною начинкою Пеппінез Рошен кг </t>
  </si>
  <si>
    <t>Цукерки Карамель Золотий рачок ХБФ кг</t>
  </si>
  <si>
    <t>Цукерки карамель із молочно-кавовою начинкою Коффілайк Рошен кг</t>
  </si>
  <si>
    <t>Цукерки Карамель Йогуртіні Рошен кг</t>
  </si>
  <si>
    <t>Цукерки Карамель Кола ХБФ кг</t>
  </si>
  <si>
    <t>Цукерки карамель льодяникова зі смаком Лимону та Ментолу Мінтекс+ кг</t>
  </si>
  <si>
    <t>Цукерки Карамель льодяникова зі смаком м'яти Мінтекс+ кг</t>
  </si>
  <si>
    <t>Цукерки карамель льодяникова зі смаком Ягід та Ментолу Мінтекс+ кг</t>
  </si>
  <si>
    <t>Цукерки Карамель Молочна крапля Рошен кг</t>
  </si>
  <si>
    <t>Цукерки Карамель Рачки Рошен кг</t>
  </si>
  <si>
    <t>Цукерки Карамель Фруктовий мікс Лолліпопс Рошен кг</t>
  </si>
  <si>
    <t>Цукерки Карамель Цитрусовій мікс Рошен кг</t>
  </si>
  <si>
    <t>Цукерки Карамель Шипучка Рошен кг</t>
  </si>
  <si>
    <t>Цукерки Карамелькино Барбарис Рошен кг</t>
  </si>
  <si>
    <t>Цукерки Карамелькино Дюшес Рошен кг</t>
  </si>
  <si>
    <t>Цукерки Карротс Яммі Гаммі Рошен 70гр</t>
  </si>
  <si>
    <t>Цукерки Кафетка Лукас кг</t>
  </si>
  <si>
    <t>Цукерки Кенді Нудл Кап Джоні Бі 55гр</t>
  </si>
  <si>
    <t xml:space="preserve">Цукерки Київ вечірній Рошен к/у 176гр </t>
  </si>
  <si>
    <t xml:space="preserve">Цукерки Київ вечірній Рошен к/у 352гр </t>
  </si>
  <si>
    <t>Цукерки Коко Чоко Вайт Рошен кг</t>
  </si>
  <si>
    <t>Цукерки Колекція Ферреро 172гр</t>
  </si>
  <si>
    <t xml:space="preserve">Цукерки Комплімент Рошен к/у 145гр </t>
  </si>
  <si>
    <t>Цукерки Конті Десерт класик Бонжур к/у 232гр</t>
  </si>
  <si>
    <t>Цукерки конус Ферреро Роше 350гр</t>
  </si>
  <si>
    <t>Цукерки Коньяк десерт Балу кг</t>
  </si>
  <si>
    <t>Цукерки Коралік зі смаком Апельсин з м'ятою Балу кг</t>
  </si>
  <si>
    <t>Цукерки Коралік зі смаком Груші Балу кг</t>
  </si>
  <si>
    <t>Цукерки Корівка Рошен 205гр</t>
  </si>
  <si>
    <t>Цукерки Коффі Шоколатьє кг</t>
  </si>
  <si>
    <t xml:space="preserve">Цукерки Крем де какао Шоколатьє кг </t>
  </si>
  <si>
    <t>Цукерки Курага в шоколаді Аманті кг</t>
  </si>
  <si>
    <t>Цукерки лісовий горіх-карамель-шоколад Тоффіфі к/у 125гр</t>
  </si>
  <si>
    <t>Цукерки Лукабон Лукас кг</t>
  </si>
  <si>
    <t>Цукерки малина Роял Сінс Халорен к/у 200гр</t>
  </si>
  <si>
    <t>Цукерки Манго Десерт Бонжур Конті 232гр</t>
  </si>
  <si>
    <t>Цукерки мармелад апельсиновий в шоколаді Оранж Делайтс Гоплана к/у 190гр</t>
  </si>
  <si>
    <t>Цукерки мармелад вишневий в шоколаді Делайтс Гоплана к/у 190гр</t>
  </si>
  <si>
    <t>Цукерки мармелад жувальний Бургери Троллі 10гр</t>
  </si>
  <si>
    <t>Цукерки мармелад жувальний Очі Троллі 19гр</t>
  </si>
  <si>
    <t>Цукерки мармелад з чорної смородини в шоколаді Делайтс Гоплана к/у 190гр</t>
  </si>
  <si>
    <t>Цукерки Мега Шарзан Лукас 40гр</t>
  </si>
  <si>
    <t>Цукерки Мега Шарзан Лукас кг</t>
  </si>
  <si>
    <t>Цукерки Мигдаль в шоколаді Домінік кг</t>
  </si>
  <si>
    <t>Цукерки Мій Харків ХБФ 660гр</t>
  </si>
  <si>
    <t>Цукерки міні Лайон кг</t>
  </si>
  <si>
    <t>Цукерки Міні Марс кг</t>
  </si>
  <si>
    <t>Цукерки Міні Мілкі Вей кг</t>
  </si>
  <si>
    <t>Цукерки Міні Снікерс кг</t>
  </si>
  <si>
    <t>Цукерки Міні Твікс кг</t>
  </si>
  <si>
    <t>Цукерки Мірель ХБФ кг</t>
  </si>
  <si>
    <t>Цукерки молоко з арахісом Тортуфіно Київ Престиж кг</t>
  </si>
  <si>
    <t>Цукерки Молочна крапля Рошен 150гр</t>
  </si>
  <si>
    <t>Цукерки молочний шоколад елегант Асортимент Рошен 145гр</t>
  </si>
  <si>
    <t>Цукерки молочний шоколад лісовий горіх мигдаль Дубайські Люкс Чоко 40гр</t>
  </si>
  <si>
    <t>Цукерки молочний шоколад мигдаль фундук Дубайські Люкс Чоко 40гр</t>
  </si>
  <si>
    <t>Цукерки молочний шоколад фісташка Дубайські Люкс Чоко 40гр</t>
  </si>
  <si>
    <t xml:space="preserve">Цукерки Монблан Рошен 240гр </t>
  </si>
  <si>
    <t xml:space="preserve">Цукерки Муар ХБФ к/у 250гр </t>
  </si>
  <si>
    <t>Цукерки Мультики ХЗПТ кг</t>
  </si>
  <si>
    <t>Цукерки найс асорті Рів'єра Міленіум 250гр</t>
  </si>
  <si>
    <t>Цукерки неглазуровані з желейними начинками Мінкі бінкі Рошен кг</t>
  </si>
  <si>
    <t>Цукерки Одамер Лукас кг</t>
  </si>
  <si>
    <t>Цукерки Пана-коти та малини Десерт Бонжур Конті 232гр</t>
  </si>
  <si>
    <t>Цукерки Панда Конфітрейд кг</t>
  </si>
  <si>
    <t>Цукерки Паста Яммі Гаммі Рошен 70гр</t>
  </si>
  <si>
    <t>Цукерки Пломбіріні з вишневим ароматом Суворов кг</t>
  </si>
  <si>
    <t>Цукерки Полуниці з вершками Десерт Бонжур Конті 232гр</t>
  </si>
  <si>
    <t>Цукерки пряжене молоко Флоренс АВК кг</t>
  </si>
  <si>
    <t>Цукерки Пташине молоко Жако кг</t>
  </si>
  <si>
    <t>Цукерки Пташине молочко Балу кг</t>
  </si>
  <si>
    <t>Цукерки Рафаелло 150гр</t>
  </si>
  <si>
    <t>Цукерки Рафаелло 230гр</t>
  </si>
  <si>
    <t>Цукерки Рафаелло 260гр</t>
  </si>
  <si>
    <t>Цукерки Рафаелло 300гр</t>
  </si>
  <si>
    <t>Цукерки Рафаелло 80гр</t>
  </si>
  <si>
    <t>Цукерки Рів'єра Міленіум 125гр</t>
  </si>
  <si>
    <t>Цукерки ромовий лікер Шутерс Рошен 150гр</t>
  </si>
  <si>
    <t>Цукерки Рошен Джус мікс 200гр</t>
  </si>
  <si>
    <t>Цукерки Святкові Золотий Запас кг</t>
  </si>
  <si>
    <t>Цукерки Смаіл Мікс Яммі Гаммі Рошен 70гр</t>
  </si>
  <si>
    <t>Цукерки Сонячний віночок вишня ХБФ к/у 430гр</t>
  </si>
  <si>
    <t>Цукерки Сонячний віночок лимон ХБФ к/у 430гр</t>
  </si>
  <si>
    <t>Цукерки сплеш Мілкі Рошен 150гр</t>
  </si>
  <si>
    <t>Цукерки Стакан молока Рошен кг</t>
  </si>
  <si>
    <t>Цукерки Стефанія Конті кг</t>
  </si>
  <si>
    <t>Цукерки Стимул Сонячний віночок кг</t>
  </si>
  <si>
    <t>Цукерки Стимул Стріла Дніпровська кг</t>
  </si>
  <si>
    <t>Цукерки Стожари Світоч 196гр</t>
  </si>
  <si>
    <t>Цукерки Стріла подільська Рошен к/у 200гр</t>
  </si>
  <si>
    <t>Цукерки Суфле в шоколаді Шоко Бананен Казалі к/у 150гр</t>
  </si>
  <si>
    <t>Цукерки темний шоколад Асортимент Рошен 154гр</t>
  </si>
  <si>
    <t>Цукерки Тортюфель Київ Шокобум кг</t>
  </si>
  <si>
    <t>Цукерки Тоффі з арахісом Престиж кг</t>
  </si>
  <si>
    <t>Цукерки Труфальє АВК кг</t>
  </si>
  <si>
    <t>Цукерки Трюф Фо Ю Оскар Ле Гранд к/у 300гр</t>
  </si>
  <si>
    <t>Цукерки Трюфель Балу кг</t>
  </si>
  <si>
    <t>Цукерки Трюфель Коктейльна колекція Міленіум 195гр</t>
  </si>
  <si>
    <t>Цукерки Трюфель молочний АВК кг</t>
  </si>
  <si>
    <t>Цукерки Трюфель оригінальний АВК кг</t>
  </si>
  <si>
    <t>Цукерки трюфель солона карамель Мастер Трюффаут 200гр</t>
  </si>
  <si>
    <t>Цукерки трюфель тирамісу Делафай 200гр</t>
  </si>
  <si>
    <t>Цукерки у молочному шоколаді Палітра Асорті Світоч 200гр</t>
  </si>
  <si>
    <t>Цукерки у чорному шоколаді Палітра Асорті Світоч 200гр</t>
  </si>
  <si>
    <t>Цукерки Ферреро Роше 100гр</t>
  </si>
  <si>
    <t>Цукерки Ферреро Роше 200гр</t>
  </si>
  <si>
    <t>Цукерки Флаксі какао Рошен кг</t>
  </si>
  <si>
    <t>Цукерки Флаксі кокос Рошен кг</t>
  </si>
  <si>
    <t>Цукерки Франческа Балу кг</t>
  </si>
  <si>
    <t>Цукерки Харків місто героїв ХБФ 420гр</t>
  </si>
  <si>
    <t>Цукерки ХБФ Жорж преміум 450гр</t>
  </si>
  <si>
    <t>Цукерки Хрусткий горішок Балу кг</t>
  </si>
  <si>
    <t>Цукерки Черрі Квін Рошен 122гр</t>
  </si>
  <si>
    <t>Цукерки Чорнослив з волоським горіхом Аманті кг</t>
  </si>
  <si>
    <t>Цукерки Шалена бджілка Рошен 200гр</t>
  </si>
  <si>
    <t>Цукерки Шарзан Лукас кг</t>
  </si>
  <si>
    <t>Цукерки Шерідан АВК кг</t>
  </si>
  <si>
    <t>Цукерки Шоколадна ніч АВК кг</t>
  </si>
  <si>
    <t>Цукерки Шоколадне асорті кг</t>
  </si>
  <si>
    <t>Цукерки шоколадні з фундуком Ліндор Ліндт к/у 200гр</t>
  </si>
  <si>
    <t>Цукерки шоколадні крем-брюле Ніколь ХБФ кг</t>
  </si>
  <si>
    <t>Цукерки шоколадні Шутерс віскі-лікер Рошен к/у 150гр</t>
  </si>
  <si>
    <t>Цукерки Шоколапки Рошен кг</t>
  </si>
  <si>
    <t>Цукерки Шоколатерія Рошен 256гр</t>
  </si>
  <si>
    <t>Цукерки яблуко-вишня Страйп Равлик Боб 14гр</t>
  </si>
  <si>
    <t>Цукерки яблуко-груша з іграшкою Равлик Боб 20гр</t>
  </si>
  <si>
    <t>Цукерки яблуко-груша Равлик Боб 30гр</t>
  </si>
  <si>
    <t>Цукерки яблуко-груша Страйп Равлик Боб 14гр</t>
  </si>
  <si>
    <t>Цукерки яблуко-малина Страйп Равлик Боб 14гр</t>
  </si>
  <si>
    <t>Цукерки Яблучно-Банановий Страйп Равлик Боб 14гр</t>
  </si>
  <si>
    <t>Цукерки ягідний мікс Бонні-фрут Рошен 200гр</t>
  </si>
  <si>
    <t>Цукеркиз арахісом Ірис Кісс Престиж кг</t>
  </si>
  <si>
    <t>Набір драже печива цукерок та батончиків Новорічна цукерка M&amp;M'с&amp;Френдз к/у 227,5гр</t>
  </si>
  <si>
    <t>Набір драже та батончиків Новорічна ялинка M&amp;M'с&amp;Френдз к/у 96,5гр</t>
  </si>
  <si>
    <t>Набір драже цукерок батончиків печива та жувальних драже Середня бандероль M&amp;M'с&amp;Френдз к/у 190гр</t>
  </si>
  <si>
    <t>Набір подарунковий Міні Мікс Будинок Новорічний Кіндер к/у 76гр</t>
  </si>
  <si>
    <t>Фігура з молочного шоколаду Святий Миколай Мілка 45гр</t>
  </si>
  <si>
    <t>Шоколадні фігурки</t>
  </si>
  <si>
    <t>Фігура з шоколаду Кіндер 110гр</t>
  </si>
  <si>
    <t>Фігура з шоколаду Кіндер 3шт</t>
  </si>
  <si>
    <t>Фігура з шоколаду Кіндер 55гр</t>
  </si>
  <si>
    <t>Фігура з шоколаду Кіндер 6шт</t>
  </si>
  <si>
    <t>Шоколад білий з Кокосовою стружкою і мигдалем Раффаелло 90гр</t>
  </si>
  <si>
    <t>Шоколад білий</t>
  </si>
  <si>
    <t>Шоколад білий пористий карамельний Рошен 80гр</t>
  </si>
  <si>
    <t>Шоколад білий пористий карамельний Рошен 80гр Акція</t>
  </si>
  <si>
    <t>Шоколад білий пористий Рошен 80гр</t>
  </si>
  <si>
    <t xml:space="preserve">Шоколад білий пористий Рошен 80гр Акція 39,90грн </t>
  </si>
  <si>
    <t>Шоколад гіркий лісовий горіх Олд Колекшн ХБФ 200гр</t>
  </si>
  <si>
    <t>Шоколад чорний</t>
  </si>
  <si>
    <t>Шоколад екстрачорний пористий Рошен 80гр</t>
  </si>
  <si>
    <t xml:space="preserve">Шоколад екстрачорний пористий Рошен 80гр Акція </t>
  </si>
  <si>
    <t>Шоколад екстрачорний Фейворіт Брют Міленіум 80% 100гр</t>
  </si>
  <si>
    <t>Шоколад Кашет молочний з лісовим горіхом 300гр</t>
  </si>
  <si>
    <t>Шоколад Корона Максфан молочний зі смаком вишні 150гр</t>
  </si>
  <si>
    <t>Шоколад Міленіум Голд молочний з цілим мигдалем та курагою 100гр Акція</t>
  </si>
  <si>
    <t>Шоколад молочний Альпінелла 90гр</t>
  </si>
  <si>
    <t>Шоколад молочний арахіс родзинки Альпінелла 90гр</t>
  </si>
  <si>
    <t>Шоколад молочний з альпійським молоком Ріттер Спорт 100гр</t>
  </si>
  <si>
    <t>Шоколад молочний з арахісовим кремом Шогеттен 100гр</t>
  </si>
  <si>
    <t>Шоколад молочний з арахісом і карамельно-арахісовою начинкою Лакмі Рошен 295гр</t>
  </si>
  <si>
    <t>Шоколад молочний з арахісом і карамельно-арахісовою начинкою Лакмі Рошен 295гр Акція</t>
  </si>
  <si>
    <t>Шоколад молочний з арахісом і Карамельно-арахісовою начинкою Лакмі Рошен 87гр</t>
  </si>
  <si>
    <t>Шоколад молочний з арахісом і карамельно-арахісовою начинкою Лакмі Рошен 87гр Акція</t>
  </si>
  <si>
    <t>Шоколад молочний з вафлею Солона Карамель Кіт Кат м/у 99гр</t>
  </si>
  <si>
    <t>Шоколад молочний з Горіх пастою і подрібн фундуком та вафлею Мілка 270гр</t>
  </si>
  <si>
    <t>Шоколад молочний з горіхами Шогеттен 100гр</t>
  </si>
  <si>
    <t>Шоколад молочний з карамеллю та морською сіллю Кашет 300гр</t>
  </si>
  <si>
    <t>Шоколад молочний з Лісовими горіхами Ферерро Роше 90гр</t>
  </si>
  <si>
    <t>Шоколад молочний з мигдалем кокосовим кремом та рисовими кульками Лакмі Рошен м/у 84гр</t>
  </si>
  <si>
    <t>Шоколад молочний з мигдалем та кокосовим кремом Лакмі Рошен 280гр</t>
  </si>
  <si>
    <t>Шоколад молочний з мигдалем та кокосовим кремом Лакмі Рошен м/у 84гр Акція</t>
  </si>
  <si>
    <t>Шоколад молочний з мигдалем та кокосом Лакмі Рошен 280гр Акція</t>
  </si>
  <si>
    <t>Шоколад молочний з молочною начинкою Джей&amp;Джой Міленіум к/у 4*90гр</t>
  </si>
  <si>
    <t>Шоколад молочний з молочною начинкою карамеллю та печивом з какао Лакмі Рошен 100гр</t>
  </si>
  <si>
    <t>Шоколад молочний з молочною начинкою карамеллю та печивом з какао Лакмі Рошен 100гр Акція</t>
  </si>
  <si>
    <t>Шоколад молочний з молочною начинкою кукурудзяними пластівцями та печивом Лакмі Рошен м/у 83гр</t>
  </si>
  <si>
    <t>Шоколад молочний з молочною начинкою кукурудзяними пластівцями та печивом Лакмі Рошен м/у Акція 83гр</t>
  </si>
  <si>
    <t>Шоколад молочний з молочною начинкою Максі Кіндер м/у 84гр</t>
  </si>
  <si>
    <t>Шоколад молочний з молочною начинкою та вафлею Лакмі Рошен 90гр</t>
  </si>
  <si>
    <t>Шоколад молочний з молочною начинкою та вафлею Лакмі Рошен 90гр Акція</t>
  </si>
  <si>
    <t>Шоколад молочний з молочною начинкою та злаками Кантрі Кіндер м/у 94г</t>
  </si>
  <si>
    <t>Шоколад молочний з молочною начинкою та печивом Лакмі Рошен 100гр</t>
  </si>
  <si>
    <t>Шоколад молочний з молочною начинкою та печивом Лакмі Рошен 100гр Акція</t>
  </si>
  <si>
    <t>Шоколад молочний з молочною та шоколадною начинками вафлею з какао Лакмі Рошен 235гр</t>
  </si>
  <si>
    <t>Шоколад молочний з молочною та шоколадною начинками вафлею з какао Лакмі Рошен 235гр Акція</t>
  </si>
  <si>
    <t>Шоколад молочний з начинкою з кокосового крему Ріттер Спорт 100гр</t>
  </si>
  <si>
    <t>Шоколад молочний з начинкою зі смаком полунична пана-кота Лакмі Рошен 90гр</t>
  </si>
  <si>
    <t>Шоколад молочний з начинкою зі смаком полунична пана-кота Лакмі Рошен 90гр Акція</t>
  </si>
  <si>
    <t>Шоколад молочний з начинкою зі смаком Тірамісу та печивом Лакмі Рошен 270гр Акція</t>
  </si>
  <si>
    <t>Шоколад молочний з начинкою Несквік 100гр</t>
  </si>
  <si>
    <t>Шоколад молочний з Полуничною начинкою Несквік 100гр</t>
  </si>
  <si>
    <t>Шоколад молочний з Родзинками та подрібненими горіхами Тоблерон 100гр</t>
  </si>
  <si>
    <t>Шоколад молочний з сезамом Лакмі Рошен 90гр</t>
  </si>
  <si>
    <t>Шоколад молочний з цілим Мигдалем Лакмі Рошен 90гр</t>
  </si>
  <si>
    <t>Шоколад молочний з цілим мигдалем Нат аут Рошен 90гр</t>
  </si>
  <si>
    <t>Шоколад молочний з цілим мигдалем Нат аут Рошен 90гр Акція</t>
  </si>
  <si>
    <t>Шоколад молочний з цілим мигдалем та родзинками Голд Міленіум 100гр Акція</t>
  </si>
  <si>
    <t>Шоколад молочний з цілим фундуком Міленіум к/у 1,1кг</t>
  </si>
  <si>
    <t>Шоколад молочний з цілим фундуком Нат аут Рошен 90гр</t>
  </si>
  <si>
    <t>Шоколад молочний з цілим фундуком Нат Аут Рошен 90гр Акція</t>
  </si>
  <si>
    <t>Шоколад молочний з цілими лісовими горіхами і шоколадно-карамельною начинкою Лакмі Рошен 295гр</t>
  </si>
  <si>
    <t>Шоколад молочний з цілими лісовими горіхами Лакмі Рошен 90гр</t>
  </si>
  <si>
    <t>Шоколад молочний з цільним Мигдалем Ріттер Спорт 100гр</t>
  </si>
  <si>
    <t>Шоколад молочний з цільними горіхами Голден Нат Міленіум 40гр</t>
  </si>
  <si>
    <t>Шоколад молочний з шоколадно-горіховою начинкою та печивом Лакмі Рошен 265гр</t>
  </si>
  <si>
    <t>Шоколад молочний з шоколадно-горіховою начинкою та печивом Лакмі Рошен 265гр Акція</t>
  </si>
  <si>
    <t>Шоколад молочний з шоколадно-горіховою начинкою та печивом Лакмі Рошен 290гр</t>
  </si>
  <si>
    <t>Шоколад молочний з шоколадною начинкою та вафлею Лакмі Рошен 90гр</t>
  </si>
  <si>
    <t>Шоколад молочний з шоколадною начинкою та вафлею Лакмі Рошен 90гр Акція</t>
  </si>
  <si>
    <t>Шоколад молочний зі смаженими підсоленими шматочками горіхів кеш'ю Ріттер Спорт м/у 100гр</t>
  </si>
  <si>
    <t>Шоколад молочний карамель брауні Шогеттен 100гр</t>
  </si>
  <si>
    <t>Шоколад молочний Кашет м/у 300гр</t>
  </si>
  <si>
    <t>Шоколад молочний Кіндер 50гр</t>
  </si>
  <si>
    <t>Шоколад молочний Кіндер100гр</t>
  </si>
  <si>
    <t>Шоколад молочний Лакмі Рошен 90гр</t>
  </si>
  <si>
    <t>Шоколад молочний Лакмі Рошен 90гр Акція</t>
  </si>
  <si>
    <t>Шоколад молочний лісовий горіх Олд Колекшн ХБФ 200гр</t>
  </si>
  <si>
    <t>Шоколад молочний мигдаль Кашет м/у 300гр</t>
  </si>
  <si>
    <t>Шоколад молочний Новорічний календар Любимов Кідс к/у 120гр</t>
  </si>
  <si>
    <t>Шоколад молочний Оскар Ле Гранд к/у 82гр</t>
  </si>
  <si>
    <t>Шоколад молочний полуниця Альпінелла 100гр</t>
  </si>
  <si>
    <t>Шоколад молочний полуниця Шогеттен 100гр</t>
  </si>
  <si>
    <t>Шоколад молочний полуничний пиріг Лакмі Рошен 275гр</t>
  </si>
  <si>
    <t>Шоколад молочний Полуничний пиріг Лакмі Рошен м/у 275гр Акція</t>
  </si>
  <si>
    <t>Шоколад молочний пористий з молочною начинкою з кріспі Лакмі Рошен 85гр</t>
  </si>
  <si>
    <t>Шоколад молочний пористий з молочною начинкою з кріспі Лакмі Рошен 85гр Акція</t>
  </si>
  <si>
    <t>Шоколад молочний пористий з молочною начинкою з кріспі Фан Кріспі Лакмі Рошен 85гр</t>
  </si>
  <si>
    <t>Шоколад молочний пористий Рошен 80гр</t>
  </si>
  <si>
    <t>Шоколад молочний пористий Рошен 80гр Акція 39,9грн</t>
  </si>
  <si>
    <t>Шоколад молочний та чорний з вафлею Лісовий Горіх Кіт Кат м/у 99гр</t>
  </si>
  <si>
    <t>Шоколад комбінований</t>
  </si>
  <si>
    <t>Шоколад молочний та чорний з вафлею Подвійний Шоколад Кіт Кат м/у 99гр</t>
  </si>
  <si>
    <t>Шоколад молочний тоффі Альпінелла 100гр</t>
  </si>
  <si>
    <t>Шоколад молочний Фундук Кашет 300гр</t>
  </si>
  <si>
    <t>Шоколад молочний цільні лісові горіхи Ріттер Спорт м/у 100гр</t>
  </si>
  <si>
    <t>Шоколад молочний Манго-ананас-маракуйя-вибухова карамель-шипучі кульки Максфан Корона м/у 150гр</t>
  </si>
  <si>
    <t>Шоколад темний гіркий Екселент Ліндт 50гр</t>
  </si>
  <si>
    <t>Шоколад тришаровий з Молочним та білим шоколадом Мілка 280гр</t>
  </si>
  <si>
    <t>Шоколад чорний 80% Біттер Рошен м/у 85гр</t>
  </si>
  <si>
    <t>Шоколад чорний Альпінелла 90гр</t>
  </si>
  <si>
    <t>Шоколад чорний Брют Рошен 80% 85гр</t>
  </si>
  <si>
    <t>Шоколад чорний Вері Пері Міленіум 85гр</t>
  </si>
  <si>
    <t>Шоколад чорний Вишння-смородина-журавлина Крафт Серія Міленіум 100гр</t>
  </si>
  <si>
    <t>Шоколад чорний гіркий Екселенс Ліндт 85% 100гр</t>
  </si>
  <si>
    <t>Шоколад чорний з апельсином Ліндт Екселенс 100гр</t>
  </si>
  <si>
    <t>Шоколад чорний з лимоном та імбирем Ліндт Екселенс 100гр</t>
  </si>
  <si>
    <t>Шоколад чорний з Лісовими горіхами 55% Ферерро Роше к/у 90гр</t>
  </si>
  <si>
    <t>Шоколад чорний з малиною Ліндт Екселенс 100гр</t>
  </si>
  <si>
    <t>Шоколад чорний з мигдалем і фундуком та журавлиною Ліндт Екселенс 100гр</t>
  </si>
  <si>
    <t>Шоколад чорний з морською сіллю та карамеллю Ексклюзив Світоч 90гр</t>
  </si>
  <si>
    <t>Шоколад чорний з м'ятою Ліндт Екселенс 100гр</t>
  </si>
  <si>
    <t>Шоколад чорний з підсоленим подрібненим мигдалем Рошен м/у 85гр</t>
  </si>
  <si>
    <t>Шоколад чорний з цілим мигдалем Нат аут Рошен 90гр</t>
  </si>
  <si>
    <t>Шоколад чорний з цілим мигдалем Нат аут Рошен 90гр Акція</t>
  </si>
  <si>
    <t>Шоколад чорний з цілим фундуком Міленіум к/у 1,1кг</t>
  </si>
  <si>
    <t>Шоколад чорний з цілим фундуком Нат аут Рошен 90гр</t>
  </si>
  <si>
    <t>Шоколад чорний з цілим фундуком Нат аут Рошен 90гр Акція</t>
  </si>
  <si>
    <t>Шоколад чорний з цілим фундуком Нат аут Рошен 90гр Акція 48,90грн</t>
  </si>
  <si>
    <t>Шоколад чорний з цілими лісовими горіхами Ріттер Спорт 100гр</t>
  </si>
  <si>
    <t>Шоколад чорний з цільним фундуком Голд Міленіум 100гр</t>
  </si>
  <si>
    <t>Шоколад чорний Кашет 300гр</t>
  </si>
  <si>
    <t>Шоколад чорний Кашет 70% 300гр</t>
  </si>
  <si>
    <t>Шоколад чорний Ліндт Екселенс 70% 100гр</t>
  </si>
  <si>
    <t>Шоколад чорний Оскар Ле Гранд 82% к/у 82гр</t>
  </si>
  <si>
    <t>Шоколад чорний пористий Міленіум 85гр</t>
  </si>
  <si>
    <t>Шоколад чорний Рошен 56% 90гр</t>
  </si>
  <si>
    <t>Шоколад чорний та білий Грильяж Шогеттен 100гр</t>
  </si>
  <si>
    <t>Шоколад чорний Тоблерон 100гр</t>
  </si>
  <si>
    <t>Шоколад чорний Фейворіт Оранж Міленіум 74% 100гр</t>
  </si>
  <si>
    <t>Шоколад чорний Фундук-клюква-волошки Крафт Серія Міленіум 100гр</t>
  </si>
  <si>
    <t>Шоколад Шогеттен чорний та білий Страчателла 100гр</t>
  </si>
  <si>
    <t>Арахісова паста кремова Монтеріко 500гр</t>
  </si>
  <si>
    <t>Арахісове масло</t>
  </si>
  <si>
    <t>Арахісова паста хрустка Монтеріко 500гр</t>
  </si>
  <si>
    <t xml:space="preserve">Паста горіхова з какао Нутелла с/б 200гр </t>
  </si>
  <si>
    <t>Шоколадна паста</t>
  </si>
  <si>
    <t>Паста горіхова з какао Нутелла с/б 350гр</t>
  </si>
  <si>
    <t>Паста Домашні продукти ЧокоНутто шоколадний смак 400гр</t>
  </si>
  <si>
    <t>Паста Домашні продукти ЧокоНутто шоколадно-арахісовий смак 400гр</t>
  </si>
  <si>
    <t>Паста шоколадна Чокофіні 400гр</t>
  </si>
  <si>
    <t>Паста шоколадно-арахісова Чокофіні 400гр</t>
  </si>
  <si>
    <t>Паста шоколадно-горіхова Чокофіні 400гр</t>
  </si>
  <si>
    <t>Шоколадна паста Дуо КреМонте п/у 400гр</t>
  </si>
  <si>
    <t>Шоколадна паста Какао КреМонте 400гр</t>
  </si>
  <si>
    <t>Шоколадна паста Какао КреМонте відро 400гр</t>
  </si>
  <si>
    <t>Тофу в Соевому соусі Елайв к/у 240гр</t>
  </si>
  <si>
    <t>Тофу в Соусі каррі Елайв 240гр</t>
  </si>
  <si>
    <t>Тофу Класичний Елайв к/у 200гр</t>
  </si>
  <si>
    <t>Вода негазована для дітей від народження Спорт-лок Малиш п/пл 0,33л</t>
  </si>
  <si>
    <t>Вода дитяча</t>
  </si>
  <si>
    <t>Вода негазована питна для дітей від народження Малюк п/пл 0,33л</t>
  </si>
  <si>
    <t>Вода негазована питна для дітей від народження Малюк п/пл 1.5л</t>
  </si>
  <si>
    <t>Вода негазована питна для дітей від народження Малюк п/пл 5л</t>
  </si>
  <si>
    <t>Вода негазована питна для дітей з народження Моршинка п/пл 1,5л</t>
  </si>
  <si>
    <t>Вода негазована питна для дітей з народження Моршинка п/пл 6л</t>
  </si>
  <si>
    <t>Вода питна негазована для дітей з народження Моршинка п/пл 0,33л</t>
  </si>
  <si>
    <t>Круасан з Абрикосовою начинкою НБХЗ 60гр</t>
  </si>
  <si>
    <t>Круасани фасовані</t>
  </si>
  <si>
    <t>Круасан з Вареним згущеним молоком НБХЗ 60гр</t>
  </si>
  <si>
    <t>Круасан з вишневим наповнювачем Лукас м/у 225гр</t>
  </si>
  <si>
    <t>Круасан з вишневим наповнювачем Лукас м/у 45гр</t>
  </si>
  <si>
    <t>Круасан з Вишневою начинкою НБХЗ 60гр</t>
  </si>
  <si>
    <t>Круасан з Малиновою начинкою НБХЗ 60гр</t>
  </si>
  <si>
    <t>Круасан з начинкою з ванільним смаком Севен Дейз м/у 60гр</t>
  </si>
  <si>
    <t>Круасан з начинкою зі смаком ванілі Супер Макс Севен Дейз м/у 110гр</t>
  </si>
  <si>
    <t>Круасан з начинкою какао крем Лукас м/у 45гр</t>
  </si>
  <si>
    <t>Круасан з начинкою какао-крем Лукас м/у 225гр</t>
  </si>
  <si>
    <t>Круасан з начинкою какао-крем-горіх Лукас м/у 45гр</t>
  </si>
  <si>
    <t>Круасан з Начинкою солона карамель НБХЗ м/у 60гр</t>
  </si>
  <si>
    <t>Круасан з полуничним наповнювачем Лукас м/у 45гр</t>
  </si>
  <si>
    <t>Круасан з Полуничною начинкою НБХЗ 60гр</t>
  </si>
  <si>
    <t>Круасан з Шоколадною начинкою НБХЗ м/у 60гр</t>
  </si>
  <si>
    <t>Круасан зі смаком ванілі та вишневою начинкою Дабл Супер Макс Севен Дейз м/у 110г</t>
  </si>
  <si>
    <t>Круасан із полуничною начинкою Севен Дейз м/у 60гр</t>
  </si>
  <si>
    <t>Круасан какао Севен Дейз 110гр</t>
  </si>
  <si>
    <t>Круасани міні з молоком згущеним увареним НБХЗ м/у 200гр</t>
  </si>
  <si>
    <t>Круасани міні з начинкою вишня НБХЗ м/у 200гр</t>
  </si>
  <si>
    <t>Круасани міні з полуничною начинкою НБХЗ м/у 200гр</t>
  </si>
  <si>
    <t>Круасани міні з шоколадною начинкою НБХЗ м/у 200гр</t>
  </si>
  <si>
    <t>Міні круасани абрикос НБХЗ 200гр</t>
  </si>
  <si>
    <t>Міні круасани какао Севен Дейз 185гр</t>
  </si>
  <si>
    <t>Міні круасани малина НБХЗ 200гр</t>
  </si>
  <si>
    <t>Вафельний кошик Домашні продукти 34гр</t>
  </si>
  <si>
    <t>Вафельний човник Лекорна м/у 20гр</t>
  </si>
  <si>
    <t>Коржі вафельні бризолі з житнім борошном Лекорна 50гр</t>
  </si>
  <si>
    <t>Коржі вафельні бризолі Лекорна 50гр</t>
  </si>
  <si>
    <t>Коржі вафельні для торта Веселка Лекорна 140гр</t>
  </si>
  <si>
    <t>Коржі вафельні для торта Веселка Лекорна 90гр</t>
  </si>
  <si>
    <t>Коржі вафельні для торта з какао Лекорна 140гр</t>
  </si>
  <si>
    <t>Коржі вафельні для торта з какао Лекорна 90гр</t>
  </si>
  <si>
    <t>Коржі вафельні для торта Лекорна 150гр</t>
  </si>
  <si>
    <t>Коржі вафельні для торта Лекорна 280гр</t>
  </si>
  <si>
    <t>Коржі вафельні для торта Лекорна 90гр</t>
  </si>
  <si>
    <t>Коржі вафельні для торта Малинка Лекорна 90гр</t>
  </si>
  <si>
    <t>Корзинка вафельна Лекорна 38гр</t>
  </si>
  <si>
    <t>Корзинка вафельний конус Лекорна 53гр</t>
  </si>
  <si>
    <t>Тарталетка Домашні продукти 100гр</t>
  </si>
  <si>
    <t>Тарталетка Ніжність Лекорна 16шт 138гр</t>
  </si>
  <si>
    <t>Тарталетка Хлібна Лекорна 6шт 70гр</t>
  </si>
  <si>
    <t>1 ур</t>
  </si>
  <si>
    <t>2 ур</t>
  </si>
  <si>
    <t>0 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</si>
</sst>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8"/>
      <name val="Arial"/>
    </font>
    <font>
      <sz val="8"/>
      <color rgb="FF594304"/>
      <name val="Arial"/>
      <family val="2"/>
    </font>
    <font>
      <sz val="8"/>
      <name val="Arial"/>
      <family val="2"/>
      <charset val="204"/>
    </font>
    <font>
      <sz val="8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" fontId="4" fillId="4" borderId="2" xfId="2" applyNumberFormat="1" applyFont="1" applyFill="1" applyBorder="1" applyAlignment="1">
      <alignment horizontal="left" vertical="top" wrapText="1"/>
    </xf>
    <xf numFmtId="2" fontId="4" fillId="5" borderId="2" xfId="2" applyNumberFormat="1" applyFont="1" applyFill="1" applyBorder="1" applyAlignment="1">
      <alignment horizontal="right" vertical="top" wrapText="1"/>
    </xf>
    <xf numFmtId="4" fontId="4" fillId="5" borderId="2" xfId="2" applyNumberFormat="1" applyFont="1" applyFill="1" applyBorder="1" applyAlignment="1">
      <alignment horizontal="right" vertical="top" wrapText="1"/>
    </xf>
    <xf numFmtId="1" fontId="4" fillId="4" borderId="2" xfId="3" applyNumberFormat="1" applyFont="1" applyFill="1" applyBorder="1" applyAlignment="1">
      <alignment horizontal="left" vertical="top" wrapText="1"/>
    </xf>
    <xf numFmtId="2" fontId="4" fillId="5" borderId="2" xfId="3" applyNumberFormat="1" applyFont="1" applyFill="1" applyBorder="1" applyAlignment="1">
      <alignment horizontal="right" vertical="top" wrapText="1"/>
    </xf>
    <xf numFmtId="4" fontId="4" fillId="5" borderId="2" xfId="3" applyNumberFormat="1" applyFont="1" applyFill="1" applyBorder="1" applyAlignment="1">
      <alignment horizontal="right" vertical="top" wrapText="1"/>
    </xf>
    <xf numFmtId="1" fontId="4" fillId="4" borderId="2" xfId="4" applyNumberFormat="1" applyFont="1" applyFill="1" applyBorder="1" applyAlignment="1">
      <alignment horizontal="left" vertical="top" wrapText="1"/>
    </xf>
    <xf numFmtId="2" fontId="4" fillId="5" borderId="2" xfId="4" applyNumberFormat="1" applyFont="1" applyFill="1" applyBorder="1" applyAlignment="1">
      <alignment horizontal="right" vertical="top" wrapText="1"/>
    </xf>
    <xf numFmtId="1" fontId="4" fillId="4" borderId="2" xfId="5" applyNumberFormat="1" applyFont="1" applyFill="1" applyBorder="1" applyAlignment="1">
      <alignment horizontal="left" vertical="top" wrapText="1"/>
    </xf>
    <xf numFmtId="2" fontId="4" fillId="5" borderId="2" xfId="5" applyNumberFormat="1" applyFont="1" applyFill="1" applyBorder="1" applyAlignment="1">
      <alignment horizontal="right" vertical="top" wrapText="1"/>
    </xf>
    <xf numFmtId="1" fontId="4" fillId="4" borderId="2" xfId="6" applyNumberFormat="1" applyFont="1" applyFill="1" applyBorder="1" applyAlignment="1">
      <alignment horizontal="left" vertical="top" wrapText="1"/>
    </xf>
    <xf numFmtId="2" fontId="4" fillId="5" borderId="2" xfId="6" applyNumberFormat="1" applyFont="1" applyFill="1" applyBorder="1" applyAlignment="1">
      <alignment horizontal="right" vertical="top" wrapText="1"/>
    </xf>
    <xf numFmtId="4" fontId="4" fillId="5" borderId="2" xfId="6" applyNumberFormat="1" applyFont="1" applyFill="1" applyBorder="1" applyAlignment="1">
      <alignment horizontal="right" vertical="top" wrapText="1"/>
    </xf>
    <xf numFmtId="2" fontId="4" fillId="4" borderId="3" xfId="7" applyNumberFormat="1" applyFont="1" applyFill="1" applyBorder="1" applyAlignment="1">
      <alignment horizontal="right" vertical="top"/>
    </xf>
    <xf numFmtId="0" fontId="4" fillId="4" borderId="3" xfId="7" applyFont="1" applyFill="1" applyBorder="1" applyAlignment="1">
      <alignment horizontal="left" vertical="top"/>
    </xf>
    <xf numFmtId="4" fontId="4" fillId="4" borderId="3" xfId="7" applyNumberFormat="1" applyFont="1" applyFill="1" applyBorder="1" applyAlignment="1">
      <alignment horizontal="right" vertical="top"/>
    </xf>
    <xf numFmtId="9" fontId="1" fillId="3" borderId="1" xfId="1" applyFont="1" applyFill="1" applyBorder="1" applyAlignment="1">
      <alignment horizontal="center" vertical="top" wrapText="1"/>
    </xf>
    <xf numFmtId="9" fontId="0" fillId="0" borderId="0" xfId="1" applyFont="1" applyAlignment="1">
      <alignment horizontal="center"/>
    </xf>
    <xf numFmtId="2" fontId="4" fillId="6" borderId="3" xfId="7" applyNumberFormat="1" applyFont="1" applyFill="1" applyBorder="1" applyAlignment="1">
      <alignment horizontal="right" vertical="top"/>
    </xf>
    <xf numFmtId="2" fontId="4" fillId="7" borderId="3" xfId="7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" fontId="4" fillId="3" borderId="2" xfId="3" applyNumberFormat="1" applyFont="1" applyFill="1" applyBorder="1" applyAlignment="1">
      <alignment horizontal="left" vertical="top" wrapText="1"/>
    </xf>
    <xf numFmtId="0" fontId="4" fillId="3" borderId="3" xfId="7" applyFont="1" applyFill="1" applyBorder="1" applyAlignment="1">
      <alignment horizontal="left" vertical="top"/>
    </xf>
    <xf numFmtId="2" fontId="4" fillId="3" borderId="3" xfId="7" applyNumberFormat="1" applyFont="1" applyFill="1" applyBorder="1" applyAlignment="1">
      <alignment horizontal="right" vertical="top"/>
    </xf>
    <xf numFmtId="2" fontId="4" fillId="3" borderId="2" xfId="3" applyNumberFormat="1" applyFont="1" applyFill="1" applyBorder="1" applyAlignment="1">
      <alignment horizontal="right" vertical="top" wrapText="1"/>
    </xf>
    <xf numFmtId="9" fontId="0" fillId="3" borderId="0" xfId="1" applyFont="1" applyFill="1" applyAlignment="1">
      <alignment horizontal="center"/>
    </xf>
    <xf numFmtId="164" fontId="0" fillId="3" borderId="0" xfId="0" applyNumberFormat="1" applyFill="1" applyAlignment="1">
      <alignment horizontal="left"/>
    </xf>
    <xf numFmtId="0" fontId="0" fillId="3" borderId="0" xfId="0" applyFill="1"/>
    <xf numFmtId="1" fontId="4" fillId="3" borderId="2" xfId="6" applyNumberFormat="1" applyFont="1" applyFill="1" applyBorder="1" applyAlignment="1">
      <alignment horizontal="left" vertical="top" wrapText="1"/>
    </xf>
    <xf numFmtId="2" fontId="4" fillId="3" borderId="2" xfId="6" applyNumberFormat="1" applyFont="1" applyFill="1" applyBorder="1" applyAlignment="1">
      <alignment horizontal="right" vertical="top" wrapText="1"/>
    </xf>
    <xf numFmtId="2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64" fontId="5" fillId="0" borderId="0" xfId="0" applyNumberFormat="1" applyFont="1" applyAlignment="1">
      <alignment horizontal="left"/>
    </xf>
  </cellXfs>
  <cellStyles count="8">
    <cellStyle name="Звичайний_TDSheet" xfId="7" xr:uid="{5C123EF8-985E-4E19-B3B6-AB23F4435E3A}"/>
    <cellStyle name="Звичайний_Аркуш1" xfId="2" xr:uid="{D7D52416-8990-4E5D-A9C0-7D2ADD81E2C5}"/>
    <cellStyle name="Звичайний_Аркуш3" xfId="3" xr:uid="{CF964D0E-B57C-4884-B69A-314C5E7C58C0}"/>
    <cellStyle name="Звичайний_Аркуш5" xfId="5" xr:uid="{5A8AFB94-9DAA-4AFC-BDDF-15F70A61FFD0}"/>
    <cellStyle name="Звичайний_Безалкогольні напої" xfId="4" xr:uid="{1EECB9A6-3578-435D-A1E4-95D8C0E3CC0E}"/>
    <cellStyle name="Звичайний_Кондитерка" xfId="6" xr:uid="{C35F9837-4702-4AF9-8F8E-9950327853DA}"/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A4547"/>
  <sheetViews>
    <sheetView tabSelected="1" workbookViewId="0">
      <pane ySplit="1" topLeftCell="A2" activePane="bottomLeft" state="frozen"/>
      <selection pane="bottomLeft" activeCell="L31" sqref="L31"/>
    </sheetView>
  </sheetViews>
  <sheetFormatPr defaultColWidth="10.42578125" defaultRowHeight="11.4" customHeight="1" x14ac:dyDescent="0.2"/>
  <cols>
    <col min="1" max="1" width="5.7109375" style="1" customWidth="1"/>
    <col min="2" max="2" width="10.42578125" style="1" customWidth="1"/>
    <col min="3" max="3" width="12.7109375" style="1" customWidth="1"/>
    <col min="4" max="4" width="40.7109375" style="1" customWidth="1"/>
    <col min="5" max="5" width="21.140625" style="1" customWidth="1"/>
    <col min="6" max="6" width="9.85546875" style="1" customWidth="1"/>
    <col min="7" max="7" width="8" style="1" customWidth="1"/>
    <col min="8" max="8" width="12" style="1" customWidth="1"/>
    <col min="9" max="9" width="11" style="1" customWidth="1"/>
    <col min="10" max="10" width="11" style="21" customWidth="1"/>
    <col min="11" max="13" width="11" style="1" customWidth="1"/>
    <col min="14" max="14" width="11" style="21" customWidth="1"/>
    <col min="15" max="18" width="11" style="1" customWidth="1"/>
    <col min="19" max="19" width="11" style="21" customWidth="1"/>
    <col min="20" max="22" width="11" style="1" customWidth="1"/>
    <col min="26" max="26" width="11.85546875" customWidth="1"/>
  </cols>
  <sheetData>
    <row r="1" spans="1:27" s="3" customFormat="1" ht="28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0" t="s">
        <v>18</v>
      </c>
      <c r="K1" s="2" t="s">
        <v>9</v>
      </c>
      <c r="L1" s="2" t="s">
        <v>10</v>
      </c>
      <c r="M1" s="2" t="s">
        <v>11</v>
      </c>
      <c r="N1" s="20" t="s">
        <v>19</v>
      </c>
      <c r="O1" s="2" t="s">
        <v>12</v>
      </c>
      <c r="P1" s="2" t="s">
        <v>13</v>
      </c>
      <c r="Q1" s="2" t="s">
        <v>14</v>
      </c>
      <c r="R1" s="2" t="s">
        <v>15</v>
      </c>
      <c r="S1" s="20" t="s">
        <v>20</v>
      </c>
      <c r="T1" s="2" t="s">
        <v>16</v>
      </c>
      <c r="U1" s="2" t="s">
        <v>17</v>
      </c>
      <c r="V1" s="37" t="s">
        <v>4748</v>
      </c>
      <c r="W1" s="36" t="s">
        <v>4746</v>
      </c>
      <c r="X1" s="36" t="s">
        <v>4747</v>
      </c>
      <c r="Y1" s="37" t="s">
        <v>4748</v>
      </c>
      <c r="Z1" s="36" t="s">
        <v>4746</v>
      </c>
      <c r="AA1" s="36" t="s">
        <v>4747</v>
      </c>
    </row>
    <row r="2" spans="1:27" ht="11.4" customHeight="1" x14ac:dyDescent="0.2">
      <c r="B2" s="24"/>
      <c r="C2" s="4">
        <v>3376</v>
      </c>
      <c r="D2" s="18" t="s">
        <v>21</v>
      </c>
      <c r="E2" s="18" t="s">
        <v>22</v>
      </c>
      <c r="F2" s="17">
        <v>12</v>
      </c>
      <c r="G2" s="18" t="s">
        <v>23</v>
      </c>
      <c r="H2" s="22">
        <v>108</v>
      </c>
      <c r="I2" s="5">
        <v>135.9</v>
      </c>
      <c r="J2" s="21">
        <f>(I2-H2)/H2</f>
        <v>0.25833333333333336</v>
      </c>
      <c r="K2" s="1">
        <v>2</v>
      </c>
      <c r="L2" s="24">
        <v>6.7</v>
      </c>
      <c r="M2" s="24"/>
      <c r="N2" s="21">
        <f>(M2-H2)/H2</f>
        <v>-1</v>
      </c>
      <c r="P2" s="1">
        <v>6</v>
      </c>
      <c r="Q2" s="24">
        <v>13.590000000000003</v>
      </c>
      <c r="R2" s="24"/>
      <c r="S2" s="21">
        <f>(R2-H2)/H2</f>
        <v>-1</v>
      </c>
      <c r="V2" s="25">
        <f ca="1">RANDBETWEEN(0,K2*100)/100</f>
        <v>0.65</v>
      </c>
      <c r="W2" s="35">
        <f ca="1">RANDBETWEEN(K2*100,P2*100)/100</f>
        <v>4.34</v>
      </c>
      <c r="X2" s="35">
        <f ca="1">RANDBETWEEN(P2*100,P2*300)/100</f>
        <v>10.26</v>
      </c>
      <c r="Y2" s="35">
        <f ca="1">IF(V2&lt;K2,I2)*V2</f>
        <v>88.335000000000008</v>
      </c>
      <c r="Z2" s="35">
        <f ca="1">IF(AND(W2&gt;=K2,W2&lt;P2),I2-L2)*W2</f>
        <v>560.72800000000007</v>
      </c>
      <c r="AA2" s="35">
        <f ca="1">IF(X2&gt;=P2,I2-Q2)*X2</f>
        <v>1254.9005999999999</v>
      </c>
    </row>
    <row r="3" spans="1:27" ht="11.4" customHeight="1" x14ac:dyDescent="0.2">
      <c r="B3" s="24"/>
      <c r="C3" s="4">
        <v>40202</v>
      </c>
      <c r="D3" s="18" t="s">
        <v>24</v>
      </c>
      <c r="E3" s="18" t="s">
        <v>22</v>
      </c>
      <c r="F3" s="17">
        <v>1</v>
      </c>
      <c r="G3" s="18" t="s">
        <v>23</v>
      </c>
      <c r="H3" s="23">
        <v>541.55999999999995</v>
      </c>
      <c r="I3" s="5">
        <v>789</v>
      </c>
      <c r="J3" s="21">
        <f t="shared" ref="J3:J66" si="0">(I3-H3)/H3</f>
        <v>0.45690228229559066</v>
      </c>
      <c r="K3" s="1">
        <v>2</v>
      </c>
      <c r="L3" s="24">
        <v>39.4</v>
      </c>
      <c r="M3" s="24"/>
      <c r="N3" s="21">
        <f t="shared" ref="N3:N66" si="1">(M3-H3)/H3</f>
        <v>-1</v>
      </c>
      <c r="P3" s="1">
        <v>6</v>
      </c>
      <c r="Q3" s="24">
        <v>78.899999999999977</v>
      </c>
      <c r="R3" s="24"/>
      <c r="S3" s="21">
        <f t="shared" ref="S3:S66" si="2">(R3-H3)/H3</f>
        <v>-1</v>
      </c>
    </row>
    <row r="4" spans="1:27" ht="11.4" customHeight="1" x14ac:dyDescent="0.2">
      <c r="B4" s="24"/>
      <c r="C4" s="4">
        <v>17397</v>
      </c>
      <c r="D4" s="18" t="s">
        <v>25</v>
      </c>
      <c r="E4" s="18" t="s">
        <v>22</v>
      </c>
      <c r="F4" s="17">
        <v>18</v>
      </c>
      <c r="G4" s="18" t="s">
        <v>23</v>
      </c>
      <c r="H4" s="17">
        <v>75.900000000000006</v>
      </c>
      <c r="I4" s="5">
        <v>89.9</v>
      </c>
      <c r="J4" s="21">
        <f t="shared" si="0"/>
        <v>0.1844532279314888</v>
      </c>
      <c r="K4" s="1">
        <v>2</v>
      </c>
      <c r="L4" s="24">
        <v>4.4000000000000004</v>
      </c>
      <c r="M4" s="24"/>
      <c r="N4" s="21">
        <f t="shared" si="1"/>
        <v>-1</v>
      </c>
      <c r="P4" s="1">
        <v>6</v>
      </c>
      <c r="Q4" s="24">
        <v>8.9899999999999949</v>
      </c>
      <c r="R4" s="24"/>
      <c r="S4" s="21">
        <f t="shared" si="2"/>
        <v>-1</v>
      </c>
    </row>
    <row r="5" spans="1:27" ht="11.4" customHeight="1" x14ac:dyDescent="0.2">
      <c r="B5" s="24"/>
      <c r="C5" s="4">
        <v>40203</v>
      </c>
      <c r="D5" s="18" t="s">
        <v>26</v>
      </c>
      <c r="E5" s="18" t="s">
        <v>22</v>
      </c>
      <c r="F5" s="17">
        <v>1</v>
      </c>
      <c r="G5" s="18" t="s">
        <v>23</v>
      </c>
      <c r="H5" s="17">
        <v>541.55999999999995</v>
      </c>
      <c r="I5" s="5">
        <v>769</v>
      </c>
      <c r="J5" s="21">
        <f t="shared" si="0"/>
        <v>0.4199719329344857</v>
      </c>
      <c r="K5" s="1">
        <v>2</v>
      </c>
      <c r="L5" s="24">
        <v>38.4</v>
      </c>
      <c r="M5" s="24"/>
      <c r="N5" s="21">
        <f t="shared" si="1"/>
        <v>-1</v>
      </c>
      <c r="P5" s="1">
        <v>6</v>
      </c>
      <c r="Q5" s="24">
        <v>76.899999999999977</v>
      </c>
      <c r="R5" s="24"/>
      <c r="S5" s="21">
        <f t="shared" si="2"/>
        <v>-1</v>
      </c>
    </row>
    <row r="6" spans="1:27" ht="11.4" customHeight="1" x14ac:dyDescent="0.2">
      <c r="B6" s="24"/>
      <c r="C6" s="4">
        <v>40204</v>
      </c>
      <c r="D6" s="18" t="s">
        <v>27</v>
      </c>
      <c r="E6" s="18" t="s">
        <v>22</v>
      </c>
      <c r="F6" s="17">
        <v>1</v>
      </c>
      <c r="G6" s="18" t="s">
        <v>23</v>
      </c>
      <c r="H6" s="17">
        <v>541.55999999999995</v>
      </c>
      <c r="I6" s="5">
        <v>789</v>
      </c>
      <c r="J6" s="21">
        <f t="shared" si="0"/>
        <v>0.45690228229559066</v>
      </c>
      <c r="K6" s="1">
        <v>2</v>
      </c>
      <c r="L6" s="24">
        <v>39.4</v>
      </c>
      <c r="M6" s="24"/>
      <c r="N6" s="21">
        <f t="shared" si="1"/>
        <v>-1</v>
      </c>
      <c r="P6" s="1">
        <v>6</v>
      </c>
      <c r="Q6" s="24">
        <v>78.899999999999977</v>
      </c>
      <c r="R6" s="24"/>
      <c r="S6" s="21">
        <f t="shared" si="2"/>
        <v>-1</v>
      </c>
    </row>
    <row r="7" spans="1:27" ht="11.4" customHeight="1" x14ac:dyDescent="0.2">
      <c r="B7" s="24"/>
      <c r="C7" s="4">
        <v>44434</v>
      </c>
      <c r="D7" s="18" t="s">
        <v>28</v>
      </c>
      <c r="E7" s="18" t="s">
        <v>29</v>
      </c>
      <c r="F7" s="18"/>
      <c r="G7" s="18" t="s">
        <v>23</v>
      </c>
      <c r="H7" s="23">
        <v>55.49</v>
      </c>
      <c r="I7" s="5">
        <v>79.900000000000006</v>
      </c>
      <c r="J7" s="21">
        <f t="shared" si="0"/>
        <v>0.4398990809154803</v>
      </c>
      <c r="K7" s="1">
        <v>2</v>
      </c>
      <c r="L7" s="24">
        <v>3.9</v>
      </c>
      <c r="M7" s="24"/>
      <c r="N7" s="21">
        <f t="shared" si="1"/>
        <v>-1</v>
      </c>
      <c r="P7" s="1">
        <v>6</v>
      </c>
      <c r="Q7" s="24">
        <v>7.9899999999999949</v>
      </c>
      <c r="R7" s="24"/>
      <c r="S7" s="21">
        <f t="shared" si="2"/>
        <v>-1</v>
      </c>
    </row>
    <row r="8" spans="1:27" ht="11.4" customHeight="1" x14ac:dyDescent="0.2">
      <c r="B8" s="24"/>
      <c r="C8" s="4">
        <v>44439</v>
      </c>
      <c r="D8" s="18" t="s">
        <v>30</v>
      </c>
      <c r="E8" s="18" t="s">
        <v>29</v>
      </c>
      <c r="F8" s="17">
        <v>12</v>
      </c>
      <c r="G8" s="18" t="s">
        <v>23</v>
      </c>
      <c r="H8" s="17">
        <v>55.49</v>
      </c>
      <c r="I8" s="5">
        <v>79.900000000000006</v>
      </c>
      <c r="J8" s="21">
        <f t="shared" si="0"/>
        <v>0.4398990809154803</v>
      </c>
      <c r="K8" s="1">
        <v>2</v>
      </c>
      <c r="L8" s="24">
        <v>3.9</v>
      </c>
      <c r="M8" s="24"/>
      <c r="N8" s="21">
        <f t="shared" si="1"/>
        <v>-1</v>
      </c>
      <c r="P8" s="1">
        <v>6</v>
      </c>
      <c r="Q8" s="24">
        <v>7.9899999999999949</v>
      </c>
      <c r="R8" s="24"/>
      <c r="S8" s="21">
        <f t="shared" si="2"/>
        <v>-1</v>
      </c>
    </row>
    <row r="9" spans="1:27" ht="11.4" customHeight="1" x14ac:dyDescent="0.2">
      <c r="B9" s="24"/>
      <c r="C9" s="4">
        <v>44436</v>
      </c>
      <c r="D9" s="18" t="s">
        <v>31</v>
      </c>
      <c r="E9" s="18" t="s">
        <v>29</v>
      </c>
      <c r="F9" s="17">
        <v>12</v>
      </c>
      <c r="G9" s="18" t="s">
        <v>23</v>
      </c>
      <c r="H9" s="17">
        <v>55.49</v>
      </c>
      <c r="I9" s="5">
        <v>79.900000000000006</v>
      </c>
      <c r="J9" s="21">
        <f t="shared" si="0"/>
        <v>0.4398990809154803</v>
      </c>
      <c r="K9" s="1">
        <v>2</v>
      </c>
      <c r="L9" s="24">
        <v>3.9</v>
      </c>
      <c r="M9" s="24"/>
      <c r="N9" s="21">
        <f t="shared" si="1"/>
        <v>-1</v>
      </c>
      <c r="P9" s="1">
        <v>6</v>
      </c>
      <c r="Q9" s="24">
        <v>7.9899999999999949</v>
      </c>
      <c r="R9" s="24"/>
      <c r="S9" s="21">
        <f t="shared" si="2"/>
        <v>-1</v>
      </c>
    </row>
    <row r="10" spans="1:27" ht="11.4" customHeight="1" x14ac:dyDescent="0.2">
      <c r="B10" s="24"/>
      <c r="C10" s="4">
        <v>44428</v>
      </c>
      <c r="D10" s="18" t="s">
        <v>32</v>
      </c>
      <c r="E10" s="18" t="s">
        <v>29</v>
      </c>
      <c r="F10" s="18"/>
      <c r="G10" s="18" t="s">
        <v>23</v>
      </c>
      <c r="H10" s="18"/>
      <c r="I10" s="5">
        <v>79.900000000000006</v>
      </c>
      <c r="J10" s="21" t="e">
        <f t="shared" si="0"/>
        <v>#DIV/0!</v>
      </c>
      <c r="K10" s="1">
        <v>2</v>
      </c>
      <c r="L10" s="24">
        <v>3.9</v>
      </c>
      <c r="M10" s="24"/>
      <c r="N10" s="21" t="e">
        <f t="shared" si="1"/>
        <v>#DIV/0!</v>
      </c>
      <c r="P10" s="1">
        <v>6</v>
      </c>
      <c r="Q10" s="24">
        <v>7.9899999999999949</v>
      </c>
      <c r="R10" s="24"/>
      <c r="S10" s="21" t="e">
        <f t="shared" si="2"/>
        <v>#DIV/0!</v>
      </c>
    </row>
    <row r="11" spans="1:27" ht="11.4" customHeight="1" x14ac:dyDescent="0.2">
      <c r="B11" s="24"/>
      <c r="C11" s="4">
        <v>44435</v>
      </c>
      <c r="D11" s="18" t="s">
        <v>33</v>
      </c>
      <c r="E11" s="18" t="s">
        <v>29</v>
      </c>
      <c r="F11" s="18"/>
      <c r="G11" s="18" t="s">
        <v>23</v>
      </c>
      <c r="H11" s="17">
        <v>55.49</v>
      </c>
      <c r="I11" s="5">
        <v>79.900000000000006</v>
      </c>
      <c r="J11" s="21">
        <f t="shared" si="0"/>
        <v>0.4398990809154803</v>
      </c>
      <c r="K11" s="1">
        <v>2</v>
      </c>
      <c r="L11" s="24">
        <v>3.9</v>
      </c>
      <c r="M11" s="24"/>
      <c r="N11" s="21">
        <f t="shared" si="1"/>
        <v>-1</v>
      </c>
      <c r="P11" s="1">
        <v>6</v>
      </c>
      <c r="Q11" s="24">
        <v>7.9899999999999949</v>
      </c>
      <c r="R11" s="24"/>
      <c r="S11" s="21">
        <f t="shared" si="2"/>
        <v>-1</v>
      </c>
    </row>
    <row r="12" spans="1:27" ht="11.4" customHeight="1" x14ac:dyDescent="0.2">
      <c r="B12" s="24"/>
      <c r="C12" s="4">
        <v>44441</v>
      </c>
      <c r="D12" s="18" t="s">
        <v>34</v>
      </c>
      <c r="E12" s="18" t="s">
        <v>29</v>
      </c>
      <c r="F12" s="17">
        <v>12</v>
      </c>
      <c r="G12" s="18" t="s">
        <v>23</v>
      </c>
      <c r="H12" s="17">
        <v>60.35</v>
      </c>
      <c r="I12" s="5">
        <v>79.900000000000006</v>
      </c>
      <c r="J12" s="21">
        <f t="shared" si="0"/>
        <v>0.32394366197183105</v>
      </c>
      <c r="K12" s="1">
        <v>2</v>
      </c>
      <c r="L12" s="24">
        <v>3.9</v>
      </c>
      <c r="M12" s="24"/>
      <c r="N12" s="21">
        <f t="shared" si="1"/>
        <v>-1</v>
      </c>
      <c r="P12" s="1">
        <v>6</v>
      </c>
      <c r="Q12" s="24">
        <v>7.9899999999999949</v>
      </c>
      <c r="R12" s="24"/>
      <c r="S12" s="21">
        <f t="shared" si="2"/>
        <v>-1</v>
      </c>
    </row>
    <row r="13" spans="1:27" ht="11.4" customHeight="1" x14ac:dyDescent="0.2">
      <c r="B13" s="24"/>
      <c r="C13" s="4">
        <v>44437</v>
      </c>
      <c r="D13" s="18" t="s">
        <v>35</v>
      </c>
      <c r="E13" s="18" t="s">
        <v>29</v>
      </c>
      <c r="F13" s="17">
        <v>12</v>
      </c>
      <c r="G13" s="18" t="s">
        <v>23</v>
      </c>
      <c r="H13" s="17">
        <v>55.49</v>
      </c>
      <c r="I13" s="5">
        <v>79.900000000000006</v>
      </c>
      <c r="J13" s="21">
        <f t="shared" si="0"/>
        <v>0.4398990809154803</v>
      </c>
      <c r="K13" s="1">
        <v>2</v>
      </c>
      <c r="L13" s="24">
        <v>3.9</v>
      </c>
      <c r="M13" s="24"/>
      <c r="N13" s="21">
        <f t="shared" si="1"/>
        <v>-1</v>
      </c>
      <c r="P13" s="1">
        <v>6</v>
      </c>
      <c r="Q13" s="24">
        <v>7.9899999999999949</v>
      </c>
      <c r="R13" s="24"/>
      <c r="S13" s="21">
        <f t="shared" si="2"/>
        <v>-1</v>
      </c>
    </row>
    <row r="14" spans="1:27" ht="11.4" customHeight="1" x14ac:dyDescent="0.2">
      <c r="B14" s="24"/>
      <c r="C14" s="4">
        <v>44438</v>
      </c>
      <c r="D14" s="18" t="s">
        <v>36</v>
      </c>
      <c r="E14" s="18" t="s">
        <v>29</v>
      </c>
      <c r="F14" s="17">
        <v>12</v>
      </c>
      <c r="G14" s="18" t="s">
        <v>23</v>
      </c>
      <c r="H14" s="17">
        <v>55.49</v>
      </c>
      <c r="I14" s="5">
        <v>79.900000000000006</v>
      </c>
      <c r="J14" s="21">
        <f t="shared" si="0"/>
        <v>0.4398990809154803</v>
      </c>
      <c r="K14" s="1">
        <v>2</v>
      </c>
      <c r="L14" s="24">
        <v>3.9</v>
      </c>
      <c r="M14" s="24"/>
      <c r="N14" s="21">
        <f t="shared" si="1"/>
        <v>-1</v>
      </c>
      <c r="P14" s="1">
        <v>6</v>
      </c>
      <c r="Q14" s="24">
        <v>7.9899999999999949</v>
      </c>
      <c r="R14" s="24"/>
      <c r="S14" s="21">
        <f t="shared" si="2"/>
        <v>-1</v>
      </c>
    </row>
    <row r="15" spans="1:27" ht="11.4" customHeight="1" x14ac:dyDescent="0.2">
      <c r="B15" s="24"/>
      <c r="C15" s="4">
        <v>39412</v>
      </c>
      <c r="D15" s="18" t="s">
        <v>37</v>
      </c>
      <c r="E15" s="18" t="s">
        <v>29</v>
      </c>
      <c r="F15" s="17">
        <v>1</v>
      </c>
      <c r="G15" s="18" t="s">
        <v>23</v>
      </c>
      <c r="H15" s="17">
        <v>449.9</v>
      </c>
      <c r="I15" s="5">
        <v>541.79999999999995</v>
      </c>
      <c r="J15" s="21">
        <f t="shared" si="0"/>
        <v>0.20426761502556121</v>
      </c>
      <c r="K15" s="1">
        <v>2</v>
      </c>
      <c r="L15" s="24">
        <v>27</v>
      </c>
      <c r="M15" s="24"/>
      <c r="N15" s="21">
        <f t="shared" si="1"/>
        <v>-1</v>
      </c>
      <c r="P15" s="1">
        <v>6</v>
      </c>
      <c r="Q15" s="24">
        <v>54.180000000000007</v>
      </c>
      <c r="R15" s="24"/>
      <c r="S15" s="21">
        <f t="shared" si="2"/>
        <v>-1</v>
      </c>
    </row>
    <row r="16" spans="1:27" ht="11.4" customHeight="1" x14ac:dyDescent="0.2">
      <c r="B16" s="24"/>
      <c r="C16" s="4">
        <v>39716</v>
      </c>
      <c r="D16" s="18" t="s">
        <v>38</v>
      </c>
      <c r="E16" s="18" t="s">
        <v>29</v>
      </c>
      <c r="F16" s="17">
        <v>1</v>
      </c>
      <c r="G16" s="18" t="s">
        <v>23</v>
      </c>
      <c r="H16" s="17">
        <v>867.72</v>
      </c>
      <c r="I16" s="6">
        <v>1171.5</v>
      </c>
      <c r="J16" s="21">
        <f t="shared" si="0"/>
        <v>0.35008989074816754</v>
      </c>
      <c r="K16" s="1">
        <v>2</v>
      </c>
      <c r="L16" s="24">
        <v>58.5</v>
      </c>
      <c r="M16" s="24"/>
      <c r="N16" s="21">
        <f t="shared" si="1"/>
        <v>-1</v>
      </c>
      <c r="P16" s="1">
        <v>6</v>
      </c>
      <c r="Q16" s="24">
        <v>117.14999999999986</v>
      </c>
      <c r="R16" s="24"/>
      <c r="S16" s="21">
        <f t="shared" si="2"/>
        <v>-1</v>
      </c>
    </row>
    <row r="17" spans="2:19" ht="11.4" customHeight="1" x14ac:dyDescent="0.2">
      <c r="B17" s="24"/>
      <c r="C17" s="4">
        <v>5110</v>
      </c>
      <c r="D17" s="18" t="s">
        <v>39</v>
      </c>
      <c r="E17" s="18" t="s">
        <v>29</v>
      </c>
      <c r="F17" s="17">
        <v>1</v>
      </c>
      <c r="G17" s="18" t="s">
        <v>23</v>
      </c>
      <c r="H17" s="17">
        <v>153.16</v>
      </c>
      <c r="I17" s="5">
        <v>174</v>
      </c>
      <c r="J17" s="21">
        <f t="shared" si="0"/>
        <v>0.13606685818751635</v>
      </c>
      <c r="K17" s="1">
        <v>2</v>
      </c>
      <c r="L17" s="24">
        <v>8.6999999999999993</v>
      </c>
      <c r="M17" s="24"/>
      <c r="N17" s="21">
        <f t="shared" si="1"/>
        <v>-1</v>
      </c>
      <c r="P17" s="1">
        <v>6</v>
      </c>
      <c r="Q17" s="24">
        <v>17.400000000000006</v>
      </c>
      <c r="R17" s="24"/>
      <c r="S17" s="21">
        <f t="shared" si="2"/>
        <v>-1</v>
      </c>
    </row>
    <row r="18" spans="2:19" ht="11.4" customHeight="1" x14ac:dyDescent="0.2">
      <c r="B18" s="24"/>
      <c r="C18" s="4">
        <v>15541</v>
      </c>
      <c r="D18" s="18" t="s">
        <v>40</v>
      </c>
      <c r="E18" s="18" t="s">
        <v>29</v>
      </c>
      <c r="F18" s="17">
        <v>1</v>
      </c>
      <c r="G18" s="18" t="s">
        <v>23</v>
      </c>
      <c r="H18" s="17">
        <v>68.099999999999994</v>
      </c>
      <c r="I18" s="5">
        <v>78.8</v>
      </c>
      <c r="J18" s="21">
        <f t="shared" si="0"/>
        <v>0.15712187958884</v>
      </c>
      <c r="K18" s="1">
        <v>2</v>
      </c>
      <c r="L18" s="24">
        <v>3.9</v>
      </c>
      <c r="M18" s="24"/>
      <c r="N18" s="21">
        <f t="shared" si="1"/>
        <v>-1</v>
      </c>
      <c r="P18" s="1">
        <v>6</v>
      </c>
      <c r="Q18" s="24">
        <v>7.8799999999999955</v>
      </c>
      <c r="R18" s="24"/>
      <c r="S18" s="21">
        <f t="shared" si="2"/>
        <v>-1</v>
      </c>
    </row>
    <row r="19" spans="2:19" ht="11.4" customHeight="1" x14ac:dyDescent="0.2">
      <c r="B19" s="24"/>
      <c r="C19" s="4">
        <v>5205</v>
      </c>
      <c r="D19" s="18" t="s">
        <v>41</v>
      </c>
      <c r="E19" s="18" t="s">
        <v>29</v>
      </c>
      <c r="F19" s="17">
        <v>1</v>
      </c>
      <c r="G19" s="18" t="s">
        <v>23</v>
      </c>
      <c r="H19" s="17">
        <v>65.45</v>
      </c>
      <c r="I19" s="5">
        <v>78.8</v>
      </c>
      <c r="J19" s="21">
        <f t="shared" si="0"/>
        <v>0.20397249809014506</v>
      </c>
      <c r="K19" s="1">
        <v>2</v>
      </c>
      <c r="L19" s="24">
        <v>3.9</v>
      </c>
      <c r="M19" s="24"/>
      <c r="N19" s="21">
        <f t="shared" si="1"/>
        <v>-1</v>
      </c>
      <c r="P19" s="1">
        <v>6</v>
      </c>
      <c r="Q19" s="24">
        <v>7.8799999999999955</v>
      </c>
      <c r="R19" s="24"/>
      <c r="S19" s="21">
        <f t="shared" si="2"/>
        <v>-1</v>
      </c>
    </row>
    <row r="20" spans="2:19" ht="11.4" customHeight="1" x14ac:dyDescent="0.2">
      <c r="B20" s="24"/>
      <c r="C20" s="4">
        <v>39394</v>
      </c>
      <c r="D20" s="18" t="s">
        <v>42</v>
      </c>
      <c r="E20" s="18" t="s">
        <v>29</v>
      </c>
      <c r="F20" s="17">
        <v>1</v>
      </c>
      <c r="G20" s="18" t="s">
        <v>23</v>
      </c>
      <c r="H20" s="22">
        <v>202.9</v>
      </c>
      <c r="I20" s="5">
        <v>216.1</v>
      </c>
      <c r="J20" s="21">
        <f t="shared" si="0"/>
        <v>6.5056678166584461E-2</v>
      </c>
      <c r="K20" s="1">
        <v>2</v>
      </c>
      <c r="L20" s="24">
        <v>10.8</v>
      </c>
      <c r="M20" s="24"/>
      <c r="N20" s="21">
        <f t="shared" si="1"/>
        <v>-1</v>
      </c>
      <c r="P20" s="1">
        <v>6</v>
      </c>
      <c r="Q20" s="24">
        <v>21.609999999999985</v>
      </c>
      <c r="R20" s="24"/>
      <c r="S20" s="21">
        <f t="shared" si="2"/>
        <v>-1</v>
      </c>
    </row>
    <row r="21" spans="2:19" ht="11.4" customHeight="1" x14ac:dyDescent="0.2">
      <c r="B21" s="24"/>
      <c r="C21" s="4">
        <v>3555</v>
      </c>
      <c r="D21" s="18" t="s">
        <v>43</v>
      </c>
      <c r="E21" s="18" t="s">
        <v>29</v>
      </c>
      <c r="F21" s="17">
        <v>1</v>
      </c>
      <c r="G21" s="18" t="s">
        <v>23</v>
      </c>
      <c r="H21" s="17">
        <v>94.9</v>
      </c>
      <c r="I21" s="5">
        <v>114</v>
      </c>
      <c r="J21" s="21">
        <f t="shared" si="0"/>
        <v>0.20126448893572174</v>
      </c>
      <c r="K21" s="1">
        <v>2</v>
      </c>
      <c r="L21" s="24">
        <v>5.7</v>
      </c>
      <c r="M21" s="24"/>
      <c r="N21" s="21">
        <f t="shared" si="1"/>
        <v>-1</v>
      </c>
      <c r="P21" s="1">
        <v>6</v>
      </c>
      <c r="Q21" s="24">
        <v>11.399999999999991</v>
      </c>
      <c r="R21" s="24"/>
      <c r="S21" s="21">
        <f t="shared" si="2"/>
        <v>-1</v>
      </c>
    </row>
    <row r="22" spans="2:19" ht="11.4" customHeight="1" x14ac:dyDescent="0.2">
      <c r="B22" s="24"/>
      <c r="C22" s="4">
        <v>31855</v>
      </c>
      <c r="D22" s="18" t="s">
        <v>44</v>
      </c>
      <c r="E22" s="18" t="s">
        <v>29</v>
      </c>
      <c r="F22" s="17">
        <v>1</v>
      </c>
      <c r="G22" s="18" t="s">
        <v>23</v>
      </c>
      <c r="H22" s="17">
        <v>101.3</v>
      </c>
      <c r="I22" s="5">
        <v>124.5</v>
      </c>
      <c r="J22" s="21">
        <f t="shared" si="0"/>
        <v>0.22902270483711751</v>
      </c>
      <c r="K22" s="1">
        <v>2</v>
      </c>
      <c r="L22" s="24">
        <v>6.2</v>
      </c>
      <c r="M22" s="24"/>
      <c r="N22" s="21">
        <f t="shared" si="1"/>
        <v>-1</v>
      </c>
      <c r="P22" s="1">
        <v>6</v>
      </c>
      <c r="Q22" s="24">
        <v>12.450000000000003</v>
      </c>
      <c r="R22" s="24"/>
      <c r="S22" s="21">
        <f t="shared" si="2"/>
        <v>-1</v>
      </c>
    </row>
    <row r="23" spans="2:19" ht="11.4" customHeight="1" x14ac:dyDescent="0.2">
      <c r="B23" s="24"/>
      <c r="C23" s="4">
        <v>30754</v>
      </c>
      <c r="D23" s="18" t="s">
        <v>45</v>
      </c>
      <c r="E23" s="18" t="s">
        <v>29</v>
      </c>
      <c r="F23" s="17">
        <v>2</v>
      </c>
      <c r="G23" s="18" t="s">
        <v>23</v>
      </c>
      <c r="H23" s="17">
        <v>74.599999999999994</v>
      </c>
      <c r="I23" s="5">
        <v>78.8</v>
      </c>
      <c r="J23" s="21">
        <f t="shared" si="0"/>
        <v>5.630026809651479E-2</v>
      </c>
      <c r="K23" s="1">
        <v>2</v>
      </c>
      <c r="L23" s="24">
        <v>3.9</v>
      </c>
      <c r="M23" s="24"/>
      <c r="N23" s="21">
        <f t="shared" si="1"/>
        <v>-1</v>
      </c>
      <c r="P23" s="1">
        <v>6</v>
      </c>
      <c r="Q23" s="24">
        <v>7.8799999999999955</v>
      </c>
      <c r="R23" s="24"/>
      <c r="S23" s="21">
        <f t="shared" si="2"/>
        <v>-1</v>
      </c>
    </row>
    <row r="24" spans="2:19" ht="11.4" customHeight="1" x14ac:dyDescent="0.2">
      <c r="B24" s="24"/>
      <c r="C24" s="4">
        <v>35465</v>
      </c>
      <c r="D24" s="18" t="s">
        <v>46</v>
      </c>
      <c r="E24" s="18" t="s">
        <v>29</v>
      </c>
      <c r="F24" s="17">
        <v>2</v>
      </c>
      <c r="G24" s="18" t="s">
        <v>23</v>
      </c>
      <c r="H24" s="17">
        <v>111</v>
      </c>
      <c r="I24" s="5">
        <v>157.6</v>
      </c>
      <c r="J24" s="21">
        <f t="shared" si="0"/>
        <v>0.41981981981981975</v>
      </c>
      <c r="K24" s="1">
        <v>2</v>
      </c>
      <c r="L24" s="24">
        <v>7.8</v>
      </c>
      <c r="M24" s="24"/>
      <c r="N24" s="21">
        <f t="shared" si="1"/>
        <v>-1</v>
      </c>
      <c r="P24" s="1">
        <v>6</v>
      </c>
      <c r="Q24" s="24">
        <v>15.759999999999991</v>
      </c>
      <c r="R24" s="24"/>
      <c r="S24" s="21">
        <f t="shared" si="2"/>
        <v>-1</v>
      </c>
    </row>
    <row r="25" spans="2:19" ht="11.4" customHeight="1" x14ac:dyDescent="0.2">
      <c r="B25" s="24"/>
      <c r="C25" s="4">
        <v>47452</v>
      </c>
      <c r="D25" s="18" t="s">
        <v>47</v>
      </c>
      <c r="E25" s="18" t="s">
        <v>29</v>
      </c>
      <c r="F25" s="17">
        <v>12</v>
      </c>
      <c r="G25" s="18" t="s">
        <v>23</v>
      </c>
      <c r="H25" s="17">
        <v>133.36000000000001</v>
      </c>
      <c r="I25" s="5">
        <v>243</v>
      </c>
      <c r="J25" s="21">
        <f t="shared" si="0"/>
        <v>0.82213557288542272</v>
      </c>
      <c r="K25" s="1">
        <v>2</v>
      </c>
      <c r="L25" s="24">
        <v>12.1</v>
      </c>
      <c r="M25" s="24"/>
      <c r="N25" s="21">
        <f t="shared" si="1"/>
        <v>-1</v>
      </c>
      <c r="P25" s="1">
        <v>6</v>
      </c>
      <c r="Q25" s="24">
        <v>24.299999999999983</v>
      </c>
      <c r="R25" s="24"/>
      <c r="S25" s="21">
        <f t="shared" si="2"/>
        <v>-1</v>
      </c>
    </row>
    <row r="26" spans="2:19" ht="11.4" customHeight="1" x14ac:dyDescent="0.2">
      <c r="B26" s="24"/>
      <c r="C26" s="4">
        <v>36012</v>
      </c>
      <c r="D26" s="18" t="s">
        <v>48</v>
      </c>
      <c r="E26" s="18" t="s">
        <v>29</v>
      </c>
      <c r="F26" s="17">
        <v>1</v>
      </c>
      <c r="G26" s="18" t="s">
        <v>23</v>
      </c>
      <c r="H26" s="17">
        <v>159.9</v>
      </c>
      <c r="I26" s="5">
        <v>188.5</v>
      </c>
      <c r="J26" s="21">
        <f t="shared" si="0"/>
        <v>0.17886178861788612</v>
      </c>
      <c r="K26" s="1">
        <v>2</v>
      </c>
      <c r="L26" s="24">
        <v>9.4</v>
      </c>
      <c r="M26" s="24"/>
      <c r="N26" s="21">
        <f t="shared" si="1"/>
        <v>-1</v>
      </c>
      <c r="P26" s="1">
        <v>6</v>
      </c>
      <c r="Q26" s="24">
        <v>18.849999999999994</v>
      </c>
      <c r="R26" s="24"/>
      <c r="S26" s="21">
        <f t="shared" si="2"/>
        <v>-1</v>
      </c>
    </row>
    <row r="27" spans="2:19" ht="11.4" customHeight="1" x14ac:dyDescent="0.2">
      <c r="B27" s="24"/>
      <c r="C27" s="4">
        <v>4664</v>
      </c>
      <c r="D27" s="18" t="s">
        <v>49</v>
      </c>
      <c r="E27" s="18" t="s">
        <v>29</v>
      </c>
      <c r="F27" s="17">
        <v>1</v>
      </c>
      <c r="G27" s="18" t="s">
        <v>23</v>
      </c>
      <c r="H27" s="17">
        <v>98.2</v>
      </c>
      <c r="I27" s="5">
        <v>107.5</v>
      </c>
      <c r="J27" s="21">
        <f t="shared" si="0"/>
        <v>9.4704684317718904E-2</v>
      </c>
      <c r="K27" s="1">
        <v>2</v>
      </c>
      <c r="L27" s="24">
        <v>5.3</v>
      </c>
      <c r="M27" s="24"/>
      <c r="N27" s="21">
        <f t="shared" si="1"/>
        <v>-1</v>
      </c>
      <c r="P27" s="1">
        <v>6</v>
      </c>
      <c r="Q27" s="24">
        <v>10.75</v>
      </c>
      <c r="R27" s="24"/>
      <c r="S27" s="21">
        <f t="shared" si="2"/>
        <v>-1</v>
      </c>
    </row>
    <row r="28" spans="2:19" ht="11.4" customHeight="1" x14ac:dyDescent="0.2">
      <c r="B28" s="24"/>
      <c r="C28" s="4">
        <v>5955</v>
      </c>
      <c r="D28" s="18" t="s">
        <v>50</v>
      </c>
      <c r="E28" s="18" t="s">
        <v>29</v>
      </c>
      <c r="F28" s="17">
        <v>12</v>
      </c>
      <c r="G28" s="18" t="s">
        <v>23</v>
      </c>
      <c r="H28" s="17">
        <v>88.05</v>
      </c>
      <c r="I28" s="5">
        <v>116.4</v>
      </c>
      <c r="J28" s="21">
        <f t="shared" si="0"/>
        <v>0.32197614991482121</v>
      </c>
      <c r="K28" s="1">
        <v>2</v>
      </c>
      <c r="L28" s="24">
        <v>5.8</v>
      </c>
      <c r="M28" s="24"/>
      <c r="N28" s="21">
        <f t="shared" si="1"/>
        <v>-1</v>
      </c>
      <c r="P28" s="1">
        <v>6</v>
      </c>
      <c r="Q28" s="24">
        <v>11.64</v>
      </c>
      <c r="R28" s="24"/>
      <c r="S28" s="21">
        <f t="shared" si="2"/>
        <v>-1</v>
      </c>
    </row>
    <row r="29" spans="2:19" ht="11.4" customHeight="1" x14ac:dyDescent="0.2">
      <c r="B29" s="24"/>
      <c r="C29" s="4">
        <v>3580</v>
      </c>
      <c r="D29" s="18" t="s">
        <v>51</v>
      </c>
      <c r="E29" s="18" t="s">
        <v>29</v>
      </c>
      <c r="F29" s="17">
        <v>6</v>
      </c>
      <c r="G29" s="18" t="s">
        <v>23</v>
      </c>
      <c r="H29" s="17">
        <v>82.5</v>
      </c>
      <c r="I29" s="5">
        <v>89.5</v>
      </c>
      <c r="J29" s="21">
        <f t="shared" si="0"/>
        <v>8.4848484848484854E-2</v>
      </c>
      <c r="K29" s="1">
        <v>2</v>
      </c>
      <c r="L29" s="24">
        <v>4.4000000000000004</v>
      </c>
      <c r="M29" s="24"/>
      <c r="N29" s="21">
        <f t="shared" si="1"/>
        <v>-1</v>
      </c>
      <c r="P29" s="1">
        <v>6</v>
      </c>
      <c r="Q29" s="24">
        <v>8.9500000000000028</v>
      </c>
      <c r="R29" s="24"/>
      <c r="S29" s="21">
        <f t="shared" si="2"/>
        <v>-1</v>
      </c>
    </row>
    <row r="30" spans="2:19" ht="11.4" customHeight="1" x14ac:dyDescent="0.2">
      <c r="B30" s="24"/>
      <c r="C30" s="4">
        <v>39396</v>
      </c>
      <c r="D30" s="18" t="s">
        <v>52</v>
      </c>
      <c r="E30" s="18" t="s">
        <v>29</v>
      </c>
      <c r="F30" s="17">
        <v>1</v>
      </c>
      <c r="G30" s="18" t="s">
        <v>23</v>
      </c>
      <c r="H30" s="22">
        <v>259.89999999999998</v>
      </c>
      <c r="I30" s="5">
        <v>307.5</v>
      </c>
      <c r="J30" s="21">
        <f t="shared" si="0"/>
        <v>0.183147364370912</v>
      </c>
      <c r="K30" s="1">
        <v>2</v>
      </c>
      <c r="L30" s="24">
        <v>15.3</v>
      </c>
      <c r="M30" s="24"/>
      <c r="N30" s="21">
        <f t="shared" si="1"/>
        <v>-1</v>
      </c>
      <c r="P30" s="1">
        <v>6</v>
      </c>
      <c r="Q30" s="24">
        <v>30.75</v>
      </c>
      <c r="R30" s="24"/>
      <c r="S30" s="21">
        <f t="shared" si="2"/>
        <v>-1</v>
      </c>
    </row>
    <row r="31" spans="2:19" ht="11.4" customHeight="1" x14ac:dyDescent="0.2">
      <c r="B31" s="24"/>
      <c r="C31" s="4">
        <v>32100</v>
      </c>
      <c r="D31" s="18" t="s">
        <v>53</v>
      </c>
      <c r="E31" s="18" t="s">
        <v>29</v>
      </c>
      <c r="F31" s="17">
        <v>12</v>
      </c>
      <c r="G31" s="18" t="s">
        <v>23</v>
      </c>
      <c r="H31" s="17">
        <v>62.3</v>
      </c>
      <c r="I31" s="5">
        <v>78.8</v>
      </c>
      <c r="J31" s="21">
        <f t="shared" si="0"/>
        <v>0.2648475120385233</v>
      </c>
      <c r="K31" s="1">
        <v>2</v>
      </c>
      <c r="L31" s="24">
        <v>3.9</v>
      </c>
      <c r="M31" s="24"/>
      <c r="N31" s="21">
        <f t="shared" si="1"/>
        <v>-1</v>
      </c>
      <c r="P31" s="1">
        <v>6</v>
      </c>
      <c r="Q31" s="24">
        <v>7.8799999999999955</v>
      </c>
      <c r="R31" s="24"/>
      <c r="S31" s="21">
        <f t="shared" si="2"/>
        <v>-1</v>
      </c>
    </row>
    <row r="32" spans="2:19" ht="11.4" customHeight="1" x14ac:dyDescent="0.2">
      <c r="B32" s="24"/>
      <c r="C32" s="4">
        <v>9914</v>
      </c>
      <c r="D32" s="18" t="s">
        <v>54</v>
      </c>
      <c r="E32" s="18" t="s">
        <v>29</v>
      </c>
      <c r="F32" s="17">
        <v>12</v>
      </c>
      <c r="G32" s="18" t="s">
        <v>23</v>
      </c>
      <c r="H32" s="17">
        <v>102.9</v>
      </c>
      <c r="I32" s="5">
        <v>117.5</v>
      </c>
      <c r="J32" s="21">
        <f t="shared" si="0"/>
        <v>0.14188532555879488</v>
      </c>
      <c r="K32" s="1">
        <v>2</v>
      </c>
      <c r="L32" s="24">
        <v>5.8</v>
      </c>
      <c r="M32" s="24"/>
      <c r="N32" s="21">
        <f t="shared" si="1"/>
        <v>-1</v>
      </c>
      <c r="P32" s="1">
        <v>6</v>
      </c>
      <c r="Q32" s="24">
        <v>11.75</v>
      </c>
      <c r="R32" s="24"/>
      <c r="S32" s="21">
        <f t="shared" si="2"/>
        <v>-1</v>
      </c>
    </row>
    <row r="33" spans="2:19" ht="11.4" customHeight="1" x14ac:dyDescent="0.2">
      <c r="B33" s="24"/>
      <c r="C33" s="4">
        <v>35456</v>
      </c>
      <c r="D33" s="18" t="s">
        <v>55</v>
      </c>
      <c r="E33" s="18" t="s">
        <v>29</v>
      </c>
      <c r="F33" s="17">
        <v>1</v>
      </c>
      <c r="G33" s="18" t="s">
        <v>23</v>
      </c>
      <c r="H33" s="17">
        <v>67.5</v>
      </c>
      <c r="I33" s="5">
        <v>75.400000000000006</v>
      </c>
      <c r="J33" s="21">
        <f t="shared" si="0"/>
        <v>0.11703703703703712</v>
      </c>
      <c r="K33" s="1">
        <v>2</v>
      </c>
      <c r="L33" s="24">
        <v>3.7</v>
      </c>
      <c r="M33" s="24"/>
      <c r="N33" s="21">
        <f t="shared" si="1"/>
        <v>-1</v>
      </c>
      <c r="P33" s="1">
        <v>6</v>
      </c>
      <c r="Q33" s="24">
        <v>7.539999999999992</v>
      </c>
      <c r="R33" s="24"/>
      <c r="S33" s="21">
        <f t="shared" si="2"/>
        <v>-1</v>
      </c>
    </row>
    <row r="34" spans="2:19" ht="11.4" customHeight="1" x14ac:dyDescent="0.2">
      <c r="B34" s="24"/>
      <c r="C34" s="4">
        <v>47449</v>
      </c>
      <c r="D34" s="18" t="s">
        <v>56</v>
      </c>
      <c r="E34" s="18" t="s">
        <v>29</v>
      </c>
      <c r="F34" s="17">
        <v>12</v>
      </c>
      <c r="G34" s="18" t="s">
        <v>23</v>
      </c>
      <c r="H34" s="17">
        <v>135.63999999999999</v>
      </c>
      <c r="I34" s="5">
        <v>194</v>
      </c>
      <c r="J34" s="21">
        <f t="shared" si="0"/>
        <v>0.43025656148628738</v>
      </c>
      <c r="K34" s="1">
        <v>2</v>
      </c>
      <c r="L34" s="24">
        <v>9.6999999999999993</v>
      </c>
      <c r="M34" s="24"/>
      <c r="N34" s="21">
        <f t="shared" si="1"/>
        <v>-1</v>
      </c>
      <c r="P34" s="1">
        <v>6</v>
      </c>
      <c r="Q34" s="24">
        <v>19.400000000000006</v>
      </c>
      <c r="R34" s="24"/>
      <c r="S34" s="21">
        <f t="shared" si="2"/>
        <v>-1</v>
      </c>
    </row>
    <row r="35" spans="2:19" ht="11.4" customHeight="1" x14ac:dyDescent="0.2">
      <c r="B35" s="24"/>
      <c r="C35" s="4">
        <v>5590</v>
      </c>
      <c r="D35" s="18" t="s">
        <v>57</v>
      </c>
      <c r="E35" s="18" t="s">
        <v>29</v>
      </c>
      <c r="F35" s="17">
        <v>1</v>
      </c>
      <c r="G35" s="18" t="s">
        <v>23</v>
      </c>
      <c r="H35" s="17">
        <v>93.9</v>
      </c>
      <c r="I35" s="5">
        <v>109.9</v>
      </c>
      <c r="J35" s="21">
        <f t="shared" si="0"/>
        <v>0.1703940362087327</v>
      </c>
      <c r="K35" s="1">
        <v>2</v>
      </c>
      <c r="L35" s="24">
        <v>5.4</v>
      </c>
      <c r="M35" s="24"/>
      <c r="N35" s="21">
        <f t="shared" si="1"/>
        <v>-1</v>
      </c>
      <c r="P35" s="1">
        <v>6</v>
      </c>
      <c r="Q35" s="24">
        <v>10.989999999999995</v>
      </c>
      <c r="R35" s="24"/>
      <c r="S35" s="21">
        <f t="shared" si="2"/>
        <v>-1</v>
      </c>
    </row>
    <row r="36" spans="2:19" ht="11.4" customHeight="1" x14ac:dyDescent="0.2">
      <c r="B36" s="24"/>
      <c r="C36" s="4">
        <v>3526</v>
      </c>
      <c r="D36" s="18" t="s">
        <v>58</v>
      </c>
      <c r="E36" s="18" t="s">
        <v>29</v>
      </c>
      <c r="F36" s="17">
        <v>1</v>
      </c>
      <c r="G36" s="18" t="s">
        <v>23</v>
      </c>
      <c r="H36" s="17">
        <v>58.31</v>
      </c>
      <c r="I36" s="5">
        <v>78.8</v>
      </c>
      <c r="J36" s="21">
        <f t="shared" si="0"/>
        <v>0.35139770193791792</v>
      </c>
      <c r="K36" s="1">
        <v>2</v>
      </c>
      <c r="L36" s="24">
        <v>3.9</v>
      </c>
      <c r="M36" s="24"/>
      <c r="N36" s="21">
        <f t="shared" si="1"/>
        <v>-1</v>
      </c>
      <c r="P36" s="1">
        <v>6</v>
      </c>
      <c r="Q36" s="24">
        <v>7.8799999999999955</v>
      </c>
      <c r="R36" s="24"/>
      <c r="S36" s="21">
        <f t="shared" si="2"/>
        <v>-1</v>
      </c>
    </row>
    <row r="37" spans="2:19" ht="11.4" customHeight="1" x14ac:dyDescent="0.2">
      <c r="B37" s="24"/>
      <c r="C37" s="4">
        <v>5207</v>
      </c>
      <c r="D37" s="18" t="s">
        <v>59</v>
      </c>
      <c r="E37" s="18" t="s">
        <v>29</v>
      </c>
      <c r="F37" s="17">
        <v>1</v>
      </c>
      <c r="G37" s="18" t="s">
        <v>23</v>
      </c>
      <c r="H37" s="17">
        <v>55.2</v>
      </c>
      <c r="I37" s="5">
        <v>78.8</v>
      </c>
      <c r="J37" s="21">
        <f t="shared" si="0"/>
        <v>0.42753623188405787</v>
      </c>
      <c r="K37" s="1">
        <v>2</v>
      </c>
      <c r="L37" s="24">
        <v>3.9</v>
      </c>
      <c r="M37" s="24"/>
      <c r="N37" s="21">
        <f t="shared" si="1"/>
        <v>-1</v>
      </c>
      <c r="P37" s="1">
        <v>6</v>
      </c>
      <c r="Q37" s="24">
        <v>7.8799999999999955</v>
      </c>
      <c r="R37" s="24"/>
      <c r="S37" s="21">
        <f t="shared" si="2"/>
        <v>-1</v>
      </c>
    </row>
    <row r="38" spans="2:19" ht="11.4" customHeight="1" x14ac:dyDescent="0.2">
      <c r="B38" s="24"/>
      <c r="C38" s="4">
        <v>5113</v>
      </c>
      <c r="D38" s="18" t="s">
        <v>60</v>
      </c>
      <c r="E38" s="18" t="s">
        <v>29</v>
      </c>
      <c r="F38" s="17">
        <v>1</v>
      </c>
      <c r="G38" s="18" t="s">
        <v>23</v>
      </c>
      <c r="H38" s="17">
        <v>62.3</v>
      </c>
      <c r="I38" s="5">
        <v>78.8</v>
      </c>
      <c r="J38" s="21">
        <f t="shared" si="0"/>
        <v>0.2648475120385233</v>
      </c>
      <c r="K38" s="1">
        <v>2</v>
      </c>
      <c r="L38" s="24">
        <v>3.9</v>
      </c>
      <c r="M38" s="24"/>
      <c r="N38" s="21">
        <f t="shared" si="1"/>
        <v>-1</v>
      </c>
      <c r="P38" s="1">
        <v>6</v>
      </c>
      <c r="Q38" s="24">
        <v>7.8799999999999955</v>
      </c>
      <c r="R38" s="24"/>
      <c r="S38" s="21">
        <f t="shared" si="2"/>
        <v>-1</v>
      </c>
    </row>
    <row r="39" spans="2:19" ht="11.4" customHeight="1" x14ac:dyDescent="0.2">
      <c r="B39" s="24"/>
      <c r="C39" s="4">
        <v>41397</v>
      </c>
      <c r="D39" s="18" t="s">
        <v>61</v>
      </c>
      <c r="E39" s="18" t="s">
        <v>29</v>
      </c>
      <c r="F39" s="17">
        <v>1</v>
      </c>
      <c r="G39" s="18" t="s">
        <v>23</v>
      </c>
      <c r="H39" s="17">
        <v>88.72</v>
      </c>
      <c r="I39" s="5">
        <v>137.1</v>
      </c>
      <c r="J39" s="21">
        <f t="shared" si="0"/>
        <v>0.54531109107303877</v>
      </c>
      <c r="K39" s="1">
        <v>2</v>
      </c>
      <c r="L39" s="24">
        <v>6.8</v>
      </c>
      <c r="M39" s="24"/>
      <c r="N39" s="21">
        <f t="shared" si="1"/>
        <v>-1</v>
      </c>
      <c r="P39" s="1">
        <v>6</v>
      </c>
      <c r="Q39" s="24">
        <v>13.709999999999994</v>
      </c>
      <c r="R39" s="24"/>
      <c r="S39" s="21">
        <f t="shared" si="2"/>
        <v>-1</v>
      </c>
    </row>
    <row r="40" spans="2:19" ht="11.4" customHeight="1" x14ac:dyDescent="0.2">
      <c r="B40" s="24"/>
      <c r="C40" s="4">
        <v>9919</v>
      </c>
      <c r="D40" s="18" t="s">
        <v>62</v>
      </c>
      <c r="E40" s="18" t="s">
        <v>29</v>
      </c>
      <c r="F40" s="17">
        <v>12</v>
      </c>
      <c r="G40" s="18" t="s">
        <v>23</v>
      </c>
      <c r="H40" s="17">
        <v>102.9</v>
      </c>
      <c r="I40" s="5">
        <v>115.5</v>
      </c>
      <c r="J40" s="21">
        <f t="shared" si="0"/>
        <v>0.12244897959183668</v>
      </c>
      <c r="K40" s="1">
        <v>2</v>
      </c>
      <c r="L40" s="24">
        <v>5.7</v>
      </c>
      <c r="M40" s="24"/>
      <c r="N40" s="21">
        <f t="shared" si="1"/>
        <v>-1</v>
      </c>
      <c r="P40" s="1">
        <v>6</v>
      </c>
      <c r="Q40" s="24">
        <v>11.549999999999997</v>
      </c>
      <c r="R40" s="24"/>
      <c r="S40" s="21">
        <f t="shared" si="2"/>
        <v>-1</v>
      </c>
    </row>
    <row r="41" spans="2:19" ht="11.4" customHeight="1" x14ac:dyDescent="0.2">
      <c r="B41" s="24"/>
      <c r="C41" s="4">
        <v>3498</v>
      </c>
      <c r="D41" s="18" t="s">
        <v>63</v>
      </c>
      <c r="E41" s="18" t="s">
        <v>29</v>
      </c>
      <c r="F41" s="17">
        <v>6</v>
      </c>
      <c r="G41" s="18" t="s">
        <v>23</v>
      </c>
      <c r="H41" s="17">
        <v>155.5</v>
      </c>
      <c r="I41" s="5">
        <v>183.5</v>
      </c>
      <c r="J41" s="21">
        <f t="shared" si="0"/>
        <v>0.18006430868167203</v>
      </c>
      <c r="K41" s="1">
        <v>2</v>
      </c>
      <c r="L41" s="24">
        <v>9.1</v>
      </c>
      <c r="M41" s="24"/>
      <c r="N41" s="21">
        <f t="shared" si="1"/>
        <v>-1</v>
      </c>
      <c r="P41" s="1">
        <v>6</v>
      </c>
      <c r="Q41" s="24">
        <v>18.349999999999994</v>
      </c>
      <c r="R41" s="24"/>
      <c r="S41" s="21">
        <f t="shared" si="2"/>
        <v>-1</v>
      </c>
    </row>
    <row r="42" spans="2:19" ht="11.4" customHeight="1" x14ac:dyDescent="0.2">
      <c r="B42" s="24"/>
      <c r="C42" s="4">
        <v>35333</v>
      </c>
      <c r="D42" s="18" t="s">
        <v>64</v>
      </c>
      <c r="E42" s="18" t="s">
        <v>29</v>
      </c>
      <c r="F42" s="17">
        <v>1</v>
      </c>
      <c r="G42" s="18" t="s">
        <v>23</v>
      </c>
      <c r="H42" s="17">
        <v>127</v>
      </c>
      <c r="I42" s="5">
        <v>136.69999999999999</v>
      </c>
      <c r="J42" s="21">
        <f t="shared" si="0"/>
        <v>7.6377952755905421E-2</v>
      </c>
      <c r="K42" s="1">
        <v>2</v>
      </c>
      <c r="L42" s="24">
        <v>6.8</v>
      </c>
      <c r="M42" s="24"/>
      <c r="N42" s="21">
        <f t="shared" si="1"/>
        <v>-1</v>
      </c>
      <c r="P42" s="1">
        <v>6</v>
      </c>
      <c r="Q42" s="24">
        <v>13.670000000000002</v>
      </c>
      <c r="R42" s="24"/>
      <c r="S42" s="21">
        <f t="shared" si="2"/>
        <v>-1</v>
      </c>
    </row>
    <row r="43" spans="2:19" ht="11.4" customHeight="1" x14ac:dyDescent="0.2">
      <c r="B43" s="24"/>
      <c r="C43" s="4">
        <v>5798</v>
      </c>
      <c r="D43" s="18" t="s">
        <v>65</v>
      </c>
      <c r="E43" s="18" t="s">
        <v>29</v>
      </c>
      <c r="F43" s="17">
        <v>1</v>
      </c>
      <c r="G43" s="18" t="s">
        <v>23</v>
      </c>
      <c r="H43" s="17">
        <v>76.900000000000006</v>
      </c>
      <c r="I43" s="5">
        <v>110.5</v>
      </c>
      <c r="J43" s="21">
        <f t="shared" si="0"/>
        <v>0.43693107932379704</v>
      </c>
      <c r="K43" s="1">
        <v>2</v>
      </c>
      <c r="L43" s="24">
        <v>5.5</v>
      </c>
      <c r="M43" s="24"/>
      <c r="N43" s="21">
        <f t="shared" si="1"/>
        <v>-1</v>
      </c>
      <c r="P43" s="1">
        <v>6</v>
      </c>
      <c r="Q43" s="24">
        <v>11.049999999999997</v>
      </c>
      <c r="R43" s="24"/>
      <c r="S43" s="21">
        <f t="shared" si="2"/>
        <v>-1</v>
      </c>
    </row>
    <row r="44" spans="2:19" ht="11.4" customHeight="1" x14ac:dyDescent="0.2">
      <c r="B44" s="24"/>
      <c r="C44" s="4">
        <v>14828</v>
      </c>
      <c r="D44" s="18" t="s">
        <v>66</v>
      </c>
      <c r="E44" s="18" t="s">
        <v>29</v>
      </c>
      <c r="F44" s="17">
        <v>1</v>
      </c>
      <c r="G44" s="18" t="s">
        <v>23</v>
      </c>
      <c r="H44" s="17">
        <v>272.64999999999998</v>
      </c>
      <c r="I44" s="5">
        <v>307.5</v>
      </c>
      <c r="J44" s="21">
        <f t="shared" si="0"/>
        <v>0.12781954887218056</v>
      </c>
      <c r="K44" s="1">
        <v>2</v>
      </c>
      <c r="L44" s="24">
        <v>15.3</v>
      </c>
      <c r="M44" s="24"/>
      <c r="N44" s="21">
        <f t="shared" si="1"/>
        <v>-1</v>
      </c>
      <c r="P44" s="1">
        <v>6</v>
      </c>
      <c r="Q44" s="24">
        <v>30.75</v>
      </c>
      <c r="R44" s="24"/>
      <c r="S44" s="21">
        <f t="shared" si="2"/>
        <v>-1</v>
      </c>
    </row>
    <row r="45" spans="2:19" ht="11.4" customHeight="1" x14ac:dyDescent="0.2">
      <c r="B45" s="24"/>
      <c r="C45" s="4">
        <v>45743</v>
      </c>
      <c r="D45" s="18" t="s">
        <v>67</v>
      </c>
      <c r="E45" s="18" t="s">
        <v>29</v>
      </c>
      <c r="F45" s="17">
        <v>6</v>
      </c>
      <c r="G45" s="18" t="s">
        <v>23</v>
      </c>
      <c r="H45" s="17">
        <v>119.42</v>
      </c>
      <c r="I45" s="5">
        <v>219</v>
      </c>
      <c r="J45" s="21">
        <f t="shared" si="0"/>
        <v>0.8338636744263942</v>
      </c>
      <c r="K45" s="1">
        <v>2</v>
      </c>
      <c r="L45" s="24">
        <v>10.9</v>
      </c>
      <c r="M45" s="24"/>
      <c r="N45" s="21">
        <f t="shared" si="1"/>
        <v>-1</v>
      </c>
      <c r="P45" s="1">
        <v>6</v>
      </c>
      <c r="Q45" s="24">
        <v>21.900000000000006</v>
      </c>
      <c r="R45" s="24"/>
      <c r="S45" s="21">
        <f t="shared" si="2"/>
        <v>-1</v>
      </c>
    </row>
    <row r="46" spans="2:19" ht="11.4" customHeight="1" x14ac:dyDescent="0.2">
      <c r="B46" s="24"/>
      <c r="C46" s="4">
        <v>47453</v>
      </c>
      <c r="D46" s="18" t="s">
        <v>68</v>
      </c>
      <c r="E46" s="18" t="s">
        <v>29</v>
      </c>
      <c r="F46" s="17">
        <v>12</v>
      </c>
      <c r="G46" s="18" t="s">
        <v>23</v>
      </c>
      <c r="H46" s="17">
        <v>160.03</v>
      </c>
      <c r="I46" s="5">
        <v>243</v>
      </c>
      <c r="J46" s="21">
        <f t="shared" si="0"/>
        <v>0.51846528775854528</v>
      </c>
      <c r="K46" s="1">
        <v>2</v>
      </c>
      <c r="L46" s="24">
        <v>12.1</v>
      </c>
      <c r="M46" s="24"/>
      <c r="N46" s="21">
        <f t="shared" si="1"/>
        <v>-1</v>
      </c>
      <c r="P46" s="1">
        <v>6</v>
      </c>
      <c r="Q46" s="24">
        <v>24.299999999999983</v>
      </c>
      <c r="R46" s="24"/>
      <c r="S46" s="21">
        <f t="shared" si="2"/>
        <v>-1</v>
      </c>
    </row>
    <row r="47" spans="2:19" ht="11.4" customHeight="1" x14ac:dyDescent="0.2">
      <c r="B47" s="24"/>
      <c r="C47" s="4">
        <v>40685</v>
      </c>
      <c r="D47" s="18" t="s">
        <v>69</v>
      </c>
      <c r="E47" s="18" t="s">
        <v>29</v>
      </c>
      <c r="F47" s="18"/>
      <c r="G47" s="18" t="s">
        <v>23</v>
      </c>
      <c r="H47" s="17">
        <v>325.74</v>
      </c>
      <c r="I47" s="5">
        <v>450.9</v>
      </c>
      <c r="J47" s="21">
        <f t="shared" si="0"/>
        <v>0.38423282372444267</v>
      </c>
      <c r="K47" s="1">
        <v>2</v>
      </c>
      <c r="L47" s="24">
        <v>22.5</v>
      </c>
      <c r="M47" s="24"/>
      <c r="N47" s="21">
        <f t="shared" si="1"/>
        <v>-1</v>
      </c>
      <c r="P47" s="1">
        <v>6</v>
      </c>
      <c r="Q47" s="24">
        <v>45.089999999999975</v>
      </c>
      <c r="R47" s="24"/>
      <c r="S47" s="21">
        <f t="shared" si="2"/>
        <v>-1</v>
      </c>
    </row>
    <row r="48" spans="2:19" ht="11.4" customHeight="1" x14ac:dyDescent="0.2">
      <c r="B48" s="24"/>
      <c r="C48" s="4">
        <v>39400</v>
      </c>
      <c r="D48" s="18" t="s">
        <v>70</v>
      </c>
      <c r="E48" s="18" t="s">
        <v>29</v>
      </c>
      <c r="F48" s="17">
        <v>1</v>
      </c>
      <c r="G48" s="18" t="s">
        <v>23</v>
      </c>
      <c r="H48" s="17">
        <v>338.5</v>
      </c>
      <c r="I48" s="5">
        <v>409.3</v>
      </c>
      <c r="J48" s="21">
        <f t="shared" si="0"/>
        <v>0.20915805022156578</v>
      </c>
      <c r="K48" s="1">
        <v>2</v>
      </c>
      <c r="L48" s="24">
        <v>20.399999999999999</v>
      </c>
      <c r="M48" s="24"/>
      <c r="N48" s="21">
        <f t="shared" si="1"/>
        <v>-1</v>
      </c>
      <c r="P48" s="1">
        <v>6</v>
      </c>
      <c r="Q48" s="24">
        <v>40.930000000000007</v>
      </c>
      <c r="R48" s="24"/>
      <c r="S48" s="21">
        <f t="shared" si="2"/>
        <v>-1</v>
      </c>
    </row>
    <row r="49" spans="2:19" ht="11.4" customHeight="1" x14ac:dyDescent="0.2">
      <c r="B49" s="24"/>
      <c r="C49" s="4">
        <v>6490</v>
      </c>
      <c r="D49" s="18" t="s">
        <v>71</v>
      </c>
      <c r="E49" s="18" t="s">
        <v>29</v>
      </c>
      <c r="F49" s="17">
        <v>1</v>
      </c>
      <c r="G49" s="18" t="s">
        <v>23</v>
      </c>
      <c r="H49" s="17">
        <v>230.64</v>
      </c>
      <c r="I49" s="5">
        <v>264.8</v>
      </c>
      <c r="J49" s="21">
        <f t="shared" si="0"/>
        <v>0.14810960804717321</v>
      </c>
      <c r="K49" s="1">
        <v>2</v>
      </c>
      <c r="L49" s="24">
        <v>13.2</v>
      </c>
      <c r="M49" s="24"/>
      <c r="N49" s="21">
        <f t="shared" si="1"/>
        <v>-1</v>
      </c>
      <c r="P49" s="1">
        <v>6</v>
      </c>
      <c r="Q49" s="24">
        <v>26.47999999999999</v>
      </c>
      <c r="R49" s="24"/>
      <c r="S49" s="21">
        <f t="shared" si="2"/>
        <v>-1</v>
      </c>
    </row>
    <row r="50" spans="2:19" ht="11.4" customHeight="1" x14ac:dyDescent="0.2">
      <c r="B50" s="24"/>
      <c r="C50" s="4">
        <v>4860</v>
      </c>
      <c r="D50" s="18" t="s">
        <v>72</v>
      </c>
      <c r="E50" s="18" t="s">
        <v>29</v>
      </c>
      <c r="F50" s="17">
        <v>1</v>
      </c>
      <c r="G50" s="18" t="s">
        <v>23</v>
      </c>
      <c r="H50" s="17">
        <v>139.72</v>
      </c>
      <c r="I50" s="5">
        <v>160.9</v>
      </c>
      <c r="J50" s="21">
        <f t="shared" si="0"/>
        <v>0.15158889206985404</v>
      </c>
      <c r="K50" s="1">
        <v>2</v>
      </c>
      <c r="L50" s="24">
        <v>8</v>
      </c>
      <c r="M50" s="24"/>
      <c r="N50" s="21">
        <f t="shared" si="1"/>
        <v>-1</v>
      </c>
      <c r="P50" s="1">
        <v>6</v>
      </c>
      <c r="Q50" s="24">
        <v>16.090000000000003</v>
      </c>
      <c r="R50" s="24"/>
      <c r="S50" s="21">
        <f t="shared" si="2"/>
        <v>-1</v>
      </c>
    </row>
    <row r="51" spans="2:19" ht="11.4" customHeight="1" x14ac:dyDescent="0.2">
      <c r="B51" s="24"/>
      <c r="C51" s="4">
        <v>4673</v>
      </c>
      <c r="D51" s="18" t="s">
        <v>73</v>
      </c>
      <c r="E51" s="18" t="s">
        <v>29</v>
      </c>
      <c r="F51" s="18"/>
      <c r="G51" s="18" t="s">
        <v>23</v>
      </c>
      <c r="H51" s="17">
        <v>160.9</v>
      </c>
      <c r="I51" s="5">
        <v>181.2</v>
      </c>
      <c r="J51" s="21">
        <f t="shared" si="0"/>
        <v>0.12616532007458037</v>
      </c>
      <c r="K51" s="1">
        <v>2</v>
      </c>
      <c r="L51" s="24">
        <v>9</v>
      </c>
      <c r="M51" s="24"/>
      <c r="N51" s="21">
        <f t="shared" si="1"/>
        <v>-1</v>
      </c>
      <c r="P51" s="1">
        <v>6</v>
      </c>
      <c r="Q51" s="24">
        <v>18.120000000000005</v>
      </c>
      <c r="R51" s="24"/>
      <c r="S51" s="21">
        <f t="shared" si="2"/>
        <v>-1</v>
      </c>
    </row>
    <row r="52" spans="2:19" ht="11.4" customHeight="1" x14ac:dyDescent="0.2">
      <c r="B52" s="24"/>
      <c r="C52" s="4">
        <v>38092</v>
      </c>
      <c r="D52" s="18" t="s">
        <v>74</v>
      </c>
      <c r="E52" s="18" t="s">
        <v>29</v>
      </c>
      <c r="F52" s="17">
        <v>1</v>
      </c>
      <c r="G52" s="18" t="s">
        <v>23</v>
      </c>
      <c r="H52" s="17">
        <v>186.2</v>
      </c>
      <c r="I52" s="5">
        <v>213.5</v>
      </c>
      <c r="J52" s="21">
        <f t="shared" si="0"/>
        <v>0.14661654135338353</v>
      </c>
      <c r="K52" s="1">
        <v>2</v>
      </c>
      <c r="L52" s="24">
        <v>10.6</v>
      </c>
      <c r="M52" s="24"/>
      <c r="N52" s="21">
        <f t="shared" si="1"/>
        <v>-1</v>
      </c>
      <c r="P52" s="1">
        <v>6</v>
      </c>
      <c r="Q52" s="24">
        <v>21.349999999999994</v>
      </c>
      <c r="R52" s="24"/>
      <c r="S52" s="21">
        <f t="shared" si="2"/>
        <v>-1</v>
      </c>
    </row>
    <row r="53" spans="2:19" ht="11.4" customHeight="1" x14ac:dyDescent="0.2">
      <c r="B53" s="24"/>
      <c r="C53" s="4">
        <v>39769</v>
      </c>
      <c r="D53" s="18" t="s">
        <v>75</v>
      </c>
      <c r="E53" s="18" t="s">
        <v>29</v>
      </c>
      <c r="F53" s="17">
        <v>1</v>
      </c>
      <c r="G53" s="18" t="s">
        <v>23</v>
      </c>
      <c r="H53" s="17">
        <v>445.5</v>
      </c>
      <c r="I53" s="5">
        <v>529</v>
      </c>
      <c r="J53" s="21">
        <f t="shared" si="0"/>
        <v>0.18742985409652077</v>
      </c>
      <c r="K53" s="1">
        <v>2</v>
      </c>
      <c r="L53" s="24">
        <v>26.4</v>
      </c>
      <c r="M53" s="24"/>
      <c r="N53" s="21">
        <f t="shared" si="1"/>
        <v>-1</v>
      </c>
      <c r="P53" s="1">
        <v>6</v>
      </c>
      <c r="Q53" s="24">
        <v>52.899999999999977</v>
      </c>
      <c r="R53" s="24"/>
      <c r="S53" s="21">
        <f t="shared" si="2"/>
        <v>-1</v>
      </c>
    </row>
    <row r="54" spans="2:19" ht="11.4" customHeight="1" x14ac:dyDescent="0.2">
      <c r="B54" s="24"/>
      <c r="C54" s="4">
        <v>6001</v>
      </c>
      <c r="D54" s="18" t="s">
        <v>76</v>
      </c>
      <c r="E54" s="18" t="s">
        <v>29</v>
      </c>
      <c r="F54" s="17">
        <v>1</v>
      </c>
      <c r="G54" s="18" t="s">
        <v>23</v>
      </c>
      <c r="H54" s="17">
        <v>94.9</v>
      </c>
      <c r="I54" s="5">
        <v>111.9</v>
      </c>
      <c r="J54" s="21">
        <f t="shared" si="0"/>
        <v>0.17913593256059007</v>
      </c>
      <c r="K54" s="1">
        <v>2</v>
      </c>
      <c r="L54" s="24">
        <v>5.5</v>
      </c>
      <c r="M54" s="24"/>
      <c r="N54" s="21">
        <f t="shared" si="1"/>
        <v>-1</v>
      </c>
      <c r="P54" s="1">
        <v>6</v>
      </c>
      <c r="Q54" s="24">
        <v>11.189999999999998</v>
      </c>
      <c r="R54" s="24"/>
      <c r="S54" s="21">
        <f t="shared" si="2"/>
        <v>-1</v>
      </c>
    </row>
    <row r="55" spans="2:19" ht="11.4" customHeight="1" x14ac:dyDescent="0.2">
      <c r="B55" s="24"/>
      <c r="C55" s="4">
        <v>39398</v>
      </c>
      <c r="D55" s="18" t="s">
        <v>77</v>
      </c>
      <c r="E55" s="18" t="s">
        <v>29</v>
      </c>
      <c r="F55" s="17">
        <v>1</v>
      </c>
      <c r="G55" s="18" t="s">
        <v>23</v>
      </c>
      <c r="H55" s="17">
        <v>479.9</v>
      </c>
      <c r="I55" s="5">
        <v>504.9</v>
      </c>
      <c r="J55" s="21">
        <f t="shared" si="0"/>
        <v>5.2094186288810171E-2</v>
      </c>
      <c r="K55" s="1">
        <v>2</v>
      </c>
      <c r="L55" s="24">
        <v>25.2</v>
      </c>
      <c r="M55" s="24"/>
      <c r="N55" s="21">
        <f t="shared" si="1"/>
        <v>-1</v>
      </c>
      <c r="P55" s="1">
        <v>6</v>
      </c>
      <c r="Q55" s="24">
        <v>50.490000000000009</v>
      </c>
      <c r="R55" s="24"/>
      <c r="S55" s="21">
        <f t="shared" si="2"/>
        <v>-1</v>
      </c>
    </row>
    <row r="56" spans="2:19" ht="11.4" customHeight="1" x14ac:dyDescent="0.2">
      <c r="B56" s="24"/>
      <c r="C56" s="4">
        <v>35503</v>
      </c>
      <c r="D56" s="18" t="s">
        <v>78</v>
      </c>
      <c r="E56" s="18" t="s">
        <v>29</v>
      </c>
      <c r="F56" s="17">
        <v>1</v>
      </c>
      <c r="G56" s="18" t="s">
        <v>23</v>
      </c>
      <c r="H56" s="17">
        <v>166</v>
      </c>
      <c r="I56" s="5">
        <v>194</v>
      </c>
      <c r="J56" s="21">
        <f t="shared" si="0"/>
        <v>0.16867469879518071</v>
      </c>
      <c r="K56" s="1">
        <v>2</v>
      </c>
      <c r="L56" s="24">
        <v>9.6999999999999993</v>
      </c>
      <c r="M56" s="24"/>
      <c r="N56" s="21">
        <f t="shared" si="1"/>
        <v>-1</v>
      </c>
      <c r="P56" s="1">
        <v>6</v>
      </c>
      <c r="Q56" s="24">
        <v>19.400000000000006</v>
      </c>
      <c r="R56" s="24"/>
      <c r="S56" s="21">
        <f t="shared" si="2"/>
        <v>-1</v>
      </c>
    </row>
    <row r="57" spans="2:19" ht="11.4" customHeight="1" x14ac:dyDescent="0.2">
      <c r="B57" s="24"/>
      <c r="C57" s="4">
        <v>41738</v>
      </c>
      <c r="D57" s="18" t="s">
        <v>79</v>
      </c>
      <c r="E57" s="18" t="s">
        <v>29</v>
      </c>
      <c r="F57" s="17">
        <v>1</v>
      </c>
      <c r="G57" s="18" t="s">
        <v>23</v>
      </c>
      <c r="H57" s="17">
        <v>511.62</v>
      </c>
      <c r="I57" s="6">
        <v>1525</v>
      </c>
      <c r="J57" s="21">
        <f t="shared" si="0"/>
        <v>1.9807278839763887</v>
      </c>
      <c r="K57" s="1">
        <v>2</v>
      </c>
      <c r="L57" s="24">
        <v>76.2</v>
      </c>
      <c r="M57" s="24"/>
      <c r="N57" s="21">
        <f t="shared" si="1"/>
        <v>-1</v>
      </c>
      <c r="P57" s="1">
        <v>6</v>
      </c>
      <c r="Q57" s="24">
        <v>152.5</v>
      </c>
      <c r="R57" s="24"/>
      <c r="S57" s="21">
        <f t="shared" si="2"/>
        <v>-1</v>
      </c>
    </row>
    <row r="58" spans="2:19" ht="11.4" customHeight="1" x14ac:dyDescent="0.2">
      <c r="B58" s="24"/>
      <c r="C58" s="4">
        <v>39406</v>
      </c>
      <c r="D58" s="18" t="s">
        <v>80</v>
      </c>
      <c r="E58" s="18" t="s">
        <v>29</v>
      </c>
      <c r="F58" s="17">
        <v>1</v>
      </c>
      <c r="G58" s="18" t="s">
        <v>23</v>
      </c>
      <c r="H58" s="17">
        <v>234.5</v>
      </c>
      <c r="I58" s="5">
        <v>265.39999999999998</v>
      </c>
      <c r="J58" s="21">
        <f t="shared" si="0"/>
        <v>0.13176972281449884</v>
      </c>
      <c r="K58" s="1">
        <v>2</v>
      </c>
      <c r="L58" s="24">
        <v>13.2</v>
      </c>
      <c r="M58" s="24"/>
      <c r="N58" s="21">
        <f t="shared" si="1"/>
        <v>-1</v>
      </c>
      <c r="P58" s="1">
        <v>6</v>
      </c>
      <c r="Q58" s="24">
        <v>26.539999999999992</v>
      </c>
      <c r="R58" s="24"/>
      <c r="S58" s="21">
        <f t="shared" si="2"/>
        <v>-1</v>
      </c>
    </row>
    <row r="59" spans="2:19" ht="11.4" customHeight="1" x14ac:dyDescent="0.2">
      <c r="B59" s="24"/>
      <c r="C59" s="4">
        <v>3955</v>
      </c>
      <c r="D59" s="18" t="s">
        <v>81</v>
      </c>
      <c r="E59" s="18" t="s">
        <v>29</v>
      </c>
      <c r="F59" s="17">
        <v>1</v>
      </c>
      <c r="G59" s="18" t="s">
        <v>23</v>
      </c>
      <c r="H59" s="17">
        <v>505.68</v>
      </c>
      <c r="I59" s="5">
        <v>507</v>
      </c>
      <c r="J59" s="21">
        <f t="shared" si="0"/>
        <v>2.6103464641670485E-3</v>
      </c>
      <c r="K59" s="1">
        <v>2</v>
      </c>
      <c r="L59" s="24">
        <v>25.3</v>
      </c>
      <c r="M59" s="24"/>
      <c r="N59" s="21">
        <f t="shared" si="1"/>
        <v>-1</v>
      </c>
      <c r="P59" s="1">
        <v>6</v>
      </c>
      <c r="Q59" s="24">
        <v>50.699999999999989</v>
      </c>
      <c r="R59" s="24"/>
      <c r="S59" s="21">
        <f t="shared" si="2"/>
        <v>-1</v>
      </c>
    </row>
    <row r="60" spans="2:19" ht="11.4" customHeight="1" x14ac:dyDescent="0.2">
      <c r="B60" s="24"/>
      <c r="C60" s="4">
        <v>30756</v>
      </c>
      <c r="D60" s="18" t="s">
        <v>82</v>
      </c>
      <c r="E60" s="18" t="s">
        <v>29</v>
      </c>
      <c r="F60" s="17">
        <v>2</v>
      </c>
      <c r="G60" s="18" t="s">
        <v>23</v>
      </c>
      <c r="H60" s="17">
        <v>74.599999999999994</v>
      </c>
      <c r="I60" s="5">
        <v>79.900000000000006</v>
      </c>
      <c r="J60" s="21">
        <f t="shared" si="0"/>
        <v>7.1045576407506861E-2</v>
      </c>
      <c r="K60" s="1">
        <v>2</v>
      </c>
      <c r="L60" s="24">
        <v>3.9</v>
      </c>
      <c r="M60" s="24"/>
      <c r="N60" s="21">
        <f t="shared" si="1"/>
        <v>-1</v>
      </c>
      <c r="P60" s="1">
        <v>6</v>
      </c>
      <c r="Q60" s="24">
        <v>7.9899999999999949</v>
      </c>
      <c r="R60" s="24"/>
      <c r="S60" s="21">
        <f t="shared" si="2"/>
        <v>-1</v>
      </c>
    </row>
    <row r="61" spans="2:19" ht="11.4" customHeight="1" x14ac:dyDescent="0.2">
      <c r="B61" s="24"/>
      <c r="C61" s="4">
        <v>32098</v>
      </c>
      <c r="D61" s="18" t="s">
        <v>83</v>
      </c>
      <c r="E61" s="18" t="s">
        <v>29</v>
      </c>
      <c r="F61" s="17">
        <v>1</v>
      </c>
      <c r="G61" s="18" t="s">
        <v>23</v>
      </c>
      <c r="H61" s="17">
        <v>62.3</v>
      </c>
      <c r="I61" s="5">
        <v>78.8</v>
      </c>
      <c r="J61" s="21">
        <f t="shared" si="0"/>
        <v>0.2648475120385233</v>
      </c>
      <c r="K61" s="1">
        <v>2</v>
      </c>
      <c r="L61" s="24">
        <v>3.9</v>
      </c>
      <c r="M61" s="24"/>
      <c r="N61" s="21">
        <f t="shared" si="1"/>
        <v>-1</v>
      </c>
      <c r="P61" s="1">
        <v>6</v>
      </c>
      <c r="Q61" s="24">
        <v>7.8799999999999955</v>
      </c>
      <c r="R61" s="24"/>
      <c r="S61" s="21">
        <f t="shared" si="2"/>
        <v>-1</v>
      </c>
    </row>
    <row r="62" spans="2:19" ht="11.4" customHeight="1" x14ac:dyDescent="0.2">
      <c r="B62" s="24"/>
      <c r="C62" s="4">
        <v>40684</v>
      </c>
      <c r="D62" s="18" t="s">
        <v>84</v>
      </c>
      <c r="E62" s="18" t="s">
        <v>29</v>
      </c>
      <c r="F62" s="18"/>
      <c r="G62" s="18" t="s">
        <v>23</v>
      </c>
      <c r="H62" s="17">
        <v>285.77999999999997</v>
      </c>
      <c r="I62" s="5">
        <v>357.5</v>
      </c>
      <c r="J62" s="21">
        <f t="shared" si="0"/>
        <v>0.25096227867590465</v>
      </c>
      <c r="K62" s="1">
        <v>2</v>
      </c>
      <c r="L62" s="24">
        <v>17.8</v>
      </c>
      <c r="M62" s="24"/>
      <c r="N62" s="21">
        <f t="shared" si="1"/>
        <v>-1</v>
      </c>
      <c r="P62" s="1">
        <v>6</v>
      </c>
      <c r="Q62" s="24">
        <v>35.75</v>
      </c>
      <c r="R62" s="24"/>
      <c r="S62" s="21">
        <f t="shared" si="2"/>
        <v>-1</v>
      </c>
    </row>
    <row r="63" spans="2:19" ht="11.4" customHeight="1" x14ac:dyDescent="0.2">
      <c r="B63" s="24"/>
      <c r="C63" s="4">
        <v>39402</v>
      </c>
      <c r="D63" s="18" t="s">
        <v>85</v>
      </c>
      <c r="E63" s="18" t="s">
        <v>29</v>
      </c>
      <c r="F63" s="17">
        <v>6</v>
      </c>
      <c r="G63" s="18" t="s">
        <v>23</v>
      </c>
      <c r="H63" s="17">
        <v>367.5</v>
      </c>
      <c r="I63" s="5">
        <v>405.9</v>
      </c>
      <c r="J63" s="21">
        <f t="shared" si="0"/>
        <v>0.10448979591836728</v>
      </c>
      <c r="K63" s="1">
        <v>2</v>
      </c>
      <c r="L63" s="24">
        <v>20.2</v>
      </c>
      <c r="M63" s="24"/>
      <c r="N63" s="21">
        <f t="shared" si="1"/>
        <v>-1</v>
      </c>
      <c r="P63" s="1">
        <v>6</v>
      </c>
      <c r="Q63" s="24">
        <v>40.589999999999975</v>
      </c>
      <c r="R63" s="24"/>
      <c r="S63" s="21">
        <f t="shared" si="2"/>
        <v>-1</v>
      </c>
    </row>
    <row r="64" spans="2:19" ht="11.4" customHeight="1" x14ac:dyDescent="0.2">
      <c r="B64" s="24"/>
      <c r="C64" s="4">
        <v>39411</v>
      </c>
      <c r="D64" s="18" t="s">
        <v>86</v>
      </c>
      <c r="E64" s="18" t="s">
        <v>29</v>
      </c>
      <c r="F64" s="17">
        <v>1</v>
      </c>
      <c r="G64" s="18" t="s">
        <v>23</v>
      </c>
      <c r="H64" s="17">
        <v>449.9</v>
      </c>
      <c r="I64" s="5">
        <v>541.79999999999995</v>
      </c>
      <c r="J64" s="21">
        <f t="shared" si="0"/>
        <v>0.20426761502556121</v>
      </c>
      <c r="K64" s="1">
        <v>2</v>
      </c>
      <c r="L64" s="24">
        <v>27</v>
      </c>
      <c r="M64" s="24"/>
      <c r="N64" s="21">
        <f t="shared" si="1"/>
        <v>-1</v>
      </c>
      <c r="P64" s="1">
        <v>6</v>
      </c>
      <c r="Q64" s="24">
        <v>54.180000000000007</v>
      </c>
      <c r="R64" s="24"/>
      <c r="S64" s="21">
        <f t="shared" si="2"/>
        <v>-1</v>
      </c>
    </row>
    <row r="65" spans="2:19" ht="11.4" customHeight="1" x14ac:dyDescent="0.2">
      <c r="B65" s="24"/>
      <c r="C65" s="4">
        <v>9916</v>
      </c>
      <c r="D65" s="18" t="s">
        <v>87</v>
      </c>
      <c r="E65" s="18" t="s">
        <v>29</v>
      </c>
      <c r="F65" s="17">
        <v>12</v>
      </c>
      <c r="G65" s="18" t="s">
        <v>23</v>
      </c>
      <c r="H65" s="17">
        <v>102.9</v>
      </c>
      <c r="I65" s="5">
        <v>115.5</v>
      </c>
      <c r="J65" s="21">
        <f t="shared" si="0"/>
        <v>0.12244897959183668</v>
      </c>
      <c r="K65" s="1">
        <v>2</v>
      </c>
      <c r="L65" s="24">
        <v>5.7</v>
      </c>
      <c r="M65" s="24"/>
      <c r="N65" s="21">
        <f t="shared" si="1"/>
        <v>-1</v>
      </c>
      <c r="P65" s="1">
        <v>6</v>
      </c>
      <c r="Q65" s="24">
        <v>11.549999999999997</v>
      </c>
      <c r="R65" s="24"/>
      <c r="S65" s="21">
        <f t="shared" si="2"/>
        <v>-1</v>
      </c>
    </row>
    <row r="66" spans="2:19" ht="11.4" customHeight="1" x14ac:dyDescent="0.2">
      <c r="B66" s="24"/>
      <c r="C66" s="4">
        <v>35460</v>
      </c>
      <c r="D66" s="18" t="s">
        <v>88</v>
      </c>
      <c r="E66" s="18" t="s">
        <v>29</v>
      </c>
      <c r="F66" s="17">
        <v>6</v>
      </c>
      <c r="G66" s="18" t="s">
        <v>23</v>
      </c>
      <c r="H66" s="17">
        <v>164.5</v>
      </c>
      <c r="I66" s="5">
        <v>183.5</v>
      </c>
      <c r="J66" s="21">
        <f t="shared" si="0"/>
        <v>0.11550151975683891</v>
      </c>
      <c r="K66" s="1">
        <v>2</v>
      </c>
      <c r="L66" s="24">
        <v>9.1</v>
      </c>
      <c r="M66" s="24"/>
      <c r="N66" s="21">
        <f t="shared" si="1"/>
        <v>-1</v>
      </c>
      <c r="P66" s="1">
        <v>6</v>
      </c>
      <c r="Q66" s="24">
        <v>18.349999999999994</v>
      </c>
      <c r="R66" s="24"/>
      <c r="S66" s="21">
        <f t="shared" si="2"/>
        <v>-1</v>
      </c>
    </row>
    <row r="67" spans="2:19" ht="11.4" customHeight="1" x14ac:dyDescent="0.2">
      <c r="B67" s="24"/>
      <c r="C67" s="4">
        <v>39397</v>
      </c>
      <c r="D67" s="18" t="s">
        <v>89</v>
      </c>
      <c r="E67" s="18" t="s">
        <v>29</v>
      </c>
      <c r="F67" s="17">
        <v>1</v>
      </c>
      <c r="G67" s="18" t="s">
        <v>23</v>
      </c>
      <c r="H67" s="17">
        <v>479.9</v>
      </c>
      <c r="I67" s="5">
        <v>504.9</v>
      </c>
      <c r="J67" s="21">
        <f t="shared" ref="J67:J130" si="3">(I67-H67)/H67</f>
        <v>5.2094186288810171E-2</v>
      </c>
      <c r="K67" s="1">
        <v>2</v>
      </c>
      <c r="L67" s="24">
        <v>25.2</v>
      </c>
      <c r="M67" s="24"/>
      <c r="N67" s="21">
        <f t="shared" ref="N67:N130" si="4">(M67-H67)/H67</f>
        <v>-1</v>
      </c>
      <c r="P67" s="1">
        <v>6</v>
      </c>
      <c r="Q67" s="24">
        <v>50.490000000000009</v>
      </c>
      <c r="R67" s="24"/>
      <c r="S67" s="21">
        <f t="shared" ref="S67:S130" si="5">(R67-H67)/H67</f>
        <v>-1</v>
      </c>
    </row>
    <row r="68" spans="2:19" ht="11.4" customHeight="1" x14ac:dyDescent="0.2">
      <c r="B68" s="24"/>
      <c r="C68" s="4">
        <v>39358</v>
      </c>
      <c r="D68" s="18" t="s">
        <v>90</v>
      </c>
      <c r="E68" s="18" t="s">
        <v>29</v>
      </c>
      <c r="F68" s="17">
        <v>1</v>
      </c>
      <c r="G68" s="18" t="s">
        <v>23</v>
      </c>
      <c r="H68" s="17">
        <v>335.9</v>
      </c>
      <c r="I68" s="5">
        <v>428</v>
      </c>
      <c r="J68" s="21">
        <f t="shared" si="3"/>
        <v>0.27418874665078902</v>
      </c>
      <c r="K68" s="1">
        <v>2</v>
      </c>
      <c r="L68" s="24">
        <v>21.4</v>
      </c>
      <c r="M68" s="24"/>
      <c r="N68" s="21">
        <f t="shared" si="4"/>
        <v>-1</v>
      </c>
      <c r="P68" s="1">
        <v>6</v>
      </c>
      <c r="Q68" s="24">
        <v>42.800000000000011</v>
      </c>
      <c r="R68" s="24"/>
      <c r="S68" s="21">
        <f t="shared" si="5"/>
        <v>-1</v>
      </c>
    </row>
    <row r="69" spans="2:19" ht="11.4" customHeight="1" x14ac:dyDescent="0.2">
      <c r="B69" s="24"/>
      <c r="C69" s="4">
        <v>41743</v>
      </c>
      <c r="D69" s="18" t="s">
        <v>91</v>
      </c>
      <c r="E69" s="18" t="s">
        <v>29</v>
      </c>
      <c r="F69" s="17">
        <v>1</v>
      </c>
      <c r="G69" s="18" t="s">
        <v>23</v>
      </c>
      <c r="H69" s="17">
        <v>581.1</v>
      </c>
      <c r="I69" s="5">
        <v>784.5</v>
      </c>
      <c r="J69" s="21">
        <f t="shared" si="3"/>
        <v>0.35002581311306136</v>
      </c>
      <c r="K69" s="1">
        <v>2</v>
      </c>
      <c r="L69" s="24">
        <v>39.200000000000003</v>
      </c>
      <c r="M69" s="24"/>
      <c r="N69" s="21">
        <f t="shared" si="4"/>
        <v>-1</v>
      </c>
      <c r="P69" s="1">
        <v>6</v>
      </c>
      <c r="Q69" s="24">
        <v>78.449999999999932</v>
      </c>
      <c r="R69" s="24"/>
      <c r="S69" s="21">
        <f t="shared" si="5"/>
        <v>-1</v>
      </c>
    </row>
    <row r="70" spans="2:19" ht="11.4" customHeight="1" x14ac:dyDescent="0.2">
      <c r="B70" s="24"/>
      <c r="C70" s="4">
        <v>39409</v>
      </c>
      <c r="D70" s="18" t="s">
        <v>92</v>
      </c>
      <c r="E70" s="18" t="s">
        <v>29</v>
      </c>
      <c r="F70" s="17">
        <v>1</v>
      </c>
      <c r="G70" s="18" t="s">
        <v>23</v>
      </c>
      <c r="H70" s="17">
        <v>326.5</v>
      </c>
      <c r="I70" s="5">
        <v>405.9</v>
      </c>
      <c r="J70" s="21">
        <f t="shared" si="3"/>
        <v>0.24318529862174573</v>
      </c>
      <c r="K70" s="1">
        <v>2</v>
      </c>
      <c r="L70" s="24">
        <v>20.2</v>
      </c>
      <c r="M70" s="24"/>
      <c r="N70" s="21">
        <f t="shared" si="4"/>
        <v>-1</v>
      </c>
      <c r="P70" s="1">
        <v>6</v>
      </c>
      <c r="Q70" s="24">
        <v>40.589999999999975</v>
      </c>
      <c r="R70" s="24"/>
      <c r="S70" s="21">
        <f t="shared" si="5"/>
        <v>-1</v>
      </c>
    </row>
    <row r="71" spans="2:19" ht="11.4" customHeight="1" x14ac:dyDescent="0.2">
      <c r="B71" s="24"/>
      <c r="C71" s="4">
        <v>39407</v>
      </c>
      <c r="D71" s="18" t="s">
        <v>93</v>
      </c>
      <c r="E71" s="18" t="s">
        <v>29</v>
      </c>
      <c r="F71" s="17">
        <v>1</v>
      </c>
      <c r="G71" s="18" t="s">
        <v>23</v>
      </c>
      <c r="H71" s="17">
        <v>269.89999999999998</v>
      </c>
      <c r="I71" s="5">
        <v>258.89999999999998</v>
      </c>
      <c r="J71" s="21">
        <f t="shared" si="3"/>
        <v>-4.0755835494627642E-2</v>
      </c>
      <c r="K71" s="1">
        <v>2</v>
      </c>
      <c r="L71" s="24">
        <v>12.9</v>
      </c>
      <c r="M71" s="24"/>
      <c r="N71" s="21">
        <f t="shared" si="4"/>
        <v>-1</v>
      </c>
      <c r="P71" s="1">
        <v>6</v>
      </c>
      <c r="Q71" s="24">
        <v>25.889999999999986</v>
      </c>
      <c r="R71" s="24"/>
      <c r="S71" s="21">
        <f t="shared" si="5"/>
        <v>-1</v>
      </c>
    </row>
    <row r="72" spans="2:19" ht="11.4" customHeight="1" x14ac:dyDescent="0.2">
      <c r="B72" s="24"/>
      <c r="C72" s="4">
        <v>42796</v>
      </c>
      <c r="D72" s="18" t="s">
        <v>94</v>
      </c>
      <c r="E72" s="18" t="s">
        <v>29</v>
      </c>
      <c r="F72" s="17">
        <v>12</v>
      </c>
      <c r="G72" s="18" t="s">
        <v>23</v>
      </c>
      <c r="H72" s="17">
        <v>46.08</v>
      </c>
      <c r="I72" s="5">
        <v>78.8</v>
      </c>
      <c r="J72" s="21">
        <f t="shared" si="3"/>
        <v>0.71006944444444442</v>
      </c>
      <c r="K72" s="1">
        <v>2</v>
      </c>
      <c r="L72" s="24">
        <v>3.9</v>
      </c>
      <c r="M72" s="24"/>
      <c r="N72" s="21">
        <f t="shared" si="4"/>
        <v>-1</v>
      </c>
      <c r="P72" s="1">
        <v>6</v>
      </c>
      <c r="Q72" s="24">
        <v>7.8799999999999955</v>
      </c>
      <c r="R72" s="24"/>
      <c r="S72" s="21">
        <f t="shared" si="5"/>
        <v>-1</v>
      </c>
    </row>
    <row r="73" spans="2:19" ht="11.4" customHeight="1" x14ac:dyDescent="0.2">
      <c r="B73" s="24"/>
      <c r="C73" s="4">
        <v>35656</v>
      </c>
      <c r="D73" s="18" t="s">
        <v>95</v>
      </c>
      <c r="E73" s="18" t="s">
        <v>29</v>
      </c>
      <c r="F73" s="17">
        <v>6</v>
      </c>
      <c r="G73" s="18" t="s">
        <v>23</v>
      </c>
      <c r="H73" s="17">
        <v>141.4</v>
      </c>
      <c r="I73" s="5">
        <v>149.30000000000001</v>
      </c>
      <c r="J73" s="21">
        <f t="shared" si="3"/>
        <v>5.5869872701555905E-2</v>
      </c>
      <c r="K73" s="1">
        <v>2</v>
      </c>
      <c r="L73" s="24">
        <v>7.4</v>
      </c>
      <c r="M73" s="24"/>
      <c r="N73" s="21">
        <f t="shared" si="4"/>
        <v>-1</v>
      </c>
      <c r="P73" s="1">
        <v>6</v>
      </c>
      <c r="Q73" s="24">
        <v>14.930000000000007</v>
      </c>
      <c r="R73" s="24"/>
      <c r="S73" s="21">
        <f t="shared" si="5"/>
        <v>-1</v>
      </c>
    </row>
    <row r="74" spans="2:19" ht="11.4" customHeight="1" x14ac:dyDescent="0.2">
      <c r="B74" s="24"/>
      <c r="C74" s="4">
        <v>42811</v>
      </c>
      <c r="D74" s="18" t="s">
        <v>96</v>
      </c>
      <c r="E74" s="18" t="s">
        <v>29</v>
      </c>
      <c r="F74" s="17">
        <v>1</v>
      </c>
      <c r="G74" s="18" t="s">
        <v>23</v>
      </c>
      <c r="H74" s="17">
        <v>63.96</v>
      </c>
      <c r="I74" s="5">
        <v>110.6</v>
      </c>
      <c r="J74" s="21">
        <f t="shared" si="3"/>
        <v>0.72920575359599737</v>
      </c>
      <c r="K74" s="1">
        <v>2</v>
      </c>
      <c r="L74" s="24">
        <v>5.5</v>
      </c>
      <c r="M74" s="24"/>
      <c r="N74" s="21">
        <f t="shared" si="4"/>
        <v>-1</v>
      </c>
      <c r="P74" s="1">
        <v>6</v>
      </c>
      <c r="Q74" s="24">
        <v>11.060000000000002</v>
      </c>
      <c r="R74" s="24"/>
      <c r="S74" s="21">
        <f t="shared" si="5"/>
        <v>-1</v>
      </c>
    </row>
    <row r="75" spans="2:19" ht="11.4" customHeight="1" x14ac:dyDescent="0.2">
      <c r="B75" s="24"/>
      <c r="C75" s="4">
        <v>42812</v>
      </c>
      <c r="D75" s="18" t="s">
        <v>97</v>
      </c>
      <c r="E75" s="18" t="s">
        <v>29</v>
      </c>
      <c r="F75" s="17">
        <v>1</v>
      </c>
      <c r="G75" s="18" t="s">
        <v>23</v>
      </c>
      <c r="H75" s="17">
        <v>92.94</v>
      </c>
      <c r="I75" s="5">
        <v>161.9</v>
      </c>
      <c r="J75" s="21">
        <f t="shared" si="3"/>
        <v>0.74198407574779435</v>
      </c>
      <c r="K75" s="1">
        <v>2</v>
      </c>
      <c r="L75" s="24">
        <v>8</v>
      </c>
      <c r="M75" s="24"/>
      <c r="N75" s="21">
        <f t="shared" si="4"/>
        <v>-1</v>
      </c>
      <c r="P75" s="1">
        <v>6</v>
      </c>
      <c r="Q75" s="24">
        <v>16.189999999999998</v>
      </c>
      <c r="R75" s="24"/>
      <c r="S75" s="21">
        <f t="shared" si="5"/>
        <v>-1</v>
      </c>
    </row>
    <row r="76" spans="2:19" ht="11.4" customHeight="1" x14ac:dyDescent="0.2">
      <c r="B76" s="24"/>
      <c r="C76" s="4">
        <v>45739</v>
      </c>
      <c r="D76" s="18" t="s">
        <v>98</v>
      </c>
      <c r="E76" s="18" t="s">
        <v>29</v>
      </c>
      <c r="F76" s="17">
        <v>6</v>
      </c>
      <c r="G76" s="18" t="s">
        <v>23</v>
      </c>
      <c r="H76" s="17">
        <v>119.42</v>
      </c>
      <c r="I76" s="5">
        <v>219</v>
      </c>
      <c r="J76" s="21">
        <f t="shared" si="3"/>
        <v>0.8338636744263942</v>
      </c>
      <c r="K76" s="1">
        <v>2</v>
      </c>
      <c r="L76" s="24">
        <v>10.9</v>
      </c>
      <c r="M76" s="24"/>
      <c r="N76" s="21">
        <f t="shared" si="4"/>
        <v>-1</v>
      </c>
      <c r="P76" s="1">
        <v>6</v>
      </c>
      <c r="Q76" s="24">
        <v>21.900000000000006</v>
      </c>
      <c r="R76" s="24"/>
      <c r="S76" s="21">
        <f t="shared" si="5"/>
        <v>-1</v>
      </c>
    </row>
    <row r="77" spans="2:19" ht="11.4" customHeight="1" x14ac:dyDescent="0.2">
      <c r="B77" s="24"/>
      <c r="C77" s="4">
        <v>35655</v>
      </c>
      <c r="D77" s="18" t="s">
        <v>99</v>
      </c>
      <c r="E77" s="18" t="s">
        <v>29</v>
      </c>
      <c r="F77" s="17">
        <v>12</v>
      </c>
      <c r="G77" s="18" t="s">
        <v>23</v>
      </c>
      <c r="H77" s="17">
        <v>93.9</v>
      </c>
      <c r="I77" s="5">
        <v>114.5</v>
      </c>
      <c r="J77" s="21">
        <f t="shared" si="3"/>
        <v>0.21938232161874327</v>
      </c>
      <c r="K77" s="1">
        <v>2</v>
      </c>
      <c r="L77" s="24">
        <v>5.7</v>
      </c>
      <c r="M77" s="24"/>
      <c r="N77" s="21">
        <f t="shared" si="4"/>
        <v>-1</v>
      </c>
      <c r="P77" s="1">
        <v>6</v>
      </c>
      <c r="Q77" s="24">
        <v>11.450000000000003</v>
      </c>
      <c r="R77" s="24"/>
      <c r="S77" s="21">
        <f t="shared" si="5"/>
        <v>-1</v>
      </c>
    </row>
    <row r="78" spans="2:19" ht="11.4" customHeight="1" x14ac:dyDescent="0.2">
      <c r="B78" s="24"/>
      <c r="C78" s="4">
        <v>35660</v>
      </c>
      <c r="D78" s="18" t="s">
        <v>100</v>
      </c>
      <c r="E78" s="18" t="s">
        <v>29</v>
      </c>
      <c r="F78" s="17">
        <v>6</v>
      </c>
      <c r="G78" s="18" t="s">
        <v>23</v>
      </c>
      <c r="H78" s="17">
        <v>141.4</v>
      </c>
      <c r="I78" s="5">
        <v>168.7</v>
      </c>
      <c r="J78" s="21">
        <f t="shared" si="3"/>
        <v>0.19306930693069294</v>
      </c>
      <c r="K78" s="1">
        <v>2</v>
      </c>
      <c r="L78" s="24">
        <v>8.4</v>
      </c>
      <c r="M78" s="24"/>
      <c r="N78" s="21">
        <f t="shared" si="4"/>
        <v>-1</v>
      </c>
      <c r="P78" s="1">
        <v>6</v>
      </c>
      <c r="Q78" s="24">
        <v>16.870000000000005</v>
      </c>
      <c r="R78" s="24"/>
      <c r="S78" s="21">
        <f t="shared" si="5"/>
        <v>-1</v>
      </c>
    </row>
    <row r="79" spans="2:19" ht="11.4" customHeight="1" x14ac:dyDescent="0.2">
      <c r="B79" s="24"/>
      <c r="C79" s="4">
        <v>42799</v>
      </c>
      <c r="D79" s="18" t="s">
        <v>101</v>
      </c>
      <c r="E79" s="18" t="s">
        <v>29</v>
      </c>
      <c r="F79" s="17">
        <v>1</v>
      </c>
      <c r="G79" s="18" t="s">
        <v>23</v>
      </c>
      <c r="H79" s="17">
        <v>78.959999999999994</v>
      </c>
      <c r="I79" s="5">
        <v>115.2</v>
      </c>
      <c r="J79" s="21">
        <f t="shared" si="3"/>
        <v>0.45896656534954422</v>
      </c>
      <c r="K79" s="1">
        <v>2</v>
      </c>
      <c r="L79" s="24">
        <v>5.7</v>
      </c>
      <c r="M79" s="24"/>
      <c r="N79" s="21">
        <f t="shared" si="4"/>
        <v>-1</v>
      </c>
      <c r="P79" s="1">
        <v>6</v>
      </c>
      <c r="Q79" s="24">
        <v>11.519999999999996</v>
      </c>
      <c r="R79" s="24"/>
      <c r="S79" s="21">
        <f t="shared" si="5"/>
        <v>-1</v>
      </c>
    </row>
    <row r="80" spans="2:19" ht="11.4" customHeight="1" x14ac:dyDescent="0.2">
      <c r="B80" s="24"/>
      <c r="C80" s="4">
        <v>46103</v>
      </c>
      <c r="D80" s="18" t="s">
        <v>102</v>
      </c>
      <c r="E80" s="18" t="s">
        <v>29</v>
      </c>
      <c r="F80" s="17">
        <v>6</v>
      </c>
      <c r="G80" s="18" t="s">
        <v>23</v>
      </c>
      <c r="H80" s="17">
        <v>256.48</v>
      </c>
      <c r="I80" s="5">
        <v>452.6</v>
      </c>
      <c r="J80" s="21">
        <f t="shared" si="3"/>
        <v>0.76466001247660631</v>
      </c>
      <c r="K80" s="1">
        <v>2</v>
      </c>
      <c r="L80" s="24">
        <v>22.6</v>
      </c>
      <c r="M80" s="24"/>
      <c r="N80" s="21">
        <f t="shared" si="4"/>
        <v>-1</v>
      </c>
      <c r="P80" s="1">
        <v>6</v>
      </c>
      <c r="Q80" s="24">
        <v>45.259999999999991</v>
      </c>
      <c r="R80" s="24"/>
      <c r="S80" s="21">
        <f t="shared" si="5"/>
        <v>-1</v>
      </c>
    </row>
    <row r="81" spans="2:19" ht="11.4" customHeight="1" x14ac:dyDescent="0.2">
      <c r="B81" s="24"/>
      <c r="C81" s="4">
        <v>45749</v>
      </c>
      <c r="D81" s="18" t="s">
        <v>103</v>
      </c>
      <c r="E81" s="18" t="s">
        <v>29</v>
      </c>
      <c r="F81" s="17">
        <v>6</v>
      </c>
      <c r="G81" s="18" t="s">
        <v>23</v>
      </c>
      <c r="H81" s="17">
        <v>93.5</v>
      </c>
      <c r="I81" s="5">
        <v>169</v>
      </c>
      <c r="J81" s="21">
        <f t="shared" si="3"/>
        <v>0.80748663101604279</v>
      </c>
      <c r="K81" s="1">
        <v>2</v>
      </c>
      <c r="L81" s="24">
        <v>8.4</v>
      </c>
      <c r="M81" s="24"/>
      <c r="N81" s="21">
        <f t="shared" si="4"/>
        <v>-1</v>
      </c>
      <c r="P81" s="1">
        <v>6</v>
      </c>
      <c r="Q81" s="24">
        <v>16.900000000000006</v>
      </c>
      <c r="R81" s="24"/>
      <c r="S81" s="21">
        <f t="shared" si="5"/>
        <v>-1</v>
      </c>
    </row>
    <row r="82" spans="2:19" ht="11.4" customHeight="1" x14ac:dyDescent="0.2">
      <c r="B82" s="24"/>
      <c r="C82" s="4">
        <v>46100</v>
      </c>
      <c r="D82" s="18" t="s">
        <v>104</v>
      </c>
      <c r="E82" s="18" t="s">
        <v>29</v>
      </c>
      <c r="F82" s="17">
        <v>6</v>
      </c>
      <c r="G82" s="18" t="s">
        <v>23</v>
      </c>
      <c r="H82" s="17">
        <v>246.11</v>
      </c>
      <c r="I82" s="5">
        <v>369.2</v>
      </c>
      <c r="J82" s="21">
        <f t="shared" si="3"/>
        <v>0.50014221283166049</v>
      </c>
      <c r="K82" s="1">
        <v>2</v>
      </c>
      <c r="L82" s="24">
        <v>18.399999999999999</v>
      </c>
      <c r="M82" s="24"/>
      <c r="N82" s="21">
        <f t="shared" si="4"/>
        <v>-1</v>
      </c>
      <c r="P82" s="1">
        <v>6</v>
      </c>
      <c r="Q82" s="24">
        <v>36.920000000000016</v>
      </c>
      <c r="R82" s="24"/>
      <c r="S82" s="21">
        <f t="shared" si="5"/>
        <v>-1</v>
      </c>
    </row>
    <row r="83" spans="2:19" ht="11.4" customHeight="1" x14ac:dyDescent="0.2">
      <c r="B83" s="24"/>
      <c r="C83" s="4">
        <v>45737</v>
      </c>
      <c r="D83" s="18" t="s">
        <v>105</v>
      </c>
      <c r="E83" s="18" t="s">
        <v>29</v>
      </c>
      <c r="F83" s="17">
        <v>6</v>
      </c>
      <c r="G83" s="18" t="s">
        <v>23</v>
      </c>
      <c r="H83" s="17">
        <v>95.84</v>
      </c>
      <c r="I83" s="5">
        <v>164</v>
      </c>
      <c r="J83" s="21">
        <f t="shared" si="3"/>
        <v>0.71118530884808007</v>
      </c>
      <c r="K83" s="1">
        <v>2</v>
      </c>
      <c r="L83" s="24">
        <v>8.1999999999999993</v>
      </c>
      <c r="M83" s="24"/>
      <c r="N83" s="21">
        <f t="shared" si="4"/>
        <v>-1</v>
      </c>
      <c r="P83" s="1">
        <v>6</v>
      </c>
      <c r="Q83" s="24">
        <v>16.400000000000006</v>
      </c>
      <c r="R83" s="24"/>
      <c r="S83" s="21">
        <f t="shared" si="5"/>
        <v>-1</v>
      </c>
    </row>
    <row r="84" spans="2:19" ht="11.4" customHeight="1" x14ac:dyDescent="0.2">
      <c r="B84" s="24"/>
      <c r="C84" s="4">
        <v>45733</v>
      </c>
      <c r="D84" s="18" t="s">
        <v>106</v>
      </c>
      <c r="E84" s="18" t="s">
        <v>29</v>
      </c>
      <c r="F84" s="17">
        <v>6</v>
      </c>
      <c r="G84" s="18" t="s">
        <v>23</v>
      </c>
      <c r="H84" s="17">
        <v>127.72</v>
      </c>
      <c r="I84" s="5">
        <v>219</v>
      </c>
      <c r="J84" s="21">
        <f t="shared" si="3"/>
        <v>0.7146883808330724</v>
      </c>
      <c r="K84" s="1">
        <v>2</v>
      </c>
      <c r="L84" s="24">
        <v>10.9</v>
      </c>
      <c r="M84" s="24"/>
      <c r="N84" s="21">
        <f t="shared" si="4"/>
        <v>-1</v>
      </c>
      <c r="P84" s="1">
        <v>6</v>
      </c>
      <c r="Q84" s="24">
        <v>21.900000000000006</v>
      </c>
      <c r="R84" s="24"/>
      <c r="S84" s="21">
        <f t="shared" si="5"/>
        <v>-1</v>
      </c>
    </row>
    <row r="85" spans="2:19" ht="11.4" customHeight="1" x14ac:dyDescent="0.2">
      <c r="B85" s="24"/>
      <c r="C85" s="4">
        <v>46227</v>
      </c>
      <c r="D85" s="18" t="s">
        <v>107</v>
      </c>
      <c r="E85" s="18" t="s">
        <v>29</v>
      </c>
      <c r="F85" s="17">
        <v>6</v>
      </c>
      <c r="G85" s="18" t="s">
        <v>23</v>
      </c>
      <c r="H85" s="17">
        <v>275.94</v>
      </c>
      <c r="I85" s="5">
        <v>439</v>
      </c>
      <c r="J85" s="21">
        <f t="shared" si="3"/>
        <v>0.59092556352830328</v>
      </c>
      <c r="K85" s="1">
        <v>2</v>
      </c>
      <c r="L85" s="24">
        <v>21.9</v>
      </c>
      <c r="M85" s="24"/>
      <c r="N85" s="21">
        <f t="shared" si="4"/>
        <v>-1</v>
      </c>
      <c r="P85" s="1">
        <v>6</v>
      </c>
      <c r="Q85" s="24">
        <v>43.899999999999977</v>
      </c>
      <c r="R85" s="24"/>
      <c r="S85" s="21">
        <f t="shared" si="5"/>
        <v>-1</v>
      </c>
    </row>
    <row r="86" spans="2:19" ht="11.4" customHeight="1" x14ac:dyDescent="0.2">
      <c r="B86" s="24"/>
      <c r="C86" s="4">
        <v>45745</v>
      </c>
      <c r="D86" s="18" t="s">
        <v>108</v>
      </c>
      <c r="E86" s="18" t="s">
        <v>29</v>
      </c>
      <c r="F86" s="17">
        <v>6</v>
      </c>
      <c r="G86" s="18" t="s">
        <v>23</v>
      </c>
      <c r="H86" s="17">
        <v>98.79</v>
      </c>
      <c r="I86" s="5">
        <v>169</v>
      </c>
      <c r="J86" s="21">
        <f t="shared" si="3"/>
        <v>0.71069946350845214</v>
      </c>
      <c r="K86" s="1">
        <v>2</v>
      </c>
      <c r="L86" s="24">
        <v>8.4</v>
      </c>
      <c r="M86" s="24"/>
      <c r="N86" s="21">
        <f t="shared" si="4"/>
        <v>-1</v>
      </c>
      <c r="P86" s="1">
        <v>6</v>
      </c>
      <c r="Q86" s="24">
        <v>16.900000000000006</v>
      </c>
      <c r="R86" s="24"/>
      <c r="S86" s="21">
        <f t="shared" si="5"/>
        <v>-1</v>
      </c>
    </row>
    <row r="87" spans="2:19" ht="11.4" customHeight="1" x14ac:dyDescent="0.2">
      <c r="B87" s="24"/>
      <c r="C87" s="4">
        <v>45742</v>
      </c>
      <c r="D87" s="18" t="s">
        <v>109</v>
      </c>
      <c r="E87" s="18" t="s">
        <v>29</v>
      </c>
      <c r="F87" s="17">
        <v>6</v>
      </c>
      <c r="G87" s="18" t="s">
        <v>23</v>
      </c>
      <c r="H87" s="17">
        <v>126.49</v>
      </c>
      <c r="I87" s="5">
        <v>219</v>
      </c>
      <c r="J87" s="21">
        <f t="shared" si="3"/>
        <v>0.73136216301683932</v>
      </c>
      <c r="K87" s="1">
        <v>2</v>
      </c>
      <c r="L87" s="24">
        <v>10.9</v>
      </c>
      <c r="M87" s="24"/>
      <c r="N87" s="21">
        <f t="shared" si="4"/>
        <v>-1</v>
      </c>
      <c r="P87" s="1">
        <v>6</v>
      </c>
      <c r="Q87" s="24">
        <v>21.900000000000006</v>
      </c>
      <c r="R87" s="24"/>
      <c r="S87" s="21">
        <f t="shared" si="5"/>
        <v>-1</v>
      </c>
    </row>
    <row r="88" spans="2:19" ht="11.4" customHeight="1" x14ac:dyDescent="0.2">
      <c r="B88" s="24"/>
      <c r="C88" s="4">
        <v>46088</v>
      </c>
      <c r="D88" s="18" t="s">
        <v>110</v>
      </c>
      <c r="E88" s="18" t="s">
        <v>29</v>
      </c>
      <c r="F88" s="17">
        <v>6</v>
      </c>
      <c r="G88" s="18" t="s">
        <v>23</v>
      </c>
      <c r="H88" s="17">
        <v>165.24</v>
      </c>
      <c r="I88" s="5">
        <v>247.9</v>
      </c>
      <c r="J88" s="21">
        <f t="shared" si="3"/>
        <v>0.50024207213749694</v>
      </c>
      <c r="K88" s="1">
        <v>2</v>
      </c>
      <c r="L88" s="24">
        <v>12.3</v>
      </c>
      <c r="M88" s="24"/>
      <c r="N88" s="21">
        <f t="shared" si="4"/>
        <v>-1</v>
      </c>
      <c r="P88" s="1">
        <v>6</v>
      </c>
      <c r="Q88" s="24">
        <v>24.789999999999992</v>
      </c>
      <c r="R88" s="24"/>
      <c r="S88" s="21">
        <f t="shared" si="5"/>
        <v>-1</v>
      </c>
    </row>
    <row r="89" spans="2:19" ht="11.4" customHeight="1" x14ac:dyDescent="0.2">
      <c r="B89" s="24"/>
      <c r="C89" s="4">
        <v>46083</v>
      </c>
      <c r="D89" s="18" t="s">
        <v>111</v>
      </c>
      <c r="E89" s="18" t="s">
        <v>29</v>
      </c>
      <c r="F89" s="17">
        <v>6</v>
      </c>
      <c r="G89" s="18" t="s">
        <v>23</v>
      </c>
      <c r="H89" s="17">
        <v>376.19</v>
      </c>
      <c r="I89" s="5">
        <v>564.20000000000005</v>
      </c>
      <c r="J89" s="21">
        <f t="shared" si="3"/>
        <v>0.49977405034689931</v>
      </c>
      <c r="K89" s="1">
        <v>2</v>
      </c>
      <c r="L89" s="24">
        <v>28.2</v>
      </c>
      <c r="M89" s="24"/>
      <c r="N89" s="21">
        <f t="shared" si="4"/>
        <v>-1</v>
      </c>
      <c r="P89" s="1">
        <v>6</v>
      </c>
      <c r="Q89" s="24">
        <v>56.420000000000016</v>
      </c>
      <c r="R89" s="24"/>
      <c r="S89" s="21">
        <f t="shared" si="5"/>
        <v>-1</v>
      </c>
    </row>
    <row r="90" spans="2:19" ht="11.4" customHeight="1" x14ac:dyDescent="0.2">
      <c r="B90" s="24"/>
      <c r="C90" s="4">
        <v>46085</v>
      </c>
      <c r="D90" s="18" t="s">
        <v>112</v>
      </c>
      <c r="E90" s="18" t="s">
        <v>29</v>
      </c>
      <c r="F90" s="17">
        <v>6</v>
      </c>
      <c r="G90" s="18" t="s">
        <v>23</v>
      </c>
      <c r="H90" s="17">
        <v>270.70999999999998</v>
      </c>
      <c r="I90" s="5">
        <v>406.1</v>
      </c>
      <c r="J90" s="21">
        <f t="shared" si="3"/>
        <v>0.50012928964574654</v>
      </c>
      <c r="K90" s="1">
        <v>2</v>
      </c>
      <c r="L90" s="24">
        <v>20.3</v>
      </c>
      <c r="M90" s="24"/>
      <c r="N90" s="21">
        <f t="shared" si="4"/>
        <v>-1</v>
      </c>
      <c r="P90" s="1">
        <v>6</v>
      </c>
      <c r="Q90" s="24">
        <v>40.610000000000014</v>
      </c>
      <c r="R90" s="24"/>
      <c r="S90" s="21">
        <f t="shared" si="5"/>
        <v>-1</v>
      </c>
    </row>
    <row r="91" spans="2:19" ht="11.4" customHeight="1" x14ac:dyDescent="0.2">
      <c r="B91" s="24"/>
      <c r="C91" s="4">
        <v>45730</v>
      </c>
      <c r="D91" s="18" t="s">
        <v>113</v>
      </c>
      <c r="E91" s="18" t="s">
        <v>29</v>
      </c>
      <c r="F91" s="17">
        <v>6</v>
      </c>
      <c r="G91" s="18" t="s">
        <v>23</v>
      </c>
      <c r="H91" s="17">
        <v>132.76</v>
      </c>
      <c r="I91" s="5">
        <v>219</v>
      </c>
      <c r="J91" s="21">
        <f t="shared" si="3"/>
        <v>0.64959325097921072</v>
      </c>
      <c r="K91" s="1">
        <v>2</v>
      </c>
      <c r="L91" s="24">
        <v>10.9</v>
      </c>
      <c r="M91" s="24"/>
      <c r="N91" s="21">
        <f t="shared" si="4"/>
        <v>-1</v>
      </c>
      <c r="P91" s="1">
        <v>6</v>
      </c>
      <c r="Q91" s="24">
        <v>21.900000000000006</v>
      </c>
      <c r="R91" s="24"/>
      <c r="S91" s="21">
        <f t="shared" si="5"/>
        <v>-1</v>
      </c>
    </row>
    <row r="92" spans="2:19" ht="11.4" customHeight="1" x14ac:dyDescent="0.2">
      <c r="B92" s="24"/>
      <c r="C92" s="4">
        <v>39768</v>
      </c>
      <c r="D92" s="18" t="s">
        <v>114</v>
      </c>
      <c r="E92" s="18" t="s">
        <v>29</v>
      </c>
      <c r="F92" s="17">
        <v>1</v>
      </c>
      <c r="G92" s="18" t="s">
        <v>23</v>
      </c>
      <c r="H92" s="17">
        <v>544.5</v>
      </c>
      <c r="I92" s="5">
        <v>742.6</v>
      </c>
      <c r="J92" s="21">
        <f t="shared" si="3"/>
        <v>0.36382001836547295</v>
      </c>
      <c r="K92" s="1">
        <v>2</v>
      </c>
      <c r="L92" s="24">
        <v>37.1</v>
      </c>
      <c r="M92" s="24"/>
      <c r="N92" s="21">
        <f t="shared" si="4"/>
        <v>-1</v>
      </c>
      <c r="P92" s="1">
        <v>6</v>
      </c>
      <c r="Q92" s="24">
        <v>74.259999999999991</v>
      </c>
      <c r="R92" s="24"/>
      <c r="S92" s="21">
        <f t="shared" si="5"/>
        <v>-1</v>
      </c>
    </row>
    <row r="93" spans="2:19" ht="11.4" customHeight="1" x14ac:dyDescent="0.2">
      <c r="B93" s="24"/>
      <c r="C93" s="4">
        <v>32101</v>
      </c>
      <c r="D93" s="18" t="s">
        <v>115</v>
      </c>
      <c r="E93" s="18" t="s">
        <v>29</v>
      </c>
      <c r="F93" s="17">
        <v>1</v>
      </c>
      <c r="G93" s="18" t="s">
        <v>23</v>
      </c>
      <c r="H93" s="17">
        <v>62.3</v>
      </c>
      <c r="I93" s="5">
        <v>78.8</v>
      </c>
      <c r="J93" s="21">
        <f t="shared" si="3"/>
        <v>0.2648475120385233</v>
      </c>
      <c r="K93" s="1">
        <v>2</v>
      </c>
      <c r="L93" s="24">
        <v>3.9</v>
      </c>
      <c r="M93" s="24"/>
      <c r="N93" s="21">
        <f t="shared" si="4"/>
        <v>-1</v>
      </c>
      <c r="P93" s="1">
        <v>6</v>
      </c>
      <c r="Q93" s="24">
        <v>7.8799999999999955</v>
      </c>
      <c r="R93" s="24"/>
      <c r="S93" s="21">
        <f t="shared" si="5"/>
        <v>-1</v>
      </c>
    </row>
    <row r="94" spans="2:19" ht="11.4" customHeight="1" x14ac:dyDescent="0.2">
      <c r="B94" s="24"/>
      <c r="C94" s="4">
        <v>41729</v>
      </c>
      <c r="D94" s="18" t="s">
        <v>116</v>
      </c>
      <c r="E94" s="18" t="s">
        <v>29</v>
      </c>
      <c r="F94" s="17">
        <v>1</v>
      </c>
      <c r="G94" s="18" t="s">
        <v>23</v>
      </c>
      <c r="H94" s="17">
        <v>733.98</v>
      </c>
      <c r="I94" s="5">
        <v>990.9</v>
      </c>
      <c r="J94" s="21">
        <f t="shared" si="3"/>
        <v>0.35003678574348068</v>
      </c>
      <c r="K94" s="1">
        <v>2</v>
      </c>
      <c r="L94" s="24">
        <v>49.5</v>
      </c>
      <c r="M94" s="24"/>
      <c r="N94" s="21">
        <f t="shared" si="4"/>
        <v>-1</v>
      </c>
      <c r="P94" s="1">
        <v>6</v>
      </c>
      <c r="Q94" s="24">
        <v>99.090000000000032</v>
      </c>
      <c r="R94" s="24"/>
      <c r="S94" s="21">
        <f t="shared" si="5"/>
        <v>-1</v>
      </c>
    </row>
    <row r="95" spans="2:19" ht="11.4" customHeight="1" x14ac:dyDescent="0.2">
      <c r="B95" s="24"/>
      <c r="C95" s="4">
        <v>39718</v>
      </c>
      <c r="D95" s="18" t="s">
        <v>117</v>
      </c>
      <c r="E95" s="18" t="s">
        <v>29</v>
      </c>
      <c r="F95" s="17">
        <v>1</v>
      </c>
      <c r="G95" s="18" t="s">
        <v>23</v>
      </c>
      <c r="H95" s="19">
        <v>1195.9000000000001</v>
      </c>
      <c r="I95" s="6">
        <v>1639</v>
      </c>
      <c r="J95" s="21">
        <f t="shared" si="3"/>
        <v>0.37051592942553713</v>
      </c>
      <c r="K95" s="1">
        <v>2</v>
      </c>
      <c r="L95" s="24">
        <v>81.900000000000006</v>
      </c>
      <c r="M95" s="24"/>
      <c r="N95" s="21">
        <f t="shared" si="4"/>
        <v>-1</v>
      </c>
      <c r="P95" s="1">
        <v>6</v>
      </c>
      <c r="Q95" s="24">
        <v>163.89999999999986</v>
      </c>
      <c r="R95" s="24"/>
      <c r="S95" s="21">
        <f t="shared" si="5"/>
        <v>-1</v>
      </c>
    </row>
    <row r="96" spans="2:19" ht="11.4" customHeight="1" x14ac:dyDescent="0.2">
      <c r="B96" s="24"/>
      <c r="C96" s="4">
        <v>5109</v>
      </c>
      <c r="D96" s="18" t="s">
        <v>118</v>
      </c>
      <c r="E96" s="18" t="s">
        <v>29</v>
      </c>
      <c r="F96" s="17">
        <v>1</v>
      </c>
      <c r="G96" s="18" t="s">
        <v>23</v>
      </c>
      <c r="H96" s="17">
        <v>149.9</v>
      </c>
      <c r="I96" s="5">
        <v>152.4</v>
      </c>
      <c r="J96" s="21">
        <f t="shared" si="3"/>
        <v>1.6677785190126752E-2</v>
      </c>
      <c r="K96" s="1">
        <v>2</v>
      </c>
      <c r="L96" s="24">
        <v>7.6</v>
      </c>
      <c r="M96" s="24"/>
      <c r="N96" s="21">
        <f t="shared" si="4"/>
        <v>-1</v>
      </c>
      <c r="P96" s="1">
        <v>6</v>
      </c>
      <c r="Q96" s="24">
        <v>15.240000000000009</v>
      </c>
      <c r="R96" s="24"/>
      <c r="S96" s="21">
        <f t="shared" si="5"/>
        <v>-1</v>
      </c>
    </row>
    <row r="97" spans="2:19" ht="11.4" customHeight="1" x14ac:dyDescent="0.2">
      <c r="B97" s="24"/>
      <c r="C97" s="4">
        <v>9592</v>
      </c>
      <c r="D97" s="18" t="s">
        <v>119</v>
      </c>
      <c r="E97" s="18" t="s">
        <v>29</v>
      </c>
      <c r="F97" s="17">
        <v>6</v>
      </c>
      <c r="G97" s="18" t="s">
        <v>23</v>
      </c>
      <c r="H97" s="17">
        <v>86.3</v>
      </c>
      <c r="I97" s="5">
        <v>93.5</v>
      </c>
      <c r="J97" s="21">
        <f t="shared" si="3"/>
        <v>8.3429895712630389E-2</v>
      </c>
      <c r="K97" s="1">
        <v>2</v>
      </c>
      <c r="L97" s="24">
        <v>4.5999999999999996</v>
      </c>
      <c r="M97" s="24"/>
      <c r="N97" s="21">
        <f t="shared" si="4"/>
        <v>-1</v>
      </c>
      <c r="P97" s="1">
        <v>6</v>
      </c>
      <c r="Q97" s="24">
        <v>9.3499999999999943</v>
      </c>
      <c r="R97" s="24"/>
      <c r="S97" s="21">
        <f t="shared" si="5"/>
        <v>-1</v>
      </c>
    </row>
    <row r="98" spans="2:19" ht="11.4" customHeight="1" x14ac:dyDescent="0.2">
      <c r="B98" s="24"/>
      <c r="C98" s="4">
        <v>7718</v>
      </c>
      <c r="D98" s="18" t="s">
        <v>120</v>
      </c>
      <c r="E98" s="18" t="s">
        <v>29</v>
      </c>
      <c r="F98" s="17">
        <v>1</v>
      </c>
      <c r="G98" s="18" t="s">
        <v>23</v>
      </c>
      <c r="H98" s="17">
        <v>98.9</v>
      </c>
      <c r="I98" s="5">
        <v>114.5</v>
      </c>
      <c r="J98" s="21">
        <f t="shared" si="3"/>
        <v>0.15773508594539934</v>
      </c>
      <c r="K98" s="1">
        <v>2</v>
      </c>
      <c r="L98" s="24">
        <v>5.7</v>
      </c>
      <c r="M98" s="24"/>
      <c r="N98" s="21">
        <f t="shared" si="4"/>
        <v>-1</v>
      </c>
      <c r="P98" s="1">
        <v>6</v>
      </c>
      <c r="Q98" s="24">
        <v>11.450000000000003</v>
      </c>
      <c r="R98" s="24"/>
      <c r="S98" s="21">
        <f t="shared" si="5"/>
        <v>-1</v>
      </c>
    </row>
    <row r="99" spans="2:19" ht="11.4" customHeight="1" x14ac:dyDescent="0.2">
      <c r="B99" s="24"/>
      <c r="C99" s="4">
        <v>35506</v>
      </c>
      <c r="D99" s="18" t="s">
        <v>121</v>
      </c>
      <c r="E99" s="18" t="s">
        <v>29</v>
      </c>
      <c r="F99" s="17">
        <v>6</v>
      </c>
      <c r="G99" s="18" t="s">
        <v>23</v>
      </c>
      <c r="H99" s="17">
        <v>156.80000000000001</v>
      </c>
      <c r="I99" s="5">
        <v>149.9</v>
      </c>
      <c r="J99" s="21">
        <f t="shared" si="3"/>
        <v>-4.4005102040816362E-2</v>
      </c>
      <c r="K99" s="1">
        <v>2</v>
      </c>
      <c r="L99" s="24">
        <v>7.4</v>
      </c>
      <c r="M99" s="24"/>
      <c r="N99" s="21">
        <f t="shared" si="4"/>
        <v>-1</v>
      </c>
      <c r="P99" s="1">
        <v>6</v>
      </c>
      <c r="Q99" s="24">
        <v>14.990000000000009</v>
      </c>
      <c r="R99" s="24"/>
      <c r="S99" s="21">
        <f t="shared" si="5"/>
        <v>-1</v>
      </c>
    </row>
    <row r="100" spans="2:19" ht="11.4" customHeight="1" x14ac:dyDescent="0.2">
      <c r="B100" s="24"/>
      <c r="C100" s="4">
        <v>3581</v>
      </c>
      <c r="D100" s="18" t="s">
        <v>122</v>
      </c>
      <c r="E100" s="18" t="s">
        <v>29</v>
      </c>
      <c r="F100" s="17">
        <v>1</v>
      </c>
      <c r="G100" s="18" t="s">
        <v>23</v>
      </c>
      <c r="H100" s="17">
        <v>82.5</v>
      </c>
      <c r="I100" s="5">
        <v>82.5</v>
      </c>
      <c r="J100" s="21">
        <f t="shared" si="3"/>
        <v>0</v>
      </c>
      <c r="K100" s="1">
        <v>2</v>
      </c>
      <c r="L100" s="24">
        <v>4.0999999999999996</v>
      </c>
      <c r="M100" s="24"/>
      <c r="N100" s="21">
        <f t="shared" si="4"/>
        <v>-1</v>
      </c>
      <c r="P100" s="1">
        <v>6</v>
      </c>
      <c r="Q100" s="24">
        <v>8.25</v>
      </c>
      <c r="R100" s="24"/>
      <c r="S100" s="21">
        <f t="shared" si="5"/>
        <v>-1</v>
      </c>
    </row>
    <row r="101" spans="2:19" ht="11.4" customHeight="1" x14ac:dyDescent="0.2">
      <c r="B101" s="24"/>
      <c r="C101" s="4">
        <v>9918</v>
      </c>
      <c r="D101" s="18" t="s">
        <v>123</v>
      </c>
      <c r="E101" s="18" t="s">
        <v>29</v>
      </c>
      <c r="F101" s="17">
        <v>12</v>
      </c>
      <c r="G101" s="18" t="s">
        <v>23</v>
      </c>
      <c r="H101" s="17">
        <v>102.9</v>
      </c>
      <c r="I101" s="5">
        <v>116.5</v>
      </c>
      <c r="J101" s="21">
        <f t="shared" si="3"/>
        <v>0.13216715257531578</v>
      </c>
      <c r="K101" s="1">
        <v>2</v>
      </c>
      <c r="L101" s="24">
        <v>5.8</v>
      </c>
      <c r="M101" s="24"/>
      <c r="N101" s="21">
        <f t="shared" si="4"/>
        <v>-1</v>
      </c>
      <c r="P101" s="1">
        <v>6</v>
      </c>
      <c r="Q101" s="24">
        <v>11.649999999999991</v>
      </c>
      <c r="R101" s="24"/>
      <c r="S101" s="21">
        <f t="shared" si="5"/>
        <v>-1</v>
      </c>
    </row>
    <row r="102" spans="2:19" ht="11.4" customHeight="1" x14ac:dyDescent="0.2">
      <c r="B102" s="24"/>
      <c r="C102" s="4">
        <v>23847</v>
      </c>
      <c r="D102" s="18" t="s">
        <v>124</v>
      </c>
      <c r="E102" s="18" t="s">
        <v>29</v>
      </c>
      <c r="F102" s="17">
        <v>1</v>
      </c>
      <c r="G102" s="18" t="s">
        <v>23</v>
      </c>
      <c r="H102" s="17">
        <v>109.5</v>
      </c>
      <c r="I102" s="5">
        <v>111.4</v>
      </c>
      <c r="J102" s="21">
        <f t="shared" si="3"/>
        <v>1.7351598173516034E-2</v>
      </c>
      <c r="K102" s="1">
        <v>2</v>
      </c>
      <c r="L102" s="24">
        <v>5.5</v>
      </c>
      <c r="M102" s="24"/>
      <c r="N102" s="21">
        <f t="shared" si="4"/>
        <v>-1</v>
      </c>
      <c r="P102" s="1">
        <v>6</v>
      </c>
      <c r="Q102" s="24">
        <v>11.14</v>
      </c>
      <c r="R102" s="24"/>
      <c r="S102" s="21">
        <f t="shared" si="5"/>
        <v>-1</v>
      </c>
    </row>
    <row r="103" spans="2:19" ht="11.4" customHeight="1" x14ac:dyDescent="0.2">
      <c r="B103" s="24"/>
      <c r="C103" s="4">
        <v>40656</v>
      </c>
      <c r="D103" s="18" t="s">
        <v>125</v>
      </c>
      <c r="E103" s="18" t="s">
        <v>29</v>
      </c>
      <c r="F103" s="18"/>
      <c r="G103" s="18" t="s">
        <v>23</v>
      </c>
      <c r="H103" s="17">
        <v>268.44</v>
      </c>
      <c r="I103" s="5">
        <v>362.4</v>
      </c>
      <c r="J103" s="21">
        <f t="shared" si="3"/>
        <v>0.35002235136343307</v>
      </c>
      <c r="K103" s="1">
        <v>2</v>
      </c>
      <c r="L103" s="24">
        <v>18.100000000000001</v>
      </c>
      <c r="M103" s="24"/>
      <c r="N103" s="21">
        <f t="shared" si="4"/>
        <v>-1</v>
      </c>
      <c r="P103" s="1">
        <v>6</v>
      </c>
      <c r="Q103" s="24">
        <v>36.240000000000009</v>
      </c>
      <c r="R103" s="24"/>
      <c r="S103" s="21">
        <f t="shared" si="5"/>
        <v>-1</v>
      </c>
    </row>
    <row r="104" spans="2:19" ht="11.4" customHeight="1" x14ac:dyDescent="0.2">
      <c r="B104" s="24"/>
      <c r="C104" s="4">
        <v>40666</v>
      </c>
      <c r="D104" s="18" t="s">
        <v>126</v>
      </c>
      <c r="E104" s="18" t="s">
        <v>29</v>
      </c>
      <c r="F104" s="18"/>
      <c r="G104" s="18" t="s">
        <v>23</v>
      </c>
      <c r="H104" s="17">
        <v>505.68</v>
      </c>
      <c r="I104" s="5">
        <v>507</v>
      </c>
      <c r="J104" s="21">
        <f t="shared" si="3"/>
        <v>2.6103464641670485E-3</v>
      </c>
      <c r="K104" s="1">
        <v>2</v>
      </c>
      <c r="L104" s="24">
        <v>25.3</v>
      </c>
      <c r="M104" s="24"/>
      <c r="N104" s="21">
        <f t="shared" si="4"/>
        <v>-1</v>
      </c>
      <c r="P104" s="1">
        <v>6</v>
      </c>
      <c r="Q104" s="24">
        <v>50.699999999999989</v>
      </c>
      <c r="R104" s="24"/>
      <c r="S104" s="21">
        <f t="shared" si="5"/>
        <v>-1</v>
      </c>
    </row>
    <row r="105" spans="2:19" ht="11.4" customHeight="1" x14ac:dyDescent="0.2">
      <c r="B105" s="24"/>
      <c r="C105" s="4">
        <v>35654</v>
      </c>
      <c r="D105" s="18" t="s">
        <v>127</v>
      </c>
      <c r="E105" s="18" t="s">
        <v>29</v>
      </c>
      <c r="F105" s="17">
        <v>12</v>
      </c>
      <c r="G105" s="18" t="s">
        <v>23</v>
      </c>
      <c r="H105" s="17">
        <v>94</v>
      </c>
      <c r="I105" s="5">
        <v>112.2</v>
      </c>
      <c r="J105" s="21">
        <f t="shared" si="3"/>
        <v>0.19361702127659577</v>
      </c>
      <c r="K105" s="1">
        <v>2</v>
      </c>
      <c r="L105" s="24">
        <v>5.6</v>
      </c>
      <c r="M105" s="24"/>
      <c r="N105" s="21">
        <f t="shared" si="4"/>
        <v>-1</v>
      </c>
      <c r="P105" s="1">
        <v>6</v>
      </c>
      <c r="Q105" s="24">
        <v>11.219999999999999</v>
      </c>
      <c r="R105" s="24"/>
      <c r="S105" s="21">
        <f t="shared" si="5"/>
        <v>-1</v>
      </c>
    </row>
    <row r="106" spans="2:19" ht="11.4" customHeight="1" x14ac:dyDescent="0.2">
      <c r="B106" s="24"/>
      <c r="C106" s="4">
        <v>45750</v>
      </c>
      <c r="D106" s="18" t="s">
        <v>128</v>
      </c>
      <c r="E106" s="18" t="s">
        <v>29</v>
      </c>
      <c r="F106" s="17">
        <v>6</v>
      </c>
      <c r="G106" s="18" t="s">
        <v>23</v>
      </c>
      <c r="H106" s="17">
        <v>159.46</v>
      </c>
      <c r="I106" s="5">
        <v>269</v>
      </c>
      <c r="J106" s="21">
        <f t="shared" si="3"/>
        <v>0.68694343409005387</v>
      </c>
      <c r="K106" s="1">
        <v>2</v>
      </c>
      <c r="L106" s="24">
        <v>13.4</v>
      </c>
      <c r="M106" s="24"/>
      <c r="N106" s="21">
        <f t="shared" si="4"/>
        <v>-1</v>
      </c>
      <c r="P106" s="1">
        <v>6</v>
      </c>
      <c r="Q106" s="24">
        <v>26.900000000000006</v>
      </c>
      <c r="R106" s="24"/>
      <c r="S106" s="21">
        <f t="shared" si="5"/>
        <v>-1</v>
      </c>
    </row>
    <row r="107" spans="2:19" ht="11.4" customHeight="1" x14ac:dyDescent="0.2">
      <c r="B107" s="24"/>
      <c r="C107" s="4">
        <v>45762</v>
      </c>
      <c r="D107" s="18" t="s">
        <v>129</v>
      </c>
      <c r="E107" s="18" t="s">
        <v>29</v>
      </c>
      <c r="F107" s="17">
        <v>6</v>
      </c>
      <c r="G107" s="18" t="s">
        <v>23</v>
      </c>
      <c r="H107" s="17">
        <v>82.73</v>
      </c>
      <c r="I107" s="5">
        <v>159</v>
      </c>
      <c r="J107" s="21">
        <f t="shared" si="3"/>
        <v>0.92191466215399487</v>
      </c>
      <c r="K107" s="1">
        <v>2</v>
      </c>
      <c r="L107" s="24">
        <v>7.9</v>
      </c>
      <c r="M107" s="24"/>
      <c r="N107" s="21">
        <f t="shared" si="4"/>
        <v>-1</v>
      </c>
      <c r="P107" s="1">
        <v>6</v>
      </c>
      <c r="Q107" s="24">
        <v>15.900000000000006</v>
      </c>
      <c r="R107" s="24"/>
      <c r="S107" s="21">
        <f t="shared" si="5"/>
        <v>-1</v>
      </c>
    </row>
    <row r="108" spans="2:19" ht="11.4" customHeight="1" x14ac:dyDescent="0.2">
      <c r="B108" s="24"/>
      <c r="C108" s="4">
        <v>45731</v>
      </c>
      <c r="D108" s="18" t="s">
        <v>130</v>
      </c>
      <c r="E108" s="18" t="s">
        <v>29</v>
      </c>
      <c r="F108" s="17">
        <v>12</v>
      </c>
      <c r="G108" s="18" t="s">
        <v>23</v>
      </c>
      <c r="H108" s="17">
        <v>85.55</v>
      </c>
      <c r="I108" s="5">
        <v>144</v>
      </c>
      <c r="J108" s="21">
        <f t="shared" si="3"/>
        <v>0.68322618351841036</v>
      </c>
      <c r="K108" s="1">
        <v>2</v>
      </c>
      <c r="L108" s="24">
        <v>7.2</v>
      </c>
      <c r="M108" s="24"/>
      <c r="N108" s="21">
        <f t="shared" si="4"/>
        <v>-1</v>
      </c>
      <c r="P108" s="1">
        <v>6</v>
      </c>
      <c r="Q108" s="24">
        <v>14.400000000000006</v>
      </c>
      <c r="R108" s="24"/>
      <c r="S108" s="21">
        <f t="shared" si="5"/>
        <v>-1</v>
      </c>
    </row>
    <row r="109" spans="2:19" ht="11.4" customHeight="1" x14ac:dyDescent="0.2">
      <c r="B109" s="24"/>
      <c r="C109" s="4">
        <v>46101</v>
      </c>
      <c r="D109" s="18" t="s">
        <v>131</v>
      </c>
      <c r="E109" s="18" t="s">
        <v>29</v>
      </c>
      <c r="F109" s="17">
        <v>6</v>
      </c>
      <c r="G109" s="18" t="s">
        <v>23</v>
      </c>
      <c r="H109" s="17">
        <v>296.35000000000002</v>
      </c>
      <c r="I109" s="5">
        <v>380.9</v>
      </c>
      <c r="J109" s="21">
        <f t="shared" si="3"/>
        <v>0.28530453855238719</v>
      </c>
      <c r="K109" s="1">
        <v>2</v>
      </c>
      <c r="L109" s="24">
        <v>19</v>
      </c>
      <c r="M109" s="24"/>
      <c r="N109" s="21">
        <f t="shared" si="4"/>
        <v>-1</v>
      </c>
      <c r="P109" s="1">
        <v>6</v>
      </c>
      <c r="Q109" s="24">
        <v>38.089999999999975</v>
      </c>
      <c r="R109" s="24"/>
      <c r="S109" s="21">
        <f t="shared" si="5"/>
        <v>-1</v>
      </c>
    </row>
    <row r="110" spans="2:19" ht="11.4" customHeight="1" x14ac:dyDescent="0.2">
      <c r="B110" s="24"/>
      <c r="C110" s="4">
        <v>39403</v>
      </c>
      <c r="D110" s="18" t="s">
        <v>132</v>
      </c>
      <c r="E110" s="18" t="s">
        <v>29</v>
      </c>
      <c r="F110" s="17">
        <v>1</v>
      </c>
      <c r="G110" s="18" t="s">
        <v>23</v>
      </c>
      <c r="H110" s="17">
        <v>367.5</v>
      </c>
      <c r="I110" s="5">
        <v>405.9</v>
      </c>
      <c r="J110" s="21">
        <f t="shared" si="3"/>
        <v>0.10448979591836728</v>
      </c>
      <c r="K110" s="1">
        <v>2</v>
      </c>
      <c r="L110" s="24">
        <v>20.2</v>
      </c>
      <c r="M110" s="24"/>
      <c r="N110" s="21">
        <f t="shared" si="4"/>
        <v>-1</v>
      </c>
      <c r="P110" s="1">
        <v>6</v>
      </c>
      <c r="Q110" s="24">
        <v>40.589999999999975</v>
      </c>
      <c r="R110" s="24"/>
      <c r="S110" s="21">
        <f t="shared" si="5"/>
        <v>-1</v>
      </c>
    </row>
    <row r="111" spans="2:19" ht="11.4" customHeight="1" x14ac:dyDescent="0.2">
      <c r="B111" s="24"/>
      <c r="C111" s="4">
        <v>41747</v>
      </c>
      <c r="D111" s="18" t="s">
        <v>133</v>
      </c>
      <c r="E111" s="18" t="s">
        <v>29</v>
      </c>
      <c r="F111" s="17">
        <v>1</v>
      </c>
      <c r="G111" s="18" t="s">
        <v>23</v>
      </c>
      <c r="H111" s="17">
        <v>655.8</v>
      </c>
      <c r="I111" s="5">
        <v>852.5</v>
      </c>
      <c r="J111" s="21">
        <f t="shared" si="3"/>
        <v>0.2999390057944496</v>
      </c>
      <c r="K111" s="1">
        <v>2</v>
      </c>
      <c r="L111" s="24">
        <v>42.6</v>
      </c>
      <c r="M111" s="24"/>
      <c r="N111" s="21">
        <f t="shared" si="4"/>
        <v>-1</v>
      </c>
      <c r="P111" s="1">
        <v>6</v>
      </c>
      <c r="Q111" s="24">
        <v>85.25</v>
      </c>
      <c r="R111" s="24"/>
      <c r="S111" s="21">
        <f t="shared" si="5"/>
        <v>-1</v>
      </c>
    </row>
    <row r="112" spans="2:19" ht="11.4" customHeight="1" x14ac:dyDescent="0.2">
      <c r="B112" s="24"/>
      <c r="C112" s="4">
        <v>42795</v>
      </c>
      <c r="D112" s="18" t="s">
        <v>134</v>
      </c>
      <c r="E112" s="18" t="s">
        <v>29</v>
      </c>
      <c r="F112" s="17">
        <v>12</v>
      </c>
      <c r="G112" s="18" t="s">
        <v>23</v>
      </c>
      <c r="H112" s="17">
        <v>38.4</v>
      </c>
      <c r="I112" s="5">
        <v>67.5</v>
      </c>
      <c r="J112" s="21">
        <f t="shared" si="3"/>
        <v>0.75781250000000011</v>
      </c>
      <c r="K112" s="1">
        <v>2</v>
      </c>
      <c r="L112" s="24">
        <v>3.3</v>
      </c>
      <c r="M112" s="24"/>
      <c r="N112" s="21">
        <f t="shared" si="4"/>
        <v>-1</v>
      </c>
      <c r="P112" s="1">
        <v>6</v>
      </c>
      <c r="Q112" s="24">
        <v>6.75</v>
      </c>
      <c r="R112" s="24"/>
      <c r="S112" s="21">
        <f t="shared" si="5"/>
        <v>-1</v>
      </c>
    </row>
    <row r="113" spans="2:19" ht="11.4" customHeight="1" x14ac:dyDescent="0.2">
      <c r="B113" s="24"/>
      <c r="C113" s="4">
        <v>42794</v>
      </c>
      <c r="D113" s="18" t="s">
        <v>135</v>
      </c>
      <c r="E113" s="18" t="s">
        <v>29</v>
      </c>
      <c r="F113" s="17">
        <v>12</v>
      </c>
      <c r="G113" s="18" t="s">
        <v>23</v>
      </c>
      <c r="H113" s="17">
        <v>38.4</v>
      </c>
      <c r="I113" s="5">
        <v>67.5</v>
      </c>
      <c r="J113" s="21">
        <f t="shared" si="3"/>
        <v>0.75781250000000011</v>
      </c>
      <c r="K113" s="1">
        <v>2</v>
      </c>
      <c r="L113" s="24">
        <v>3.3</v>
      </c>
      <c r="M113" s="24"/>
      <c r="N113" s="21">
        <f t="shared" si="4"/>
        <v>-1</v>
      </c>
      <c r="P113" s="1">
        <v>6</v>
      </c>
      <c r="Q113" s="24">
        <v>6.75</v>
      </c>
      <c r="R113" s="24"/>
      <c r="S113" s="21">
        <f t="shared" si="5"/>
        <v>-1</v>
      </c>
    </row>
    <row r="114" spans="2:19" ht="11.4" customHeight="1" x14ac:dyDescent="0.2">
      <c r="B114" s="24"/>
      <c r="C114" s="4">
        <v>42793</v>
      </c>
      <c r="D114" s="18" t="s">
        <v>136</v>
      </c>
      <c r="E114" s="18" t="s">
        <v>29</v>
      </c>
      <c r="F114" s="17">
        <v>12</v>
      </c>
      <c r="G114" s="18" t="s">
        <v>23</v>
      </c>
      <c r="H114" s="17">
        <v>38.4</v>
      </c>
      <c r="I114" s="5">
        <v>67.5</v>
      </c>
      <c r="J114" s="21">
        <f t="shared" si="3"/>
        <v>0.75781250000000011</v>
      </c>
      <c r="K114" s="1">
        <v>2</v>
      </c>
      <c r="L114" s="24">
        <v>3.3</v>
      </c>
      <c r="M114" s="24"/>
      <c r="N114" s="21">
        <f t="shared" si="4"/>
        <v>-1</v>
      </c>
      <c r="P114" s="1">
        <v>6</v>
      </c>
      <c r="Q114" s="24">
        <v>6.75</v>
      </c>
      <c r="R114" s="24"/>
      <c r="S114" s="21">
        <f t="shared" si="5"/>
        <v>-1</v>
      </c>
    </row>
    <row r="115" spans="2:19" ht="11.4" customHeight="1" x14ac:dyDescent="0.2">
      <c r="B115" s="24"/>
      <c r="C115" s="4">
        <v>11557</v>
      </c>
      <c r="D115" s="18" t="s">
        <v>137</v>
      </c>
      <c r="E115" s="18" t="s">
        <v>29</v>
      </c>
      <c r="F115" s="17">
        <v>1</v>
      </c>
      <c r="G115" s="18" t="s">
        <v>23</v>
      </c>
      <c r="H115" s="17">
        <v>126.8</v>
      </c>
      <c r="I115" s="5">
        <v>139.9</v>
      </c>
      <c r="J115" s="21">
        <f t="shared" si="3"/>
        <v>0.10331230283911678</v>
      </c>
      <c r="K115" s="1">
        <v>2</v>
      </c>
      <c r="L115" s="24">
        <v>6.9</v>
      </c>
      <c r="M115" s="24"/>
      <c r="N115" s="21">
        <f t="shared" si="4"/>
        <v>-1</v>
      </c>
      <c r="P115" s="1">
        <v>6</v>
      </c>
      <c r="Q115" s="24">
        <v>13.989999999999995</v>
      </c>
      <c r="R115" s="24"/>
      <c r="S115" s="21">
        <f t="shared" si="5"/>
        <v>-1</v>
      </c>
    </row>
    <row r="116" spans="2:19" ht="11.4" customHeight="1" x14ac:dyDescent="0.2">
      <c r="B116" s="24"/>
      <c r="C116" s="4">
        <v>4582</v>
      </c>
      <c r="D116" s="18" t="s">
        <v>138</v>
      </c>
      <c r="E116" s="18" t="s">
        <v>29</v>
      </c>
      <c r="F116" s="17">
        <v>1</v>
      </c>
      <c r="G116" s="18" t="s">
        <v>23</v>
      </c>
      <c r="H116" s="17">
        <v>77.900000000000006</v>
      </c>
      <c r="I116" s="5">
        <v>84.9</v>
      </c>
      <c r="J116" s="21">
        <f t="shared" si="3"/>
        <v>8.9858793324775352E-2</v>
      </c>
      <c r="K116" s="1">
        <v>2</v>
      </c>
      <c r="L116" s="24">
        <v>4.2</v>
      </c>
      <c r="M116" s="24"/>
      <c r="N116" s="21">
        <f t="shared" si="4"/>
        <v>-1</v>
      </c>
      <c r="P116" s="1">
        <v>6</v>
      </c>
      <c r="Q116" s="24">
        <v>8.4899999999999949</v>
      </c>
      <c r="R116" s="24"/>
      <c r="S116" s="21">
        <f t="shared" si="5"/>
        <v>-1</v>
      </c>
    </row>
    <row r="117" spans="2:19" ht="11.4" customHeight="1" x14ac:dyDescent="0.2">
      <c r="B117" s="24"/>
      <c r="C117" s="4">
        <v>5111</v>
      </c>
      <c r="D117" s="18" t="s">
        <v>139</v>
      </c>
      <c r="E117" s="18" t="s">
        <v>29</v>
      </c>
      <c r="F117" s="17">
        <v>1</v>
      </c>
      <c r="G117" s="18" t="s">
        <v>23</v>
      </c>
      <c r="H117" s="17">
        <v>154.5</v>
      </c>
      <c r="I117" s="5">
        <v>176.7</v>
      </c>
      <c r="J117" s="21">
        <f t="shared" si="3"/>
        <v>0.14368932038834945</v>
      </c>
      <c r="K117" s="1">
        <v>2</v>
      </c>
      <c r="L117" s="24">
        <v>8.8000000000000007</v>
      </c>
      <c r="M117" s="24"/>
      <c r="N117" s="21">
        <f t="shared" si="4"/>
        <v>-1</v>
      </c>
      <c r="P117" s="1">
        <v>6</v>
      </c>
      <c r="Q117" s="24">
        <v>17.669999999999987</v>
      </c>
      <c r="R117" s="24"/>
      <c r="S117" s="21">
        <f t="shared" si="5"/>
        <v>-1</v>
      </c>
    </row>
    <row r="118" spans="2:19" ht="11.4" customHeight="1" x14ac:dyDescent="0.2">
      <c r="B118" s="24"/>
      <c r="C118" s="4">
        <v>15564</v>
      </c>
      <c r="D118" s="18" t="s">
        <v>140</v>
      </c>
      <c r="E118" s="18" t="s">
        <v>29</v>
      </c>
      <c r="F118" s="17">
        <v>1</v>
      </c>
      <c r="G118" s="18" t="s">
        <v>23</v>
      </c>
      <c r="H118" s="17">
        <v>68.099999999999994</v>
      </c>
      <c r="I118" s="5">
        <v>78.8</v>
      </c>
      <c r="J118" s="21">
        <f t="shared" si="3"/>
        <v>0.15712187958884</v>
      </c>
      <c r="K118" s="1">
        <v>2</v>
      </c>
      <c r="L118" s="24">
        <v>3.9</v>
      </c>
      <c r="M118" s="24"/>
      <c r="N118" s="21">
        <f t="shared" si="4"/>
        <v>-1</v>
      </c>
      <c r="P118" s="1">
        <v>6</v>
      </c>
      <c r="Q118" s="24">
        <v>7.8799999999999955</v>
      </c>
      <c r="R118" s="24"/>
      <c r="S118" s="21">
        <f t="shared" si="5"/>
        <v>-1</v>
      </c>
    </row>
    <row r="119" spans="2:19" ht="11.4" customHeight="1" x14ac:dyDescent="0.2">
      <c r="B119" s="24"/>
      <c r="C119" s="4">
        <v>3579</v>
      </c>
      <c r="D119" s="18" t="s">
        <v>141</v>
      </c>
      <c r="E119" s="18" t="s">
        <v>29</v>
      </c>
      <c r="F119" s="17">
        <v>6</v>
      </c>
      <c r="G119" s="18" t="s">
        <v>23</v>
      </c>
      <c r="H119" s="17">
        <v>105.1</v>
      </c>
      <c r="I119" s="5">
        <v>113.5</v>
      </c>
      <c r="J119" s="21">
        <f t="shared" si="3"/>
        <v>7.9923882017126607E-2</v>
      </c>
      <c r="K119" s="1">
        <v>2</v>
      </c>
      <c r="L119" s="24">
        <v>5.6</v>
      </c>
      <c r="M119" s="24"/>
      <c r="N119" s="21">
        <f t="shared" si="4"/>
        <v>-1</v>
      </c>
      <c r="P119" s="1">
        <v>6</v>
      </c>
      <c r="Q119" s="24">
        <v>11.349999999999994</v>
      </c>
      <c r="R119" s="24"/>
      <c r="S119" s="21">
        <f t="shared" si="5"/>
        <v>-1</v>
      </c>
    </row>
    <row r="120" spans="2:19" ht="11.4" customHeight="1" x14ac:dyDescent="0.2">
      <c r="B120" s="24"/>
      <c r="C120" s="4">
        <v>5206</v>
      </c>
      <c r="D120" s="18" t="s">
        <v>142</v>
      </c>
      <c r="E120" s="18" t="s">
        <v>29</v>
      </c>
      <c r="F120" s="17">
        <v>1</v>
      </c>
      <c r="G120" s="18" t="s">
        <v>23</v>
      </c>
      <c r="H120" s="17">
        <v>65.45</v>
      </c>
      <c r="I120" s="5">
        <v>78.8</v>
      </c>
      <c r="J120" s="21">
        <f t="shared" si="3"/>
        <v>0.20397249809014506</v>
      </c>
      <c r="K120" s="1">
        <v>2</v>
      </c>
      <c r="L120" s="24">
        <v>3.9</v>
      </c>
      <c r="M120" s="24"/>
      <c r="N120" s="21">
        <f t="shared" si="4"/>
        <v>-1</v>
      </c>
      <c r="P120" s="1">
        <v>6</v>
      </c>
      <c r="Q120" s="24">
        <v>7.8799999999999955</v>
      </c>
      <c r="R120" s="24"/>
      <c r="S120" s="21">
        <f t="shared" si="5"/>
        <v>-1</v>
      </c>
    </row>
    <row r="121" spans="2:19" ht="11.4" customHeight="1" x14ac:dyDescent="0.2">
      <c r="B121" s="24"/>
      <c r="C121" s="4">
        <v>42797</v>
      </c>
      <c r="D121" s="18" t="s">
        <v>143</v>
      </c>
      <c r="E121" s="18" t="s">
        <v>29</v>
      </c>
      <c r="F121" s="17">
        <v>12</v>
      </c>
      <c r="G121" s="18" t="s">
        <v>23</v>
      </c>
      <c r="H121" s="17">
        <v>46.08</v>
      </c>
      <c r="I121" s="5">
        <v>78.8</v>
      </c>
      <c r="J121" s="21">
        <f t="shared" si="3"/>
        <v>0.71006944444444442</v>
      </c>
      <c r="K121" s="1">
        <v>2</v>
      </c>
      <c r="L121" s="24">
        <v>3.9</v>
      </c>
      <c r="M121" s="24"/>
      <c r="N121" s="21">
        <f t="shared" si="4"/>
        <v>-1</v>
      </c>
      <c r="P121" s="1">
        <v>6</v>
      </c>
      <c r="Q121" s="24">
        <v>7.8799999999999955</v>
      </c>
      <c r="R121" s="24"/>
      <c r="S121" s="21">
        <f t="shared" si="5"/>
        <v>-1</v>
      </c>
    </row>
    <row r="122" spans="2:19" ht="11.4" customHeight="1" x14ac:dyDescent="0.2">
      <c r="B122" s="24"/>
      <c r="C122" s="4">
        <v>3556</v>
      </c>
      <c r="D122" s="18" t="s">
        <v>144</v>
      </c>
      <c r="E122" s="18" t="s">
        <v>29</v>
      </c>
      <c r="F122" s="17">
        <v>1</v>
      </c>
      <c r="G122" s="18" t="s">
        <v>23</v>
      </c>
      <c r="H122" s="17">
        <v>96.5</v>
      </c>
      <c r="I122" s="5">
        <v>112</v>
      </c>
      <c r="J122" s="21">
        <f t="shared" si="3"/>
        <v>0.16062176165803108</v>
      </c>
      <c r="K122" s="1">
        <v>2</v>
      </c>
      <c r="L122" s="24">
        <v>5.6</v>
      </c>
      <c r="M122" s="24"/>
      <c r="N122" s="21">
        <f t="shared" si="4"/>
        <v>-1</v>
      </c>
      <c r="P122" s="1">
        <v>6</v>
      </c>
      <c r="Q122" s="24">
        <v>11.200000000000003</v>
      </c>
      <c r="R122" s="24"/>
      <c r="S122" s="21">
        <f t="shared" si="5"/>
        <v>-1</v>
      </c>
    </row>
    <row r="123" spans="2:19" ht="11.4" customHeight="1" x14ac:dyDescent="0.2">
      <c r="B123" s="24"/>
      <c r="C123" s="4">
        <v>42409</v>
      </c>
      <c r="D123" s="18" t="s">
        <v>145</v>
      </c>
      <c r="E123" s="18" t="s">
        <v>29</v>
      </c>
      <c r="F123" s="18"/>
      <c r="G123" s="18" t="s">
        <v>23</v>
      </c>
      <c r="H123" s="17">
        <v>126.18</v>
      </c>
      <c r="I123" s="5">
        <v>194</v>
      </c>
      <c r="J123" s="21">
        <f t="shared" si="3"/>
        <v>0.5374861309240766</v>
      </c>
      <c r="K123" s="1">
        <v>2</v>
      </c>
      <c r="L123" s="24">
        <v>9.6999999999999993</v>
      </c>
      <c r="M123" s="24"/>
      <c r="N123" s="21">
        <f t="shared" si="4"/>
        <v>-1</v>
      </c>
      <c r="P123" s="1">
        <v>6</v>
      </c>
      <c r="Q123" s="24">
        <v>19.400000000000006</v>
      </c>
      <c r="R123" s="24"/>
      <c r="S123" s="21">
        <f t="shared" si="5"/>
        <v>-1</v>
      </c>
    </row>
    <row r="124" spans="2:19" ht="11.4" customHeight="1" x14ac:dyDescent="0.2">
      <c r="B124" s="24"/>
      <c r="C124" s="4">
        <v>30753</v>
      </c>
      <c r="D124" s="18" t="s">
        <v>146</v>
      </c>
      <c r="E124" s="18" t="s">
        <v>29</v>
      </c>
      <c r="F124" s="17">
        <v>2</v>
      </c>
      <c r="G124" s="18" t="s">
        <v>23</v>
      </c>
      <c r="H124" s="17">
        <v>74.599999999999994</v>
      </c>
      <c r="I124" s="5">
        <v>78.8</v>
      </c>
      <c r="J124" s="21">
        <f t="shared" si="3"/>
        <v>5.630026809651479E-2</v>
      </c>
      <c r="K124" s="1">
        <v>2</v>
      </c>
      <c r="L124" s="24">
        <v>3.9</v>
      </c>
      <c r="M124" s="24"/>
      <c r="N124" s="21">
        <f t="shared" si="4"/>
        <v>-1</v>
      </c>
      <c r="P124" s="1">
        <v>6</v>
      </c>
      <c r="Q124" s="24">
        <v>7.8799999999999955</v>
      </c>
      <c r="R124" s="24"/>
      <c r="S124" s="21">
        <f t="shared" si="5"/>
        <v>-1</v>
      </c>
    </row>
    <row r="125" spans="2:19" ht="11.4" customHeight="1" x14ac:dyDescent="0.2">
      <c r="B125" s="24"/>
      <c r="C125" s="4">
        <v>35466</v>
      </c>
      <c r="D125" s="18" t="s">
        <v>147</v>
      </c>
      <c r="E125" s="18" t="s">
        <v>29</v>
      </c>
      <c r="F125" s="17">
        <v>2</v>
      </c>
      <c r="G125" s="18" t="s">
        <v>23</v>
      </c>
      <c r="H125" s="17">
        <v>111</v>
      </c>
      <c r="I125" s="5">
        <v>157.6</v>
      </c>
      <c r="J125" s="21">
        <f t="shared" si="3"/>
        <v>0.41981981981981975</v>
      </c>
      <c r="K125" s="1">
        <v>2</v>
      </c>
      <c r="L125" s="24">
        <v>7.8</v>
      </c>
      <c r="M125" s="24"/>
      <c r="N125" s="21">
        <f t="shared" si="4"/>
        <v>-1</v>
      </c>
      <c r="P125" s="1">
        <v>6</v>
      </c>
      <c r="Q125" s="24">
        <v>15.759999999999991</v>
      </c>
      <c r="R125" s="24"/>
      <c r="S125" s="21">
        <f t="shared" si="5"/>
        <v>-1</v>
      </c>
    </row>
    <row r="126" spans="2:19" ht="11.4" customHeight="1" x14ac:dyDescent="0.2">
      <c r="B126" s="24"/>
      <c r="C126" s="4">
        <v>42813</v>
      </c>
      <c r="D126" s="18" t="s">
        <v>148</v>
      </c>
      <c r="E126" s="18" t="s">
        <v>29</v>
      </c>
      <c r="F126" s="17">
        <v>1</v>
      </c>
      <c r="G126" s="18" t="s">
        <v>23</v>
      </c>
      <c r="H126" s="17">
        <v>67.98</v>
      </c>
      <c r="I126" s="5">
        <v>110.6</v>
      </c>
      <c r="J126" s="21">
        <f t="shared" si="3"/>
        <v>0.62694910267725779</v>
      </c>
      <c r="K126" s="1">
        <v>2</v>
      </c>
      <c r="L126" s="24">
        <v>5.5</v>
      </c>
      <c r="M126" s="24"/>
      <c r="N126" s="21">
        <f t="shared" si="4"/>
        <v>-1</v>
      </c>
      <c r="P126" s="1">
        <v>6</v>
      </c>
      <c r="Q126" s="24">
        <v>11.060000000000002</v>
      </c>
      <c r="R126" s="24"/>
      <c r="S126" s="21">
        <f t="shared" si="5"/>
        <v>-1</v>
      </c>
    </row>
    <row r="127" spans="2:19" ht="11.4" customHeight="1" x14ac:dyDescent="0.2">
      <c r="B127" s="24"/>
      <c r="C127" s="4">
        <v>42814</v>
      </c>
      <c r="D127" s="18" t="s">
        <v>149</v>
      </c>
      <c r="E127" s="18" t="s">
        <v>29</v>
      </c>
      <c r="F127" s="17">
        <v>1</v>
      </c>
      <c r="G127" s="18" t="s">
        <v>23</v>
      </c>
      <c r="H127" s="17">
        <v>92.94</v>
      </c>
      <c r="I127" s="5">
        <v>172.9</v>
      </c>
      <c r="J127" s="21">
        <f t="shared" si="3"/>
        <v>0.86034000430385205</v>
      </c>
      <c r="K127" s="1">
        <v>2</v>
      </c>
      <c r="L127" s="24">
        <v>8.6</v>
      </c>
      <c r="M127" s="24"/>
      <c r="N127" s="21">
        <f t="shared" si="4"/>
        <v>-1</v>
      </c>
      <c r="P127" s="1">
        <v>6</v>
      </c>
      <c r="Q127" s="24">
        <v>17.289999999999992</v>
      </c>
      <c r="R127" s="24"/>
      <c r="S127" s="21">
        <f t="shared" si="5"/>
        <v>-1</v>
      </c>
    </row>
    <row r="128" spans="2:19" ht="11.4" customHeight="1" x14ac:dyDescent="0.2">
      <c r="B128" s="24"/>
      <c r="C128" s="4">
        <v>36013</v>
      </c>
      <c r="D128" s="18" t="s">
        <v>150</v>
      </c>
      <c r="E128" s="18" t="s">
        <v>29</v>
      </c>
      <c r="F128" s="17">
        <v>1</v>
      </c>
      <c r="G128" s="18" t="s">
        <v>23</v>
      </c>
      <c r="H128" s="17">
        <v>159.9</v>
      </c>
      <c r="I128" s="5">
        <v>188.5</v>
      </c>
      <c r="J128" s="21">
        <f t="shared" si="3"/>
        <v>0.17886178861788612</v>
      </c>
      <c r="K128" s="1">
        <v>2</v>
      </c>
      <c r="L128" s="24">
        <v>9.4</v>
      </c>
      <c r="M128" s="24"/>
      <c r="N128" s="21">
        <f t="shared" si="4"/>
        <v>-1</v>
      </c>
      <c r="P128" s="1">
        <v>6</v>
      </c>
      <c r="Q128" s="24">
        <v>18.849999999999994</v>
      </c>
      <c r="R128" s="24"/>
      <c r="S128" s="21">
        <f t="shared" si="5"/>
        <v>-1</v>
      </c>
    </row>
    <row r="129" spans="2:19" ht="11.4" customHeight="1" x14ac:dyDescent="0.2">
      <c r="B129" s="24"/>
      <c r="C129" s="4">
        <v>42810</v>
      </c>
      <c r="D129" s="18" t="s">
        <v>151</v>
      </c>
      <c r="E129" s="18" t="s">
        <v>29</v>
      </c>
      <c r="F129" s="17">
        <v>1</v>
      </c>
      <c r="G129" s="18" t="s">
        <v>23</v>
      </c>
      <c r="H129" s="17">
        <v>49.98</v>
      </c>
      <c r="I129" s="5">
        <v>78.8</v>
      </c>
      <c r="J129" s="21">
        <f t="shared" si="3"/>
        <v>0.57663065226090437</v>
      </c>
      <c r="K129" s="1">
        <v>2</v>
      </c>
      <c r="L129" s="24">
        <v>3.9</v>
      </c>
      <c r="M129" s="24"/>
      <c r="N129" s="21">
        <f t="shared" si="4"/>
        <v>-1</v>
      </c>
      <c r="P129" s="1">
        <v>6</v>
      </c>
      <c r="Q129" s="24">
        <v>7.8799999999999955</v>
      </c>
      <c r="R129" s="24"/>
      <c r="S129" s="21">
        <f t="shared" si="5"/>
        <v>-1</v>
      </c>
    </row>
    <row r="130" spans="2:19" ht="11.4" customHeight="1" x14ac:dyDescent="0.2">
      <c r="B130" s="24"/>
      <c r="C130" s="4">
        <v>42798</v>
      </c>
      <c r="D130" s="18" t="s">
        <v>152</v>
      </c>
      <c r="E130" s="18" t="s">
        <v>29</v>
      </c>
      <c r="F130" s="17">
        <v>1</v>
      </c>
      <c r="G130" s="18" t="s">
        <v>23</v>
      </c>
      <c r="H130" s="17">
        <v>78.959999999999994</v>
      </c>
      <c r="I130" s="5">
        <v>115.2</v>
      </c>
      <c r="J130" s="21">
        <f t="shared" si="3"/>
        <v>0.45896656534954422</v>
      </c>
      <c r="K130" s="1">
        <v>2</v>
      </c>
      <c r="L130" s="24">
        <v>5.7</v>
      </c>
      <c r="M130" s="24"/>
      <c r="N130" s="21">
        <f t="shared" si="4"/>
        <v>-1</v>
      </c>
      <c r="P130" s="1">
        <v>6</v>
      </c>
      <c r="Q130" s="24">
        <v>11.519999999999996</v>
      </c>
      <c r="R130" s="24"/>
      <c r="S130" s="21">
        <f t="shared" si="5"/>
        <v>-1</v>
      </c>
    </row>
    <row r="131" spans="2:19" ht="11.4" customHeight="1" x14ac:dyDescent="0.2">
      <c r="B131" s="24"/>
      <c r="C131" s="4">
        <v>4606</v>
      </c>
      <c r="D131" s="18" t="s">
        <v>153</v>
      </c>
      <c r="E131" s="18" t="s">
        <v>29</v>
      </c>
      <c r="F131" s="17">
        <v>1</v>
      </c>
      <c r="G131" s="18" t="s">
        <v>23</v>
      </c>
      <c r="H131" s="17">
        <v>98.2</v>
      </c>
      <c r="I131" s="5">
        <v>107.5</v>
      </c>
      <c r="J131" s="21">
        <f t="shared" ref="J131:J194" si="6">(I131-H131)/H131</f>
        <v>9.4704684317718904E-2</v>
      </c>
      <c r="K131" s="1">
        <v>2</v>
      </c>
      <c r="L131" s="24">
        <v>5.3</v>
      </c>
      <c r="M131" s="24"/>
      <c r="N131" s="21">
        <f t="shared" ref="N131:N194" si="7">(M131-H131)/H131</f>
        <v>-1</v>
      </c>
      <c r="P131" s="1">
        <v>6</v>
      </c>
      <c r="Q131" s="24">
        <v>10.75</v>
      </c>
      <c r="R131" s="24"/>
      <c r="S131" s="21">
        <f t="shared" ref="S131:S194" si="8">(R131-H131)/H131</f>
        <v>-1</v>
      </c>
    </row>
    <row r="132" spans="2:19" ht="11.4" customHeight="1" x14ac:dyDescent="0.2">
      <c r="B132" s="24"/>
      <c r="C132" s="4">
        <v>42410</v>
      </c>
      <c r="D132" s="18" t="s">
        <v>154</v>
      </c>
      <c r="E132" s="18" t="s">
        <v>29</v>
      </c>
      <c r="F132" s="18"/>
      <c r="G132" s="18" t="s">
        <v>23</v>
      </c>
      <c r="H132" s="17">
        <v>87.6</v>
      </c>
      <c r="I132" s="5">
        <v>139</v>
      </c>
      <c r="J132" s="21">
        <f t="shared" si="6"/>
        <v>0.58675799086757996</v>
      </c>
      <c r="K132" s="1">
        <v>2</v>
      </c>
      <c r="L132" s="24">
        <v>6.9</v>
      </c>
      <c r="M132" s="24"/>
      <c r="N132" s="21">
        <f t="shared" si="7"/>
        <v>-1</v>
      </c>
      <c r="P132" s="1">
        <v>6</v>
      </c>
      <c r="Q132" s="24">
        <v>13.899999999999991</v>
      </c>
      <c r="R132" s="24"/>
      <c r="S132" s="21">
        <f t="shared" si="8"/>
        <v>-1</v>
      </c>
    </row>
    <row r="133" spans="2:19" ht="11.4" customHeight="1" x14ac:dyDescent="0.2">
      <c r="B133" s="24"/>
      <c r="C133" s="4">
        <v>4725</v>
      </c>
      <c r="D133" s="18" t="s">
        <v>155</v>
      </c>
      <c r="E133" s="18" t="s">
        <v>29</v>
      </c>
      <c r="F133" s="18"/>
      <c r="G133" s="18" t="s">
        <v>23</v>
      </c>
      <c r="H133" s="17">
        <v>138.12</v>
      </c>
      <c r="I133" s="5">
        <v>181.2</v>
      </c>
      <c r="J133" s="21">
        <f t="shared" si="6"/>
        <v>0.31190269331016496</v>
      </c>
      <c r="K133" s="1">
        <v>2</v>
      </c>
      <c r="L133" s="24">
        <v>9</v>
      </c>
      <c r="M133" s="24"/>
      <c r="N133" s="21">
        <f t="shared" si="7"/>
        <v>-1</v>
      </c>
      <c r="P133" s="1">
        <v>6</v>
      </c>
      <c r="Q133" s="24">
        <v>18.120000000000005</v>
      </c>
      <c r="R133" s="24"/>
      <c r="S133" s="21">
        <f t="shared" si="8"/>
        <v>-1</v>
      </c>
    </row>
    <row r="134" spans="2:19" ht="11.4" customHeight="1" x14ac:dyDescent="0.2">
      <c r="B134" s="24"/>
      <c r="C134" s="4">
        <v>42412</v>
      </c>
      <c r="D134" s="18" t="s">
        <v>156</v>
      </c>
      <c r="E134" s="18" t="s">
        <v>29</v>
      </c>
      <c r="F134" s="18"/>
      <c r="G134" s="18" t="s">
        <v>23</v>
      </c>
      <c r="H134" s="17">
        <v>77.040000000000006</v>
      </c>
      <c r="I134" s="5">
        <v>124.5</v>
      </c>
      <c r="J134" s="21">
        <f t="shared" si="6"/>
        <v>0.61604361370716498</v>
      </c>
      <c r="K134" s="1">
        <v>2</v>
      </c>
      <c r="L134" s="24">
        <v>6.2</v>
      </c>
      <c r="M134" s="24"/>
      <c r="N134" s="21">
        <f t="shared" si="7"/>
        <v>-1</v>
      </c>
      <c r="P134" s="1">
        <v>6</v>
      </c>
      <c r="Q134" s="24">
        <v>12.450000000000003</v>
      </c>
      <c r="R134" s="24"/>
      <c r="S134" s="21">
        <f t="shared" si="8"/>
        <v>-1</v>
      </c>
    </row>
    <row r="135" spans="2:19" ht="11.4" customHeight="1" x14ac:dyDescent="0.2">
      <c r="B135" s="24"/>
      <c r="C135" s="4">
        <v>17349</v>
      </c>
      <c r="D135" s="18" t="s">
        <v>157</v>
      </c>
      <c r="E135" s="18" t="s">
        <v>29</v>
      </c>
      <c r="F135" s="17">
        <v>1</v>
      </c>
      <c r="G135" s="18" t="s">
        <v>23</v>
      </c>
      <c r="H135" s="17">
        <v>109.5</v>
      </c>
      <c r="I135" s="5">
        <v>114.4</v>
      </c>
      <c r="J135" s="21">
        <f t="shared" si="6"/>
        <v>4.4748858447488639E-2</v>
      </c>
      <c r="K135" s="1">
        <v>2</v>
      </c>
      <c r="L135" s="24">
        <v>5.7</v>
      </c>
      <c r="M135" s="24"/>
      <c r="N135" s="21">
        <f t="shared" si="7"/>
        <v>-1</v>
      </c>
      <c r="P135" s="1">
        <v>6</v>
      </c>
      <c r="Q135" s="24">
        <v>11.439999999999998</v>
      </c>
      <c r="R135" s="24"/>
      <c r="S135" s="21">
        <f t="shared" si="8"/>
        <v>-1</v>
      </c>
    </row>
    <row r="136" spans="2:19" ht="11.4" customHeight="1" x14ac:dyDescent="0.2">
      <c r="B136" s="24"/>
      <c r="C136" s="4">
        <v>3933</v>
      </c>
      <c r="D136" s="18" t="s">
        <v>158</v>
      </c>
      <c r="E136" s="18" t="s">
        <v>29</v>
      </c>
      <c r="F136" s="17">
        <v>1</v>
      </c>
      <c r="G136" s="18" t="s">
        <v>23</v>
      </c>
      <c r="H136" s="17">
        <v>62.3</v>
      </c>
      <c r="I136" s="5">
        <v>78.8</v>
      </c>
      <c r="J136" s="21">
        <f t="shared" si="6"/>
        <v>0.2648475120385233</v>
      </c>
      <c r="K136" s="1">
        <v>2</v>
      </c>
      <c r="L136" s="24">
        <v>3.9</v>
      </c>
      <c r="M136" s="24"/>
      <c r="N136" s="21">
        <f t="shared" si="7"/>
        <v>-1</v>
      </c>
      <c r="P136" s="1">
        <v>6</v>
      </c>
      <c r="Q136" s="24">
        <v>7.8799999999999955</v>
      </c>
      <c r="R136" s="24"/>
      <c r="S136" s="21">
        <f t="shared" si="8"/>
        <v>-1</v>
      </c>
    </row>
    <row r="137" spans="2:19" ht="11.4" customHeight="1" x14ac:dyDescent="0.2">
      <c r="B137" s="24"/>
      <c r="C137" s="4">
        <v>3924</v>
      </c>
      <c r="D137" s="18" t="s">
        <v>159</v>
      </c>
      <c r="E137" s="18" t="s">
        <v>29</v>
      </c>
      <c r="F137" s="17">
        <v>1</v>
      </c>
      <c r="G137" s="18" t="s">
        <v>23</v>
      </c>
      <c r="H137" s="17">
        <v>62.3</v>
      </c>
      <c r="I137" s="5">
        <v>78.8</v>
      </c>
      <c r="J137" s="21">
        <f t="shared" si="6"/>
        <v>0.2648475120385233</v>
      </c>
      <c r="K137" s="1">
        <v>2</v>
      </c>
      <c r="L137" s="24">
        <v>3.9</v>
      </c>
      <c r="M137" s="24"/>
      <c r="N137" s="21">
        <f t="shared" si="7"/>
        <v>-1</v>
      </c>
      <c r="P137" s="1">
        <v>6</v>
      </c>
      <c r="Q137" s="24">
        <v>7.8799999999999955</v>
      </c>
      <c r="R137" s="24"/>
      <c r="S137" s="21">
        <f t="shared" si="8"/>
        <v>-1</v>
      </c>
    </row>
    <row r="138" spans="2:19" ht="11.4" customHeight="1" x14ac:dyDescent="0.2">
      <c r="B138" s="24"/>
      <c r="C138" s="4">
        <v>41751</v>
      </c>
      <c r="D138" s="18" t="s">
        <v>160</v>
      </c>
      <c r="E138" s="18" t="s">
        <v>29</v>
      </c>
      <c r="F138" s="17">
        <v>1</v>
      </c>
      <c r="G138" s="18" t="s">
        <v>23</v>
      </c>
      <c r="H138" s="17">
        <v>667.98</v>
      </c>
      <c r="I138" s="5">
        <v>859</v>
      </c>
      <c r="J138" s="21">
        <f t="shared" si="6"/>
        <v>0.28596664570795527</v>
      </c>
      <c r="K138" s="1">
        <v>2</v>
      </c>
      <c r="L138" s="24">
        <v>42.9</v>
      </c>
      <c r="M138" s="24"/>
      <c r="N138" s="21">
        <f t="shared" si="7"/>
        <v>-1</v>
      </c>
      <c r="P138" s="1">
        <v>6</v>
      </c>
      <c r="Q138" s="24">
        <v>85.899999999999977</v>
      </c>
      <c r="R138" s="24"/>
      <c r="S138" s="21">
        <f t="shared" si="8"/>
        <v>-1</v>
      </c>
    </row>
    <row r="139" spans="2:19" ht="11.4" customHeight="1" x14ac:dyDescent="0.2">
      <c r="B139" s="24"/>
      <c r="C139" s="4">
        <v>39395</v>
      </c>
      <c r="D139" s="18" t="s">
        <v>161</v>
      </c>
      <c r="E139" s="18" t="s">
        <v>29</v>
      </c>
      <c r="F139" s="17">
        <v>1</v>
      </c>
      <c r="G139" s="18" t="s">
        <v>23</v>
      </c>
      <c r="H139" s="17">
        <v>202.9</v>
      </c>
      <c r="I139" s="5">
        <v>216.1</v>
      </c>
      <c r="J139" s="21">
        <f t="shared" si="6"/>
        <v>6.5056678166584461E-2</v>
      </c>
      <c r="K139" s="1">
        <v>2</v>
      </c>
      <c r="L139" s="24">
        <v>10.8</v>
      </c>
      <c r="M139" s="24"/>
      <c r="N139" s="21">
        <f t="shared" si="7"/>
        <v>-1</v>
      </c>
      <c r="P139" s="1">
        <v>6</v>
      </c>
      <c r="Q139" s="24">
        <v>21.609999999999985</v>
      </c>
      <c r="R139" s="24"/>
      <c r="S139" s="21">
        <f t="shared" si="8"/>
        <v>-1</v>
      </c>
    </row>
    <row r="140" spans="2:19" ht="11.4" customHeight="1" x14ac:dyDescent="0.2">
      <c r="B140" s="24"/>
      <c r="C140" s="4">
        <v>35457</v>
      </c>
      <c r="D140" s="18" t="s">
        <v>162</v>
      </c>
      <c r="E140" s="18" t="s">
        <v>29</v>
      </c>
      <c r="F140" s="17">
        <v>1</v>
      </c>
      <c r="G140" s="18" t="s">
        <v>23</v>
      </c>
      <c r="H140" s="17">
        <v>67.5</v>
      </c>
      <c r="I140" s="5">
        <v>75.400000000000006</v>
      </c>
      <c r="J140" s="21">
        <f t="shared" si="6"/>
        <v>0.11703703703703712</v>
      </c>
      <c r="K140" s="1">
        <v>2</v>
      </c>
      <c r="L140" s="24">
        <v>3.7</v>
      </c>
      <c r="M140" s="24"/>
      <c r="N140" s="21">
        <f t="shared" si="7"/>
        <v>-1</v>
      </c>
      <c r="P140" s="1">
        <v>6</v>
      </c>
      <c r="Q140" s="24">
        <v>7.539999999999992</v>
      </c>
      <c r="R140" s="24"/>
      <c r="S140" s="21">
        <f t="shared" si="8"/>
        <v>-1</v>
      </c>
    </row>
    <row r="141" spans="2:19" ht="11.4" customHeight="1" x14ac:dyDescent="0.2">
      <c r="B141" s="24"/>
      <c r="C141" s="4">
        <v>35458</v>
      </c>
      <c r="D141" s="18" t="s">
        <v>163</v>
      </c>
      <c r="E141" s="18" t="s">
        <v>29</v>
      </c>
      <c r="F141" s="17">
        <v>1</v>
      </c>
      <c r="G141" s="18" t="s">
        <v>23</v>
      </c>
      <c r="H141" s="17">
        <v>67.5</v>
      </c>
      <c r="I141" s="5">
        <v>75.400000000000006</v>
      </c>
      <c r="J141" s="21">
        <f t="shared" si="6"/>
        <v>0.11703703703703712</v>
      </c>
      <c r="K141" s="1">
        <v>2</v>
      </c>
      <c r="L141" s="24">
        <v>3.7</v>
      </c>
      <c r="M141" s="24"/>
      <c r="N141" s="21">
        <f t="shared" si="7"/>
        <v>-1</v>
      </c>
      <c r="P141" s="1">
        <v>6</v>
      </c>
      <c r="Q141" s="24">
        <v>7.539999999999992</v>
      </c>
      <c r="R141" s="24"/>
      <c r="S141" s="21">
        <f t="shared" si="8"/>
        <v>-1</v>
      </c>
    </row>
    <row r="142" spans="2:19" ht="11.4" customHeight="1" x14ac:dyDescent="0.2">
      <c r="B142" s="24"/>
      <c r="C142" s="4">
        <v>35459</v>
      </c>
      <c r="D142" s="18" t="s">
        <v>164</v>
      </c>
      <c r="E142" s="18" t="s">
        <v>29</v>
      </c>
      <c r="F142" s="17">
        <v>1</v>
      </c>
      <c r="G142" s="18" t="s">
        <v>23</v>
      </c>
      <c r="H142" s="17">
        <v>67.5</v>
      </c>
      <c r="I142" s="5">
        <v>75.400000000000006</v>
      </c>
      <c r="J142" s="21">
        <f t="shared" si="6"/>
        <v>0.11703703703703712</v>
      </c>
      <c r="K142" s="1">
        <v>2</v>
      </c>
      <c r="L142" s="24">
        <v>3.7</v>
      </c>
      <c r="M142" s="24"/>
      <c r="N142" s="21">
        <f t="shared" si="7"/>
        <v>-1</v>
      </c>
      <c r="P142" s="1">
        <v>6</v>
      </c>
      <c r="Q142" s="24">
        <v>7.539999999999992</v>
      </c>
      <c r="R142" s="24"/>
      <c r="S142" s="21">
        <f t="shared" si="8"/>
        <v>-1</v>
      </c>
    </row>
    <row r="143" spans="2:19" ht="11.4" customHeight="1" x14ac:dyDescent="0.2">
      <c r="B143" s="24"/>
      <c r="C143" s="4">
        <v>47450</v>
      </c>
      <c r="D143" s="18" t="s">
        <v>165</v>
      </c>
      <c r="E143" s="18" t="s">
        <v>29</v>
      </c>
      <c r="F143" s="17">
        <v>12</v>
      </c>
      <c r="G143" s="18" t="s">
        <v>23</v>
      </c>
      <c r="H143" s="17">
        <v>135.63999999999999</v>
      </c>
      <c r="I143" s="5">
        <v>199</v>
      </c>
      <c r="J143" s="21">
        <f t="shared" si="6"/>
        <v>0.46711884399882053</v>
      </c>
      <c r="K143" s="1">
        <v>2</v>
      </c>
      <c r="L143" s="24">
        <v>9.9</v>
      </c>
      <c r="M143" s="24"/>
      <c r="N143" s="21">
        <f t="shared" si="7"/>
        <v>-1</v>
      </c>
      <c r="P143" s="1">
        <v>6</v>
      </c>
      <c r="Q143" s="24">
        <v>19.900000000000006</v>
      </c>
      <c r="R143" s="24"/>
      <c r="S143" s="21">
        <f t="shared" si="8"/>
        <v>-1</v>
      </c>
    </row>
    <row r="144" spans="2:19" ht="11.4" customHeight="1" x14ac:dyDescent="0.2">
      <c r="B144" s="24"/>
      <c r="C144" s="4">
        <v>5589</v>
      </c>
      <c r="D144" s="18" t="s">
        <v>166</v>
      </c>
      <c r="E144" s="18" t="s">
        <v>29</v>
      </c>
      <c r="F144" s="17">
        <v>1</v>
      </c>
      <c r="G144" s="18" t="s">
        <v>23</v>
      </c>
      <c r="H144" s="17">
        <v>95.34</v>
      </c>
      <c r="I144" s="5">
        <v>99.5</v>
      </c>
      <c r="J144" s="21">
        <f t="shared" si="6"/>
        <v>4.3633312355779282E-2</v>
      </c>
      <c r="K144" s="1">
        <v>2</v>
      </c>
      <c r="L144" s="24">
        <v>4.9000000000000004</v>
      </c>
      <c r="M144" s="24"/>
      <c r="N144" s="21">
        <f t="shared" si="7"/>
        <v>-1</v>
      </c>
      <c r="P144" s="1">
        <v>6</v>
      </c>
      <c r="Q144" s="24">
        <v>9.9500000000000028</v>
      </c>
      <c r="R144" s="24"/>
      <c r="S144" s="21">
        <f t="shared" si="8"/>
        <v>-1</v>
      </c>
    </row>
    <row r="145" spans="2:19" ht="11.4" customHeight="1" x14ac:dyDescent="0.2">
      <c r="B145" s="24"/>
      <c r="C145" s="4">
        <v>3532</v>
      </c>
      <c r="D145" s="18" t="s">
        <v>167</v>
      </c>
      <c r="E145" s="18" t="s">
        <v>29</v>
      </c>
      <c r="F145" s="17">
        <v>1</v>
      </c>
      <c r="G145" s="18" t="s">
        <v>23</v>
      </c>
      <c r="H145" s="17">
        <v>49.98</v>
      </c>
      <c r="I145" s="5">
        <v>78.8</v>
      </c>
      <c r="J145" s="21">
        <f t="shared" si="6"/>
        <v>0.57663065226090437</v>
      </c>
      <c r="K145" s="1">
        <v>2</v>
      </c>
      <c r="L145" s="24">
        <v>3.9</v>
      </c>
      <c r="M145" s="24"/>
      <c r="N145" s="21">
        <f t="shared" si="7"/>
        <v>-1</v>
      </c>
      <c r="P145" s="1">
        <v>6</v>
      </c>
      <c r="Q145" s="24">
        <v>7.8799999999999955</v>
      </c>
      <c r="R145" s="24"/>
      <c r="S145" s="21">
        <f t="shared" si="8"/>
        <v>-1</v>
      </c>
    </row>
    <row r="146" spans="2:19" ht="11.4" customHeight="1" x14ac:dyDescent="0.2">
      <c r="B146" s="24"/>
      <c r="C146" s="4">
        <v>17342</v>
      </c>
      <c r="D146" s="18" t="s">
        <v>168</v>
      </c>
      <c r="E146" s="18" t="s">
        <v>29</v>
      </c>
      <c r="F146" s="17">
        <v>1</v>
      </c>
      <c r="G146" s="18" t="s">
        <v>23</v>
      </c>
      <c r="H146" s="17">
        <v>98.84</v>
      </c>
      <c r="I146" s="5">
        <v>112</v>
      </c>
      <c r="J146" s="21">
        <f t="shared" si="6"/>
        <v>0.13314447592067985</v>
      </c>
      <c r="K146" s="1">
        <v>2</v>
      </c>
      <c r="L146" s="24">
        <v>5.6</v>
      </c>
      <c r="M146" s="24"/>
      <c r="N146" s="21">
        <f t="shared" si="7"/>
        <v>-1</v>
      </c>
      <c r="P146" s="1">
        <v>6</v>
      </c>
      <c r="Q146" s="24">
        <v>11.200000000000003</v>
      </c>
      <c r="R146" s="24"/>
      <c r="S146" s="21">
        <f t="shared" si="8"/>
        <v>-1</v>
      </c>
    </row>
    <row r="147" spans="2:19" ht="11.4" customHeight="1" x14ac:dyDescent="0.2">
      <c r="B147" s="24"/>
      <c r="C147" s="4">
        <v>41398</v>
      </c>
      <c r="D147" s="18" t="s">
        <v>169</v>
      </c>
      <c r="E147" s="18" t="s">
        <v>29</v>
      </c>
      <c r="F147" s="17">
        <v>1</v>
      </c>
      <c r="G147" s="18" t="s">
        <v>23</v>
      </c>
      <c r="H147" s="17">
        <v>88.72</v>
      </c>
      <c r="I147" s="5">
        <v>137.1</v>
      </c>
      <c r="J147" s="21">
        <f t="shared" si="6"/>
        <v>0.54531109107303877</v>
      </c>
      <c r="K147" s="1">
        <v>2</v>
      </c>
      <c r="L147" s="24">
        <v>6.8</v>
      </c>
      <c r="M147" s="24"/>
      <c r="N147" s="21">
        <f t="shared" si="7"/>
        <v>-1</v>
      </c>
      <c r="P147" s="1">
        <v>6</v>
      </c>
      <c r="Q147" s="24">
        <v>13.709999999999994</v>
      </c>
      <c r="R147" s="24"/>
      <c r="S147" s="21">
        <f t="shared" si="8"/>
        <v>-1</v>
      </c>
    </row>
    <row r="148" spans="2:19" ht="11.4" customHeight="1" x14ac:dyDescent="0.2">
      <c r="B148" s="24"/>
      <c r="C148" s="4">
        <v>3612</v>
      </c>
      <c r="D148" s="18" t="s">
        <v>170</v>
      </c>
      <c r="E148" s="18" t="s">
        <v>29</v>
      </c>
      <c r="F148" s="17">
        <v>1</v>
      </c>
      <c r="G148" s="18" t="s">
        <v>23</v>
      </c>
      <c r="H148" s="17">
        <v>79.8</v>
      </c>
      <c r="I148" s="5">
        <v>93.8</v>
      </c>
      <c r="J148" s="21">
        <f t="shared" si="6"/>
        <v>0.17543859649122809</v>
      </c>
      <c r="K148" s="1">
        <v>2</v>
      </c>
      <c r="L148" s="24">
        <v>4.5999999999999996</v>
      </c>
      <c r="M148" s="24"/>
      <c r="N148" s="21">
        <f t="shared" si="7"/>
        <v>-1</v>
      </c>
      <c r="P148" s="1">
        <v>6</v>
      </c>
      <c r="Q148" s="24">
        <v>9.3799999999999955</v>
      </c>
      <c r="R148" s="24"/>
      <c r="S148" s="21">
        <f t="shared" si="8"/>
        <v>-1</v>
      </c>
    </row>
    <row r="149" spans="2:19" ht="11.4" customHeight="1" x14ac:dyDescent="0.2">
      <c r="B149" s="24"/>
      <c r="C149" s="4">
        <v>35334</v>
      </c>
      <c r="D149" s="18" t="s">
        <v>171</v>
      </c>
      <c r="E149" s="18" t="s">
        <v>29</v>
      </c>
      <c r="F149" s="17">
        <v>1</v>
      </c>
      <c r="G149" s="18" t="s">
        <v>23</v>
      </c>
      <c r="H149" s="17">
        <v>127</v>
      </c>
      <c r="I149" s="5">
        <v>147.1</v>
      </c>
      <c r="J149" s="21">
        <f t="shared" si="6"/>
        <v>0.15826771653543303</v>
      </c>
      <c r="K149" s="1">
        <v>2</v>
      </c>
      <c r="L149" s="24">
        <v>7.3</v>
      </c>
      <c r="M149" s="24"/>
      <c r="N149" s="21">
        <f t="shared" si="7"/>
        <v>-1</v>
      </c>
      <c r="P149" s="1">
        <v>6</v>
      </c>
      <c r="Q149" s="24">
        <v>14.710000000000008</v>
      </c>
      <c r="R149" s="24"/>
      <c r="S149" s="21">
        <f t="shared" si="8"/>
        <v>-1</v>
      </c>
    </row>
    <row r="150" spans="2:19" ht="11.4" customHeight="1" x14ac:dyDescent="0.2">
      <c r="B150" s="24"/>
      <c r="C150" s="4">
        <v>9917</v>
      </c>
      <c r="D150" s="18" t="s">
        <v>172</v>
      </c>
      <c r="E150" s="18" t="s">
        <v>29</v>
      </c>
      <c r="F150" s="17">
        <v>12</v>
      </c>
      <c r="G150" s="18" t="s">
        <v>23</v>
      </c>
      <c r="H150" s="17">
        <v>102.9</v>
      </c>
      <c r="I150" s="5">
        <v>115.5</v>
      </c>
      <c r="J150" s="21">
        <f t="shared" si="6"/>
        <v>0.12244897959183668</v>
      </c>
      <c r="K150" s="1">
        <v>2</v>
      </c>
      <c r="L150" s="24">
        <v>5.7</v>
      </c>
      <c r="M150" s="24"/>
      <c r="N150" s="21">
        <f t="shared" si="7"/>
        <v>-1</v>
      </c>
      <c r="P150" s="1">
        <v>6</v>
      </c>
      <c r="Q150" s="24">
        <v>11.549999999999997</v>
      </c>
      <c r="R150" s="24"/>
      <c r="S150" s="21">
        <f t="shared" si="8"/>
        <v>-1</v>
      </c>
    </row>
    <row r="151" spans="2:19" ht="11.4" customHeight="1" x14ac:dyDescent="0.2">
      <c r="B151" s="24"/>
      <c r="C151" s="4">
        <v>3513</v>
      </c>
      <c r="D151" s="18" t="s">
        <v>173</v>
      </c>
      <c r="E151" s="18" t="s">
        <v>29</v>
      </c>
      <c r="F151" s="17">
        <v>6</v>
      </c>
      <c r="G151" s="18" t="s">
        <v>23</v>
      </c>
      <c r="H151" s="17">
        <v>158.9</v>
      </c>
      <c r="I151" s="5">
        <v>171.5</v>
      </c>
      <c r="J151" s="21">
        <f t="shared" si="6"/>
        <v>7.929515418502199E-2</v>
      </c>
      <c r="K151" s="1">
        <v>2</v>
      </c>
      <c r="L151" s="24">
        <v>8.5</v>
      </c>
      <c r="M151" s="24"/>
      <c r="N151" s="21">
        <f t="shared" si="7"/>
        <v>-1</v>
      </c>
      <c r="P151" s="1">
        <v>6</v>
      </c>
      <c r="Q151" s="24">
        <v>17.150000000000006</v>
      </c>
      <c r="R151" s="24"/>
      <c r="S151" s="21">
        <f t="shared" si="8"/>
        <v>-1</v>
      </c>
    </row>
    <row r="152" spans="2:19" ht="11.4" customHeight="1" x14ac:dyDescent="0.2">
      <c r="B152" s="24"/>
      <c r="C152" s="4">
        <v>39405</v>
      </c>
      <c r="D152" s="18" t="s">
        <v>174</v>
      </c>
      <c r="E152" s="18" t="s">
        <v>29</v>
      </c>
      <c r="F152" s="17">
        <v>1</v>
      </c>
      <c r="G152" s="18" t="s">
        <v>23</v>
      </c>
      <c r="H152" s="17">
        <v>372.5</v>
      </c>
      <c r="I152" s="5">
        <v>412.2</v>
      </c>
      <c r="J152" s="21">
        <f t="shared" si="6"/>
        <v>0.10657718120805366</v>
      </c>
      <c r="K152" s="1">
        <v>2</v>
      </c>
      <c r="L152" s="24">
        <v>20.6</v>
      </c>
      <c r="M152" s="24"/>
      <c r="N152" s="21">
        <f t="shared" si="7"/>
        <v>-1</v>
      </c>
      <c r="P152" s="1">
        <v>6</v>
      </c>
      <c r="Q152" s="24">
        <v>41.21999999999997</v>
      </c>
      <c r="R152" s="24"/>
      <c r="S152" s="21">
        <f t="shared" si="8"/>
        <v>-1</v>
      </c>
    </row>
    <row r="153" spans="2:19" ht="11.4" customHeight="1" x14ac:dyDescent="0.2">
      <c r="B153" s="24"/>
      <c r="C153" s="4">
        <v>40663</v>
      </c>
      <c r="D153" s="18" t="s">
        <v>175</v>
      </c>
      <c r="E153" s="18" t="s">
        <v>29</v>
      </c>
      <c r="F153" s="18"/>
      <c r="G153" s="18" t="s">
        <v>23</v>
      </c>
      <c r="H153" s="17">
        <v>369.88</v>
      </c>
      <c r="I153" s="5">
        <v>428.5</v>
      </c>
      <c r="J153" s="21">
        <f t="shared" si="6"/>
        <v>0.15848383259435495</v>
      </c>
      <c r="K153" s="1">
        <v>2</v>
      </c>
      <c r="L153" s="24">
        <v>21.4</v>
      </c>
      <c r="M153" s="24"/>
      <c r="N153" s="21">
        <f t="shared" si="7"/>
        <v>-1</v>
      </c>
      <c r="P153" s="1">
        <v>6</v>
      </c>
      <c r="Q153" s="24">
        <v>42.849999999999966</v>
      </c>
      <c r="R153" s="24"/>
      <c r="S153" s="21">
        <f t="shared" si="8"/>
        <v>-1</v>
      </c>
    </row>
    <row r="154" spans="2:19" ht="11.4" customHeight="1" x14ac:dyDescent="0.2">
      <c r="B154" s="24"/>
      <c r="C154" s="4">
        <v>47454</v>
      </c>
      <c r="D154" s="18" t="s">
        <v>176</v>
      </c>
      <c r="E154" s="18" t="s">
        <v>29</v>
      </c>
      <c r="F154" s="17">
        <v>12</v>
      </c>
      <c r="G154" s="18" t="s">
        <v>23</v>
      </c>
      <c r="H154" s="17">
        <v>171.86</v>
      </c>
      <c r="I154" s="5">
        <v>260</v>
      </c>
      <c r="J154" s="21">
        <f t="shared" si="6"/>
        <v>0.51285930408472002</v>
      </c>
      <c r="K154" s="1">
        <v>2</v>
      </c>
      <c r="L154" s="24">
        <v>13</v>
      </c>
      <c r="M154" s="24"/>
      <c r="N154" s="21">
        <f t="shared" si="7"/>
        <v>-1</v>
      </c>
      <c r="P154" s="1">
        <v>6</v>
      </c>
      <c r="Q154" s="24">
        <v>26</v>
      </c>
      <c r="R154" s="24"/>
      <c r="S154" s="21">
        <f t="shared" si="8"/>
        <v>-1</v>
      </c>
    </row>
    <row r="155" spans="2:19" ht="11.4" customHeight="1" x14ac:dyDescent="0.2">
      <c r="B155" s="24"/>
      <c r="C155" s="4">
        <v>39401</v>
      </c>
      <c r="D155" s="18" t="s">
        <v>177</v>
      </c>
      <c r="E155" s="18" t="s">
        <v>29</v>
      </c>
      <c r="F155" s="17">
        <v>1</v>
      </c>
      <c r="G155" s="18" t="s">
        <v>23</v>
      </c>
      <c r="H155" s="17">
        <v>333.5</v>
      </c>
      <c r="I155" s="5">
        <v>416.3</v>
      </c>
      <c r="J155" s="21">
        <f t="shared" si="6"/>
        <v>0.24827586206896554</v>
      </c>
      <c r="K155" s="1">
        <v>2</v>
      </c>
      <c r="L155" s="24">
        <v>20.8</v>
      </c>
      <c r="M155" s="24"/>
      <c r="N155" s="21">
        <f t="shared" si="7"/>
        <v>-1</v>
      </c>
      <c r="P155" s="1">
        <v>6</v>
      </c>
      <c r="Q155" s="24">
        <v>41.629999999999995</v>
      </c>
      <c r="R155" s="24"/>
      <c r="S155" s="21">
        <f t="shared" si="8"/>
        <v>-1</v>
      </c>
    </row>
    <row r="156" spans="2:19" ht="11.4" customHeight="1" x14ac:dyDescent="0.2">
      <c r="B156" s="24"/>
      <c r="C156" s="4">
        <v>40213</v>
      </c>
      <c r="D156" s="18" t="s">
        <v>178</v>
      </c>
      <c r="E156" s="18" t="s">
        <v>29</v>
      </c>
      <c r="F156" s="17">
        <v>1</v>
      </c>
      <c r="G156" s="18" t="s">
        <v>23</v>
      </c>
      <c r="H156" s="17">
        <v>120.9</v>
      </c>
      <c r="I156" s="5">
        <v>162.5</v>
      </c>
      <c r="J156" s="21">
        <f t="shared" si="6"/>
        <v>0.34408602150537626</v>
      </c>
      <c r="K156" s="1">
        <v>2</v>
      </c>
      <c r="L156" s="24">
        <v>8.1</v>
      </c>
      <c r="M156" s="24"/>
      <c r="N156" s="21">
        <f t="shared" si="7"/>
        <v>-1</v>
      </c>
      <c r="P156" s="1">
        <v>6</v>
      </c>
      <c r="Q156" s="24">
        <v>16.25</v>
      </c>
      <c r="R156" s="24"/>
      <c r="S156" s="21">
        <f t="shared" si="8"/>
        <v>-1</v>
      </c>
    </row>
    <row r="157" spans="2:19" ht="11.4" customHeight="1" x14ac:dyDescent="0.2">
      <c r="B157" s="24"/>
      <c r="C157" s="4">
        <v>7069</v>
      </c>
      <c r="D157" s="18" t="s">
        <v>179</v>
      </c>
      <c r="E157" s="18" t="s">
        <v>29</v>
      </c>
      <c r="F157" s="17">
        <v>1</v>
      </c>
      <c r="G157" s="18" t="s">
        <v>23</v>
      </c>
      <c r="H157" s="17">
        <v>97.1</v>
      </c>
      <c r="I157" s="5">
        <v>116</v>
      </c>
      <c r="J157" s="21">
        <f t="shared" si="6"/>
        <v>0.19464469618949543</v>
      </c>
      <c r="K157" s="1">
        <v>2</v>
      </c>
      <c r="L157" s="24">
        <v>5.8</v>
      </c>
      <c r="M157" s="24"/>
      <c r="N157" s="21">
        <f t="shared" si="7"/>
        <v>-1</v>
      </c>
      <c r="P157" s="1">
        <v>6</v>
      </c>
      <c r="Q157" s="24">
        <v>11.599999999999994</v>
      </c>
      <c r="R157" s="24"/>
      <c r="S157" s="21">
        <f t="shared" si="8"/>
        <v>-1</v>
      </c>
    </row>
    <row r="158" spans="2:19" ht="11.4" customHeight="1" x14ac:dyDescent="0.2">
      <c r="B158" s="24"/>
      <c r="C158" s="4">
        <v>41587</v>
      </c>
      <c r="D158" s="18" t="s">
        <v>180</v>
      </c>
      <c r="E158" s="18" t="s">
        <v>29</v>
      </c>
      <c r="F158" s="17">
        <v>1</v>
      </c>
      <c r="G158" s="18" t="s">
        <v>23</v>
      </c>
      <c r="H158" s="17">
        <v>88.14</v>
      </c>
      <c r="I158" s="5">
        <v>115</v>
      </c>
      <c r="J158" s="21">
        <f t="shared" si="6"/>
        <v>0.30474245518493304</v>
      </c>
      <c r="K158" s="1">
        <v>2</v>
      </c>
      <c r="L158" s="24">
        <v>5.7</v>
      </c>
      <c r="M158" s="24"/>
      <c r="N158" s="21">
        <f t="shared" si="7"/>
        <v>-1</v>
      </c>
      <c r="P158" s="1">
        <v>6</v>
      </c>
      <c r="Q158" s="24">
        <v>11.5</v>
      </c>
      <c r="R158" s="24"/>
      <c r="S158" s="21">
        <f t="shared" si="8"/>
        <v>-1</v>
      </c>
    </row>
    <row r="159" spans="2:19" ht="11.4" customHeight="1" x14ac:dyDescent="0.2">
      <c r="B159" s="24"/>
      <c r="C159" s="4">
        <v>32102</v>
      </c>
      <c r="D159" s="18" t="s">
        <v>181</v>
      </c>
      <c r="E159" s="18" t="s">
        <v>29</v>
      </c>
      <c r="F159" s="17">
        <v>1</v>
      </c>
      <c r="G159" s="18" t="s">
        <v>23</v>
      </c>
      <c r="H159" s="17">
        <v>76.5</v>
      </c>
      <c r="I159" s="5">
        <v>83.5</v>
      </c>
      <c r="J159" s="21">
        <f t="shared" si="6"/>
        <v>9.1503267973856203E-2</v>
      </c>
      <c r="K159" s="1">
        <v>2</v>
      </c>
      <c r="L159" s="24">
        <v>4.0999999999999996</v>
      </c>
      <c r="M159" s="24"/>
      <c r="N159" s="21">
        <f t="shared" si="7"/>
        <v>-1</v>
      </c>
      <c r="P159" s="1">
        <v>6</v>
      </c>
      <c r="Q159" s="24">
        <v>8.3499999999999943</v>
      </c>
      <c r="R159" s="24"/>
      <c r="S159" s="21">
        <f t="shared" si="8"/>
        <v>-1</v>
      </c>
    </row>
    <row r="160" spans="2:19" ht="11.4" customHeight="1" x14ac:dyDescent="0.2">
      <c r="B160" s="24"/>
      <c r="C160" s="4">
        <v>38091</v>
      </c>
      <c r="D160" s="18" t="s">
        <v>182</v>
      </c>
      <c r="E160" s="18" t="s">
        <v>29</v>
      </c>
      <c r="F160" s="17">
        <v>1</v>
      </c>
      <c r="G160" s="18" t="s">
        <v>23</v>
      </c>
      <c r="H160" s="17">
        <v>186.2</v>
      </c>
      <c r="I160" s="5">
        <v>213.5</v>
      </c>
      <c r="J160" s="21">
        <f t="shared" si="6"/>
        <v>0.14661654135338353</v>
      </c>
      <c r="K160" s="1">
        <v>2</v>
      </c>
      <c r="L160" s="24">
        <v>10.6</v>
      </c>
      <c r="M160" s="24"/>
      <c r="N160" s="21">
        <f t="shared" si="7"/>
        <v>-1</v>
      </c>
      <c r="P160" s="1">
        <v>6</v>
      </c>
      <c r="Q160" s="24">
        <v>21.349999999999994</v>
      </c>
      <c r="R160" s="24"/>
      <c r="S160" s="21">
        <f t="shared" si="8"/>
        <v>-1</v>
      </c>
    </row>
    <row r="161" spans="2:19" ht="11.4" customHeight="1" x14ac:dyDescent="0.2">
      <c r="B161" s="24"/>
      <c r="C161" s="4">
        <v>4616</v>
      </c>
      <c r="D161" s="18" t="s">
        <v>183</v>
      </c>
      <c r="E161" s="18" t="s">
        <v>29</v>
      </c>
      <c r="F161" s="18"/>
      <c r="G161" s="18" t="s">
        <v>23</v>
      </c>
      <c r="H161" s="17">
        <v>80.819999999999993</v>
      </c>
      <c r="I161" s="5">
        <v>117.9</v>
      </c>
      <c r="J161" s="21">
        <f t="shared" si="6"/>
        <v>0.45879732739420953</v>
      </c>
      <c r="K161" s="1">
        <v>2</v>
      </c>
      <c r="L161" s="24">
        <v>5.8</v>
      </c>
      <c r="M161" s="24"/>
      <c r="N161" s="21">
        <f t="shared" si="7"/>
        <v>-1</v>
      </c>
      <c r="P161" s="1">
        <v>6</v>
      </c>
      <c r="Q161" s="24">
        <v>11.789999999999992</v>
      </c>
      <c r="R161" s="24"/>
      <c r="S161" s="21">
        <f t="shared" si="8"/>
        <v>-1</v>
      </c>
    </row>
    <row r="162" spans="2:19" ht="11.4" customHeight="1" x14ac:dyDescent="0.2">
      <c r="B162" s="24"/>
      <c r="C162" s="4">
        <v>4617</v>
      </c>
      <c r="D162" s="18" t="s">
        <v>184</v>
      </c>
      <c r="E162" s="18" t="s">
        <v>29</v>
      </c>
      <c r="F162" s="18"/>
      <c r="G162" s="18" t="s">
        <v>23</v>
      </c>
      <c r="H162" s="17">
        <v>149</v>
      </c>
      <c r="I162" s="5">
        <v>155.5</v>
      </c>
      <c r="J162" s="21">
        <f t="shared" si="6"/>
        <v>4.3624161073825503E-2</v>
      </c>
      <c r="K162" s="1">
        <v>2</v>
      </c>
      <c r="L162" s="24">
        <v>7.7</v>
      </c>
      <c r="M162" s="24"/>
      <c r="N162" s="21">
        <f t="shared" si="7"/>
        <v>-1</v>
      </c>
      <c r="P162" s="1">
        <v>6</v>
      </c>
      <c r="Q162" s="24">
        <v>15.549999999999983</v>
      </c>
      <c r="R162" s="24"/>
      <c r="S162" s="21">
        <f t="shared" si="8"/>
        <v>-1</v>
      </c>
    </row>
    <row r="163" spans="2:19" ht="11.4" customHeight="1" x14ac:dyDescent="0.2">
      <c r="B163" s="24"/>
      <c r="C163" s="4">
        <v>3578</v>
      </c>
      <c r="D163" s="18" t="s">
        <v>185</v>
      </c>
      <c r="E163" s="18" t="s">
        <v>29</v>
      </c>
      <c r="F163" s="17">
        <v>6</v>
      </c>
      <c r="G163" s="18" t="s">
        <v>23</v>
      </c>
      <c r="H163" s="17">
        <v>86.5</v>
      </c>
      <c r="I163" s="5">
        <v>93.5</v>
      </c>
      <c r="J163" s="21">
        <f t="shared" si="6"/>
        <v>8.0924855491329481E-2</v>
      </c>
      <c r="K163" s="1">
        <v>2</v>
      </c>
      <c r="L163" s="24">
        <v>4.5999999999999996</v>
      </c>
      <c r="M163" s="24"/>
      <c r="N163" s="21">
        <f t="shared" si="7"/>
        <v>-1</v>
      </c>
      <c r="P163" s="1">
        <v>6</v>
      </c>
      <c r="Q163" s="24">
        <v>9.3499999999999943</v>
      </c>
      <c r="R163" s="24"/>
      <c r="S163" s="21">
        <f t="shared" si="8"/>
        <v>-1</v>
      </c>
    </row>
    <row r="164" spans="2:19" ht="11.4" customHeight="1" x14ac:dyDescent="0.2">
      <c r="B164" s="24"/>
      <c r="C164" s="4">
        <v>32099</v>
      </c>
      <c r="D164" s="18" t="s">
        <v>186</v>
      </c>
      <c r="E164" s="18" t="s">
        <v>29</v>
      </c>
      <c r="F164" s="17">
        <v>1</v>
      </c>
      <c r="G164" s="18" t="s">
        <v>23</v>
      </c>
      <c r="H164" s="17">
        <v>62.3</v>
      </c>
      <c r="I164" s="5">
        <v>78.8</v>
      </c>
      <c r="J164" s="21">
        <f t="shared" si="6"/>
        <v>0.2648475120385233</v>
      </c>
      <c r="K164" s="1">
        <v>2</v>
      </c>
      <c r="L164" s="24">
        <v>3.9</v>
      </c>
      <c r="M164" s="24"/>
      <c r="N164" s="21">
        <f t="shared" si="7"/>
        <v>-1</v>
      </c>
      <c r="P164" s="1">
        <v>6</v>
      </c>
      <c r="Q164" s="24">
        <v>7.8799999999999955</v>
      </c>
      <c r="R164" s="24"/>
      <c r="S164" s="21">
        <f t="shared" si="8"/>
        <v>-1</v>
      </c>
    </row>
    <row r="165" spans="2:19" ht="11.4" customHeight="1" x14ac:dyDescent="0.2">
      <c r="B165" s="24"/>
      <c r="C165" s="4">
        <v>40646</v>
      </c>
      <c r="D165" s="18" t="s">
        <v>187</v>
      </c>
      <c r="E165" s="18" t="s">
        <v>29</v>
      </c>
      <c r="F165" s="18"/>
      <c r="G165" s="18" t="s">
        <v>23</v>
      </c>
      <c r="H165" s="17">
        <v>285.77999999999997</v>
      </c>
      <c r="I165" s="5">
        <v>371.5</v>
      </c>
      <c r="J165" s="21">
        <f t="shared" si="6"/>
        <v>0.29995101126740864</v>
      </c>
      <c r="K165" s="1">
        <v>2</v>
      </c>
      <c r="L165" s="24">
        <v>18.5</v>
      </c>
      <c r="M165" s="24"/>
      <c r="N165" s="21">
        <f t="shared" si="7"/>
        <v>-1</v>
      </c>
      <c r="P165" s="1">
        <v>6</v>
      </c>
      <c r="Q165" s="24">
        <v>37.149999999999977</v>
      </c>
      <c r="R165" s="24"/>
      <c r="S165" s="21">
        <f t="shared" si="8"/>
        <v>-1</v>
      </c>
    </row>
    <row r="166" spans="2:19" ht="11.4" customHeight="1" x14ac:dyDescent="0.2">
      <c r="B166" s="24"/>
      <c r="C166" s="4">
        <v>39404</v>
      </c>
      <c r="D166" s="18" t="s">
        <v>188</v>
      </c>
      <c r="E166" s="18" t="s">
        <v>29</v>
      </c>
      <c r="F166" s="17">
        <v>1</v>
      </c>
      <c r="G166" s="18" t="s">
        <v>23</v>
      </c>
      <c r="H166" s="17">
        <v>367.5</v>
      </c>
      <c r="I166" s="5">
        <v>405.9</v>
      </c>
      <c r="J166" s="21">
        <f t="shared" si="6"/>
        <v>0.10448979591836728</v>
      </c>
      <c r="K166" s="1">
        <v>2</v>
      </c>
      <c r="L166" s="24">
        <v>20.2</v>
      </c>
      <c r="M166" s="24"/>
      <c r="N166" s="21">
        <f t="shared" si="7"/>
        <v>-1</v>
      </c>
      <c r="P166" s="1">
        <v>6</v>
      </c>
      <c r="Q166" s="24">
        <v>40.589999999999975</v>
      </c>
      <c r="R166" s="24"/>
      <c r="S166" s="21">
        <f t="shared" si="8"/>
        <v>-1</v>
      </c>
    </row>
    <row r="167" spans="2:19" ht="11.4" customHeight="1" x14ac:dyDescent="0.2">
      <c r="B167" s="24"/>
      <c r="C167" s="4">
        <v>39393</v>
      </c>
      <c r="D167" s="18" t="s">
        <v>189</v>
      </c>
      <c r="E167" s="18" t="s">
        <v>29</v>
      </c>
      <c r="F167" s="17">
        <v>1</v>
      </c>
      <c r="G167" s="18" t="s">
        <v>23</v>
      </c>
      <c r="H167" s="17">
        <v>258.89999999999998</v>
      </c>
      <c r="I167" s="5">
        <v>281.3</v>
      </c>
      <c r="J167" s="21">
        <f t="shared" si="6"/>
        <v>8.6519891850135325E-2</v>
      </c>
      <c r="K167" s="1">
        <v>2</v>
      </c>
      <c r="L167" s="24">
        <v>14</v>
      </c>
      <c r="M167" s="24"/>
      <c r="N167" s="21">
        <f t="shared" si="7"/>
        <v>-1</v>
      </c>
      <c r="P167" s="1">
        <v>6</v>
      </c>
      <c r="Q167" s="24">
        <v>28.129999999999995</v>
      </c>
      <c r="R167" s="24"/>
      <c r="S167" s="21">
        <f t="shared" si="8"/>
        <v>-1</v>
      </c>
    </row>
    <row r="168" spans="2:19" ht="11.4" customHeight="1" x14ac:dyDescent="0.2">
      <c r="B168" s="24"/>
      <c r="C168" s="4">
        <v>35461</v>
      </c>
      <c r="D168" s="18" t="s">
        <v>190</v>
      </c>
      <c r="E168" s="18" t="s">
        <v>29</v>
      </c>
      <c r="F168" s="17">
        <v>6</v>
      </c>
      <c r="G168" s="18" t="s">
        <v>23</v>
      </c>
      <c r="H168" s="17">
        <v>164.5</v>
      </c>
      <c r="I168" s="5">
        <v>183.5</v>
      </c>
      <c r="J168" s="21">
        <f t="shared" si="6"/>
        <v>0.11550151975683891</v>
      </c>
      <c r="K168" s="1">
        <v>2</v>
      </c>
      <c r="L168" s="24">
        <v>9.1</v>
      </c>
      <c r="M168" s="24"/>
      <c r="N168" s="21">
        <f t="shared" si="7"/>
        <v>-1</v>
      </c>
      <c r="P168" s="1">
        <v>6</v>
      </c>
      <c r="Q168" s="24">
        <v>18.349999999999994</v>
      </c>
      <c r="R168" s="24"/>
      <c r="S168" s="21">
        <f t="shared" si="8"/>
        <v>-1</v>
      </c>
    </row>
    <row r="169" spans="2:19" ht="11.4" customHeight="1" x14ac:dyDescent="0.2">
      <c r="B169" s="24"/>
      <c r="C169" s="4">
        <v>39399</v>
      </c>
      <c r="D169" s="18" t="s">
        <v>191</v>
      </c>
      <c r="E169" s="18" t="s">
        <v>29</v>
      </c>
      <c r="F169" s="17">
        <v>1</v>
      </c>
      <c r="G169" s="18" t="s">
        <v>23</v>
      </c>
      <c r="H169" s="17">
        <v>553.5</v>
      </c>
      <c r="I169" s="5">
        <v>618</v>
      </c>
      <c r="J169" s="21">
        <f t="shared" si="6"/>
        <v>0.11653116531165311</v>
      </c>
      <c r="K169" s="1">
        <v>2</v>
      </c>
      <c r="L169" s="24">
        <v>30.9</v>
      </c>
      <c r="M169" s="24"/>
      <c r="N169" s="21">
        <f t="shared" si="7"/>
        <v>-1</v>
      </c>
      <c r="P169" s="1">
        <v>6</v>
      </c>
      <c r="Q169" s="24">
        <v>61.799999999999955</v>
      </c>
      <c r="R169" s="24"/>
      <c r="S169" s="21">
        <f t="shared" si="8"/>
        <v>-1</v>
      </c>
    </row>
    <row r="170" spans="2:19" ht="11.4" customHeight="1" x14ac:dyDescent="0.2">
      <c r="B170" s="24"/>
      <c r="C170" s="4">
        <v>39410</v>
      </c>
      <c r="D170" s="18" t="s">
        <v>192</v>
      </c>
      <c r="E170" s="18" t="s">
        <v>29</v>
      </c>
      <c r="F170" s="17">
        <v>1</v>
      </c>
      <c r="G170" s="18" t="s">
        <v>23</v>
      </c>
      <c r="H170" s="17">
        <v>333.5</v>
      </c>
      <c r="I170" s="5">
        <v>427.9</v>
      </c>
      <c r="J170" s="21">
        <f t="shared" si="6"/>
        <v>0.2830584707646176</v>
      </c>
      <c r="K170" s="1">
        <v>2</v>
      </c>
      <c r="L170" s="24">
        <v>21.3</v>
      </c>
      <c r="M170" s="24"/>
      <c r="N170" s="21">
        <f t="shared" si="7"/>
        <v>-1</v>
      </c>
      <c r="P170" s="1">
        <v>6</v>
      </c>
      <c r="Q170" s="24">
        <v>42.789999999999964</v>
      </c>
      <c r="R170" s="24"/>
      <c r="S170" s="21">
        <f t="shared" si="8"/>
        <v>-1</v>
      </c>
    </row>
    <row r="171" spans="2:19" ht="11.4" customHeight="1" x14ac:dyDescent="0.2">
      <c r="B171" s="24"/>
      <c r="C171" s="4">
        <v>39408</v>
      </c>
      <c r="D171" s="18" t="s">
        <v>193</v>
      </c>
      <c r="E171" s="18" t="s">
        <v>29</v>
      </c>
      <c r="F171" s="17">
        <v>1</v>
      </c>
      <c r="G171" s="18" t="s">
        <v>23</v>
      </c>
      <c r="H171" s="17">
        <v>269.89999999999998</v>
      </c>
      <c r="I171" s="5">
        <v>303.5</v>
      </c>
      <c r="J171" s="21">
        <f t="shared" si="6"/>
        <v>0.12449055205631725</v>
      </c>
      <c r="K171" s="1">
        <v>2</v>
      </c>
      <c r="L171" s="24">
        <v>15.1</v>
      </c>
      <c r="M171" s="24"/>
      <c r="N171" s="21">
        <f t="shared" si="7"/>
        <v>-1</v>
      </c>
      <c r="P171" s="1">
        <v>6</v>
      </c>
      <c r="Q171" s="24">
        <v>30.349999999999966</v>
      </c>
      <c r="R171" s="24"/>
      <c r="S171" s="21">
        <f t="shared" si="8"/>
        <v>-1</v>
      </c>
    </row>
    <row r="172" spans="2:19" ht="11.4" customHeight="1" x14ac:dyDescent="0.2">
      <c r="B172" s="24"/>
      <c r="C172" s="4">
        <v>41742</v>
      </c>
      <c r="D172" s="18" t="s">
        <v>194</v>
      </c>
      <c r="E172" s="18" t="s">
        <v>29</v>
      </c>
      <c r="F172" s="17">
        <v>1</v>
      </c>
      <c r="G172" s="18" t="s">
        <v>23</v>
      </c>
      <c r="H172" s="17">
        <v>855.6</v>
      </c>
      <c r="I172" s="6">
        <v>1155.5</v>
      </c>
      <c r="J172" s="21">
        <f t="shared" si="6"/>
        <v>0.35051425899953248</v>
      </c>
      <c r="K172" s="1">
        <v>2</v>
      </c>
      <c r="L172" s="24">
        <v>57.7</v>
      </c>
      <c r="M172" s="24"/>
      <c r="N172" s="21">
        <f t="shared" si="7"/>
        <v>-1</v>
      </c>
      <c r="P172" s="1">
        <v>6</v>
      </c>
      <c r="Q172" s="24">
        <v>115.54999999999995</v>
      </c>
      <c r="R172" s="24"/>
      <c r="S172" s="21">
        <f t="shared" si="8"/>
        <v>-1</v>
      </c>
    </row>
    <row r="173" spans="2:19" ht="11.4" customHeight="1" x14ac:dyDescent="0.2">
      <c r="B173" s="24"/>
      <c r="C173" s="4">
        <v>41746</v>
      </c>
      <c r="D173" s="18" t="s">
        <v>195</v>
      </c>
      <c r="E173" s="18" t="s">
        <v>29</v>
      </c>
      <c r="F173" s="17">
        <v>1</v>
      </c>
      <c r="G173" s="18" t="s">
        <v>23</v>
      </c>
      <c r="H173" s="17">
        <v>725.28</v>
      </c>
      <c r="I173" s="6">
        <v>1007.5</v>
      </c>
      <c r="J173" s="21">
        <f t="shared" si="6"/>
        <v>0.38911868519744103</v>
      </c>
      <c r="K173" s="1">
        <v>2</v>
      </c>
      <c r="L173" s="24">
        <v>50.3</v>
      </c>
      <c r="M173" s="24"/>
      <c r="N173" s="21">
        <f t="shared" si="7"/>
        <v>-1</v>
      </c>
      <c r="P173" s="1">
        <v>6</v>
      </c>
      <c r="Q173" s="24">
        <v>100.75</v>
      </c>
      <c r="R173" s="24"/>
      <c r="S173" s="21">
        <f t="shared" si="8"/>
        <v>-1</v>
      </c>
    </row>
    <row r="174" spans="2:19" ht="11.4" customHeight="1" x14ac:dyDescent="0.2">
      <c r="B174" s="24"/>
      <c r="C174" s="4">
        <v>30755</v>
      </c>
      <c r="D174" s="18" t="s">
        <v>196</v>
      </c>
      <c r="E174" s="18" t="s">
        <v>29</v>
      </c>
      <c r="F174" s="17">
        <v>2</v>
      </c>
      <c r="G174" s="18" t="s">
        <v>23</v>
      </c>
      <c r="H174" s="17">
        <v>74.599999999999994</v>
      </c>
      <c r="I174" s="5">
        <v>79.900000000000006</v>
      </c>
      <c r="J174" s="21">
        <f t="shared" si="6"/>
        <v>7.1045576407506861E-2</v>
      </c>
      <c r="K174" s="1">
        <v>2</v>
      </c>
      <c r="L174" s="24">
        <v>3.9</v>
      </c>
      <c r="M174" s="24"/>
      <c r="N174" s="21">
        <f t="shared" si="7"/>
        <v>-1</v>
      </c>
      <c r="P174" s="1">
        <v>6</v>
      </c>
      <c r="Q174" s="24">
        <v>7.9899999999999949</v>
      </c>
      <c r="R174" s="24"/>
      <c r="S174" s="21">
        <f t="shared" si="8"/>
        <v>-1</v>
      </c>
    </row>
    <row r="175" spans="2:19" ht="11.4" customHeight="1" x14ac:dyDescent="0.2">
      <c r="B175" s="24"/>
      <c r="C175" s="4">
        <v>35504</v>
      </c>
      <c r="D175" s="18" t="s">
        <v>197</v>
      </c>
      <c r="E175" s="18" t="s">
        <v>29</v>
      </c>
      <c r="F175" s="17">
        <v>1</v>
      </c>
      <c r="G175" s="18" t="s">
        <v>23</v>
      </c>
      <c r="H175" s="17">
        <v>166</v>
      </c>
      <c r="I175" s="5">
        <v>157.9</v>
      </c>
      <c r="J175" s="21">
        <f t="shared" si="6"/>
        <v>-4.8795180722891532E-2</v>
      </c>
      <c r="K175" s="1">
        <v>2</v>
      </c>
      <c r="L175" s="24">
        <v>7.8</v>
      </c>
      <c r="M175" s="24"/>
      <c r="N175" s="21">
        <f t="shared" si="7"/>
        <v>-1</v>
      </c>
      <c r="P175" s="1">
        <v>6</v>
      </c>
      <c r="Q175" s="24">
        <v>15.789999999999992</v>
      </c>
      <c r="R175" s="24"/>
      <c r="S175" s="21">
        <f t="shared" si="8"/>
        <v>-1</v>
      </c>
    </row>
    <row r="176" spans="2:19" ht="11.4" customHeight="1" x14ac:dyDescent="0.2">
      <c r="B176" s="24"/>
      <c r="C176" s="4">
        <v>17356</v>
      </c>
      <c r="D176" s="18" t="s">
        <v>198</v>
      </c>
      <c r="E176" s="18" t="s">
        <v>29</v>
      </c>
      <c r="F176" s="17">
        <v>1</v>
      </c>
      <c r="G176" s="18" t="s">
        <v>23</v>
      </c>
      <c r="H176" s="17">
        <v>234.5</v>
      </c>
      <c r="I176" s="5">
        <v>265.39999999999998</v>
      </c>
      <c r="J176" s="21">
        <f t="shared" si="6"/>
        <v>0.13176972281449884</v>
      </c>
      <c r="K176" s="1">
        <v>2</v>
      </c>
      <c r="L176" s="24">
        <v>13.2</v>
      </c>
      <c r="M176" s="24"/>
      <c r="N176" s="21">
        <f t="shared" si="7"/>
        <v>-1</v>
      </c>
      <c r="P176" s="1">
        <v>6</v>
      </c>
      <c r="Q176" s="24">
        <v>26.539999999999992</v>
      </c>
      <c r="R176" s="24"/>
      <c r="S176" s="21">
        <f t="shared" si="8"/>
        <v>-1</v>
      </c>
    </row>
    <row r="177" spans="2:19" ht="11.4" customHeight="1" x14ac:dyDescent="0.2">
      <c r="B177" s="24"/>
      <c r="C177" s="4">
        <v>38094</v>
      </c>
      <c r="D177" s="18" t="s">
        <v>199</v>
      </c>
      <c r="E177" s="18" t="s">
        <v>29</v>
      </c>
      <c r="F177" s="17">
        <v>1</v>
      </c>
      <c r="G177" s="18" t="s">
        <v>23</v>
      </c>
      <c r="H177" s="17">
        <v>178.2</v>
      </c>
      <c r="I177" s="5">
        <v>204.9</v>
      </c>
      <c r="J177" s="21">
        <f t="shared" si="6"/>
        <v>0.14983164983164993</v>
      </c>
      <c r="K177" s="1">
        <v>2</v>
      </c>
      <c r="L177" s="24">
        <v>10.199999999999999</v>
      </c>
      <c r="M177" s="24"/>
      <c r="N177" s="21">
        <f t="shared" si="7"/>
        <v>-1</v>
      </c>
      <c r="P177" s="1">
        <v>6</v>
      </c>
      <c r="Q177" s="24">
        <v>20.490000000000009</v>
      </c>
      <c r="R177" s="24"/>
      <c r="S177" s="21">
        <f t="shared" si="8"/>
        <v>-1</v>
      </c>
    </row>
    <row r="178" spans="2:19" ht="11.4" customHeight="1" x14ac:dyDescent="0.2">
      <c r="B178" s="24"/>
      <c r="C178" s="4">
        <v>41741</v>
      </c>
      <c r="D178" s="18" t="s">
        <v>200</v>
      </c>
      <c r="E178" s="18" t="s">
        <v>29</v>
      </c>
      <c r="F178" s="17">
        <v>1</v>
      </c>
      <c r="G178" s="18" t="s">
        <v>23</v>
      </c>
      <c r="H178" s="17">
        <v>720.06</v>
      </c>
      <c r="I178" s="5">
        <v>972.1</v>
      </c>
      <c r="J178" s="21">
        <f t="shared" si="6"/>
        <v>0.35002638668999819</v>
      </c>
      <c r="K178" s="1">
        <v>2</v>
      </c>
      <c r="L178" s="24">
        <v>48.6</v>
      </c>
      <c r="M178" s="24"/>
      <c r="N178" s="21">
        <f t="shared" si="7"/>
        <v>-1</v>
      </c>
      <c r="P178" s="1">
        <v>6</v>
      </c>
      <c r="Q178" s="24">
        <v>97.210000000000036</v>
      </c>
      <c r="R178" s="24"/>
      <c r="S178" s="21">
        <f t="shared" si="8"/>
        <v>-1</v>
      </c>
    </row>
    <row r="179" spans="2:19" ht="11.4" customHeight="1" x14ac:dyDescent="0.2">
      <c r="B179" s="24"/>
      <c r="C179" s="4">
        <v>40686</v>
      </c>
      <c r="D179" s="18" t="s">
        <v>201</v>
      </c>
      <c r="E179" s="18" t="s">
        <v>29</v>
      </c>
      <c r="F179" s="18"/>
      <c r="G179" s="18" t="s">
        <v>23</v>
      </c>
      <c r="H179" s="17">
        <v>285.77999999999997</v>
      </c>
      <c r="I179" s="5">
        <v>357.5</v>
      </c>
      <c r="J179" s="21">
        <f t="shared" si="6"/>
        <v>0.25096227867590465</v>
      </c>
      <c r="K179" s="1">
        <v>2</v>
      </c>
      <c r="L179" s="24">
        <v>17.8</v>
      </c>
      <c r="M179" s="24"/>
      <c r="N179" s="21">
        <f t="shared" si="7"/>
        <v>-1</v>
      </c>
      <c r="P179" s="1">
        <v>6</v>
      </c>
      <c r="Q179" s="24">
        <v>35.75</v>
      </c>
      <c r="R179" s="24"/>
      <c r="S179" s="21">
        <f t="shared" si="8"/>
        <v>-1</v>
      </c>
    </row>
    <row r="180" spans="2:19" ht="11.4" customHeight="1" x14ac:dyDescent="0.2">
      <c r="B180" s="24"/>
      <c r="C180" s="4">
        <v>40687</v>
      </c>
      <c r="D180" s="18" t="s">
        <v>202</v>
      </c>
      <c r="E180" s="18" t="s">
        <v>29</v>
      </c>
      <c r="F180" s="18"/>
      <c r="G180" s="18" t="s">
        <v>23</v>
      </c>
      <c r="H180" s="17">
        <v>259.74</v>
      </c>
      <c r="I180" s="5">
        <v>357.5</v>
      </c>
      <c r="J180" s="21">
        <f t="shared" si="6"/>
        <v>0.37637637637637633</v>
      </c>
      <c r="K180" s="1">
        <v>2</v>
      </c>
      <c r="L180" s="24">
        <v>17.8</v>
      </c>
      <c r="M180" s="24"/>
      <c r="N180" s="21">
        <f t="shared" si="7"/>
        <v>-1</v>
      </c>
      <c r="P180" s="1">
        <v>6</v>
      </c>
      <c r="Q180" s="24">
        <v>35.75</v>
      </c>
      <c r="R180" s="24"/>
      <c r="S180" s="21">
        <f t="shared" si="8"/>
        <v>-1</v>
      </c>
    </row>
    <row r="181" spans="2:19" ht="11.4" customHeight="1" x14ac:dyDescent="0.2">
      <c r="B181" s="24"/>
      <c r="C181" s="4">
        <v>36014</v>
      </c>
      <c r="D181" s="18" t="s">
        <v>203</v>
      </c>
      <c r="E181" s="18" t="s">
        <v>29</v>
      </c>
      <c r="F181" s="17">
        <v>1</v>
      </c>
      <c r="G181" s="18" t="s">
        <v>23</v>
      </c>
      <c r="H181" s="17">
        <v>159.9</v>
      </c>
      <c r="I181" s="5">
        <v>188.5</v>
      </c>
      <c r="J181" s="21">
        <f t="shared" si="6"/>
        <v>0.17886178861788612</v>
      </c>
      <c r="K181" s="1">
        <v>2</v>
      </c>
      <c r="L181" s="24">
        <v>9.4</v>
      </c>
      <c r="M181" s="24"/>
      <c r="N181" s="21">
        <f t="shared" si="7"/>
        <v>-1</v>
      </c>
      <c r="P181" s="1">
        <v>6</v>
      </c>
      <c r="Q181" s="24">
        <v>18.849999999999994</v>
      </c>
      <c r="R181" s="24"/>
      <c r="S181" s="21">
        <f t="shared" si="8"/>
        <v>-1</v>
      </c>
    </row>
    <row r="182" spans="2:19" ht="11.4" customHeight="1" x14ac:dyDescent="0.2">
      <c r="B182" s="24"/>
      <c r="C182" s="4">
        <v>45735</v>
      </c>
      <c r="D182" s="18" t="s">
        <v>204</v>
      </c>
      <c r="E182" s="18" t="s">
        <v>29</v>
      </c>
      <c r="F182" s="17">
        <v>6</v>
      </c>
      <c r="G182" s="18" t="s">
        <v>23</v>
      </c>
      <c r="H182" s="17">
        <v>126.06</v>
      </c>
      <c r="I182" s="5">
        <v>219</v>
      </c>
      <c r="J182" s="21">
        <f t="shared" si="6"/>
        <v>0.73726796763445979</v>
      </c>
      <c r="K182" s="1">
        <v>2</v>
      </c>
      <c r="L182" s="24">
        <v>10.9</v>
      </c>
      <c r="M182" s="24"/>
      <c r="N182" s="21">
        <f t="shared" si="7"/>
        <v>-1</v>
      </c>
      <c r="P182" s="1">
        <v>6</v>
      </c>
      <c r="Q182" s="24">
        <v>21.900000000000006</v>
      </c>
      <c r="R182" s="24"/>
      <c r="S182" s="21">
        <f t="shared" si="8"/>
        <v>-1</v>
      </c>
    </row>
    <row r="183" spans="2:19" ht="11.4" customHeight="1" x14ac:dyDescent="0.2">
      <c r="B183" s="24"/>
      <c r="C183" s="4">
        <v>35658</v>
      </c>
      <c r="D183" s="18" t="s">
        <v>205</v>
      </c>
      <c r="E183" s="18" t="s">
        <v>29</v>
      </c>
      <c r="F183" s="17">
        <v>6</v>
      </c>
      <c r="G183" s="18" t="s">
        <v>23</v>
      </c>
      <c r="H183" s="17">
        <v>141.4</v>
      </c>
      <c r="I183" s="5">
        <v>149.30000000000001</v>
      </c>
      <c r="J183" s="21">
        <f t="shared" si="6"/>
        <v>5.5869872701555905E-2</v>
      </c>
      <c r="K183" s="1">
        <v>2</v>
      </c>
      <c r="L183" s="24">
        <v>7.4</v>
      </c>
      <c r="M183" s="24"/>
      <c r="N183" s="21">
        <f t="shared" si="7"/>
        <v>-1</v>
      </c>
      <c r="P183" s="1">
        <v>6</v>
      </c>
      <c r="Q183" s="24">
        <v>14.930000000000007</v>
      </c>
      <c r="R183" s="24"/>
      <c r="S183" s="21">
        <f t="shared" si="8"/>
        <v>-1</v>
      </c>
    </row>
    <row r="184" spans="2:19" ht="11.4" customHeight="1" x14ac:dyDescent="0.2">
      <c r="B184" s="24"/>
      <c r="C184" s="4">
        <v>45728</v>
      </c>
      <c r="D184" s="18" t="s">
        <v>206</v>
      </c>
      <c r="E184" s="18" t="s">
        <v>29</v>
      </c>
      <c r="F184" s="17">
        <v>6</v>
      </c>
      <c r="G184" s="18" t="s">
        <v>23</v>
      </c>
      <c r="H184" s="17">
        <v>83.48</v>
      </c>
      <c r="I184" s="5">
        <v>159</v>
      </c>
      <c r="J184" s="21">
        <f t="shared" si="6"/>
        <v>0.90464781983708664</v>
      </c>
      <c r="K184" s="1">
        <v>2</v>
      </c>
      <c r="L184" s="24">
        <v>7.9</v>
      </c>
      <c r="M184" s="24"/>
      <c r="N184" s="21">
        <f t="shared" si="7"/>
        <v>-1</v>
      </c>
      <c r="P184" s="1">
        <v>6</v>
      </c>
      <c r="Q184" s="24">
        <v>15.900000000000006</v>
      </c>
      <c r="R184" s="24"/>
      <c r="S184" s="21">
        <f t="shared" si="8"/>
        <v>-1</v>
      </c>
    </row>
    <row r="185" spans="2:19" ht="11.4" customHeight="1" x14ac:dyDescent="0.2">
      <c r="B185" s="24"/>
      <c r="C185" s="4">
        <v>45734</v>
      </c>
      <c r="D185" s="18" t="s">
        <v>207</v>
      </c>
      <c r="E185" s="18" t="s">
        <v>29</v>
      </c>
      <c r="F185" s="17">
        <v>6</v>
      </c>
      <c r="G185" s="18" t="s">
        <v>23</v>
      </c>
      <c r="H185" s="17">
        <v>93.63</v>
      </c>
      <c r="I185" s="5">
        <v>159</v>
      </c>
      <c r="J185" s="21">
        <f t="shared" si="6"/>
        <v>0.69817366228772837</v>
      </c>
      <c r="K185" s="1">
        <v>2</v>
      </c>
      <c r="L185" s="24">
        <v>7.9</v>
      </c>
      <c r="M185" s="24"/>
      <c r="N185" s="21">
        <f t="shared" si="7"/>
        <v>-1</v>
      </c>
      <c r="P185" s="1">
        <v>6</v>
      </c>
      <c r="Q185" s="24">
        <v>15.900000000000006</v>
      </c>
      <c r="R185" s="24"/>
      <c r="S185" s="21">
        <f t="shared" si="8"/>
        <v>-1</v>
      </c>
    </row>
    <row r="186" spans="2:19" ht="11.4" customHeight="1" x14ac:dyDescent="0.2">
      <c r="B186" s="24"/>
      <c r="C186" s="4">
        <v>45740</v>
      </c>
      <c r="D186" s="18" t="s">
        <v>208</v>
      </c>
      <c r="E186" s="18" t="s">
        <v>29</v>
      </c>
      <c r="F186" s="17">
        <v>6</v>
      </c>
      <c r="G186" s="18" t="s">
        <v>23</v>
      </c>
      <c r="H186" s="17">
        <v>131.96</v>
      </c>
      <c r="I186" s="5">
        <v>219</v>
      </c>
      <c r="J186" s="21">
        <f t="shared" si="6"/>
        <v>0.65959381630797198</v>
      </c>
      <c r="K186" s="1">
        <v>2</v>
      </c>
      <c r="L186" s="24">
        <v>10.9</v>
      </c>
      <c r="M186" s="24"/>
      <c r="N186" s="21">
        <f t="shared" si="7"/>
        <v>-1</v>
      </c>
      <c r="P186" s="1">
        <v>6</v>
      </c>
      <c r="Q186" s="24">
        <v>21.900000000000006</v>
      </c>
      <c r="R186" s="24"/>
      <c r="S186" s="21">
        <f t="shared" si="8"/>
        <v>-1</v>
      </c>
    </row>
    <row r="187" spans="2:19" ht="11.4" customHeight="1" x14ac:dyDescent="0.2">
      <c r="B187" s="24"/>
      <c r="C187" s="4">
        <v>45751</v>
      </c>
      <c r="D187" s="18" t="s">
        <v>209</v>
      </c>
      <c r="E187" s="18" t="s">
        <v>29</v>
      </c>
      <c r="F187" s="17">
        <v>6</v>
      </c>
      <c r="G187" s="18" t="s">
        <v>23</v>
      </c>
      <c r="H187" s="17">
        <v>98.05</v>
      </c>
      <c r="I187" s="5">
        <v>169</v>
      </c>
      <c r="J187" s="21">
        <f t="shared" si="6"/>
        <v>0.7236104028556859</v>
      </c>
      <c r="K187" s="1">
        <v>2</v>
      </c>
      <c r="L187" s="24">
        <v>8.4</v>
      </c>
      <c r="M187" s="24"/>
      <c r="N187" s="21">
        <f t="shared" si="7"/>
        <v>-1</v>
      </c>
      <c r="P187" s="1">
        <v>6</v>
      </c>
      <c r="Q187" s="24">
        <v>16.900000000000006</v>
      </c>
      <c r="R187" s="24"/>
      <c r="S187" s="21">
        <f t="shared" si="8"/>
        <v>-1</v>
      </c>
    </row>
    <row r="188" spans="2:19" ht="11.4" customHeight="1" x14ac:dyDescent="0.2">
      <c r="B188" s="24"/>
      <c r="C188" s="4">
        <v>45741</v>
      </c>
      <c r="D188" s="18" t="s">
        <v>210</v>
      </c>
      <c r="E188" s="18" t="s">
        <v>29</v>
      </c>
      <c r="F188" s="17">
        <v>6</v>
      </c>
      <c r="G188" s="18" t="s">
        <v>23</v>
      </c>
      <c r="H188" s="17">
        <v>129.37</v>
      </c>
      <c r="I188" s="5">
        <v>219</v>
      </c>
      <c r="J188" s="21">
        <f t="shared" si="6"/>
        <v>0.69281904614671097</v>
      </c>
      <c r="K188" s="1">
        <v>2</v>
      </c>
      <c r="L188" s="24">
        <v>10.9</v>
      </c>
      <c r="M188" s="24"/>
      <c r="N188" s="21">
        <f t="shared" si="7"/>
        <v>-1</v>
      </c>
      <c r="P188" s="1">
        <v>6</v>
      </c>
      <c r="Q188" s="24">
        <v>21.900000000000006</v>
      </c>
      <c r="R188" s="24"/>
      <c r="S188" s="21">
        <f t="shared" si="8"/>
        <v>-1</v>
      </c>
    </row>
    <row r="189" spans="2:19" ht="11.4" customHeight="1" x14ac:dyDescent="0.2">
      <c r="B189" s="24"/>
      <c r="C189" s="4">
        <v>31913</v>
      </c>
      <c r="D189" s="18" t="s">
        <v>211</v>
      </c>
      <c r="E189" s="18" t="s">
        <v>29</v>
      </c>
      <c r="F189" s="17">
        <v>1</v>
      </c>
      <c r="G189" s="18" t="s">
        <v>23</v>
      </c>
      <c r="H189" s="17">
        <v>55.2</v>
      </c>
      <c r="I189" s="5">
        <v>78.8</v>
      </c>
      <c r="J189" s="21">
        <f t="shared" si="6"/>
        <v>0.42753623188405787</v>
      </c>
      <c r="K189" s="1">
        <v>2</v>
      </c>
      <c r="L189" s="24">
        <v>3.9</v>
      </c>
      <c r="M189" s="24"/>
      <c r="N189" s="21">
        <f t="shared" si="7"/>
        <v>-1</v>
      </c>
      <c r="P189" s="1">
        <v>6</v>
      </c>
      <c r="Q189" s="24">
        <v>7.8799999999999955</v>
      </c>
      <c r="R189" s="24"/>
      <c r="S189" s="21">
        <f t="shared" si="8"/>
        <v>-1</v>
      </c>
    </row>
    <row r="190" spans="2:19" ht="11.4" customHeight="1" x14ac:dyDescent="0.2">
      <c r="B190" s="24"/>
      <c r="C190" s="4">
        <v>46099</v>
      </c>
      <c r="D190" s="18" t="s">
        <v>212</v>
      </c>
      <c r="E190" s="18" t="s">
        <v>29</v>
      </c>
      <c r="F190" s="17">
        <v>6</v>
      </c>
      <c r="G190" s="18" t="s">
        <v>23</v>
      </c>
      <c r="H190" s="17">
        <v>262.8</v>
      </c>
      <c r="I190" s="5">
        <v>394.5</v>
      </c>
      <c r="J190" s="21">
        <f t="shared" si="6"/>
        <v>0.50114155251141546</v>
      </c>
      <c r="K190" s="1">
        <v>2</v>
      </c>
      <c r="L190" s="24">
        <v>19.7</v>
      </c>
      <c r="M190" s="24"/>
      <c r="N190" s="21">
        <f t="shared" si="7"/>
        <v>-1</v>
      </c>
      <c r="P190" s="1">
        <v>6</v>
      </c>
      <c r="Q190" s="24">
        <v>39.449999999999989</v>
      </c>
      <c r="R190" s="24"/>
      <c r="S190" s="21">
        <f t="shared" si="8"/>
        <v>-1</v>
      </c>
    </row>
    <row r="191" spans="2:19" ht="11.4" customHeight="1" x14ac:dyDescent="0.2">
      <c r="B191" s="24"/>
      <c r="C191" s="4">
        <v>46082</v>
      </c>
      <c r="D191" s="18" t="s">
        <v>213</v>
      </c>
      <c r="E191" s="18" t="s">
        <v>29</v>
      </c>
      <c r="F191" s="17">
        <v>6</v>
      </c>
      <c r="G191" s="18" t="s">
        <v>23</v>
      </c>
      <c r="H191" s="17">
        <v>376.2</v>
      </c>
      <c r="I191" s="5">
        <v>564.20000000000005</v>
      </c>
      <c r="J191" s="21">
        <f t="shared" si="6"/>
        <v>0.49973418394471042</v>
      </c>
      <c r="K191" s="1">
        <v>2</v>
      </c>
      <c r="L191" s="24">
        <v>28.2</v>
      </c>
      <c r="M191" s="24"/>
      <c r="N191" s="21">
        <f t="shared" si="7"/>
        <v>-1</v>
      </c>
      <c r="P191" s="1">
        <v>6</v>
      </c>
      <c r="Q191" s="24">
        <v>56.420000000000016</v>
      </c>
      <c r="R191" s="24"/>
      <c r="S191" s="21">
        <f t="shared" si="8"/>
        <v>-1</v>
      </c>
    </row>
    <row r="192" spans="2:19" ht="11.4" customHeight="1" x14ac:dyDescent="0.2">
      <c r="B192" s="24"/>
      <c r="C192" s="4">
        <v>45738</v>
      </c>
      <c r="D192" s="18" t="s">
        <v>214</v>
      </c>
      <c r="E192" s="18" t="s">
        <v>29</v>
      </c>
      <c r="F192" s="17">
        <v>6</v>
      </c>
      <c r="G192" s="18" t="s">
        <v>23</v>
      </c>
      <c r="H192" s="17">
        <v>127.72</v>
      </c>
      <c r="I192" s="5">
        <v>219</v>
      </c>
      <c r="J192" s="21">
        <f t="shared" si="6"/>
        <v>0.7146883808330724</v>
      </c>
      <c r="K192" s="1">
        <v>2</v>
      </c>
      <c r="L192" s="24">
        <v>10.9</v>
      </c>
      <c r="M192" s="24"/>
      <c r="N192" s="21">
        <f t="shared" si="7"/>
        <v>-1</v>
      </c>
      <c r="P192" s="1">
        <v>6</v>
      </c>
      <c r="Q192" s="24">
        <v>21.900000000000006</v>
      </c>
      <c r="R192" s="24"/>
      <c r="S192" s="21">
        <f t="shared" si="8"/>
        <v>-1</v>
      </c>
    </row>
    <row r="193" spans="2:19" ht="11.4" customHeight="1" x14ac:dyDescent="0.2">
      <c r="B193" s="24"/>
      <c r="C193" s="4">
        <v>46087</v>
      </c>
      <c r="D193" s="18" t="s">
        <v>215</v>
      </c>
      <c r="E193" s="18" t="s">
        <v>29</v>
      </c>
      <c r="F193" s="17">
        <v>6</v>
      </c>
      <c r="G193" s="18" t="s">
        <v>23</v>
      </c>
      <c r="H193" s="17">
        <v>244.34</v>
      </c>
      <c r="I193" s="5">
        <v>366.5</v>
      </c>
      <c r="J193" s="21">
        <f t="shared" si="6"/>
        <v>0.49995907342228041</v>
      </c>
      <c r="K193" s="1">
        <v>2</v>
      </c>
      <c r="L193" s="24">
        <v>18.3</v>
      </c>
      <c r="M193" s="24"/>
      <c r="N193" s="21">
        <f t="shared" si="7"/>
        <v>-1</v>
      </c>
      <c r="P193" s="1">
        <v>6</v>
      </c>
      <c r="Q193" s="24">
        <v>36.649999999999977</v>
      </c>
      <c r="R193" s="24"/>
      <c r="S193" s="21">
        <f t="shared" si="8"/>
        <v>-1</v>
      </c>
    </row>
    <row r="194" spans="2:19" ht="11.4" customHeight="1" x14ac:dyDescent="0.2">
      <c r="B194" s="24"/>
      <c r="C194" s="4">
        <v>46097</v>
      </c>
      <c r="D194" s="18" t="s">
        <v>216</v>
      </c>
      <c r="E194" s="18" t="s">
        <v>29</v>
      </c>
      <c r="F194" s="17">
        <v>6</v>
      </c>
      <c r="G194" s="18" t="s">
        <v>23</v>
      </c>
      <c r="H194" s="17">
        <v>246.11</v>
      </c>
      <c r="I194" s="5">
        <v>369.2</v>
      </c>
      <c r="J194" s="21">
        <f t="shared" si="6"/>
        <v>0.50014221283166049</v>
      </c>
      <c r="K194" s="1">
        <v>2</v>
      </c>
      <c r="L194" s="24">
        <v>18.399999999999999</v>
      </c>
      <c r="M194" s="24"/>
      <c r="N194" s="21">
        <f t="shared" si="7"/>
        <v>-1</v>
      </c>
      <c r="P194" s="1">
        <v>6</v>
      </c>
      <c r="Q194" s="24">
        <v>36.920000000000016</v>
      </c>
      <c r="R194" s="24"/>
      <c r="S194" s="21">
        <f t="shared" si="8"/>
        <v>-1</v>
      </c>
    </row>
    <row r="195" spans="2:19" ht="11.4" customHeight="1" x14ac:dyDescent="0.2">
      <c r="B195" s="24"/>
      <c r="C195" s="4">
        <v>46092</v>
      </c>
      <c r="D195" s="18" t="s">
        <v>217</v>
      </c>
      <c r="E195" s="18" t="s">
        <v>29</v>
      </c>
      <c r="F195" s="17">
        <v>6</v>
      </c>
      <c r="G195" s="18" t="s">
        <v>23</v>
      </c>
      <c r="H195" s="17">
        <v>165.24</v>
      </c>
      <c r="I195" s="5">
        <v>247.9</v>
      </c>
      <c r="J195" s="21">
        <f t="shared" ref="J195:J258" si="9">(I195-H195)/H195</f>
        <v>0.50024207213749694</v>
      </c>
      <c r="K195" s="1">
        <v>2</v>
      </c>
      <c r="L195" s="24">
        <v>12.3</v>
      </c>
      <c r="M195" s="24"/>
      <c r="N195" s="21">
        <f t="shared" ref="N195:N258" si="10">(M195-H195)/H195</f>
        <v>-1</v>
      </c>
      <c r="P195" s="1">
        <v>6</v>
      </c>
      <c r="Q195" s="24">
        <v>24.789999999999992</v>
      </c>
      <c r="R195" s="24"/>
      <c r="S195" s="21">
        <f t="shared" ref="S195:S258" si="11">(R195-H195)/H195</f>
        <v>-1</v>
      </c>
    </row>
    <row r="196" spans="2:19" ht="11.4" customHeight="1" x14ac:dyDescent="0.2">
      <c r="B196" s="24"/>
      <c r="C196" s="4">
        <v>45736</v>
      </c>
      <c r="D196" s="18" t="s">
        <v>218</v>
      </c>
      <c r="E196" s="18" t="s">
        <v>29</v>
      </c>
      <c r="F196" s="17">
        <v>6</v>
      </c>
      <c r="G196" s="18" t="s">
        <v>23</v>
      </c>
      <c r="H196" s="17">
        <v>127.72</v>
      </c>
      <c r="I196" s="5">
        <v>219</v>
      </c>
      <c r="J196" s="21">
        <f t="shared" si="9"/>
        <v>0.7146883808330724</v>
      </c>
      <c r="K196" s="1">
        <v>2</v>
      </c>
      <c r="L196" s="24">
        <v>10.9</v>
      </c>
      <c r="M196" s="24"/>
      <c r="N196" s="21">
        <f t="shared" si="10"/>
        <v>-1</v>
      </c>
      <c r="P196" s="1">
        <v>6</v>
      </c>
      <c r="Q196" s="24">
        <v>21.900000000000006</v>
      </c>
      <c r="R196" s="24"/>
      <c r="S196" s="21">
        <f t="shared" si="11"/>
        <v>-1</v>
      </c>
    </row>
    <row r="197" spans="2:19" ht="11.4" customHeight="1" x14ac:dyDescent="0.2">
      <c r="B197" s="24"/>
      <c r="C197" s="4">
        <v>39717</v>
      </c>
      <c r="D197" s="18" t="s">
        <v>219</v>
      </c>
      <c r="E197" s="18" t="s">
        <v>29</v>
      </c>
      <c r="F197" s="17">
        <v>1</v>
      </c>
      <c r="G197" s="18" t="s">
        <v>23</v>
      </c>
      <c r="H197" s="17">
        <v>976.9</v>
      </c>
      <c r="I197" s="6">
        <v>1348.5</v>
      </c>
      <c r="J197" s="21">
        <f t="shared" si="9"/>
        <v>0.3803869382741325</v>
      </c>
      <c r="K197" s="1">
        <v>2</v>
      </c>
      <c r="L197" s="24">
        <v>67.400000000000006</v>
      </c>
      <c r="M197" s="24"/>
      <c r="N197" s="21">
        <f t="shared" si="10"/>
        <v>-1</v>
      </c>
      <c r="P197" s="1">
        <v>6</v>
      </c>
      <c r="Q197" s="24">
        <v>134.84999999999991</v>
      </c>
      <c r="R197" s="24"/>
      <c r="S197" s="21">
        <f t="shared" si="11"/>
        <v>-1</v>
      </c>
    </row>
    <row r="198" spans="2:19" ht="11.4" customHeight="1" x14ac:dyDescent="0.2">
      <c r="B198" s="24"/>
      <c r="C198" s="4">
        <v>42806</v>
      </c>
      <c r="D198" s="18" t="s">
        <v>220</v>
      </c>
      <c r="E198" s="18" t="s">
        <v>29</v>
      </c>
      <c r="F198" s="17">
        <v>1</v>
      </c>
      <c r="G198" s="18" t="s">
        <v>23</v>
      </c>
      <c r="H198" s="17">
        <v>46.98</v>
      </c>
      <c r="I198" s="5">
        <v>78.8</v>
      </c>
      <c r="J198" s="21">
        <f t="shared" si="9"/>
        <v>0.67730949340144753</v>
      </c>
      <c r="K198" s="1">
        <v>2</v>
      </c>
      <c r="L198" s="24">
        <v>3.9</v>
      </c>
      <c r="M198" s="24"/>
      <c r="N198" s="21">
        <f t="shared" si="10"/>
        <v>-1</v>
      </c>
      <c r="P198" s="1">
        <v>6</v>
      </c>
      <c r="Q198" s="24">
        <v>7.8799999999999955</v>
      </c>
      <c r="R198" s="24"/>
      <c r="S198" s="21">
        <f t="shared" si="11"/>
        <v>-1</v>
      </c>
    </row>
    <row r="199" spans="2:19" ht="11.4" customHeight="1" x14ac:dyDescent="0.2">
      <c r="B199" s="24"/>
      <c r="C199" s="4">
        <v>42808</v>
      </c>
      <c r="D199" s="18" t="s">
        <v>221</v>
      </c>
      <c r="E199" s="18" t="s">
        <v>29</v>
      </c>
      <c r="F199" s="17">
        <v>1</v>
      </c>
      <c r="G199" s="18" t="s">
        <v>23</v>
      </c>
      <c r="H199" s="17">
        <v>49.98</v>
      </c>
      <c r="I199" s="5">
        <v>79.599999999999994</v>
      </c>
      <c r="J199" s="21">
        <f t="shared" si="9"/>
        <v>0.59263705482192874</v>
      </c>
      <c r="K199" s="1">
        <v>2</v>
      </c>
      <c r="L199" s="24">
        <v>3.9</v>
      </c>
      <c r="M199" s="24"/>
      <c r="N199" s="21">
        <f t="shared" si="10"/>
        <v>-1</v>
      </c>
      <c r="P199" s="1">
        <v>6</v>
      </c>
      <c r="Q199" s="24">
        <v>7.9599999999999937</v>
      </c>
      <c r="R199" s="24"/>
      <c r="S199" s="21">
        <f t="shared" si="11"/>
        <v>-1</v>
      </c>
    </row>
    <row r="200" spans="2:19" ht="11.4" customHeight="1" x14ac:dyDescent="0.2">
      <c r="B200" s="24"/>
      <c r="C200" s="4">
        <v>42809</v>
      </c>
      <c r="D200" s="18" t="s">
        <v>222</v>
      </c>
      <c r="E200" s="18" t="s">
        <v>29</v>
      </c>
      <c r="F200" s="17">
        <v>1</v>
      </c>
      <c r="G200" s="18" t="s">
        <v>23</v>
      </c>
      <c r="H200" s="17">
        <v>49.98</v>
      </c>
      <c r="I200" s="5">
        <v>79.599999999999994</v>
      </c>
      <c r="J200" s="21">
        <f t="shared" si="9"/>
        <v>0.59263705482192874</v>
      </c>
      <c r="K200" s="1">
        <v>2</v>
      </c>
      <c r="L200" s="24">
        <v>3.9</v>
      </c>
      <c r="M200" s="24"/>
      <c r="N200" s="21">
        <f t="shared" si="10"/>
        <v>-1</v>
      </c>
      <c r="P200" s="1">
        <v>6</v>
      </c>
      <c r="Q200" s="24">
        <v>7.9599999999999937</v>
      </c>
      <c r="R200" s="24"/>
      <c r="S200" s="21">
        <f t="shared" si="11"/>
        <v>-1</v>
      </c>
    </row>
    <row r="201" spans="2:19" ht="11.4" customHeight="1" x14ac:dyDescent="0.2">
      <c r="B201" s="24"/>
      <c r="C201" s="4">
        <v>42807</v>
      </c>
      <c r="D201" s="18" t="s">
        <v>223</v>
      </c>
      <c r="E201" s="18" t="s">
        <v>29</v>
      </c>
      <c r="F201" s="17">
        <v>1</v>
      </c>
      <c r="G201" s="18" t="s">
        <v>23</v>
      </c>
      <c r="H201" s="17">
        <v>46.98</v>
      </c>
      <c r="I201" s="5">
        <v>78.8</v>
      </c>
      <c r="J201" s="21">
        <f t="shared" si="9"/>
        <v>0.67730949340144753</v>
      </c>
      <c r="K201" s="1">
        <v>2</v>
      </c>
      <c r="L201" s="24">
        <v>3.9</v>
      </c>
      <c r="M201" s="24"/>
      <c r="N201" s="21">
        <f t="shared" si="10"/>
        <v>-1</v>
      </c>
      <c r="P201" s="1">
        <v>6</v>
      </c>
      <c r="Q201" s="24">
        <v>7.8799999999999955</v>
      </c>
      <c r="R201" s="24"/>
      <c r="S201" s="21">
        <f t="shared" si="11"/>
        <v>-1</v>
      </c>
    </row>
    <row r="202" spans="2:19" ht="11.4" customHeight="1" x14ac:dyDescent="0.2">
      <c r="B202" s="24"/>
      <c r="C202" s="4">
        <v>6347</v>
      </c>
      <c r="D202" s="18" t="s">
        <v>224</v>
      </c>
      <c r="E202" s="18" t="s">
        <v>225</v>
      </c>
      <c r="F202" s="17">
        <v>1</v>
      </c>
      <c r="G202" s="18" t="s">
        <v>23</v>
      </c>
      <c r="H202" s="17">
        <v>60</v>
      </c>
      <c r="I202" s="5">
        <v>75.5</v>
      </c>
      <c r="J202" s="21">
        <f t="shared" si="9"/>
        <v>0.25833333333333336</v>
      </c>
      <c r="K202" s="1">
        <v>2</v>
      </c>
      <c r="L202" s="24">
        <v>3.7</v>
      </c>
      <c r="M202" s="24"/>
      <c r="N202" s="21">
        <f t="shared" si="10"/>
        <v>-1</v>
      </c>
      <c r="P202" s="1">
        <v>6</v>
      </c>
      <c r="Q202" s="24">
        <v>7.5499999999999972</v>
      </c>
      <c r="R202" s="24"/>
      <c r="S202" s="21">
        <f t="shared" si="11"/>
        <v>-1</v>
      </c>
    </row>
    <row r="203" spans="2:19" ht="11.4" customHeight="1" x14ac:dyDescent="0.2">
      <c r="B203" s="24"/>
      <c r="C203" s="4">
        <v>3243</v>
      </c>
      <c r="D203" s="18" t="s">
        <v>226</v>
      </c>
      <c r="E203" s="18" t="s">
        <v>225</v>
      </c>
      <c r="F203" s="17">
        <v>1</v>
      </c>
      <c r="G203" s="18" t="s">
        <v>23</v>
      </c>
      <c r="H203" s="17">
        <v>330</v>
      </c>
      <c r="I203" s="5">
        <v>328.5</v>
      </c>
      <c r="J203" s="21">
        <f t="shared" si="9"/>
        <v>-4.5454545454545452E-3</v>
      </c>
      <c r="K203" s="1">
        <v>2</v>
      </c>
      <c r="L203" s="24">
        <v>16.399999999999999</v>
      </c>
      <c r="M203" s="24"/>
      <c r="N203" s="21">
        <f t="shared" si="10"/>
        <v>-1</v>
      </c>
      <c r="P203" s="1">
        <v>6</v>
      </c>
      <c r="Q203" s="24">
        <v>32.849999999999966</v>
      </c>
      <c r="R203" s="24"/>
      <c r="S203" s="21">
        <f t="shared" si="11"/>
        <v>-1</v>
      </c>
    </row>
    <row r="204" spans="2:19" ht="11.4" customHeight="1" x14ac:dyDescent="0.2">
      <c r="B204" s="24"/>
      <c r="C204" s="4">
        <v>3244</v>
      </c>
      <c r="D204" s="18" t="s">
        <v>227</v>
      </c>
      <c r="E204" s="18" t="s">
        <v>225</v>
      </c>
      <c r="F204" s="17">
        <v>12</v>
      </c>
      <c r="G204" s="18" t="s">
        <v>23</v>
      </c>
      <c r="H204" s="17">
        <v>411</v>
      </c>
      <c r="I204" s="5">
        <v>474</v>
      </c>
      <c r="J204" s="21">
        <f t="shared" si="9"/>
        <v>0.15328467153284672</v>
      </c>
      <c r="K204" s="1">
        <v>2</v>
      </c>
      <c r="L204" s="24">
        <v>23.7</v>
      </c>
      <c r="M204" s="24"/>
      <c r="N204" s="21">
        <f t="shared" si="10"/>
        <v>-1</v>
      </c>
      <c r="P204" s="1">
        <v>6</v>
      </c>
      <c r="Q204" s="24">
        <v>47.399999999999977</v>
      </c>
      <c r="R204" s="24"/>
      <c r="S204" s="21">
        <f t="shared" si="11"/>
        <v>-1</v>
      </c>
    </row>
    <row r="205" spans="2:19" ht="11.4" customHeight="1" x14ac:dyDescent="0.2">
      <c r="B205" s="24"/>
      <c r="C205" s="4">
        <v>13246</v>
      </c>
      <c r="D205" s="18" t="s">
        <v>228</v>
      </c>
      <c r="E205" s="18" t="s">
        <v>225</v>
      </c>
      <c r="F205" s="17">
        <v>1</v>
      </c>
      <c r="G205" s="18" t="s">
        <v>23</v>
      </c>
      <c r="H205" s="17">
        <v>553.86</v>
      </c>
      <c r="I205" s="5">
        <v>689</v>
      </c>
      <c r="J205" s="21">
        <f t="shared" si="9"/>
        <v>0.24399667786083123</v>
      </c>
      <c r="K205" s="1">
        <v>2</v>
      </c>
      <c r="L205" s="24">
        <v>34.4</v>
      </c>
      <c r="M205" s="24"/>
      <c r="N205" s="21">
        <f t="shared" si="10"/>
        <v>-1</v>
      </c>
      <c r="P205" s="1">
        <v>6</v>
      </c>
      <c r="Q205" s="24">
        <v>68.899999999999977</v>
      </c>
      <c r="R205" s="24"/>
      <c r="S205" s="21">
        <f t="shared" si="11"/>
        <v>-1</v>
      </c>
    </row>
    <row r="206" spans="2:19" ht="11.4" customHeight="1" x14ac:dyDescent="0.2">
      <c r="B206" s="24"/>
      <c r="C206" s="4">
        <v>37734</v>
      </c>
      <c r="D206" s="18" t="s">
        <v>229</v>
      </c>
      <c r="E206" s="18" t="s">
        <v>225</v>
      </c>
      <c r="F206" s="17">
        <v>1</v>
      </c>
      <c r="G206" s="18" t="s">
        <v>23</v>
      </c>
      <c r="H206" s="17">
        <v>154</v>
      </c>
      <c r="I206" s="5">
        <v>159.9</v>
      </c>
      <c r="J206" s="21">
        <f t="shared" si="9"/>
        <v>3.8311688311688345E-2</v>
      </c>
      <c r="K206" s="1">
        <v>2</v>
      </c>
      <c r="L206" s="24">
        <v>7.9</v>
      </c>
      <c r="M206" s="24"/>
      <c r="N206" s="21">
        <f t="shared" si="10"/>
        <v>-1</v>
      </c>
      <c r="P206" s="1">
        <v>6</v>
      </c>
      <c r="Q206" s="24">
        <v>15.990000000000009</v>
      </c>
      <c r="R206" s="24"/>
      <c r="S206" s="21">
        <f t="shared" si="11"/>
        <v>-1</v>
      </c>
    </row>
    <row r="207" spans="2:19" ht="11.4" customHeight="1" x14ac:dyDescent="0.2">
      <c r="B207" s="24"/>
      <c r="C207" s="4">
        <v>37737</v>
      </c>
      <c r="D207" s="18" t="s">
        <v>230</v>
      </c>
      <c r="E207" s="18" t="s">
        <v>225</v>
      </c>
      <c r="F207" s="17">
        <v>1</v>
      </c>
      <c r="G207" s="18" t="s">
        <v>23</v>
      </c>
      <c r="H207" s="17">
        <v>273.5</v>
      </c>
      <c r="I207" s="5">
        <v>294.89999999999998</v>
      </c>
      <c r="J207" s="21">
        <f t="shared" si="9"/>
        <v>7.8244972577696442E-2</v>
      </c>
      <c r="K207" s="1">
        <v>2</v>
      </c>
      <c r="L207" s="24">
        <v>14.7</v>
      </c>
      <c r="M207" s="24"/>
      <c r="N207" s="21">
        <f t="shared" si="10"/>
        <v>-1</v>
      </c>
      <c r="P207" s="1">
        <v>6</v>
      </c>
      <c r="Q207" s="24">
        <v>29.490000000000009</v>
      </c>
      <c r="R207" s="24"/>
      <c r="S207" s="21">
        <f t="shared" si="11"/>
        <v>-1</v>
      </c>
    </row>
    <row r="208" spans="2:19" ht="11.4" customHeight="1" x14ac:dyDescent="0.2">
      <c r="B208" s="24"/>
      <c r="C208" s="4">
        <v>47778</v>
      </c>
      <c r="D208" s="18" t="s">
        <v>231</v>
      </c>
      <c r="E208" s="18" t="s">
        <v>225</v>
      </c>
      <c r="F208" s="17">
        <v>6</v>
      </c>
      <c r="G208" s="18" t="s">
        <v>23</v>
      </c>
      <c r="H208" s="17">
        <v>411</v>
      </c>
      <c r="I208" s="5">
        <v>489</v>
      </c>
      <c r="J208" s="21">
        <f t="shared" si="9"/>
        <v>0.18978102189781021</v>
      </c>
      <c r="K208" s="1">
        <v>2</v>
      </c>
      <c r="L208" s="24">
        <v>24.4</v>
      </c>
      <c r="M208" s="24"/>
      <c r="N208" s="21">
        <f t="shared" si="10"/>
        <v>-1</v>
      </c>
      <c r="P208" s="1">
        <v>6</v>
      </c>
      <c r="Q208" s="24">
        <v>48.899999999999977</v>
      </c>
      <c r="R208" s="24"/>
      <c r="S208" s="21">
        <f t="shared" si="11"/>
        <v>-1</v>
      </c>
    </row>
    <row r="209" spans="2:19" ht="11.4" customHeight="1" x14ac:dyDescent="0.2">
      <c r="B209" s="24"/>
      <c r="C209" s="4">
        <v>42382</v>
      </c>
      <c r="D209" s="18" t="s">
        <v>232</v>
      </c>
      <c r="E209" s="18" t="s">
        <v>225</v>
      </c>
      <c r="F209" s="18"/>
      <c r="G209" s="18" t="s">
        <v>23</v>
      </c>
      <c r="H209" s="17">
        <v>167.1</v>
      </c>
      <c r="I209" s="5">
        <v>233.9</v>
      </c>
      <c r="J209" s="21">
        <f t="shared" si="9"/>
        <v>0.39976062238180737</v>
      </c>
      <c r="K209" s="1">
        <v>2</v>
      </c>
      <c r="L209" s="24">
        <v>11.6</v>
      </c>
      <c r="M209" s="24"/>
      <c r="N209" s="21">
        <f t="shared" si="10"/>
        <v>-1</v>
      </c>
      <c r="P209" s="1">
        <v>6</v>
      </c>
      <c r="Q209" s="24">
        <v>23.389999999999986</v>
      </c>
      <c r="R209" s="24"/>
      <c r="S209" s="21">
        <f t="shared" si="11"/>
        <v>-1</v>
      </c>
    </row>
    <row r="210" spans="2:19" ht="11.4" customHeight="1" x14ac:dyDescent="0.2">
      <c r="B210" s="24"/>
      <c r="C210" s="4">
        <v>42383</v>
      </c>
      <c r="D210" s="18" t="s">
        <v>233</v>
      </c>
      <c r="E210" s="18" t="s">
        <v>225</v>
      </c>
      <c r="F210" s="18"/>
      <c r="G210" s="18" t="s">
        <v>23</v>
      </c>
      <c r="H210" s="17">
        <v>211.14</v>
      </c>
      <c r="I210" s="5">
        <v>301.5</v>
      </c>
      <c r="J210" s="21">
        <f t="shared" si="9"/>
        <v>0.42796248934356362</v>
      </c>
      <c r="K210" s="1">
        <v>2</v>
      </c>
      <c r="L210" s="24">
        <v>15</v>
      </c>
      <c r="M210" s="24"/>
      <c r="N210" s="21">
        <f t="shared" si="10"/>
        <v>-1</v>
      </c>
      <c r="P210" s="1">
        <v>6</v>
      </c>
      <c r="Q210" s="24">
        <v>30.149999999999977</v>
      </c>
      <c r="R210" s="24"/>
      <c r="S210" s="21">
        <f t="shared" si="11"/>
        <v>-1</v>
      </c>
    </row>
    <row r="211" spans="2:19" ht="11.4" customHeight="1" x14ac:dyDescent="0.2">
      <c r="B211" s="24"/>
      <c r="C211" s="4">
        <v>37733</v>
      </c>
      <c r="D211" s="18" t="s">
        <v>234</v>
      </c>
      <c r="E211" s="18" t="s">
        <v>225</v>
      </c>
      <c r="F211" s="17">
        <v>1</v>
      </c>
      <c r="G211" s="18" t="s">
        <v>23</v>
      </c>
      <c r="H211" s="17">
        <v>154</v>
      </c>
      <c r="I211" s="5">
        <v>159.9</v>
      </c>
      <c r="J211" s="21">
        <f t="shared" si="9"/>
        <v>3.8311688311688345E-2</v>
      </c>
      <c r="K211" s="1">
        <v>2</v>
      </c>
      <c r="L211" s="24">
        <v>7.9</v>
      </c>
      <c r="M211" s="24"/>
      <c r="N211" s="21">
        <f t="shared" si="10"/>
        <v>-1</v>
      </c>
      <c r="P211" s="1">
        <v>6</v>
      </c>
      <c r="Q211" s="24">
        <v>15.990000000000009</v>
      </c>
      <c r="R211" s="24"/>
      <c r="S211" s="21">
        <f t="shared" si="11"/>
        <v>-1</v>
      </c>
    </row>
    <row r="212" spans="2:19" ht="11.4" customHeight="1" x14ac:dyDescent="0.2">
      <c r="B212" s="24"/>
      <c r="C212" s="4">
        <v>9587</v>
      </c>
      <c r="D212" s="18" t="s">
        <v>235</v>
      </c>
      <c r="E212" s="18" t="s">
        <v>225</v>
      </c>
      <c r="F212" s="17">
        <v>1</v>
      </c>
      <c r="G212" s="18" t="s">
        <v>23</v>
      </c>
      <c r="H212" s="17">
        <v>56.9</v>
      </c>
      <c r="I212" s="5">
        <v>61.9</v>
      </c>
      <c r="J212" s="21">
        <f t="shared" si="9"/>
        <v>8.7873462214411252E-2</v>
      </c>
      <c r="K212" s="1">
        <v>2</v>
      </c>
      <c r="L212" s="24">
        <v>3</v>
      </c>
      <c r="M212" s="24"/>
      <c r="N212" s="21">
        <f t="shared" si="10"/>
        <v>-1</v>
      </c>
      <c r="P212" s="1">
        <v>6</v>
      </c>
      <c r="Q212" s="24">
        <v>6.1899999999999977</v>
      </c>
      <c r="R212" s="24"/>
      <c r="S212" s="21">
        <f t="shared" si="11"/>
        <v>-1</v>
      </c>
    </row>
    <row r="213" spans="2:19" ht="11.4" customHeight="1" x14ac:dyDescent="0.2">
      <c r="B213" s="24"/>
      <c r="C213" s="4">
        <v>7380</v>
      </c>
      <c r="D213" s="18" t="s">
        <v>236</v>
      </c>
      <c r="E213" s="18" t="s">
        <v>225</v>
      </c>
      <c r="F213" s="17">
        <v>1</v>
      </c>
      <c r="G213" s="18" t="s">
        <v>23</v>
      </c>
      <c r="H213" s="17">
        <v>125.4</v>
      </c>
      <c r="I213" s="5">
        <v>136.9</v>
      </c>
      <c r="J213" s="21">
        <f t="shared" si="9"/>
        <v>9.1706539074960125E-2</v>
      </c>
      <c r="K213" s="1">
        <v>2</v>
      </c>
      <c r="L213" s="24">
        <v>6.8</v>
      </c>
      <c r="M213" s="24"/>
      <c r="N213" s="21">
        <f t="shared" si="10"/>
        <v>-1</v>
      </c>
      <c r="P213" s="1">
        <v>6</v>
      </c>
      <c r="Q213" s="24">
        <v>13.689999999999998</v>
      </c>
      <c r="R213" s="24"/>
      <c r="S213" s="21">
        <f t="shared" si="11"/>
        <v>-1</v>
      </c>
    </row>
    <row r="214" spans="2:19" ht="11.4" customHeight="1" x14ac:dyDescent="0.2">
      <c r="B214" s="24"/>
      <c r="C214" s="4">
        <v>5733</v>
      </c>
      <c r="D214" s="18" t="s">
        <v>237</v>
      </c>
      <c r="E214" s="18" t="s">
        <v>225</v>
      </c>
      <c r="F214" s="17">
        <v>1</v>
      </c>
      <c r="G214" s="18" t="s">
        <v>23</v>
      </c>
      <c r="H214" s="17">
        <v>177.9</v>
      </c>
      <c r="I214" s="5">
        <v>189.9</v>
      </c>
      <c r="J214" s="21">
        <f t="shared" si="9"/>
        <v>6.7453625632377737E-2</v>
      </c>
      <c r="K214" s="1">
        <v>2</v>
      </c>
      <c r="L214" s="24">
        <v>9.4</v>
      </c>
      <c r="M214" s="24"/>
      <c r="N214" s="21">
        <f t="shared" si="10"/>
        <v>-1</v>
      </c>
      <c r="P214" s="1">
        <v>6</v>
      </c>
      <c r="Q214" s="24">
        <v>18.990000000000009</v>
      </c>
      <c r="R214" s="24"/>
      <c r="S214" s="21">
        <f t="shared" si="11"/>
        <v>-1</v>
      </c>
    </row>
    <row r="215" spans="2:19" ht="11.4" customHeight="1" x14ac:dyDescent="0.2">
      <c r="B215" s="24"/>
      <c r="C215" s="4">
        <v>5734</v>
      </c>
      <c r="D215" s="18" t="s">
        <v>238</v>
      </c>
      <c r="E215" s="18" t="s">
        <v>225</v>
      </c>
      <c r="F215" s="17">
        <v>1</v>
      </c>
      <c r="G215" s="18" t="s">
        <v>23</v>
      </c>
      <c r="H215" s="17">
        <v>247.9</v>
      </c>
      <c r="I215" s="5">
        <v>273.89999999999998</v>
      </c>
      <c r="J215" s="21">
        <f t="shared" si="9"/>
        <v>0.10488100040338835</v>
      </c>
      <c r="K215" s="1">
        <v>2</v>
      </c>
      <c r="L215" s="24">
        <v>13.6</v>
      </c>
      <c r="M215" s="24"/>
      <c r="N215" s="21">
        <f t="shared" si="10"/>
        <v>-1</v>
      </c>
      <c r="P215" s="1">
        <v>6</v>
      </c>
      <c r="Q215" s="24">
        <v>27.389999999999986</v>
      </c>
      <c r="R215" s="24"/>
      <c r="S215" s="21">
        <f t="shared" si="11"/>
        <v>-1</v>
      </c>
    </row>
    <row r="216" spans="2:19" ht="11.4" customHeight="1" x14ac:dyDescent="0.2">
      <c r="B216" s="24"/>
      <c r="C216" s="4">
        <v>3456</v>
      </c>
      <c r="D216" s="18" t="s">
        <v>239</v>
      </c>
      <c r="E216" s="18" t="s">
        <v>225</v>
      </c>
      <c r="F216" s="17">
        <v>1</v>
      </c>
      <c r="G216" s="18" t="s">
        <v>23</v>
      </c>
      <c r="H216" s="17">
        <v>158.30000000000001</v>
      </c>
      <c r="I216" s="5">
        <v>147.5</v>
      </c>
      <c r="J216" s="21">
        <f t="shared" si="9"/>
        <v>-6.8224889450410678E-2</v>
      </c>
      <c r="K216" s="1">
        <v>2</v>
      </c>
      <c r="L216" s="24">
        <v>7.3</v>
      </c>
      <c r="M216" s="24"/>
      <c r="N216" s="21">
        <f t="shared" si="10"/>
        <v>-1</v>
      </c>
      <c r="P216" s="1">
        <v>6</v>
      </c>
      <c r="Q216" s="24">
        <v>14.75</v>
      </c>
      <c r="R216" s="24"/>
      <c r="S216" s="21">
        <f t="shared" si="11"/>
        <v>-1</v>
      </c>
    </row>
    <row r="217" spans="2:19" ht="11.4" customHeight="1" x14ac:dyDescent="0.2">
      <c r="B217" s="24"/>
      <c r="C217" s="4">
        <v>37735</v>
      </c>
      <c r="D217" s="18" t="s">
        <v>240</v>
      </c>
      <c r="E217" s="18" t="s">
        <v>225</v>
      </c>
      <c r="F217" s="17">
        <v>1</v>
      </c>
      <c r="G217" s="18" t="s">
        <v>23</v>
      </c>
      <c r="H217" s="17">
        <v>60</v>
      </c>
      <c r="I217" s="5">
        <v>74.900000000000006</v>
      </c>
      <c r="J217" s="21">
        <f t="shared" si="9"/>
        <v>0.24833333333333343</v>
      </c>
      <c r="K217" s="1">
        <v>2</v>
      </c>
      <c r="L217" s="24">
        <v>3.7</v>
      </c>
      <c r="M217" s="24"/>
      <c r="N217" s="21">
        <f t="shared" si="10"/>
        <v>-1</v>
      </c>
      <c r="P217" s="1">
        <v>6</v>
      </c>
      <c r="Q217" s="24">
        <v>7.4899999999999949</v>
      </c>
      <c r="R217" s="24"/>
      <c r="S217" s="21">
        <f t="shared" si="11"/>
        <v>-1</v>
      </c>
    </row>
    <row r="218" spans="2:19" ht="11.4" customHeight="1" x14ac:dyDescent="0.2">
      <c r="B218" s="24"/>
      <c r="C218" s="4">
        <v>5437</v>
      </c>
      <c r="D218" s="18" t="s">
        <v>241</v>
      </c>
      <c r="E218" s="18" t="s">
        <v>225</v>
      </c>
      <c r="F218" s="17">
        <v>1</v>
      </c>
      <c r="G218" s="18" t="s">
        <v>23</v>
      </c>
      <c r="H218" s="17">
        <v>158.80000000000001</v>
      </c>
      <c r="I218" s="5">
        <v>159.9</v>
      </c>
      <c r="J218" s="21">
        <f t="shared" si="9"/>
        <v>6.9269521410578981E-3</v>
      </c>
      <c r="K218" s="1">
        <v>2</v>
      </c>
      <c r="L218" s="24">
        <v>7.9</v>
      </c>
      <c r="M218" s="24"/>
      <c r="N218" s="21">
        <f t="shared" si="10"/>
        <v>-1</v>
      </c>
      <c r="P218" s="1">
        <v>6</v>
      </c>
      <c r="Q218" s="24">
        <v>15.990000000000009</v>
      </c>
      <c r="R218" s="24"/>
      <c r="S218" s="21">
        <f t="shared" si="11"/>
        <v>-1</v>
      </c>
    </row>
    <row r="219" spans="2:19" ht="11.4" customHeight="1" x14ac:dyDescent="0.2">
      <c r="B219" s="24"/>
      <c r="C219" s="4">
        <v>37736</v>
      </c>
      <c r="D219" s="18" t="s">
        <v>242</v>
      </c>
      <c r="E219" s="18" t="s">
        <v>225</v>
      </c>
      <c r="F219" s="17">
        <v>1</v>
      </c>
      <c r="G219" s="18" t="s">
        <v>23</v>
      </c>
      <c r="H219" s="17">
        <v>282.39999999999998</v>
      </c>
      <c r="I219" s="5">
        <v>294.89999999999998</v>
      </c>
      <c r="J219" s="21">
        <f t="shared" si="9"/>
        <v>4.4263456090651562E-2</v>
      </c>
      <c r="K219" s="1">
        <v>2</v>
      </c>
      <c r="L219" s="24">
        <v>14.7</v>
      </c>
      <c r="M219" s="24"/>
      <c r="N219" s="21">
        <f t="shared" si="10"/>
        <v>-1</v>
      </c>
      <c r="P219" s="1">
        <v>6</v>
      </c>
      <c r="Q219" s="24">
        <v>29.490000000000009</v>
      </c>
      <c r="R219" s="24"/>
      <c r="S219" s="21">
        <f t="shared" si="11"/>
        <v>-1</v>
      </c>
    </row>
    <row r="220" spans="2:19" ht="11.4" customHeight="1" x14ac:dyDescent="0.2">
      <c r="B220" s="24"/>
      <c r="C220" s="4">
        <v>23846</v>
      </c>
      <c r="D220" s="18" t="s">
        <v>243</v>
      </c>
      <c r="E220" s="18" t="s">
        <v>225</v>
      </c>
      <c r="F220" s="17">
        <v>1</v>
      </c>
      <c r="G220" s="18" t="s">
        <v>23</v>
      </c>
      <c r="H220" s="17">
        <v>907.06</v>
      </c>
      <c r="I220" s="5">
        <v>919</v>
      </c>
      <c r="J220" s="21">
        <f t="shared" si="9"/>
        <v>1.3163407051352783E-2</v>
      </c>
      <c r="K220" s="1">
        <v>2</v>
      </c>
      <c r="L220" s="24">
        <v>45.9</v>
      </c>
      <c r="M220" s="24"/>
      <c r="N220" s="21">
        <f t="shared" si="10"/>
        <v>-1</v>
      </c>
      <c r="P220" s="1">
        <v>6</v>
      </c>
      <c r="Q220" s="24">
        <v>91.899999999999977</v>
      </c>
      <c r="R220" s="24"/>
      <c r="S220" s="21">
        <f t="shared" si="11"/>
        <v>-1</v>
      </c>
    </row>
    <row r="221" spans="2:19" ht="11.4" customHeight="1" x14ac:dyDescent="0.2">
      <c r="B221" s="24"/>
      <c r="C221" s="4">
        <v>37099</v>
      </c>
      <c r="D221" s="18" t="s">
        <v>244</v>
      </c>
      <c r="E221" s="18" t="s">
        <v>225</v>
      </c>
      <c r="F221" s="17">
        <v>1</v>
      </c>
      <c r="G221" s="18" t="s">
        <v>23</v>
      </c>
      <c r="H221" s="17">
        <v>291.5</v>
      </c>
      <c r="I221" s="5">
        <v>314</v>
      </c>
      <c r="J221" s="21">
        <f t="shared" si="9"/>
        <v>7.7186963979416809E-2</v>
      </c>
      <c r="K221" s="1">
        <v>2</v>
      </c>
      <c r="L221" s="24">
        <v>15.7</v>
      </c>
      <c r="M221" s="24"/>
      <c r="N221" s="21">
        <f t="shared" si="10"/>
        <v>-1</v>
      </c>
      <c r="P221" s="1">
        <v>6</v>
      </c>
      <c r="Q221" s="24">
        <v>31.399999999999977</v>
      </c>
      <c r="R221" s="24"/>
      <c r="S221" s="21">
        <f t="shared" si="11"/>
        <v>-1</v>
      </c>
    </row>
    <row r="222" spans="2:19" ht="11.4" customHeight="1" x14ac:dyDescent="0.2">
      <c r="B222" s="24"/>
      <c r="C222" s="4">
        <v>39579</v>
      </c>
      <c r="D222" s="18" t="s">
        <v>245</v>
      </c>
      <c r="E222" s="18" t="s">
        <v>225</v>
      </c>
      <c r="F222" s="17">
        <v>1</v>
      </c>
      <c r="G222" s="18" t="s">
        <v>23</v>
      </c>
      <c r="H222" s="17">
        <v>31.9</v>
      </c>
      <c r="I222" s="5">
        <v>31.9</v>
      </c>
      <c r="J222" s="21">
        <f t="shared" si="9"/>
        <v>0</v>
      </c>
      <c r="K222" s="1">
        <v>2</v>
      </c>
      <c r="L222" s="24">
        <v>1.5</v>
      </c>
      <c r="M222" s="24"/>
      <c r="N222" s="21">
        <f t="shared" si="10"/>
        <v>-1</v>
      </c>
      <c r="P222" s="1">
        <v>6</v>
      </c>
      <c r="Q222" s="24">
        <v>3.1899999999999977</v>
      </c>
      <c r="R222" s="24"/>
      <c r="S222" s="21">
        <f t="shared" si="11"/>
        <v>-1</v>
      </c>
    </row>
    <row r="223" spans="2:19" ht="11.4" customHeight="1" x14ac:dyDescent="0.2">
      <c r="B223" s="24"/>
      <c r="C223" s="4">
        <v>9641</v>
      </c>
      <c r="D223" s="18" t="s">
        <v>246</v>
      </c>
      <c r="E223" s="18" t="s">
        <v>225</v>
      </c>
      <c r="F223" s="17">
        <v>1</v>
      </c>
      <c r="G223" s="18" t="s">
        <v>23</v>
      </c>
      <c r="H223" s="17">
        <v>127.9</v>
      </c>
      <c r="I223" s="5">
        <v>126.5</v>
      </c>
      <c r="J223" s="21">
        <f t="shared" si="9"/>
        <v>-1.0946051602814743E-2</v>
      </c>
      <c r="K223" s="1">
        <v>2</v>
      </c>
      <c r="L223" s="24">
        <v>6.3</v>
      </c>
      <c r="M223" s="24"/>
      <c r="N223" s="21">
        <f t="shared" si="10"/>
        <v>-1</v>
      </c>
      <c r="P223" s="1">
        <v>6</v>
      </c>
      <c r="Q223" s="24">
        <v>12.649999999999991</v>
      </c>
      <c r="R223" s="24"/>
      <c r="S223" s="21">
        <f t="shared" si="11"/>
        <v>-1</v>
      </c>
    </row>
    <row r="224" spans="2:19" ht="11.4" customHeight="1" x14ac:dyDescent="0.2">
      <c r="B224" s="24"/>
      <c r="C224" s="4">
        <v>9642</v>
      </c>
      <c r="D224" s="18" t="s">
        <v>247</v>
      </c>
      <c r="E224" s="18" t="s">
        <v>225</v>
      </c>
      <c r="F224" s="17">
        <v>1</v>
      </c>
      <c r="G224" s="18" t="s">
        <v>23</v>
      </c>
      <c r="H224" s="17">
        <v>173.5</v>
      </c>
      <c r="I224" s="5">
        <v>171.5</v>
      </c>
      <c r="J224" s="21">
        <f t="shared" si="9"/>
        <v>-1.1527377521613832E-2</v>
      </c>
      <c r="K224" s="1">
        <v>2</v>
      </c>
      <c r="L224" s="24">
        <v>8.5</v>
      </c>
      <c r="M224" s="24"/>
      <c r="N224" s="21">
        <f t="shared" si="10"/>
        <v>-1</v>
      </c>
      <c r="P224" s="1">
        <v>6</v>
      </c>
      <c r="Q224" s="24">
        <v>17.150000000000006</v>
      </c>
      <c r="R224" s="24"/>
      <c r="S224" s="21">
        <f t="shared" si="11"/>
        <v>-1</v>
      </c>
    </row>
    <row r="225" spans="2:19" ht="11.4" customHeight="1" x14ac:dyDescent="0.2">
      <c r="B225" s="24"/>
      <c r="C225" s="4">
        <v>12797</v>
      </c>
      <c r="D225" s="18" t="s">
        <v>248</v>
      </c>
      <c r="E225" s="18" t="s">
        <v>225</v>
      </c>
      <c r="F225" s="17">
        <v>1</v>
      </c>
      <c r="G225" s="18" t="s">
        <v>23</v>
      </c>
      <c r="H225" s="17">
        <v>249.5</v>
      </c>
      <c r="I225" s="5">
        <v>249.5</v>
      </c>
      <c r="J225" s="21">
        <f t="shared" si="9"/>
        <v>0</v>
      </c>
      <c r="K225" s="1">
        <v>2</v>
      </c>
      <c r="L225" s="24">
        <v>12.4</v>
      </c>
      <c r="M225" s="24"/>
      <c r="N225" s="21">
        <f t="shared" si="10"/>
        <v>-1</v>
      </c>
      <c r="P225" s="1">
        <v>6</v>
      </c>
      <c r="Q225" s="24">
        <v>24.949999999999989</v>
      </c>
      <c r="R225" s="24"/>
      <c r="S225" s="21">
        <f t="shared" si="11"/>
        <v>-1</v>
      </c>
    </row>
    <row r="226" spans="2:19" ht="11.4" customHeight="1" x14ac:dyDescent="0.2">
      <c r="B226" s="24"/>
      <c r="C226" s="4">
        <v>37533</v>
      </c>
      <c r="D226" s="18" t="s">
        <v>249</v>
      </c>
      <c r="E226" s="18" t="s">
        <v>225</v>
      </c>
      <c r="F226" s="17">
        <v>1</v>
      </c>
      <c r="G226" s="18" t="s">
        <v>23</v>
      </c>
      <c r="H226" s="17">
        <v>457.2</v>
      </c>
      <c r="I226" s="5">
        <v>464</v>
      </c>
      <c r="J226" s="21">
        <f t="shared" si="9"/>
        <v>1.4873140857392851E-2</v>
      </c>
      <c r="K226" s="1">
        <v>2</v>
      </c>
      <c r="L226" s="24">
        <v>23.2</v>
      </c>
      <c r="M226" s="24"/>
      <c r="N226" s="21">
        <f t="shared" si="10"/>
        <v>-1</v>
      </c>
      <c r="P226" s="1">
        <v>6</v>
      </c>
      <c r="Q226" s="24">
        <v>46.399999999999977</v>
      </c>
      <c r="R226" s="24"/>
      <c r="S226" s="21">
        <f t="shared" si="11"/>
        <v>-1</v>
      </c>
    </row>
    <row r="227" spans="2:19" ht="11.4" customHeight="1" x14ac:dyDescent="0.2">
      <c r="B227" s="24"/>
      <c r="C227" s="4">
        <v>3778</v>
      </c>
      <c r="D227" s="18" t="s">
        <v>250</v>
      </c>
      <c r="E227" s="18" t="s">
        <v>225</v>
      </c>
      <c r="F227" s="17">
        <v>1</v>
      </c>
      <c r="G227" s="18" t="s">
        <v>23</v>
      </c>
      <c r="H227" s="17">
        <v>101</v>
      </c>
      <c r="I227" s="5">
        <v>111.9</v>
      </c>
      <c r="J227" s="21">
        <f t="shared" si="9"/>
        <v>0.10792079207920798</v>
      </c>
      <c r="K227" s="1">
        <v>2</v>
      </c>
      <c r="L227" s="24">
        <v>5.5</v>
      </c>
      <c r="M227" s="24"/>
      <c r="N227" s="21">
        <f t="shared" si="10"/>
        <v>-1</v>
      </c>
      <c r="P227" s="1">
        <v>6</v>
      </c>
      <c r="Q227" s="24">
        <v>11.189999999999998</v>
      </c>
      <c r="R227" s="24"/>
      <c r="S227" s="21">
        <f t="shared" si="11"/>
        <v>-1</v>
      </c>
    </row>
    <row r="228" spans="2:19" ht="11.4" customHeight="1" x14ac:dyDescent="0.2">
      <c r="B228" s="24"/>
      <c r="C228" s="4">
        <v>3922</v>
      </c>
      <c r="D228" s="18" t="s">
        <v>251</v>
      </c>
      <c r="E228" s="18" t="s">
        <v>225</v>
      </c>
      <c r="F228" s="17">
        <v>1</v>
      </c>
      <c r="G228" s="18" t="s">
        <v>23</v>
      </c>
      <c r="H228" s="17">
        <v>176.1</v>
      </c>
      <c r="I228" s="5">
        <v>195.3</v>
      </c>
      <c r="J228" s="21">
        <f t="shared" si="9"/>
        <v>0.1090289608177173</v>
      </c>
      <c r="K228" s="1">
        <v>2</v>
      </c>
      <c r="L228" s="24">
        <v>9.6999999999999993</v>
      </c>
      <c r="M228" s="24"/>
      <c r="N228" s="21">
        <f t="shared" si="10"/>
        <v>-1</v>
      </c>
      <c r="P228" s="1">
        <v>6</v>
      </c>
      <c r="Q228" s="24">
        <v>19.53</v>
      </c>
      <c r="R228" s="24"/>
      <c r="S228" s="21">
        <f t="shared" si="11"/>
        <v>-1</v>
      </c>
    </row>
    <row r="229" spans="2:19" ht="11.4" customHeight="1" x14ac:dyDescent="0.2">
      <c r="B229" s="24"/>
      <c r="C229" s="4">
        <v>6215</v>
      </c>
      <c r="D229" s="18" t="s">
        <v>252</v>
      </c>
      <c r="E229" s="18" t="s">
        <v>225</v>
      </c>
      <c r="F229" s="17">
        <v>1</v>
      </c>
      <c r="G229" s="18" t="s">
        <v>23</v>
      </c>
      <c r="H229" s="17">
        <v>249.9</v>
      </c>
      <c r="I229" s="5">
        <v>276.89999999999998</v>
      </c>
      <c r="J229" s="21">
        <f t="shared" si="9"/>
        <v>0.10804321728691466</v>
      </c>
      <c r="K229" s="1">
        <v>2</v>
      </c>
      <c r="L229" s="24">
        <v>13.8</v>
      </c>
      <c r="M229" s="24"/>
      <c r="N229" s="21">
        <f t="shared" si="10"/>
        <v>-1</v>
      </c>
      <c r="P229" s="1">
        <v>6</v>
      </c>
      <c r="Q229" s="24">
        <v>27.689999999999998</v>
      </c>
      <c r="R229" s="24"/>
      <c r="S229" s="21">
        <f t="shared" si="11"/>
        <v>-1</v>
      </c>
    </row>
    <row r="230" spans="2:19" ht="11.4" customHeight="1" x14ac:dyDescent="0.2">
      <c r="B230" s="24"/>
      <c r="C230" s="4">
        <v>9759</v>
      </c>
      <c r="D230" s="18" t="s">
        <v>253</v>
      </c>
      <c r="E230" s="18" t="s">
        <v>225</v>
      </c>
      <c r="F230" s="17">
        <v>1</v>
      </c>
      <c r="G230" s="18" t="s">
        <v>23</v>
      </c>
      <c r="H230" s="17">
        <v>214.04</v>
      </c>
      <c r="I230" s="5">
        <v>271.89999999999998</v>
      </c>
      <c r="J230" s="21">
        <f t="shared" si="9"/>
        <v>0.27032330405531668</v>
      </c>
      <c r="K230" s="1">
        <v>2</v>
      </c>
      <c r="L230" s="24">
        <v>13.5</v>
      </c>
      <c r="M230" s="24"/>
      <c r="N230" s="21">
        <f t="shared" si="10"/>
        <v>-1</v>
      </c>
      <c r="P230" s="1">
        <v>6</v>
      </c>
      <c r="Q230" s="24">
        <v>27.189999999999998</v>
      </c>
      <c r="R230" s="24"/>
      <c r="S230" s="21">
        <f t="shared" si="11"/>
        <v>-1</v>
      </c>
    </row>
    <row r="231" spans="2:19" ht="11.4" customHeight="1" x14ac:dyDescent="0.2">
      <c r="B231" s="24"/>
      <c r="C231" s="4">
        <v>39581</v>
      </c>
      <c r="D231" s="18" t="s">
        <v>254</v>
      </c>
      <c r="E231" s="18" t="s">
        <v>225</v>
      </c>
      <c r="F231" s="17">
        <v>2</v>
      </c>
      <c r="G231" s="18" t="s">
        <v>23</v>
      </c>
      <c r="H231" s="17">
        <v>24.9</v>
      </c>
      <c r="I231" s="5">
        <v>26.9</v>
      </c>
      <c r="J231" s="21">
        <f t="shared" si="9"/>
        <v>8.0321285140562249E-2</v>
      </c>
      <c r="K231" s="1">
        <v>2</v>
      </c>
      <c r="L231" s="24">
        <v>1.3</v>
      </c>
      <c r="M231" s="24"/>
      <c r="N231" s="21">
        <f t="shared" si="10"/>
        <v>-1</v>
      </c>
      <c r="P231" s="1">
        <v>6</v>
      </c>
      <c r="Q231" s="24">
        <v>2.6899999999999977</v>
      </c>
      <c r="R231" s="24"/>
      <c r="S231" s="21">
        <f t="shared" si="11"/>
        <v>-1</v>
      </c>
    </row>
    <row r="232" spans="2:19" ht="11.4" customHeight="1" x14ac:dyDescent="0.2">
      <c r="B232" s="24"/>
      <c r="C232" s="4">
        <v>3356</v>
      </c>
      <c r="D232" s="18" t="s">
        <v>255</v>
      </c>
      <c r="E232" s="18" t="s">
        <v>225</v>
      </c>
      <c r="F232" s="17">
        <v>2</v>
      </c>
      <c r="G232" s="18" t="s">
        <v>23</v>
      </c>
      <c r="H232" s="17">
        <v>40.1</v>
      </c>
      <c r="I232" s="5">
        <v>44.5</v>
      </c>
      <c r="J232" s="21">
        <f t="shared" si="9"/>
        <v>0.10972568578553613</v>
      </c>
      <c r="K232" s="1">
        <v>2</v>
      </c>
      <c r="L232" s="24">
        <v>2.2000000000000002</v>
      </c>
      <c r="M232" s="24"/>
      <c r="N232" s="21">
        <f t="shared" si="10"/>
        <v>-1</v>
      </c>
      <c r="P232" s="1">
        <v>6</v>
      </c>
      <c r="Q232" s="24">
        <v>4.4499999999999957</v>
      </c>
      <c r="R232" s="24"/>
      <c r="S232" s="21">
        <f t="shared" si="11"/>
        <v>-1</v>
      </c>
    </row>
    <row r="233" spans="2:19" ht="11.4" customHeight="1" x14ac:dyDescent="0.2">
      <c r="B233" s="24"/>
      <c r="C233" s="4">
        <v>46129</v>
      </c>
      <c r="D233" s="18" t="s">
        <v>256</v>
      </c>
      <c r="E233" s="18" t="s">
        <v>225</v>
      </c>
      <c r="F233" s="17">
        <v>12</v>
      </c>
      <c r="G233" s="18" t="s">
        <v>23</v>
      </c>
      <c r="H233" s="17">
        <v>209.3</v>
      </c>
      <c r="I233" s="5">
        <v>319</v>
      </c>
      <c r="J233" s="21">
        <f t="shared" si="9"/>
        <v>0.52412804586717621</v>
      </c>
      <c r="K233" s="1">
        <v>2</v>
      </c>
      <c r="L233" s="24">
        <v>15.9</v>
      </c>
      <c r="M233" s="24"/>
      <c r="N233" s="21">
        <f t="shared" si="10"/>
        <v>-1</v>
      </c>
      <c r="P233" s="1">
        <v>6</v>
      </c>
      <c r="Q233" s="24">
        <v>31.899999999999977</v>
      </c>
      <c r="R233" s="24"/>
      <c r="S233" s="21">
        <f t="shared" si="11"/>
        <v>-1</v>
      </c>
    </row>
    <row r="234" spans="2:19" ht="11.4" customHeight="1" x14ac:dyDescent="0.2">
      <c r="B234" s="24"/>
      <c r="C234" s="4">
        <v>46134</v>
      </c>
      <c r="D234" s="18" t="s">
        <v>257</v>
      </c>
      <c r="E234" s="18" t="s">
        <v>225</v>
      </c>
      <c r="F234" s="17">
        <v>6</v>
      </c>
      <c r="G234" s="18" t="s">
        <v>23</v>
      </c>
      <c r="H234" s="17">
        <v>323.45</v>
      </c>
      <c r="I234" s="5">
        <v>449</v>
      </c>
      <c r="J234" s="21">
        <f t="shared" si="9"/>
        <v>0.38815891173287992</v>
      </c>
      <c r="K234" s="1">
        <v>2</v>
      </c>
      <c r="L234" s="24">
        <v>22.4</v>
      </c>
      <c r="M234" s="24"/>
      <c r="N234" s="21">
        <f t="shared" si="10"/>
        <v>-1</v>
      </c>
      <c r="P234" s="1">
        <v>6</v>
      </c>
      <c r="Q234" s="24">
        <v>44.899999999999977</v>
      </c>
      <c r="R234" s="24"/>
      <c r="S234" s="21">
        <f t="shared" si="11"/>
        <v>-1</v>
      </c>
    </row>
    <row r="235" spans="2:19" ht="11.4" customHeight="1" x14ac:dyDescent="0.2">
      <c r="B235" s="24"/>
      <c r="C235" s="4">
        <v>37738</v>
      </c>
      <c r="D235" s="18" t="s">
        <v>258</v>
      </c>
      <c r="E235" s="18" t="s">
        <v>225</v>
      </c>
      <c r="F235" s="17">
        <v>1</v>
      </c>
      <c r="G235" s="18" t="s">
        <v>23</v>
      </c>
      <c r="H235" s="17">
        <v>154</v>
      </c>
      <c r="I235" s="5">
        <v>159.9</v>
      </c>
      <c r="J235" s="21">
        <f t="shared" si="9"/>
        <v>3.8311688311688345E-2</v>
      </c>
      <c r="K235" s="1">
        <v>2</v>
      </c>
      <c r="L235" s="24">
        <v>7.9</v>
      </c>
      <c r="M235" s="24"/>
      <c r="N235" s="21">
        <f t="shared" si="10"/>
        <v>-1</v>
      </c>
      <c r="P235" s="1">
        <v>6</v>
      </c>
      <c r="Q235" s="24">
        <v>15.990000000000009</v>
      </c>
      <c r="R235" s="24"/>
      <c r="S235" s="21">
        <f t="shared" si="11"/>
        <v>-1</v>
      </c>
    </row>
    <row r="236" spans="2:19" ht="11.4" customHeight="1" x14ac:dyDescent="0.2">
      <c r="B236" s="24"/>
      <c r="C236" s="4">
        <v>3901</v>
      </c>
      <c r="D236" s="18" t="s">
        <v>259</v>
      </c>
      <c r="E236" s="18" t="s">
        <v>225</v>
      </c>
      <c r="F236" s="17">
        <v>30</v>
      </c>
      <c r="G236" s="18" t="s">
        <v>23</v>
      </c>
      <c r="H236" s="17">
        <v>26.5</v>
      </c>
      <c r="I236" s="5">
        <v>30.9</v>
      </c>
      <c r="J236" s="21">
        <f t="shared" si="9"/>
        <v>0.16603773584905654</v>
      </c>
      <c r="K236" s="1">
        <v>2</v>
      </c>
      <c r="L236" s="24">
        <v>1.5</v>
      </c>
      <c r="M236" s="24"/>
      <c r="N236" s="21">
        <f t="shared" si="10"/>
        <v>-1</v>
      </c>
      <c r="P236" s="1">
        <v>6</v>
      </c>
      <c r="Q236" s="24">
        <v>3.09</v>
      </c>
      <c r="R236" s="24"/>
      <c r="S236" s="21">
        <f t="shared" si="11"/>
        <v>-1</v>
      </c>
    </row>
    <row r="237" spans="2:19" ht="11.4" customHeight="1" x14ac:dyDescent="0.2">
      <c r="B237" s="24"/>
      <c r="C237" s="4">
        <v>4214</v>
      </c>
      <c r="D237" s="18" t="s">
        <v>260</v>
      </c>
      <c r="E237" s="18" t="s">
        <v>225</v>
      </c>
      <c r="F237" s="17">
        <v>30</v>
      </c>
      <c r="G237" s="18" t="s">
        <v>23</v>
      </c>
      <c r="H237" s="17">
        <v>45.8</v>
      </c>
      <c r="I237" s="5">
        <v>55.9</v>
      </c>
      <c r="J237" s="21">
        <f t="shared" si="9"/>
        <v>0.22052401746724895</v>
      </c>
      <c r="K237" s="1">
        <v>2</v>
      </c>
      <c r="L237" s="24">
        <v>2.7</v>
      </c>
      <c r="M237" s="24"/>
      <c r="N237" s="21">
        <f t="shared" si="10"/>
        <v>-1</v>
      </c>
      <c r="P237" s="1">
        <v>6</v>
      </c>
      <c r="Q237" s="24">
        <v>5.5899999999999963</v>
      </c>
      <c r="R237" s="24"/>
      <c r="S237" s="21">
        <f t="shared" si="11"/>
        <v>-1</v>
      </c>
    </row>
    <row r="238" spans="2:19" ht="11.4" customHeight="1" x14ac:dyDescent="0.2">
      <c r="B238" s="24"/>
      <c r="C238" s="4">
        <v>5721</v>
      </c>
      <c r="D238" s="18" t="s">
        <v>261</v>
      </c>
      <c r="E238" s="18" t="s">
        <v>225</v>
      </c>
      <c r="F238" s="17">
        <v>12</v>
      </c>
      <c r="G238" s="18" t="s">
        <v>23</v>
      </c>
      <c r="H238" s="17">
        <v>154.9</v>
      </c>
      <c r="I238" s="5">
        <v>154.9</v>
      </c>
      <c r="J238" s="21">
        <f t="shared" si="9"/>
        <v>0</v>
      </c>
      <c r="K238" s="1">
        <v>2</v>
      </c>
      <c r="L238" s="24">
        <v>7.7</v>
      </c>
      <c r="M238" s="24">
        <v>147.155</v>
      </c>
      <c r="N238" s="21">
        <f t="shared" si="10"/>
        <v>-5.0000000000000031E-2</v>
      </c>
      <c r="P238" s="1">
        <v>6</v>
      </c>
      <c r="Q238" s="24">
        <v>15.490000000000009</v>
      </c>
      <c r="R238" s="24">
        <v>139.41</v>
      </c>
      <c r="S238" s="21">
        <f t="shared" si="11"/>
        <v>-0.10000000000000006</v>
      </c>
    </row>
    <row r="239" spans="2:19" ht="11.4" customHeight="1" x14ac:dyDescent="0.2">
      <c r="B239" s="24"/>
      <c r="C239" s="4">
        <v>6233</v>
      </c>
      <c r="D239" s="18" t="s">
        <v>262</v>
      </c>
      <c r="E239" s="18" t="s">
        <v>225</v>
      </c>
      <c r="F239" s="17">
        <v>12</v>
      </c>
      <c r="G239" s="18" t="s">
        <v>23</v>
      </c>
      <c r="H239" s="17">
        <v>216.5</v>
      </c>
      <c r="I239" s="5">
        <v>214.9</v>
      </c>
      <c r="J239" s="21">
        <f t="shared" si="9"/>
        <v>-7.3903002309468561E-3</v>
      </c>
      <c r="K239" s="1">
        <v>2</v>
      </c>
      <c r="L239" s="24">
        <v>10.7</v>
      </c>
      <c r="M239" s="24">
        <v>204.155</v>
      </c>
      <c r="N239" s="21">
        <f t="shared" si="10"/>
        <v>-5.7020785219399531E-2</v>
      </c>
      <c r="P239" s="1">
        <v>6</v>
      </c>
      <c r="Q239" s="24">
        <v>21.490000000000009</v>
      </c>
      <c r="R239" s="24">
        <v>193.41</v>
      </c>
      <c r="S239" s="21">
        <f t="shared" si="11"/>
        <v>-0.10665127020785221</v>
      </c>
    </row>
    <row r="240" spans="2:19" ht="11.4" customHeight="1" x14ac:dyDescent="0.2">
      <c r="B240" s="24"/>
      <c r="C240" s="4">
        <v>3769</v>
      </c>
      <c r="D240" s="18" t="s">
        <v>263</v>
      </c>
      <c r="E240" s="18" t="s">
        <v>225</v>
      </c>
      <c r="F240" s="17">
        <v>2</v>
      </c>
      <c r="G240" s="18" t="s">
        <v>23</v>
      </c>
      <c r="H240" s="17">
        <v>54.5</v>
      </c>
      <c r="I240" s="5">
        <v>59.9</v>
      </c>
      <c r="J240" s="21">
        <f t="shared" si="9"/>
        <v>9.9082568807339427E-2</v>
      </c>
      <c r="K240" s="1">
        <v>2</v>
      </c>
      <c r="L240" s="24">
        <v>2.9</v>
      </c>
      <c r="M240" s="24">
        <v>56.904999999999994</v>
      </c>
      <c r="N240" s="21">
        <f t="shared" si="10"/>
        <v>4.4128440366972367E-2</v>
      </c>
      <c r="P240" s="1">
        <v>6</v>
      </c>
      <c r="Q240" s="24">
        <v>5.990000000000002</v>
      </c>
      <c r="R240" s="24">
        <v>53.91</v>
      </c>
      <c r="S240" s="21">
        <f t="shared" si="11"/>
        <v>-1.0825688073394558E-2</v>
      </c>
    </row>
    <row r="241" spans="2:19" ht="11.4" customHeight="1" x14ac:dyDescent="0.2">
      <c r="B241" s="24"/>
      <c r="C241" s="4">
        <v>3250</v>
      </c>
      <c r="D241" s="18" t="s">
        <v>264</v>
      </c>
      <c r="E241" s="18" t="s">
        <v>225</v>
      </c>
      <c r="F241" s="17">
        <v>1</v>
      </c>
      <c r="G241" s="18" t="s">
        <v>23</v>
      </c>
      <c r="H241" s="17">
        <v>308</v>
      </c>
      <c r="I241" s="5">
        <v>295.60000000000002</v>
      </c>
      <c r="J241" s="21">
        <f t="shared" si="9"/>
        <v>-4.0259740259740183E-2</v>
      </c>
      <c r="K241" s="1">
        <v>2</v>
      </c>
      <c r="L241" s="24">
        <v>14.7</v>
      </c>
      <c r="M241" s="24">
        <v>280.82</v>
      </c>
      <c r="N241" s="21">
        <f t="shared" si="10"/>
        <v>-8.8246753246753268E-2</v>
      </c>
      <c r="P241" s="1">
        <v>6</v>
      </c>
      <c r="Q241" s="24">
        <v>29.560000000000002</v>
      </c>
      <c r="R241" s="24">
        <v>266.04000000000002</v>
      </c>
      <c r="S241" s="21">
        <f t="shared" si="11"/>
        <v>-0.13623376623376618</v>
      </c>
    </row>
    <row r="242" spans="2:19" ht="11.4" customHeight="1" x14ac:dyDescent="0.2">
      <c r="B242" s="24"/>
      <c r="C242" s="4">
        <v>5593</v>
      </c>
      <c r="D242" s="18" t="s">
        <v>265</v>
      </c>
      <c r="E242" s="18" t="s">
        <v>225</v>
      </c>
      <c r="F242" s="17">
        <v>1</v>
      </c>
      <c r="G242" s="18" t="s">
        <v>23</v>
      </c>
      <c r="H242" s="17">
        <v>131.30000000000001</v>
      </c>
      <c r="I242" s="5">
        <v>147.5</v>
      </c>
      <c r="J242" s="21">
        <f t="shared" si="9"/>
        <v>0.12338156892612329</v>
      </c>
      <c r="K242" s="1">
        <v>2</v>
      </c>
      <c r="L242" s="24">
        <v>7.3</v>
      </c>
      <c r="M242" s="24">
        <v>140.125</v>
      </c>
      <c r="N242" s="21">
        <f t="shared" si="10"/>
        <v>6.7212490479817116E-2</v>
      </c>
      <c r="P242" s="1">
        <v>6</v>
      </c>
      <c r="Q242" s="24">
        <v>14.75</v>
      </c>
      <c r="R242" s="24">
        <v>132.75</v>
      </c>
      <c r="S242" s="21">
        <f t="shared" si="11"/>
        <v>1.1043412033510955E-2</v>
      </c>
    </row>
    <row r="243" spans="2:19" ht="11.4" customHeight="1" x14ac:dyDescent="0.2">
      <c r="B243" s="24"/>
      <c r="C243" s="4">
        <v>5692</v>
      </c>
      <c r="D243" s="18" t="s">
        <v>266</v>
      </c>
      <c r="E243" s="18" t="s">
        <v>225</v>
      </c>
      <c r="F243" s="17">
        <v>1</v>
      </c>
      <c r="G243" s="18" t="s">
        <v>23</v>
      </c>
      <c r="H243" s="17">
        <v>58.9</v>
      </c>
      <c r="I243" s="5">
        <v>61.9</v>
      </c>
      <c r="J243" s="21">
        <f t="shared" si="9"/>
        <v>5.0933786078098474E-2</v>
      </c>
      <c r="K243" s="1">
        <v>2</v>
      </c>
      <c r="L243" s="24">
        <v>3</v>
      </c>
      <c r="M243" s="24">
        <v>58.804999999999993</v>
      </c>
      <c r="N243" s="21">
        <f t="shared" si="10"/>
        <v>-1.6129032258065531E-3</v>
      </c>
      <c r="P243" s="1">
        <v>6</v>
      </c>
      <c r="Q243" s="24">
        <v>6.1899999999999977</v>
      </c>
      <c r="R243" s="24">
        <v>55.71</v>
      </c>
      <c r="S243" s="21">
        <f t="shared" si="11"/>
        <v>-5.4159592529711337E-2</v>
      </c>
    </row>
    <row r="244" spans="2:19" ht="11.4" customHeight="1" x14ac:dyDescent="0.2">
      <c r="B244" s="24"/>
      <c r="C244" s="4">
        <v>5707</v>
      </c>
      <c r="D244" s="18" t="s">
        <v>267</v>
      </c>
      <c r="E244" s="18" t="s">
        <v>225</v>
      </c>
      <c r="F244" s="17">
        <v>1</v>
      </c>
      <c r="G244" s="18" t="s">
        <v>23</v>
      </c>
      <c r="H244" s="17">
        <v>197.9</v>
      </c>
      <c r="I244" s="5">
        <v>213.9</v>
      </c>
      <c r="J244" s="21">
        <f t="shared" si="9"/>
        <v>8.0848913592723601E-2</v>
      </c>
      <c r="K244" s="1">
        <v>2</v>
      </c>
      <c r="L244" s="24">
        <v>10.6</v>
      </c>
      <c r="M244" s="24">
        <v>203.20499999999998</v>
      </c>
      <c r="N244" s="21">
        <f t="shared" si="10"/>
        <v>2.6806467913087308E-2</v>
      </c>
      <c r="P244" s="1">
        <v>6</v>
      </c>
      <c r="Q244" s="24">
        <v>21.389999999999986</v>
      </c>
      <c r="R244" s="24">
        <v>192.51000000000002</v>
      </c>
      <c r="S244" s="21">
        <f t="shared" si="11"/>
        <v>-2.7235977766548691E-2</v>
      </c>
    </row>
    <row r="245" spans="2:19" ht="11.4" customHeight="1" x14ac:dyDescent="0.2">
      <c r="B245" s="24"/>
      <c r="C245" s="4">
        <v>5708</v>
      </c>
      <c r="D245" s="18" t="s">
        <v>268</v>
      </c>
      <c r="E245" s="18" t="s">
        <v>225</v>
      </c>
      <c r="F245" s="17">
        <v>1</v>
      </c>
      <c r="G245" s="18" t="s">
        <v>23</v>
      </c>
      <c r="H245" s="17">
        <v>255.5</v>
      </c>
      <c r="I245" s="5">
        <v>276.39999999999998</v>
      </c>
      <c r="J245" s="21">
        <f t="shared" si="9"/>
        <v>8.1800391389432403E-2</v>
      </c>
      <c r="K245" s="1">
        <v>2</v>
      </c>
      <c r="L245" s="24">
        <v>13.8</v>
      </c>
      <c r="M245" s="24">
        <v>262.58</v>
      </c>
      <c r="N245" s="21">
        <f t="shared" si="10"/>
        <v>2.7710371819960798E-2</v>
      </c>
      <c r="P245" s="1">
        <v>6</v>
      </c>
      <c r="Q245" s="24">
        <v>27.639999999999986</v>
      </c>
      <c r="R245" s="24">
        <v>248.76</v>
      </c>
      <c r="S245" s="21">
        <f t="shared" si="11"/>
        <v>-2.63796477495108E-2</v>
      </c>
    </row>
    <row r="246" spans="2:19" ht="11.4" customHeight="1" x14ac:dyDescent="0.2">
      <c r="B246" s="24"/>
      <c r="C246" s="4">
        <v>6222</v>
      </c>
      <c r="D246" s="18" t="s">
        <v>269</v>
      </c>
      <c r="E246" s="18" t="s">
        <v>225</v>
      </c>
      <c r="F246" s="17">
        <v>1</v>
      </c>
      <c r="G246" s="18" t="s">
        <v>23</v>
      </c>
      <c r="H246" s="17">
        <v>281.5</v>
      </c>
      <c r="I246" s="5">
        <v>351.9</v>
      </c>
      <c r="J246" s="21">
        <f t="shared" si="9"/>
        <v>0.25008880994671395</v>
      </c>
      <c r="K246" s="1">
        <v>2</v>
      </c>
      <c r="L246" s="24">
        <v>17.5</v>
      </c>
      <c r="M246" s="24">
        <v>334.30499999999995</v>
      </c>
      <c r="N246" s="21">
        <f t="shared" si="10"/>
        <v>0.18758436944937815</v>
      </c>
      <c r="P246" s="1">
        <v>6</v>
      </c>
      <c r="Q246" s="24">
        <v>35.19</v>
      </c>
      <c r="R246" s="24">
        <v>316.70999999999998</v>
      </c>
      <c r="S246" s="21">
        <f t="shared" si="11"/>
        <v>0.12507992895204256</v>
      </c>
    </row>
    <row r="247" spans="2:19" ht="11.4" customHeight="1" x14ac:dyDescent="0.2">
      <c r="B247" s="24"/>
      <c r="C247" s="4">
        <v>10332</v>
      </c>
      <c r="D247" s="18" t="s">
        <v>270</v>
      </c>
      <c r="E247" s="18" t="s">
        <v>225</v>
      </c>
      <c r="F247" s="17">
        <v>1</v>
      </c>
      <c r="G247" s="18" t="s">
        <v>23</v>
      </c>
      <c r="H247" s="17">
        <v>29.9</v>
      </c>
      <c r="I247" s="5">
        <v>36.299999999999997</v>
      </c>
      <c r="J247" s="21">
        <f t="shared" si="9"/>
        <v>0.21404682274247488</v>
      </c>
      <c r="K247" s="1">
        <v>2</v>
      </c>
      <c r="L247" s="24">
        <v>1.8</v>
      </c>
      <c r="M247" s="24">
        <v>34.484999999999992</v>
      </c>
      <c r="N247" s="21">
        <f t="shared" si="10"/>
        <v>0.15334448160535097</v>
      </c>
      <c r="P247" s="1">
        <v>6</v>
      </c>
      <c r="Q247" s="24">
        <v>3.6299999999999955</v>
      </c>
      <c r="R247" s="24">
        <v>32.67</v>
      </c>
      <c r="S247" s="21">
        <f t="shared" si="11"/>
        <v>9.2642140468227538E-2</v>
      </c>
    </row>
    <row r="248" spans="2:19" ht="11.4" customHeight="1" x14ac:dyDescent="0.2">
      <c r="B248" s="24"/>
      <c r="C248" s="4">
        <v>3445</v>
      </c>
      <c r="D248" s="18" t="s">
        <v>271</v>
      </c>
      <c r="E248" s="18" t="s">
        <v>225</v>
      </c>
      <c r="F248" s="17">
        <v>1</v>
      </c>
      <c r="G248" s="18" t="s">
        <v>23</v>
      </c>
      <c r="H248" s="17">
        <v>130.4</v>
      </c>
      <c r="I248" s="5">
        <v>140.80000000000001</v>
      </c>
      <c r="J248" s="21">
        <f t="shared" si="9"/>
        <v>7.9754601226993904E-2</v>
      </c>
      <c r="K248" s="1">
        <v>2</v>
      </c>
      <c r="L248" s="24">
        <v>7</v>
      </c>
      <c r="M248" s="24">
        <v>133.76</v>
      </c>
      <c r="N248" s="21">
        <f t="shared" si="10"/>
        <v>2.5766871165644058E-2</v>
      </c>
      <c r="P248" s="1">
        <v>6</v>
      </c>
      <c r="Q248" s="24">
        <v>14.079999999999998</v>
      </c>
      <c r="R248" s="24">
        <v>126.72000000000001</v>
      </c>
      <c r="S248" s="21">
        <f t="shared" si="11"/>
        <v>-2.8220858895705463E-2</v>
      </c>
    </row>
    <row r="249" spans="2:19" ht="11.4" customHeight="1" x14ac:dyDescent="0.2">
      <c r="B249" s="24"/>
      <c r="C249" s="4">
        <v>3446</v>
      </c>
      <c r="D249" s="18" t="s">
        <v>272</v>
      </c>
      <c r="E249" s="18" t="s">
        <v>225</v>
      </c>
      <c r="F249" s="17">
        <v>1</v>
      </c>
      <c r="G249" s="18" t="s">
        <v>23</v>
      </c>
      <c r="H249" s="17">
        <v>255.5</v>
      </c>
      <c r="I249" s="5">
        <v>272.89999999999998</v>
      </c>
      <c r="J249" s="21">
        <f t="shared" si="9"/>
        <v>6.8101761252446089E-2</v>
      </c>
      <c r="K249" s="1">
        <v>2</v>
      </c>
      <c r="L249" s="24">
        <v>13.6</v>
      </c>
      <c r="M249" s="24">
        <v>259.25499999999994</v>
      </c>
      <c r="N249" s="21">
        <f t="shared" si="10"/>
        <v>1.4696673189823635E-2</v>
      </c>
      <c r="P249" s="1">
        <v>6</v>
      </c>
      <c r="Q249" s="24">
        <v>27.289999999999992</v>
      </c>
      <c r="R249" s="24">
        <v>245.60999999999999</v>
      </c>
      <c r="S249" s="21">
        <f t="shared" si="11"/>
        <v>-3.870841487279849E-2</v>
      </c>
    </row>
    <row r="250" spans="2:19" ht="11.4" customHeight="1" x14ac:dyDescent="0.2">
      <c r="B250" s="24"/>
      <c r="C250" s="4">
        <v>42385</v>
      </c>
      <c r="D250" s="18" t="s">
        <v>273</v>
      </c>
      <c r="E250" s="18" t="s">
        <v>225</v>
      </c>
      <c r="F250" s="18"/>
      <c r="G250" s="18" t="s">
        <v>23</v>
      </c>
      <c r="H250" s="17">
        <v>47.76</v>
      </c>
      <c r="I250" s="5">
        <v>68.400000000000006</v>
      </c>
      <c r="J250" s="21">
        <f t="shared" si="9"/>
        <v>0.43216080402010071</v>
      </c>
      <c r="K250" s="1">
        <v>2</v>
      </c>
      <c r="L250" s="24">
        <v>3.4</v>
      </c>
      <c r="M250" s="24">
        <v>64.98</v>
      </c>
      <c r="N250" s="21">
        <f t="shared" si="10"/>
        <v>0.36055276381909562</v>
      </c>
      <c r="P250" s="1">
        <v>6</v>
      </c>
      <c r="Q250" s="24">
        <v>6.8399999999999963</v>
      </c>
      <c r="R250" s="24">
        <v>61.560000000000009</v>
      </c>
      <c r="S250" s="21">
        <f t="shared" si="11"/>
        <v>0.2889447236180907</v>
      </c>
    </row>
    <row r="251" spans="2:19" ht="11.4" customHeight="1" x14ac:dyDescent="0.2">
      <c r="B251" s="24"/>
      <c r="C251" s="4">
        <v>42387</v>
      </c>
      <c r="D251" s="18" t="s">
        <v>274</v>
      </c>
      <c r="E251" s="18" t="s">
        <v>225</v>
      </c>
      <c r="F251" s="18"/>
      <c r="G251" s="18" t="s">
        <v>23</v>
      </c>
      <c r="H251" s="17">
        <v>133.62</v>
      </c>
      <c r="I251" s="5">
        <v>184.9</v>
      </c>
      <c r="J251" s="21">
        <f t="shared" si="9"/>
        <v>0.3837748839994013</v>
      </c>
      <c r="K251" s="1">
        <v>2</v>
      </c>
      <c r="L251" s="24">
        <v>9.1999999999999993</v>
      </c>
      <c r="M251" s="24">
        <v>175.655</v>
      </c>
      <c r="N251" s="21">
        <f t="shared" si="10"/>
        <v>0.31458613979943117</v>
      </c>
      <c r="P251" s="1">
        <v>6</v>
      </c>
      <c r="Q251" s="24">
        <v>18.490000000000009</v>
      </c>
      <c r="R251" s="24">
        <v>166.41</v>
      </c>
      <c r="S251" s="21">
        <f t="shared" si="11"/>
        <v>0.24539739559946108</v>
      </c>
    </row>
    <row r="252" spans="2:19" ht="11.4" customHeight="1" x14ac:dyDescent="0.2">
      <c r="B252" s="24"/>
      <c r="C252" s="4">
        <v>34205</v>
      </c>
      <c r="D252" s="18" t="s">
        <v>275</v>
      </c>
      <c r="E252" s="18" t="s">
        <v>225</v>
      </c>
      <c r="F252" s="17">
        <v>1</v>
      </c>
      <c r="G252" s="18" t="s">
        <v>23</v>
      </c>
      <c r="H252" s="17">
        <v>158.30000000000001</v>
      </c>
      <c r="I252" s="5">
        <v>149.9</v>
      </c>
      <c r="J252" s="21">
        <f t="shared" si="9"/>
        <v>-5.3063802905874952E-2</v>
      </c>
      <c r="K252" s="1">
        <v>2</v>
      </c>
      <c r="L252" s="24">
        <v>7.4</v>
      </c>
      <c r="M252" s="24">
        <v>142.405</v>
      </c>
      <c r="N252" s="21">
        <f t="shared" si="10"/>
        <v>-0.10041061276058123</v>
      </c>
      <c r="P252" s="1">
        <v>6</v>
      </c>
      <c r="Q252" s="24">
        <v>14.990000000000009</v>
      </c>
      <c r="R252" s="24">
        <v>134.91</v>
      </c>
      <c r="S252" s="21">
        <f t="shared" si="11"/>
        <v>-0.14775742261528751</v>
      </c>
    </row>
    <row r="253" spans="2:19" ht="11.4" customHeight="1" x14ac:dyDescent="0.2">
      <c r="B253" s="24"/>
      <c r="C253" s="4">
        <v>3465</v>
      </c>
      <c r="D253" s="18" t="s">
        <v>276</v>
      </c>
      <c r="E253" s="18" t="s">
        <v>225</v>
      </c>
      <c r="F253" s="17">
        <v>1</v>
      </c>
      <c r="G253" s="18" t="s">
        <v>23</v>
      </c>
      <c r="H253" s="17">
        <v>29.9</v>
      </c>
      <c r="I253" s="5">
        <v>33.200000000000003</v>
      </c>
      <c r="J253" s="21">
        <f t="shared" si="9"/>
        <v>0.11036789297658878</v>
      </c>
      <c r="K253" s="1">
        <v>2</v>
      </c>
      <c r="L253" s="24">
        <v>1.6</v>
      </c>
      <c r="M253" s="24">
        <v>31.540000000000003</v>
      </c>
      <c r="N253" s="21">
        <f t="shared" si="10"/>
        <v>5.4849498327759337E-2</v>
      </c>
      <c r="P253" s="1">
        <v>6</v>
      </c>
      <c r="Q253" s="24">
        <v>3.3200000000000003</v>
      </c>
      <c r="R253" s="24">
        <v>29.880000000000003</v>
      </c>
      <c r="S253" s="21">
        <f t="shared" si="11"/>
        <v>-6.6889632107010105E-4</v>
      </c>
    </row>
    <row r="254" spans="2:19" ht="11.4" customHeight="1" x14ac:dyDescent="0.2">
      <c r="B254" s="24"/>
      <c r="C254" s="4">
        <v>3463</v>
      </c>
      <c r="D254" s="18" t="s">
        <v>277</v>
      </c>
      <c r="E254" s="18" t="s">
        <v>225</v>
      </c>
      <c r="F254" s="18"/>
      <c r="G254" s="18" t="s">
        <v>23</v>
      </c>
      <c r="H254" s="17">
        <v>73.680000000000007</v>
      </c>
      <c r="I254" s="5">
        <v>101.7</v>
      </c>
      <c r="J254" s="21">
        <f t="shared" si="9"/>
        <v>0.38029315960912041</v>
      </c>
      <c r="K254" s="1">
        <v>2</v>
      </c>
      <c r="L254" s="24">
        <v>5</v>
      </c>
      <c r="M254" s="24">
        <v>96.614999999999995</v>
      </c>
      <c r="N254" s="21">
        <f t="shared" si="10"/>
        <v>0.31127850162866433</v>
      </c>
      <c r="P254" s="1">
        <v>6</v>
      </c>
      <c r="Q254" s="24">
        <v>10.170000000000002</v>
      </c>
      <c r="R254" s="24">
        <v>91.53</v>
      </c>
      <c r="S254" s="21">
        <f t="shared" si="11"/>
        <v>0.24226384364820838</v>
      </c>
    </row>
    <row r="255" spans="2:19" ht="11.4" customHeight="1" x14ac:dyDescent="0.2">
      <c r="B255" s="24"/>
      <c r="C255" s="4">
        <v>3458</v>
      </c>
      <c r="D255" s="18" t="s">
        <v>278</v>
      </c>
      <c r="E255" s="18" t="s">
        <v>225</v>
      </c>
      <c r="F255" s="17">
        <v>1</v>
      </c>
      <c r="G255" s="18" t="s">
        <v>23</v>
      </c>
      <c r="H255" s="17">
        <v>245.3</v>
      </c>
      <c r="I255" s="5">
        <v>243.6</v>
      </c>
      <c r="J255" s="21">
        <f t="shared" si="9"/>
        <v>-6.930289441500273E-3</v>
      </c>
      <c r="K255" s="1">
        <v>2</v>
      </c>
      <c r="L255" s="24">
        <v>12.1</v>
      </c>
      <c r="M255" s="24">
        <v>231.42</v>
      </c>
      <c r="N255" s="21">
        <f t="shared" si="10"/>
        <v>-5.6583774969425286E-2</v>
      </c>
      <c r="P255" s="1">
        <v>6</v>
      </c>
      <c r="Q255" s="24">
        <v>24.359999999999985</v>
      </c>
      <c r="R255" s="24">
        <v>219.24</v>
      </c>
      <c r="S255" s="21">
        <f t="shared" si="11"/>
        <v>-0.10623726049735019</v>
      </c>
    </row>
    <row r="256" spans="2:19" ht="11.4" customHeight="1" x14ac:dyDescent="0.2">
      <c r="B256" s="24"/>
      <c r="C256" s="4">
        <v>39486</v>
      </c>
      <c r="D256" s="18" t="s">
        <v>279</v>
      </c>
      <c r="E256" s="18" t="s">
        <v>225</v>
      </c>
      <c r="F256" s="17">
        <v>2</v>
      </c>
      <c r="G256" s="18" t="s">
        <v>23</v>
      </c>
      <c r="H256" s="17">
        <v>54.5</v>
      </c>
      <c r="I256" s="5">
        <v>59.9</v>
      </c>
      <c r="J256" s="21">
        <f t="shared" si="9"/>
        <v>9.9082568807339427E-2</v>
      </c>
      <c r="K256" s="1">
        <v>2</v>
      </c>
      <c r="L256" s="24">
        <v>2.9</v>
      </c>
      <c r="M256" s="24">
        <v>56.904999999999994</v>
      </c>
      <c r="N256" s="21">
        <f t="shared" si="10"/>
        <v>4.4128440366972367E-2</v>
      </c>
      <c r="P256" s="1">
        <v>6</v>
      </c>
      <c r="Q256" s="24">
        <v>5.990000000000002</v>
      </c>
      <c r="R256" s="24">
        <v>53.91</v>
      </c>
      <c r="S256" s="21">
        <f t="shared" si="11"/>
        <v>-1.0825688073394558E-2</v>
      </c>
    </row>
    <row r="257" spans="2:19" ht="11.4" customHeight="1" x14ac:dyDescent="0.2">
      <c r="B257" s="24"/>
      <c r="C257" s="4">
        <v>3563</v>
      </c>
      <c r="D257" s="18" t="s">
        <v>280</v>
      </c>
      <c r="E257" s="18" t="s">
        <v>225</v>
      </c>
      <c r="F257" s="17">
        <v>20</v>
      </c>
      <c r="G257" s="18" t="s">
        <v>23</v>
      </c>
      <c r="H257" s="17">
        <v>109.2</v>
      </c>
      <c r="I257" s="5">
        <v>109.9</v>
      </c>
      <c r="J257" s="21">
        <f t="shared" si="9"/>
        <v>6.4102564102564361E-3</v>
      </c>
      <c r="K257" s="1">
        <v>2</v>
      </c>
      <c r="L257" s="24">
        <v>5.4</v>
      </c>
      <c r="M257" s="24">
        <v>104.405</v>
      </c>
      <c r="N257" s="21">
        <f t="shared" si="10"/>
        <v>-4.3910256410256428E-2</v>
      </c>
      <c r="P257" s="1">
        <v>6</v>
      </c>
      <c r="Q257" s="24">
        <v>10.989999999999995</v>
      </c>
      <c r="R257" s="24">
        <v>98.910000000000011</v>
      </c>
      <c r="S257" s="21">
        <f t="shared" si="11"/>
        <v>-9.423076923076916E-2</v>
      </c>
    </row>
    <row r="258" spans="2:19" ht="11.4" customHeight="1" x14ac:dyDescent="0.2">
      <c r="B258" s="24"/>
      <c r="C258" s="4">
        <v>39580</v>
      </c>
      <c r="D258" s="18" t="s">
        <v>281</v>
      </c>
      <c r="E258" s="18" t="s">
        <v>225</v>
      </c>
      <c r="F258" s="17">
        <v>1</v>
      </c>
      <c r="G258" s="18" t="s">
        <v>23</v>
      </c>
      <c r="H258" s="17">
        <v>31.9</v>
      </c>
      <c r="I258" s="5">
        <v>31.9</v>
      </c>
      <c r="J258" s="21">
        <f t="shared" si="9"/>
        <v>0</v>
      </c>
      <c r="K258" s="1">
        <v>2</v>
      </c>
      <c r="L258" s="24">
        <v>1.5</v>
      </c>
      <c r="M258" s="24">
        <v>30.304999999999996</v>
      </c>
      <c r="N258" s="21">
        <f t="shared" si="10"/>
        <v>-5.0000000000000079E-2</v>
      </c>
      <c r="P258" s="1">
        <v>6</v>
      </c>
      <c r="Q258" s="24">
        <v>3.1899999999999977</v>
      </c>
      <c r="R258" s="24">
        <v>28.71</v>
      </c>
      <c r="S258" s="21">
        <f t="shared" si="11"/>
        <v>-9.9999999999999936E-2</v>
      </c>
    </row>
    <row r="259" spans="2:19" ht="11.4" customHeight="1" x14ac:dyDescent="0.2">
      <c r="B259" s="24"/>
      <c r="C259" s="4">
        <v>37100</v>
      </c>
      <c r="D259" s="18" t="s">
        <v>282</v>
      </c>
      <c r="E259" s="18" t="s">
        <v>225</v>
      </c>
      <c r="F259" s="17">
        <v>1</v>
      </c>
      <c r="G259" s="18" t="s">
        <v>23</v>
      </c>
      <c r="H259" s="17">
        <v>291.5</v>
      </c>
      <c r="I259" s="5">
        <v>314</v>
      </c>
      <c r="J259" s="21">
        <f t="shared" ref="J259:J322" si="12">(I259-H259)/H259</f>
        <v>7.7186963979416809E-2</v>
      </c>
      <c r="K259" s="1">
        <v>2</v>
      </c>
      <c r="L259" s="24">
        <v>15.7</v>
      </c>
      <c r="M259" s="24">
        <v>298.3</v>
      </c>
      <c r="N259" s="21">
        <f t="shared" ref="N259:N322" si="13">(M259-H259)/H259</f>
        <v>2.3327615780446009E-2</v>
      </c>
      <c r="P259" s="1">
        <v>6</v>
      </c>
      <c r="Q259" s="24">
        <v>31.399999999999977</v>
      </c>
      <c r="R259" s="24">
        <v>282.60000000000002</v>
      </c>
      <c r="S259" s="21">
        <f t="shared" ref="S259:S322" si="14">(R259-H259)/H259</f>
        <v>-3.0531732418524794E-2</v>
      </c>
    </row>
    <row r="260" spans="2:19" ht="11.4" customHeight="1" x14ac:dyDescent="0.2">
      <c r="B260" s="24"/>
      <c r="C260" s="4">
        <v>41650</v>
      </c>
      <c r="D260" s="18" t="s">
        <v>283</v>
      </c>
      <c r="E260" s="18" t="s">
        <v>225</v>
      </c>
      <c r="F260" s="17">
        <v>1</v>
      </c>
      <c r="G260" s="18" t="s">
        <v>23</v>
      </c>
      <c r="H260" s="17">
        <v>40.799999999999997</v>
      </c>
      <c r="I260" s="5">
        <v>60</v>
      </c>
      <c r="J260" s="21">
        <f t="shared" si="12"/>
        <v>0.47058823529411775</v>
      </c>
      <c r="K260" s="1">
        <v>2</v>
      </c>
      <c r="L260" s="24">
        <v>3</v>
      </c>
      <c r="M260" s="24">
        <v>57</v>
      </c>
      <c r="N260" s="21">
        <f t="shared" si="13"/>
        <v>0.39705882352941185</v>
      </c>
      <c r="P260" s="1">
        <v>6</v>
      </c>
      <c r="Q260" s="24">
        <v>6</v>
      </c>
      <c r="R260" s="24">
        <v>54</v>
      </c>
      <c r="S260" s="21">
        <f t="shared" si="14"/>
        <v>0.32352941176470595</v>
      </c>
    </row>
    <row r="261" spans="2:19" ht="11.4" customHeight="1" x14ac:dyDescent="0.2">
      <c r="B261" s="24"/>
      <c r="C261" s="4">
        <v>5415</v>
      </c>
      <c r="D261" s="18" t="s">
        <v>284</v>
      </c>
      <c r="E261" s="18" t="s">
        <v>225</v>
      </c>
      <c r="F261" s="17">
        <v>1</v>
      </c>
      <c r="G261" s="18" t="s">
        <v>23</v>
      </c>
      <c r="H261" s="17">
        <v>457.2</v>
      </c>
      <c r="I261" s="5">
        <v>464</v>
      </c>
      <c r="J261" s="21">
        <f t="shared" si="12"/>
        <v>1.4873140857392851E-2</v>
      </c>
      <c r="K261" s="1">
        <v>2</v>
      </c>
      <c r="L261" s="24">
        <v>23.2</v>
      </c>
      <c r="M261" s="24">
        <v>440.79999999999995</v>
      </c>
      <c r="N261" s="21">
        <f t="shared" si="13"/>
        <v>-3.5870516185476889E-2</v>
      </c>
      <c r="P261" s="1">
        <v>6</v>
      </c>
      <c r="Q261" s="24">
        <v>46.399999999999977</v>
      </c>
      <c r="R261" s="24">
        <v>417.6</v>
      </c>
      <c r="S261" s="21">
        <f t="shared" si="14"/>
        <v>-8.6614173228346386E-2</v>
      </c>
    </row>
    <row r="262" spans="2:19" ht="11.4" customHeight="1" x14ac:dyDescent="0.2">
      <c r="B262" s="24"/>
      <c r="C262" s="4">
        <v>9760</v>
      </c>
      <c r="D262" s="18" t="s">
        <v>285</v>
      </c>
      <c r="E262" s="18" t="s">
        <v>225</v>
      </c>
      <c r="F262" s="17">
        <v>1</v>
      </c>
      <c r="G262" s="18" t="s">
        <v>23</v>
      </c>
      <c r="H262" s="17">
        <v>199.9</v>
      </c>
      <c r="I262" s="5">
        <v>271.89999999999998</v>
      </c>
      <c r="J262" s="21">
        <f t="shared" si="12"/>
        <v>0.36018009004502238</v>
      </c>
      <c r="K262" s="1">
        <v>2</v>
      </c>
      <c r="L262" s="24">
        <v>13.5</v>
      </c>
      <c r="M262" s="24">
        <v>258.30499999999995</v>
      </c>
      <c r="N262" s="21">
        <f t="shared" si="13"/>
        <v>0.2921710855427711</v>
      </c>
      <c r="P262" s="1">
        <v>6</v>
      </c>
      <c r="Q262" s="24">
        <v>27.189999999999998</v>
      </c>
      <c r="R262" s="24">
        <v>244.70999999999998</v>
      </c>
      <c r="S262" s="21">
        <f t="shared" si="14"/>
        <v>0.22416208104052013</v>
      </c>
    </row>
    <row r="263" spans="2:19" ht="11.4" customHeight="1" x14ac:dyDescent="0.2">
      <c r="B263" s="24"/>
      <c r="C263" s="4">
        <v>6210</v>
      </c>
      <c r="D263" s="18" t="s">
        <v>286</v>
      </c>
      <c r="E263" s="18" t="s">
        <v>225</v>
      </c>
      <c r="F263" s="17">
        <v>1</v>
      </c>
      <c r="G263" s="18" t="s">
        <v>23</v>
      </c>
      <c r="H263" s="17">
        <v>126.9</v>
      </c>
      <c r="I263" s="5">
        <v>140.80000000000001</v>
      </c>
      <c r="J263" s="21">
        <f t="shared" si="12"/>
        <v>0.10953506698187553</v>
      </c>
      <c r="K263" s="1">
        <v>2</v>
      </c>
      <c r="L263" s="24">
        <v>7</v>
      </c>
      <c r="M263" s="24">
        <v>133.76</v>
      </c>
      <c r="N263" s="21">
        <f t="shared" si="13"/>
        <v>5.4058313632781602E-2</v>
      </c>
      <c r="P263" s="1">
        <v>6</v>
      </c>
      <c r="Q263" s="24">
        <v>14.079999999999998</v>
      </c>
      <c r="R263" s="24">
        <v>126.72000000000001</v>
      </c>
      <c r="S263" s="21">
        <f t="shared" si="14"/>
        <v>-1.4184397163119985E-3</v>
      </c>
    </row>
    <row r="264" spans="2:19" ht="11.4" customHeight="1" x14ac:dyDescent="0.2">
      <c r="B264" s="24"/>
      <c r="C264" s="4">
        <v>41595</v>
      </c>
      <c r="D264" s="18" t="s">
        <v>287</v>
      </c>
      <c r="E264" s="18" t="s">
        <v>225</v>
      </c>
      <c r="F264" s="17">
        <v>30</v>
      </c>
      <c r="G264" s="18" t="s">
        <v>23</v>
      </c>
      <c r="H264" s="17">
        <v>30.24</v>
      </c>
      <c r="I264" s="5">
        <v>48.9</v>
      </c>
      <c r="J264" s="21">
        <f t="shared" si="12"/>
        <v>0.61706349206349209</v>
      </c>
      <c r="K264" s="1">
        <v>2</v>
      </c>
      <c r="L264" s="24">
        <v>2.4</v>
      </c>
      <c r="M264" s="24">
        <v>46.454999999999998</v>
      </c>
      <c r="N264" s="21">
        <f t="shared" si="13"/>
        <v>0.53621031746031744</v>
      </c>
      <c r="P264" s="1">
        <v>6</v>
      </c>
      <c r="Q264" s="24">
        <v>4.8900000000000006</v>
      </c>
      <c r="R264" s="24">
        <v>44.01</v>
      </c>
      <c r="S264" s="21">
        <f t="shared" si="14"/>
        <v>0.45535714285714285</v>
      </c>
    </row>
    <row r="265" spans="2:19" ht="11.4" customHeight="1" x14ac:dyDescent="0.2">
      <c r="B265" s="24"/>
      <c r="C265" s="4">
        <v>41596</v>
      </c>
      <c r="D265" s="18" t="s">
        <v>288</v>
      </c>
      <c r="E265" s="18" t="s">
        <v>225</v>
      </c>
      <c r="F265" s="17">
        <v>12</v>
      </c>
      <c r="G265" s="18" t="s">
        <v>23</v>
      </c>
      <c r="H265" s="17">
        <v>100.8</v>
      </c>
      <c r="I265" s="5">
        <v>149.9</v>
      </c>
      <c r="J265" s="21">
        <f t="shared" si="12"/>
        <v>0.4871031746031747</v>
      </c>
      <c r="K265" s="1">
        <v>2</v>
      </c>
      <c r="L265" s="24">
        <v>7.4</v>
      </c>
      <c r="M265" s="24">
        <v>142.405</v>
      </c>
      <c r="N265" s="21">
        <f t="shared" si="13"/>
        <v>0.41274801587301591</v>
      </c>
      <c r="P265" s="1">
        <v>6</v>
      </c>
      <c r="Q265" s="24">
        <v>14.990000000000009</v>
      </c>
      <c r="R265" s="24">
        <v>134.91</v>
      </c>
      <c r="S265" s="21">
        <f t="shared" si="14"/>
        <v>0.33839285714285716</v>
      </c>
    </row>
    <row r="266" spans="2:19" ht="11.4" customHeight="1" x14ac:dyDescent="0.2">
      <c r="B266" s="24"/>
      <c r="C266" s="4">
        <v>22428</v>
      </c>
      <c r="D266" s="18" t="s">
        <v>289</v>
      </c>
      <c r="E266" s="18" t="s">
        <v>225</v>
      </c>
      <c r="F266" s="17">
        <v>20</v>
      </c>
      <c r="G266" s="18" t="s">
        <v>23</v>
      </c>
      <c r="H266" s="17">
        <v>70.92</v>
      </c>
      <c r="I266" s="5">
        <v>104.9</v>
      </c>
      <c r="J266" s="21">
        <f t="shared" si="12"/>
        <v>0.47913141567963907</v>
      </c>
      <c r="K266" s="1">
        <v>2</v>
      </c>
      <c r="L266" s="24">
        <v>5.2</v>
      </c>
      <c r="M266" s="24">
        <v>99.655000000000001</v>
      </c>
      <c r="N266" s="21">
        <f t="shared" si="13"/>
        <v>0.40517484489565708</v>
      </c>
      <c r="P266" s="1">
        <v>6</v>
      </c>
      <c r="Q266" s="24">
        <v>10.489999999999995</v>
      </c>
      <c r="R266" s="24">
        <v>94.410000000000011</v>
      </c>
      <c r="S266" s="21">
        <f t="shared" si="14"/>
        <v>0.33121827411167526</v>
      </c>
    </row>
    <row r="267" spans="2:19" ht="11.4" customHeight="1" x14ac:dyDescent="0.2">
      <c r="B267" s="24"/>
      <c r="C267" s="4">
        <v>41846</v>
      </c>
      <c r="D267" s="18" t="s">
        <v>290</v>
      </c>
      <c r="E267" s="18" t="s">
        <v>225</v>
      </c>
      <c r="F267" s="17">
        <v>1</v>
      </c>
      <c r="G267" s="18" t="s">
        <v>23</v>
      </c>
      <c r="H267" s="17">
        <v>69.37</v>
      </c>
      <c r="I267" s="5">
        <v>94.9</v>
      </c>
      <c r="J267" s="21">
        <f t="shared" si="12"/>
        <v>0.36802652443419342</v>
      </c>
      <c r="K267" s="1">
        <v>2</v>
      </c>
      <c r="L267" s="24">
        <v>4.7</v>
      </c>
      <c r="M267" s="24">
        <v>90.155000000000001</v>
      </c>
      <c r="N267" s="21">
        <f t="shared" si="13"/>
        <v>0.29962519821248373</v>
      </c>
      <c r="P267" s="1">
        <v>6</v>
      </c>
      <c r="Q267" s="24">
        <v>9.4899999999999949</v>
      </c>
      <c r="R267" s="24">
        <v>85.410000000000011</v>
      </c>
      <c r="S267" s="21">
        <f t="shared" si="14"/>
        <v>0.23122387199077418</v>
      </c>
    </row>
    <row r="268" spans="2:19" ht="11.4" customHeight="1" x14ac:dyDescent="0.2">
      <c r="B268" s="24"/>
      <c r="C268" s="4">
        <v>23568</v>
      </c>
      <c r="D268" s="18" t="s">
        <v>291</v>
      </c>
      <c r="E268" s="18" t="s">
        <v>225</v>
      </c>
      <c r="F268" s="18"/>
      <c r="G268" s="18" t="s">
        <v>23</v>
      </c>
      <c r="H268" s="17">
        <v>138.9</v>
      </c>
      <c r="I268" s="5">
        <v>184.8</v>
      </c>
      <c r="J268" s="21">
        <f t="shared" si="12"/>
        <v>0.33045356371490281</v>
      </c>
      <c r="K268" s="1">
        <v>2</v>
      </c>
      <c r="L268" s="24">
        <v>9.1999999999999993</v>
      </c>
      <c r="M268" s="24">
        <v>175.56</v>
      </c>
      <c r="N268" s="21">
        <f t="shared" si="13"/>
        <v>0.26393088552915761</v>
      </c>
      <c r="P268" s="1">
        <v>6</v>
      </c>
      <c r="Q268" s="24">
        <v>18.47999999999999</v>
      </c>
      <c r="R268" s="24">
        <v>166.32000000000002</v>
      </c>
      <c r="S268" s="21">
        <f t="shared" si="14"/>
        <v>0.19740820734341263</v>
      </c>
    </row>
    <row r="269" spans="2:19" ht="11.4" customHeight="1" x14ac:dyDescent="0.2">
      <c r="B269" s="24"/>
      <c r="C269" s="4">
        <v>11462</v>
      </c>
      <c r="D269" s="18" t="s">
        <v>292</v>
      </c>
      <c r="E269" s="18" t="s">
        <v>225</v>
      </c>
      <c r="F269" s="17">
        <v>1</v>
      </c>
      <c r="G269" s="18" t="s">
        <v>23</v>
      </c>
      <c r="H269" s="17">
        <v>61.5</v>
      </c>
      <c r="I269" s="5">
        <v>61.5</v>
      </c>
      <c r="J269" s="21">
        <f t="shared" si="12"/>
        <v>0</v>
      </c>
      <c r="K269" s="1">
        <v>2</v>
      </c>
      <c r="L269" s="24">
        <v>3</v>
      </c>
      <c r="M269" s="24">
        <v>58.424999999999997</v>
      </c>
      <c r="N269" s="21">
        <f t="shared" si="13"/>
        <v>-5.0000000000000044E-2</v>
      </c>
      <c r="P269" s="1">
        <v>6</v>
      </c>
      <c r="Q269" s="24">
        <v>6.1499999999999986</v>
      </c>
      <c r="R269" s="24">
        <v>55.35</v>
      </c>
      <c r="S269" s="21">
        <f t="shared" si="14"/>
        <v>-9.9999999999999978E-2</v>
      </c>
    </row>
    <row r="270" spans="2:19" ht="11.4" customHeight="1" x14ac:dyDescent="0.2">
      <c r="B270" s="24"/>
      <c r="C270" s="4">
        <v>11459</v>
      </c>
      <c r="D270" s="18" t="s">
        <v>293</v>
      </c>
      <c r="E270" s="18" t="s">
        <v>225</v>
      </c>
      <c r="F270" s="17">
        <v>1</v>
      </c>
      <c r="G270" s="18" t="s">
        <v>23</v>
      </c>
      <c r="H270" s="17">
        <v>127.9</v>
      </c>
      <c r="I270" s="5">
        <v>126.5</v>
      </c>
      <c r="J270" s="21">
        <f t="shared" si="12"/>
        <v>-1.0946051602814743E-2</v>
      </c>
      <c r="K270" s="1">
        <v>2</v>
      </c>
      <c r="L270" s="24">
        <v>6.3</v>
      </c>
      <c r="M270" s="24">
        <v>120.175</v>
      </c>
      <c r="N270" s="21">
        <f t="shared" si="13"/>
        <v>-6.0398749022674031E-2</v>
      </c>
      <c r="P270" s="1">
        <v>6</v>
      </c>
      <c r="Q270" s="24">
        <v>12.649999999999991</v>
      </c>
      <c r="R270" s="24">
        <v>113.85000000000001</v>
      </c>
      <c r="S270" s="21">
        <f t="shared" si="14"/>
        <v>-0.1098514464425332</v>
      </c>
    </row>
    <row r="271" spans="2:19" ht="11.4" customHeight="1" x14ac:dyDescent="0.2">
      <c r="B271" s="24"/>
      <c r="C271" s="4">
        <v>11743</v>
      </c>
      <c r="D271" s="18" t="s">
        <v>294</v>
      </c>
      <c r="E271" s="18" t="s">
        <v>225</v>
      </c>
      <c r="F271" s="17">
        <v>1</v>
      </c>
      <c r="G271" s="18" t="s">
        <v>23</v>
      </c>
      <c r="H271" s="17">
        <v>173.5</v>
      </c>
      <c r="I271" s="5">
        <v>171.5</v>
      </c>
      <c r="J271" s="21">
        <f t="shared" si="12"/>
        <v>-1.1527377521613832E-2</v>
      </c>
      <c r="K271" s="1">
        <v>2</v>
      </c>
      <c r="L271" s="24">
        <v>8.5</v>
      </c>
      <c r="M271" s="24">
        <v>162.92499999999998</v>
      </c>
      <c r="N271" s="21">
        <f t="shared" si="13"/>
        <v>-6.0951008645533239E-2</v>
      </c>
      <c r="P271" s="1">
        <v>6</v>
      </c>
      <c r="Q271" s="24">
        <v>17.150000000000006</v>
      </c>
      <c r="R271" s="24">
        <v>154.35</v>
      </c>
      <c r="S271" s="21">
        <f t="shared" si="14"/>
        <v>-0.11037463976945248</v>
      </c>
    </row>
    <row r="272" spans="2:19" ht="11.4" customHeight="1" x14ac:dyDescent="0.2">
      <c r="B272" s="24"/>
      <c r="C272" s="4">
        <v>11458</v>
      </c>
      <c r="D272" s="18" t="s">
        <v>295</v>
      </c>
      <c r="E272" s="18" t="s">
        <v>225</v>
      </c>
      <c r="F272" s="17">
        <v>6</v>
      </c>
      <c r="G272" s="18" t="s">
        <v>23</v>
      </c>
      <c r="H272" s="17">
        <v>249.5</v>
      </c>
      <c r="I272" s="5">
        <v>249.5</v>
      </c>
      <c r="J272" s="21">
        <f t="shared" si="12"/>
        <v>0</v>
      </c>
      <c r="K272" s="1">
        <v>2</v>
      </c>
      <c r="L272" s="24">
        <v>12.4</v>
      </c>
      <c r="M272" s="24">
        <v>237.02499999999998</v>
      </c>
      <c r="N272" s="21">
        <f t="shared" si="13"/>
        <v>-5.0000000000000093E-2</v>
      </c>
      <c r="P272" s="1">
        <v>6</v>
      </c>
      <c r="Q272" s="24">
        <v>24.949999999999989</v>
      </c>
      <c r="R272" s="24">
        <v>224.55</v>
      </c>
      <c r="S272" s="21">
        <f t="shared" si="14"/>
        <v>-9.999999999999995E-2</v>
      </c>
    </row>
    <row r="273" spans="2:19" ht="11.4" customHeight="1" x14ac:dyDescent="0.2">
      <c r="B273" s="24"/>
      <c r="C273" s="4">
        <v>3254</v>
      </c>
      <c r="D273" s="18" t="s">
        <v>296</v>
      </c>
      <c r="E273" s="18" t="s">
        <v>225</v>
      </c>
      <c r="F273" s="17">
        <v>1</v>
      </c>
      <c r="G273" s="18" t="s">
        <v>23</v>
      </c>
      <c r="H273" s="17">
        <v>126.9</v>
      </c>
      <c r="I273" s="5">
        <v>140.80000000000001</v>
      </c>
      <c r="J273" s="21">
        <f t="shared" si="12"/>
        <v>0.10953506698187553</v>
      </c>
      <c r="K273" s="1">
        <v>2</v>
      </c>
      <c r="L273" s="24">
        <v>7</v>
      </c>
      <c r="M273" s="24">
        <v>133.76</v>
      </c>
      <c r="N273" s="21">
        <f t="shared" si="13"/>
        <v>5.4058313632781602E-2</v>
      </c>
      <c r="P273" s="1">
        <v>6</v>
      </c>
      <c r="Q273" s="24">
        <v>14.079999999999998</v>
      </c>
      <c r="R273" s="24">
        <v>126.72000000000001</v>
      </c>
      <c r="S273" s="21">
        <f t="shared" si="14"/>
        <v>-1.4184397163119985E-3</v>
      </c>
    </row>
    <row r="274" spans="2:19" ht="11.4" customHeight="1" x14ac:dyDescent="0.2">
      <c r="B274" s="24"/>
      <c r="C274" s="4">
        <v>40904</v>
      </c>
      <c r="D274" s="18" t="s">
        <v>297</v>
      </c>
      <c r="E274" s="18" t="s">
        <v>225</v>
      </c>
      <c r="F274" s="18"/>
      <c r="G274" s="18" t="s">
        <v>23</v>
      </c>
      <c r="H274" s="17">
        <v>69.66</v>
      </c>
      <c r="I274" s="5">
        <v>89.4</v>
      </c>
      <c r="J274" s="21">
        <f t="shared" si="12"/>
        <v>0.28337639965546957</v>
      </c>
      <c r="K274" s="1">
        <v>2</v>
      </c>
      <c r="L274" s="24">
        <v>4.4000000000000004</v>
      </c>
      <c r="M274" s="24">
        <v>84.93</v>
      </c>
      <c r="N274" s="21">
        <f t="shared" si="13"/>
        <v>0.21920757967269611</v>
      </c>
      <c r="P274" s="1">
        <v>6</v>
      </c>
      <c r="Q274" s="24">
        <v>8.9399999999999977</v>
      </c>
      <c r="R274" s="24">
        <v>80.460000000000008</v>
      </c>
      <c r="S274" s="21">
        <f t="shared" si="14"/>
        <v>0.15503875968992265</v>
      </c>
    </row>
    <row r="275" spans="2:19" ht="11.4" customHeight="1" x14ac:dyDescent="0.2">
      <c r="B275" s="24"/>
      <c r="C275" s="4">
        <v>10048</v>
      </c>
      <c r="D275" s="18" t="s">
        <v>298</v>
      </c>
      <c r="E275" s="18" t="s">
        <v>225</v>
      </c>
      <c r="F275" s="18"/>
      <c r="G275" s="18" t="s">
        <v>23</v>
      </c>
      <c r="H275" s="17">
        <v>53.88</v>
      </c>
      <c r="I275" s="5">
        <v>73.3</v>
      </c>
      <c r="J275" s="21">
        <f t="shared" si="12"/>
        <v>0.36043058648849285</v>
      </c>
      <c r="K275" s="1">
        <v>2</v>
      </c>
      <c r="L275" s="24">
        <v>3.6</v>
      </c>
      <c r="M275" s="24">
        <v>69.634999999999991</v>
      </c>
      <c r="N275" s="21">
        <f t="shared" si="13"/>
        <v>0.29240905716406806</v>
      </c>
      <c r="P275" s="1">
        <v>6</v>
      </c>
      <c r="Q275" s="24">
        <v>7.3299999999999983</v>
      </c>
      <c r="R275" s="24">
        <v>65.97</v>
      </c>
      <c r="S275" s="21">
        <f t="shared" si="14"/>
        <v>0.22438752783964358</v>
      </c>
    </row>
    <row r="276" spans="2:19" ht="11.4" customHeight="1" x14ac:dyDescent="0.2">
      <c r="B276" s="24"/>
      <c r="C276" s="4">
        <v>5890</v>
      </c>
      <c r="D276" s="18" t="s">
        <v>299</v>
      </c>
      <c r="E276" s="18" t="s">
        <v>225</v>
      </c>
      <c r="F276" s="18"/>
      <c r="G276" s="18" t="s">
        <v>23</v>
      </c>
      <c r="H276" s="17">
        <v>140.69999999999999</v>
      </c>
      <c r="I276" s="5">
        <v>194.6</v>
      </c>
      <c r="J276" s="21">
        <f t="shared" si="12"/>
        <v>0.38308457711442795</v>
      </c>
      <c r="K276" s="1">
        <v>2</v>
      </c>
      <c r="L276" s="24">
        <v>9.6999999999999993</v>
      </c>
      <c r="M276" s="24">
        <v>184.86999999999998</v>
      </c>
      <c r="N276" s="21">
        <f t="shared" si="13"/>
        <v>0.31393034825870642</v>
      </c>
      <c r="P276" s="1">
        <v>6</v>
      </c>
      <c r="Q276" s="24">
        <v>19.460000000000008</v>
      </c>
      <c r="R276" s="24">
        <v>175.14</v>
      </c>
      <c r="S276" s="21">
        <f t="shared" si="14"/>
        <v>0.24477611940298508</v>
      </c>
    </row>
    <row r="277" spans="2:19" ht="11.4" customHeight="1" x14ac:dyDescent="0.2">
      <c r="B277" s="24"/>
      <c r="C277" s="4">
        <v>41605</v>
      </c>
      <c r="D277" s="18" t="s">
        <v>300</v>
      </c>
      <c r="E277" s="18" t="s">
        <v>225</v>
      </c>
      <c r="F277" s="17">
        <v>1</v>
      </c>
      <c r="G277" s="18" t="s">
        <v>23</v>
      </c>
      <c r="H277" s="17">
        <v>79.86</v>
      </c>
      <c r="I277" s="5">
        <v>129.9</v>
      </c>
      <c r="J277" s="21">
        <f t="shared" si="12"/>
        <v>0.62659654395191589</v>
      </c>
      <c r="K277" s="1">
        <v>2</v>
      </c>
      <c r="L277" s="24">
        <v>6.4</v>
      </c>
      <c r="M277" s="24">
        <v>123.405</v>
      </c>
      <c r="N277" s="21">
        <f t="shared" si="13"/>
        <v>0.54526671675432004</v>
      </c>
      <c r="P277" s="1">
        <v>6</v>
      </c>
      <c r="Q277" s="24">
        <v>12.989999999999995</v>
      </c>
      <c r="R277" s="24">
        <v>116.91000000000001</v>
      </c>
      <c r="S277" s="21">
        <f t="shared" si="14"/>
        <v>0.46393688955672441</v>
      </c>
    </row>
    <row r="278" spans="2:19" ht="11.4" customHeight="1" x14ac:dyDescent="0.2">
      <c r="B278" s="24"/>
      <c r="C278" s="4">
        <v>9809</v>
      </c>
      <c r="D278" s="18" t="s">
        <v>301</v>
      </c>
      <c r="E278" s="18" t="s">
        <v>225</v>
      </c>
      <c r="F278" s="17">
        <v>1</v>
      </c>
      <c r="G278" s="18" t="s">
        <v>23</v>
      </c>
      <c r="H278" s="17">
        <v>62.8</v>
      </c>
      <c r="I278" s="5">
        <v>68.400000000000006</v>
      </c>
      <c r="J278" s="21">
        <f t="shared" si="12"/>
        <v>8.917197452229314E-2</v>
      </c>
      <c r="K278" s="1">
        <v>2</v>
      </c>
      <c r="L278" s="24">
        <v>3.4</v>
      </c>
      <c r="M278" s="24">
        <v>64.98</v>
      </c>
      <c r="N278" s="21">
        <f t="shared" si="13"/>
        <v>3.4713375796178454E-2</v>
      </c>
      <c r="P278" s="1">
        <v>6</v>
      </c>
      <c r="Q278" s="24">
        <v>6.8399999999999963</v>
      </c>
      <c r="R278" s="24">
        <v>61.560000000000009</v>
      </c>
      <c r="S278" s="21">
        <f t="shared" si="14"/>
        <v>-1.9745222929936111E-2</v>
      </c>
    </row>
    <row r="279" spans="2:19" ht="11.4" customHeight="1" x14ac:dyDescent="0.2">
      <c r="B279" s="24"/>
      <c r="C279" s="4">
        <v>9811</v>
      </c>
      <c r="D279" s="18" t="s">
        <v>302</v>
      </c>
      <c r="E279" s="18" t="s">
        <v>225</v>
      </c>
      <c r="F279" s="17">
        <v>1</v>
      </c>
      <c r="G279" s="18" t="s">
        <v>23</v>
      </c>
      <c r="H279" s="17">
        <v>231.9</v>
      </c>
      <c r="I279" s="5">
        <v>259.8</v>
      </c>
      <c r="J279" s="21">
        <f t="shared" si="12"/>
        <v>0.12031047865459252</v>
      </c>
      <c r="K279" s="1">
        <v>2</v>
      </c>
      <c r="L279" s="24">
        <v>12.9</v>
      </c>
      <c r="M279" s="24">
        <v>246.81</v>
      </c>
      <c r="N279" s="21">
        <f t="shared" si="13"/>
        <v>6.4294954721862863E-2</v>
      </c>
      <c r="P279" s="1">
        <v>6</v>
      </c>
      <c r="Q279" s="24">
        <v>25.97999999999999</v>
      </c>
      <c r="R279" s="24">
        <v>233.82000000000002</v>
      </c>
      <c r="S279" s="21">
        <f t="shared" si="14"/>
        <v>8.2794307891333151E-3</v>
      </c>
    </row>
    <row r="280" spans="2:19" ht="11.4" customHeight="1" x14ac:dyDescent="0.2">
      <c r="B280" s="24"/>
      <c r="C280" s="4">
        <v>41597</v>
      </c>
      <c r="D280" s="18" t="s">
        <v>303</v>
      </c>
      <c r="E280" s="18" t="s">
        <v>225</v>
      </c>
      <c r="F280" s="17">
        <v>30</v>
      </c>
      <c r="G280" s="18" t="s">
        <v>23</v>
      </c>
      <c r="H280" s="17">
        <v>41.1</v>
      </c>
      <c r="I280" s="5">
        <v>63.9</v>
      </c>
      <c r="J280" s="21">
        <f t="shared" si="12"/>
        <v>0.55474452554744513</v>
      </c>
      <c r="K280" s="1">
        <v>2</v>
      </c>
      <c r="L280" s="24">
        <v>3.1</v>
      </c>
      <c r="M280" s="24">
        <v>60.704999999999998</v>
      </c>
      <c r="N280" s="21">
        <f t="shared" si="13"/>
        <v>0.4770072992700729</v>
      </c>
      <c r="P280" s="1">
        <v>6</v>
      </c>
      <c r="Q280" s="24">
        <v>6.3900000000000006</v>
      </c>
      <c r="R280" s="24">
        <v>57.51</v>
      </c>
      <c r="S280" s="21">
        <f t="shared" si="14"/>
        <v>0.39927007299270062</v>
      </c>
    </row>
    <row r="281" spans="2:19" ht="11.4" customHeight="1" x14ac:dyDescent="0.2">
      <c r="B281" s="24"/>
      <c r="C281" s="4">
        <v>41598</v>
      </c>
      <c r="D281" s="18" t="s">
        <v>304</v>
      </c>
      <c r="E281" s="18" t="s">
        <v>225</v>
      </c>
      <c r="F281" s="17">
        <v>20</v>
      </c>
      <c r="G281" s="18" t="s">
        <v>23</v>
      </c>
      <c r="H281" s="17">
        <v>82.86</v>
      </c>
      <c r="I281" s="5">
        <v>124.9</v>
      </c>
      <c r="J281" s="21">
        <f t="shared" si="12"/>
        <v>0.50736181510982392</v>
      </c>
      <c r="K281" s="1">
        <v>2</v>
      </c>
      <c r="L281" s="24">
        <v>6.2</v>
      </c>
      <c r="M281" s="24">
        <v>118.655</v>
      </c>
      <c r="N281" s="21">
        <f t="shared" si="13"/>
        <v>0.43199372435433264</v>
      </c>
      <c r="P281" s="1">
        <v>6</v>
      </c>
      <c r="Q281" s="24">
        <v>12.489999999999995</v>
      </c>
      <c r="R281" s="24">
        <v>112.41000000000001</v>
      </c>
      <c r="S281" s="21">
        <f t="shared" si="14"/>
        <v>0.35662563359884158</v>
      </c>
    </row>
    <row r="282" spans="2:19" ht="11.4" customHeight="1" x14ac:dyDescent="0.2">
      <c r="B282" s="24"/>
      <c r="C282" s="4">
        <v>41847</v>
      </c>
      <c r="D282" s="18" t="s">
        <v>305</v>
      </c>
      <c r="E282" s="18" t="s">
        <v>225</v>
      </c>
      <c r="F282" s="17">
        <v>1</v>
      </c>
      <c r="G282" s="18" t="s">
        <v>23</v>
      </c>
      <c r="H282" s="17">
        <v>73.02</v>
      </c>
      <c r="I282" s="5">
        <v>99.5</v>
      </c>
      <c r="J282" s="21">
        <f t="shared" si="12"/>
        <v>0.36264037250068482</v>
      </c>
      <c r="K282" s="1">
        <v>2</v>
      </c>
      <c r="L282" s="24">
        <v>4.9000000000000004</v>
      </c>
      <c r="M282" s="24">
        <v>94.524999999999991</v>
      </c>
      <c r="N282" s="21">
        <f t="shared" si="13"/>
        <v>0.29450835387565044</v>
      </c>
      <c r="P282" s="1">
        <v>6</v>
      </c>
      <c r="Q282" s="24">
        <v>9.9500000000000028</v>
      </c>
      <c r="R282" s="24">
        <v>89.55</v>
      </c>
      <c r="S282" s="21">
        <f t="shared" si="14"/>
        <v>0.22637633525061629</v>
      </c>
    </row>
    <row r="283" spans="2:19" ht="11.4" customHeight="1" x14ac:dyDescent="0.2">
      <c r="B283" s="24"/>
      <c r="C283" s="4">
        <v>41848</v>
      </c>
      <c r="D283" s="18" t="s">
        <v>306</v>
      </c>
      <c r="E283" s="18" t="s">
        <v>225</v>
      </c>
      <c r="F283" s="17">
        <v>1</v>
      </c>
      <c r="G283" s="18" t="s">
        <v>23</v>
      </c>
      <c r="H283" s="17">
        <v>69.37</v>
      </c>
      <c r="I283" s="5">
        <v>94.9</v>
      </c>
      <c r="J283" s="21">
        <f t="shared" si="12"/>
        <v>0.36802652443419342</v>
      </c>
      <c r="K283" s="1">
        <v>2</v>
      </c>
      <c r="L283" s="24">
        <v>4.7</v>
      </c>
      <c r="M283" s="24">
        <v>90.155000000000001</v>
      </c>
      <c r="N283" s="21">
        <f t="shared" si="13"/>
        <v>0.29962519821248373</v>
      </c>
      <c r="P283" s="1">
        <v>6</v>
      </c>
      <c r="Q283" s="24">
        <v>9.4899999999999949</v>
      </c>
      <c r="R283" s="24">
        <v>85.410000000000011</v>
      </c>
      <c r="S283" s="21">
        <f t="shared" si="14"/>
        <v>0.23122387199077418</v>
      </c>
    </row>
    <row r="284" spans="2:19" ht="11.4" customHeight="1" x14ac:dyDescent="0.2">
      <c r="B284" s="24"/>
      <c r="C284" s="4">
        <v>42800</v>
      </c>
      <c r="D284" s="18" t="s">
        <v>307</v>
      </c>
      <c r="E284" s="18" t="s">
        <v>225</v>
      </c>
      <c r="F284" s="17">
        <v>1</v>
      </c>
      <c r="G284" s="18" t="s">
        <v>23</v>
      </c>
      <c r="H284" s="17">
        <v>78.959999999999994</v>
      </c>
      <c r="I284" s="5">
        <v>115.2</v>
      </c>
      <c r="J284" s="21">
        <f t="shared" si="12"/>
        <v>0.45896656534954422</v>
      </c>
      <c r="K284" s="1">
        <v>2</v>
      </c>
      <c r="L284" s="24">
        <v>5.7</v>
      </c>
      <c r="M284" s="24">
        <v>109.44</v>
      </c>
      <c r="N284" s="21">
        <f t="shared" si="13"/>
        <v>0.38601823708206695</v>
      </c>
      <c r="P284" s="1">
        <v>6</v>
      </c>
      <c r="Q284" s="24">
        <v>11.519999999999996</v>
      </c>
      <c r="R284" s="24">
        <v>103.68</v>
      </c>
      <c r="S284" s="21">
        <f t="shared" si="14"/>
        <v>0.31306990881458985</v>
      </c>
    </row>
    <row r="285" spans="2:19" ht="11.4" customHeight="1" x14ac:dyDescent="0.2">
      <c r="B285" s="24"/>
      <c r="C285" s="4">
        <v>39578</v>
      </c>
      <c r="D285" s="18" t="s">
        <v>308</v>
      </c>
      <c r="E285" s="18" t="s">
        <v>225</v>
      </c>
      <c r="F285" s="17">
        <v>1</v>
      </c>
      <c r="G285" s="18" t="s">
        <v>23</v>
      </c>
      <c r="H285" s="17">
        <v>26.5</v>
      </c>
      <c r="I285" s="5">
        <v>29.5</v>
      </c>
      <c r="J285" s="21">
        <f t="shared" si="12"/>
        <v>0.11320754716981132</v>
      </c>
      <c r="K285" s="1">
        <v>2</v>
      </c>
      <c r="L285" s="24">
        <v>1.4</v>
      </c>
      <c r="M285" s="24">
        <v>28.024999999999999</v>
      </c>
      <c r="N285" s="21">
        <f t="shared" si="13"/>
        <v>5.75471698113207E-2</v>
      </c>
      <c r="P285" s="1">
        <v>6</v>
      </c>
      <c r="Q285" s="24">
        <v>2.9499999999999993</v>
      </c>
      <c r="R285" s="24">
        <v>26.55</v>
      </c>
      <c r="S285" s="21">
        <f t="shared" si="14"/>
        <v>1.8867924528302156E-3</v>
      </c>
    </row>
    <row r="286" spans="2:19" ht="11.4" customHeight="1" x14ac:dyDescent="0.2">
      <c r="B286" s="24"/>
      <c r="C286" s="4">
        <v>41601</v>
      </c>
      <c r="D286" s="18" t="s">
        <v>309</v>
      </c>
      <c r="E286" s="18" t="s">
        <v>225</v>
      </c>
      <c r="F286" s="17">
        <v>1</v>
      </c>
      <c r="G286" s="18" t="s">
        <v>23</v>
      </c>
      <c r="H286" s="17">
        <v>104.28</v>
      </c>
      <c r="I286" s="5">
        <v>129.9</v>
      </c>
      <c r="J286" s="21">
        <f t="shared" si="12"/>
        <v>0.2456846950517837</v>
      </c>
      <c r="K286" s="1">
        <v>2</v>
      </c>
      <c r="L286" s="24">
        <v>6.4</v>
      </c>
      <c r="M286" s="24">
        <v>123.405</v>
      </c>
      <c r="N286" s="21">
        <f t="shared" si="13"/>
        <v>0.18340046029919446</v>
      </c>
      <c r="P286" s="1">
        <v>6</v>
      </c>
      <c r="Q286" s="24">
        <v>12.989999999999995</v>
      </c>
      <c r="R286" s="24">
        <v>116.91000000000001</v>
      </c>
      <c r="S286" s="21">
        <f t="shared" si="14"/>
        <v>0.12111622554660538</v>
      </c>
    </row>
    <row r="287" spans="2:19" ht="11.4" customHeight="1" x14ac:dyDescent="0.2">
      <c r="B287" s="24"/>
      <c r="C287" s="4">
        <v>41602</v>
      </c>
      <c r="D287" s="18" t="s">
        <v>310</v>
      </c>
      <c r="E287" s="18" t="s">
        <v>225</v>
      </c>
      <c r="F287" s="17">
        <v>1</v>
      </c>
      <c r="G287" s="18" t="s">
        <v>23</v>
      </c>
      <c r="H287" s="17">
        <v>139.13999999999999</v>
      </c>
      <c r="I287" s="5">
        <v>206.5</v>
      </c>
      <c r="J287" s="21">
        <f t="shared" si="12"/>
        <v>0.48411671697570807</v>
      </c>
      <c r="K287" s="1">
        <v>2</v>
      </c>
      <c r="L287" s="24">
        <v>10.3</v>
      </c>
      <c r="M287" s="24">
        <v>196.17499999999998</v>
      </c>
      <c r="N287" s="21">
        <f t="shared" si="13"/>
        <v>0.40991088112692253</v>
      </c>
      <c r="P287" s="1">
        <v>6</v>
      </c>
      <c r="Q287" s="24">
        <v>20.650000000000006</v>
      </c>
      <c r="R287" s="24">
        <v>185.85</v>
      </c>
      <c r="S287" s="21">
        <f t="shared" si="14"/>
        <v>0.33570504527813722</v>
      </c>
    </row>
    <row r="288" spans="2:19" ht="11.4" customHeight="1" x14ac:dyDescent="0.2">
      <c r="B288" s="24"/>
      <c r="C288" s="4">
        <v>41603</v>
      </c>
      <c r="D288" s="18" t="s">
        <v>311</v>
      </c>
      <c r="E288" s="18" t="s">
        <v>225</v>
      </c>
      <c r="F288" s="17">
        <v>1</v>
      </c>
      <c r="G288" s="18" t="s">
        <v>23</v>
      </c>
      <c r="H288" s="17">
        <v>194.46</v>
      </c>
      <c r="I288" s="5">
        <v>288.89999999999998</v>
      </c>
      <c r="J288" s="21">
        <f t="shared" si="12"/>
        <v>0.48565257636531917</v>
      </c>
      <c r="K288" s="1">
        <v>2</v>
      </c>
      <c r="L288" s="24">
        <v>14.4</v>
      </c>
      <c r="M288" s="24">
        <v>274.45499999999998</v>
      </c>
      <c r="N288" s="21">
        <f t="shared" si="13"/>
        <v>0.41136994754705325</v>
      </c>
      <c r="P288" s="1">
        <v>6</v>
      </c>
      <c r="Q288" s="24">
        <v>28.889999999999986</v>
      </c>
      <c r="R288" s="24">
        <v>260.01</v>
      </c>
      <c r="S288" s="21">
        <f t="shared" si="14"/>
        <v>0.33708731872878733</v>
      </c>
    </row>
    <row r="289" spans="2:19" ht="11.4" customHeight="1" x14ac:dyDescent="0.2">
      <c r="B289" s="24"/>
      <c r="C289" s="4">
        <v>37739</v>
      </c>
      <c r="D289" s="18" t="s">
        <v>312</v>
      </c>
      <c r="E289" s="18" t="s">
        <v>225</v>
      </c>
      <c r="F289" s="17">
        <v>1</v>
      </c>
      <c r="G289" s="18" t="s">
        <v>23</v>
      </c>
      <c r="H289" s="17">
        <v>206.1</v>
      </c>
      <c r="I289" s="5">
        <v>211.9</v>
      </c>
      <c r="J289" s="21">
        <f t="shared" si="12"/>
        <v>2.8141678796700688E-2</v>
      </c>
      <c r="K289" s="1">
        <v>2</v>
      </c>
      <c r="L289" s="24">
        <v>10.5</v>
      </c>
      <c r="M289" s="24">
        <v>201.30500000000001</v>
      </c>
      <c r="N289" s="21">
        <f t="shared" si="13"/>
        <v>-2.3265405143134341E-2</v>
      </c>
      <c r="P289" s="1">
        <v>6</v>
      </c>
      <c r="Q289" s="24">
        <v>21.189999999999998</v>
      </c>
      <c r="R289" s="24">
        <v>190.71</v>
      </c>
      <c r="S289" s="21">
        <f t="shared" si="14"/>
        <v>-7.4672489082969362E-2</v>
      </c>
    </row>
    <row r="290" spans="2:19" ht="11.4" customHeight="1" x14ac:dyDescent="0.2">
      <c r="B290" s="24"/>
      <c r="C290" s="4">
        <v>42389</v>
      </c>
      <c r="D290" s="18" t="s">
        <v>313</v>
      </c>
      <c r="E290" s="18" t="s">
        <v>225</v>
      </c>
      <c r="F290" s="18"/>
      <c r="G290" s="18" t="s">
        <v>23</v>
      </c>
      <c r="H290" s="17">
        <v>113.76</v>
      </c>
      <c r="I290" s="5">
        <v>159.30000000000001</v>
      </c>
      <c r="J290" s="21">
        <f t="shared" si="12"/>
        <v>0.40031645569620256</v>
      </c>
      <c r="K290" s="1">
        <v>2</v>
      </c>
      <c r="L290" s="24">
        <v>7.9</v>
      </c>
      <c r="M290" s="24">
        <v>151.33500000000001</v>
      </c>
      <c r="N290" s="21">
        <f t="shared" si="13"/>
        <v>0.33030063291139239</v>
      </c>
      <c r="P290" s="1">
        <v>6</v>
      </c>
      <c r="Q290" s="24">
        <v>15.930000000000007</v>
      </c>
      <c r="R290" s="24">
        <v>143.37</v>
      </c>
      <c r="S290" s="21">
        <f t="shared" si="14"/>
        <v>0.26028481012658228</v>
      </c>
    </row>
    <row r="291" spans="2:19" ht="11.4" customHeight="1" x14ac:dyDescent="0.2">
      <c r="B291" s="24"/>
      <c r="C291" s="4">
        <v>19733</v>
      </c>
      <c r="D291" s="18" t="s">
        <v>314</v>
      </c>
      <c r="E291" s="18" t="s">
        <v>225</v>
      </c>
      <c r="F291" s="17">
        <v>2</v>
      </c>
      <c r="G291" s="18" t="s">
        <v>23</v>
      </c>
      <c r="H291" s="17">
        <v>40.1</v>
      </c>
      <c r="I291" s="5">
        <v>44.5</v>
      </c>
      <c r="J291" s="21">
        <f t="shared" si="12"/>
        <v>0.10972568578553613</v>
      </c>
      <c r="K291" s="1">
        <v>2</v>
      </c>
      <c r="L291" s="24">
        <v>2.2000000000000002</v>
      </c>
      <c r="M291" s="24">
        <v>42.274999999999999</v>
      </c>
      <c r="N291" s="21">
        <f t="shared" si="13"/>
        <v>5.4239401496259276E-2</v>
      </c>
      <c r="P291" s="1">
        <v>6</v>
      </c>
      <c r="Q291" s="24">
        <v>4.4499999999999957</v>
      </c>
      <c r="R291" s="24">
        <v>40.050000000000004</v>
      </c>
      <c r="S291" s="21">
        <f t="shared" si="14"/>
        <v>-1.2468827930173854E-3</v>
      </c>
    </row>
    <row r="292" spans="2:19" ht="11.4" customHeight="1" x14ac:dyDescent="0.2">
      <c r="B292" s="24"/>
      <c r="C292" s="4">
        <v>3253</v>
      </c>
      <c r="D292" s="18" t="s">
        <v>315</v>
      </c>
      <c r="E292" s="18" t="s">
        <v>225</v>
      </c>
      <c r="F292" s="17">
        <v>1</v>
      </c>
      <c r="G292" s="18" t="s">
        <v>23</v>
      </c>
      <c r="H292" s="17">
        <v>101</v>
      </c>
      <c r="I292" s="5">
        <v>111.9</v>
      </c>
      <c r="J292" s="21">
        <f t="shared" si="12"/>
        <v>0.10792079207920798</v>
      </c>
      <c r="K292" s="1">
        <v>2</v>
      </c>
      <c r="L292" s="24">
        <v>5.5</v>
      </c>
      <c r="M292" s="24">
        <v>106.30500000000001</v>
      </c>
      <c r="N292" s="21">
        <f t="shared" si="13"/>
        <v>5.2524752475247592E-2</v>
      </c>
      <c r="P292" s="1">
        <v>6</v>
      </c>
      <c r="Q292" s="24">
        <v>11.189999999999998</v>
      </c>
      <c r="R292" s="24">
        <v>100.71000000000001</v>
      </c>
      <c r="S292" s="21">
        <f t="shared" si="14"/>
        <v>-2.8712871287127923E-3</v>
      </c>
    </row>
    <row r="293" spans="2:19" ht="11.4" customHeight="1" x14ac:dyDescent="0.2">
      <c r="B293" s="24"/>
      <c r="C293" s="4">
        <v>3255</v>
      </c>
      <c r="D293" s="18" t="s">
        <v>316</v>
      </c>
      <c r="E293" s="18" t="s">
        <v>225</v>
      </c>
      <c r="F293" s="17">
        <v>1</v>
      </c>
      <c r="G293" s="18" t="s">
        <v>23</v>
      </c>
      <c r="H293" s="17">
        <v>183.5</v>
      </c>
      <c r="I293" s="5">
        <v>195.3</v>
      </c>
      <c r="J293" s="21">
        <f t="shared" si="12"/>
        <v>6.4305177111716683E-2</v>
      </c>
      <c r="K293" s="1">
        <v>2</v>
      </c>
      <c r="L293" s="24">
        <v>9.6999999999999993</v>
      </c>
      <c r="M293" s="24">
        <v>185.535</v>
      </c>
      <c r="N293" s="21">
        <f t="shared" si="13"/>
        <v>1.1089918256130772E-2</v>
      </c>
      <c r="P293" s="1">
        <v>6</v>
      </c>
      <c r="Q293" s="24">
        <v>19.53</v>
      </c>
      <c r="R293" s="24">
        <v>175.77</v>
      </c>
      <c r="S293" s="21">
        <f t="shared" si="14"/>
        <v>-4.2125340599454983E-2</v>
      </c>
    </row>
    <row r="294" spans="2:19" ht="11.4" customHeight="1" x14ac:dyDescent="0.2">
      <c r="B294" s="24"/>
      <c r="C294" s="4">
        <v>3256</v>
      </c>
      <c r="D294" s="18" t="s">
        <v>317</v>
      </c>
      <c r="E294" s="18" t="s">
        <v>225</v>
      </c>
      <c r="F294" s="17">
        <v>1</v>
      </c>
      <c r="G294" s="18" t="s">
        <v>23</v>
      </c>
      <c r="H294" s="17">
        <v>259.89999999999998</v>
      </c>
      <c r="I294" s="5">
        <v>276.89999999999998</v>
      </c>
      <c r="J294" s="21">
        <f t="shared" si="12"/>
        <v>6.5409772989611398E-2</v>
      </c>
      <c r="K294" s="1">
        <v>2</v>
      </c>
      <c r="L294" s="24">
        <v>13.8</v>
      </c>
      <c r="M294" s="24">
        <v>263.05499999999995</v>
      </c>
      <c r="N294" s="21">
        <f t="shared" si="13"/>
        <v>1.2139284340130715E-2</v>
      </c>
      <c r="P294" s="1">
        <v>6</v>
      </c>
      <c r="Q294" s="24">
        <v>27.689999999999998</v>
      </c>
      <c r="R294" s="24">
        <v>249.20999999999998</v>
      </c>
      <c r="S294" s="21">
        <f t="shared" si="14"/>
        <v>-4.1131204309349745E-2</v>
      </c>
    </row>
    <row r="295" spans="2:19" ht="11.4" customHeight="1" x14ac:dyDescent="0.2">
      <c r="B295" s="24"/>
      <c r="C295" s="4">
        <v>42392</v>
      </c>
      <c r="D295" s="18" t="s">
        <v>318</v>
      </c>
      <c r="E295" s="18" t="s">
        <v>225</v>
      </c>
      <c r="F295" s="18"/>
      <c r="G295" s="18" t="s">
        <v>23</v>
      </c>
      <c r="H295" s="17">
        <v>102.06</v>
      </c>
      <c r="I295" s="5">
        <v>140.9</v>
      </c>
      <c r="J295" s="21">
        <f t="shared" si="12"/>
        <v>0.38056045463452876</v>
      </c>
      <c r="K295" s="1">
        <v>2</v>
      </c>
      <c r="L295" s="24">
        <v>7</v>
      </c>
      <c r="M295" s="24">
        <v>133.85499999999999</v>
      </c>
      <c r="N295" s="21">
        <f t="shared" si="13"/>
        <v>0.31153243190280216</v>
      </c>
      <c r="P295" s="1">
        <v>6</v>
      </c>
      <c r="Q295" s="24">
        <v>14.090000000000003</v>
      </c>
      <c r="R295" s="24">
        <v>126.81</v>
      </c>
      <c r="S295" s="21">
        <f t="shared" si="14"/>
        <v>0.24250440917107582</v>
      </c>
    </row>
    <row r="296" spans="2:19" ht="11.4" customHeight="1" x14ac:dyDescent="0.2">
      <c r="B296" s="24"/>
      <c r="C296" s="4">
        <v>23666</v>
      </c>
      <c r="D296" s="18" t="s">
        <v>319</v>
      </c>
      <c r="E296" s="18" t="s">
        <v>225</v>
      </c>
      <c r="F296" s="17">
        <v>2</v>
      </c>
      <c r="G296" s="18" t="s">
        <v>23</v>
      </c>
      <c r="H296" s="17">
        <v>49.9</v>
      </c>
      <c r="I296" s="5">
        <v>59.9</v>
      </c>
      <c r="J296" s="21">
        <f t="shared" si="12"/>
        <v>0.20040080160320642</v>
      </c>
      <c r="K296" s="1">
        <v>2</v>
      </c>
      <c r="L296" s="24">
        <v>2.9</v>
      </c>
      <c r="M296" s="24">
        <v>56.904999999999994</v>
      </c>
      <c r="N296" s="21">
        <f t="shared" si="13"/>
        <v>0.14038076152304602</v>
      </c>
      <c r="P296" s="1">
        <v>6</v>
      </c>
      <c r="Q296" s="24">
        <v>5.990000000000002</v>
      </c>
      <c r="R296" s="24">
        <v>53.91</v>
      </c>
      <c r="S296" s="21">
        <f t="shared" si="14"/>
        <v>8.0360721442885738E-2</v>
      </c>
    </row>
    <row r="297" spans="2:19" ht="11.4" customHeight="1" x14ac:dyDescent="0.2">
      <c r="B297" s="24"/>
      <c r="C297" s="4">
        <v>5648</v>
      </c>
      <c r="D297" s="18" t="s">
        <v>320</v>
      </c>
      <c r="E297" s="18" t="s">
        <v>225</v>
      </c>
      <c r="F297" s="17">
        <v>1</v>
      </c>
      <c r="G297" s="18" t="s">
        <v>23</v>
      </c>
      <c r="H297" s="17">
        <v>158.30000000000001</v>
      </c>
      <c r="I297" s="5">
        <v>149.9</v>
      </c>
      <c r="J297" s="21">
        <f t="shared" si="12"/>
        <v>-5.3063802905874952E-2</v>
      </c>
      <c r="K297" s="1">
        <v>2</v>
      </c>
      <c r="L297" s="24">
        <v>7.4</v>
      </c>
      <c r="M297" s="24">
        <v>142.405</v>
      </c>
      <c r="N297" s="21">
        <f t="shared" si="13"/>
        <v>-0.10041061276058123</v>
      </c>
      <c r="P297" s="1">
        <v>6</v>
      </c>
      <c r="Q297" s="24">
        <v>14.990000000000009</v>
      </c>
      <c r="R297" s="24">
        <v>134.91</v>
      </c>
      <c r="S297" s="21">
        <f t="shared" si="14"/>
        <v>-0.14775742261528751</v>
      </c>
    </row>
    <row r="298" spans="2:19" ht="11.4" customHeight="1" x14ac:dyDescent="0.2">
      <c r="B298" s="24"/>
      <c r="C298" s="4">
        <v>10089</v>
      </c>
      <c r="D298" s="18" t="s">
        <v>321</v>
      </c>
      <c r="E298" s="18" t="s">
        <v>225</v>
      </c>
      <c r="F298" s="17">
        <v>2</v>
      </c>
      <c r="G298" s="18" t="s">
        <v>23</v>
      </c>
      <c r="H298" s="17">
        <v>24.9</v>
      </c>
      <c r="I298" s="5">
        <v>24.9</v>
      </c>
      <c r="J298" s="21">
        <f t="shared" si="12"/>
        <v>0</v>
      </c>
      <c r="K298" s="1">
        <v>2</v>
      </c>
      <c r="L298" s="24">
        <v>1.2</v>
      </c>
      <c r="M298" s="24">
        <v>23.654999999999998</v>
      </c>
      <c r="N298" s="21">
        <f t="shared" si="13"/>
        <v>-5.0000000000000044E-2</v>
      </c>
      <c r="P298" s="1">
        <v>6</v>
      </c>
      <c r="Q298" s="24">
        <v>2.4899999999999984</v>
      </c>
      <c r="R298" s="24">
        <v>22.41</v>
      </c>
      <c r="S298" s="21">
        <f t="shared" si="14"/>
        <v>-9.9999999999999936E-2</v>
      </c>
    </row>
    <row r="299" spans="2:19" ht="11.4" customHeight="1" x14ac:dyDescent="0.2">
      <c r="B299" s="24"/>
      <c r="C299" s="4">
        <v>13082</v>
      </c>
      <c r="D299" s="18" t="s">
        <v>322</v>
      </c>
      <c r="E299" s="18" t="s">
        <v>225</v>
      </c>
      <c r="F299" s="18"/>
      <c r="G299" s="18" t="s">
        <v>23</v>
      </c>
      <c r="H299" s="17">
        <v>50.1</v>
      </c>
      <c r="I299" s="5">
        <v>64.2</v>
      </c>
      <c r="J299" s="21">
        <f t="shared" si="12"/>
        <v>0.28143712574850299</v>
      </c>
      <c r="K299" s="1">
        <v>2</v>
      </c>
      <c r="L299" s="24">
        <v>3.2</v>
      </c>
      <c r="M299" s="24">
        <v>60.99</v>
      </c>
      <c r="N299" s="21">
        <f t="shared" si="13"/>
        <v>0.21736526946107784</v>
      </c>
      <c r="P299" s="1">
        <v>6</v>
      </c>
      <c r="Q299" s="24">
        <v>6.4200000000000017</v>
      </c>
      <c r="R299" s="24">
        <v>57.78</v>
      </c>
      <c r="S299" s="21">
        <f t="shared" si="14"/>
        <v>0.15329341317365269</v>
      </c>
    </row>
    <row r="300" spans="2:19" ht="11.4" customHeight="1" x14ac:dyDescent="0.2">
      <c r="B300" s="24"/>
      <c r="C300" s="4">
        <v>13083</v>
      </c>
      <c r="D300" s="18" t="s">
        <v>323</v>
      </c>
      <c r="E300" s="18" t="s">
        <v>225</v>
      </c>
      <c r="F300" s="18"/>
      <c r="G300" s="18" t="s">
        <v>23</v>
      </c>
      <c r="H300" s="17">
        <v>98.28</v>
      </c>
      <c r="I300" s="5">
        <v>135.80000000000001</v>
      </c>
      <c r="J300" s="21">
        <f t="shared" si="12"/>
        <v>0.38176638176638189</v>
      </c>
      <c r="K300" s="1">
        <v>2</v>
      </c>
      <c r="L300" s="24">
        <v>6.7</v>
      </c>
      <c r="M300" s="24">
        <v>129.01</v>
      </c>
      <c r="N300" s="21">
        <f t="shared" si="13"/>
        <v>0.31267806267806258</v>
      </c>
      <c r="P300" s="1">
        <v>6</v>
      </c>
      <c r="Q300" s="24">
        <v>13.579999999999998</v>
      </c>
      <c r="R300" s="24">
        <v>122.22000000000001</v>
      </c>
      <c r="S300" s="21">
        <f t="shared" si="14"/>
        <v>0.2435897435897437</v>
      </c>
    </row>
    <row r="301" spans="2:19" ht="11.4" customHeight="1" x14ac:dyDescent="0.2">
      <c r="B301" s="24"/>
      <c r="C301" s="4">
        <v>12858</v>
      </c>
      <c r="D301" s="18" t="s">
        <v>324</v>
      </c>
      <c r="E301" s="18" t="s">
        <v>225</v>
      </c>
      <c r="F301" s="18"/>
      <c r="G301" s="18" t="s">
        <v>23</v>
      </c>
      <c r="H301" s="17">
        <v>139.91999999999999</v>
      </c>
      <c r="I301" s="5">
        <v>189.7</v>
      </c>
      <c r="J301" s="21">
        <f t="shared" si="12"/>
        <v>0.35577472841623792</v>
      </c>
      <c r="K301" s="1">
        <v>2</v>
      </c>
      <c r="L301" s="24">
        <v>9.4</v>
      </c>
      <c r="M301" s="24">
        <v>180.21499999999997</v>
      </c>
      <c r="N301" s="21">
        <f t="shared" si="13"/>
        <v>0.28798599199542591</v>
      </c>
      <c r="P301" s="1">
        <v>6</v>
      </c>
      <c r="Q301" s="24">
        <v>18.97</v>
      </c>
      <c r="R301" s="24">
        <v>170.73</v>
      </c>
      <c r="S301" s="21">
        <f t="shared" si="14"/>
        <v>0.22019725557461411</v>
      </c>
    </row>
    <row r="302" spans="2:19" ht="11.4" customHeight="1" x14ac:dyDescent="0.2">
      <c r="B302" s="24"/>
      <c r="C302" s="4">
        <v>41651</v>
      </c>
      <c r="D302" s="18" t="s">
        <v>325</v>
      </c>
      <c r="E302" s="18" t="s">
        <v>225</v>
      </c>
      <c r="F302" s="17">
        <v>1</v>
      </c>
      <c r="G302" s="18" t="s">
        <v>23</v>
      </c>
      <c r="H302" s="17">
        <v>40.799999999999997</v>
      </c>
      <c r="I302" s="5">
        <v>60</v>
      </c>
      <c r="J302" s="21">
        <f t="shared" si="12"/>
        <v>0.47058823529411775</v>
      </c>
      <c r="K302" s="1">
        <v>2</v>
      </c>
      <c r="L302" s="24">
        <v>3</v>
      </c>
      <c r="M302" s="24">
        <v>57</v>
      </c>
      <c r="N302" s="21">
        <f t="shared" si="13"/>
        <v>0.39705882352941185</v>
      </c>
      <c r="P302" s="1">
        <v>6</v>
      </c>
      <c r="Q302" s="24">
        <v>6</v>
      </c>
      <c r="R302" s="24">
        <v>54</v>
      </c>
      <c r="S302" s="21">
        <f t="shared" si="14"/>
        <v>0.32352941176470595</v>
      </c>
    </row>
    <row r="303" spans="2:19" ht="11.4" customHeight="1" x14ac:dyDescent="0.2">
      <c r="B303" s="24"/>
      <c r="C303" s="4">
        <v>8225</v>
      </c>
      <c r="D303" s="18" t="s">
        <v>326</v>
      </c>
      <c r="E303" s="18" t="s">
        <v>225</v>
      </c>
      <c r="F303" s="17">
        <v>1</v>
      </c>
      <c r="G303" s="18" t="s">
        <v>23</v>
      </c>
      <c r="H303" s="17">
        <v>26.5</v>
      </c>
      <c r="I303" s="5">
        <v>27.9</v>
      </c>
      <c r="J303" s="21">
        <f t="shared" si="12"/>
        <v>5.283018867924523E-2</v>
      </c>
      <c r="K303" s="1">
        <v>2</v>
      </c>
      <c r="L303" s="24">
        <v>1.3</v>
      </c>
      <c r="M303" s="24">
        <v>26.504999999999999</v>
      </c>
      <c r="N303" s="21">
        <f t="shared" si="13"/>
        <v>1.8867924528298132E-4</v>
      </c>
      <c r="P303" s="1">
        <v>6</v>
      </c>
      <c r="Q303" s="24">
        <v>2.7899999999999991</v>
      </c>
      <c r="R303" s="24">
        <v>25.11</v>
      </c>
      <c r="S303" s="21">
        <f t="shared" si="14"/>
        <v>-5.2452830188679266E-2</v>
      </c>
    </row>
    <row r="304" spans="2:19" ht="11.4" customHeight="1" x14ac:dyDescent="0.2">
      <c r="B304" s="24"/>
      <c r="C304" s="4">
        <v>6033</v>
      </c>
      <c r="D304" s="18" t="s">
        <v>327</v>
      </c>
      <c r="E304" s="18" t="s">
        <v>225</v>
      </c>
      <c r="F304" s="17">
        <v>1</v>
      </c>
      <c r="G304" s="18" t="s">
        <v>23</v>
      </c>
      <c r="H304" s="17">
        <v>47.3</v>
      </c>
      <c r="I304" s="5">
        <v>54.9</v>
      </c>
      <c r="J304" s="21">
        <f t="shared" si="12"/>
        <v>0.16067653276955607</v>
      </c>
      <c r="K304" s="1">
        <v>2</v>
      </c>
      <c r="L304" s="24">
        <v>2.7</v>
      </c>
      <c r="M304" s="24">
        <v>52.154999999999994</v>
      </c>
      <c r="N304" s="21">
        <f t="shared" si="13"/>
        <v>0.10264270613107816</v>
      </c>
      <c r="P304" s="1">
        <v>6</v>
      </c>
      <c r="Q304" s="24">
        <v>5.490000000000002</v>
      </c>
      <c r="R304" s="24">
        <v>49.41</v>
      </c>
      <c r="S304" s="21">
        <f t="shared" si="14"/>
        <v>4.4608879492600416E-2</v>
      </c>
    </row>
    <row r="305" spans="2:19" ht="11.4" customHeight="1" x14ac:dyDescent="0.2">
      <c r="B305" s="24"/>
      <c r="C305" s="4">
        <v>10308</v>
      </c>
      <c r="D305" s="18" t="s">
        <v>328</v>
      </c>
      <c r="E305" s="18" t="s">
        <v>225</v>
      </c>
      <c r="F305" s="17">
        <v>1</v>
      </c>
      <c r="G305" s="18" t="s">
        <v>23</v>
      </c>
      <c r="H305" s="17">
        <v>60.66</v>
      </c>
      <c r="I305" s="5">
        <v>89.9</v>
      </c>
      <c r="J305" s="21">
        <f t="shared" si="12"/>
        <v>0.48203099241674929</v>
      </c>
      <c r="K305" s="1">
        <v>2</v>
      </c>
      <c r="L305" s="24">
        <v>4.4000000000000004</v>
      </c>
      <c r="M305" s="24">
        <v>85.405000000000001</v>
      </c>
      <c r="N305" s="21">
        <f t="shared" si="13"/>
        <v>0.40792944279591176</v>
      </c>
      <c r="P305" s="1">
        <v>6</v>
      </c>
      <c r="Q305" s="24">
        <v>8.9899999999999949</v>
      </c>
      <c r="R305" s="24">
        <v>80.910000000000011</v>
      </c>
      <c r="S305" s="21">
        <f t="shared" si="14"/>
        <v>0.33382789317507444</v>
      </c>
    </row>
    <row r="306" spans="2:19" ht="11.4" customHeight="1" x14ac:dyDescent="0.2">
      <c r="B306" s="24"/>
      <c r="C306" s="4">
        <v>5926</v>
      </c>
      <c r="D306" s="18" t="s">
        <v>329</v>
      </c>
      <c r="E306" s="18" t="s">
        <v>225</v>
      </c>
      <c r="F306" s="17">
        <v>1</v>
      </c>
      <c r="G306" s="18" t="s">
        <v>23</v>
      </c>
      <c r="H306" s="17">
        <v>109.2</v>
      </c>
      <c r="I306" s="5">
        <v>109.9</v>
      </c>
      <c r="J306" s="21">
        <f t="shared" si="12"/>
        <v>6.4102564102564361E-3</v>
      </c>
      <c r="K306" s="1">
        <v>2</v>
      </c>
      <c r="L306" s="24">
        <v>5.4</v>
      </c>
      <c r="M306" s="24">
        <v>104.405</v>
      </c>
      <c r="N306" s="21">
        <f t="shared" si="13"/>
        <v>-4.3910256410256428E-2</v>
      </c>
      <c r="P306" s="1">
        <v>6</v>
      </c>
      <c r="Q306" s="24">
        <v>10.989999999999995</v>
      </c>
      <c r="R306" s="24">
        <v>98.910000000000011</v>
      </c>
      <c r="S306" s="21">
        <f t="shared" si="14"/>
        <v>-9.423076923076916E-2</v>
      </c>
    </row>
    <row r="307" spans="2:19" ht="11.4" customHeight="1" x14ac:dyDescent="0.2">
      <c r="B307" s="24"/>
      <c r="C307" s="4">
        <v>5930</v>
      </c>
      <c r="D307" s="18" t="s">
        <v>330</v>
      </c>
      <c r="E307" s="18" t="s">
        <v>225</v>
      </c>
      <c r="F307" s="17">
        <v>1</v>
      </c>
      <c r="G307" s="18" t="s">
        <v>23</v>
      </c>
      <c r="H307" s="17">
        <v>154.9</v>
      </c>
      <c r="I307" s="5">
        <v>159.9</v>
      </c>
      <c r="J307" s="21">
        <f t="shared" si="12"/>
        <v>3.2278889606197549E-2</v>
      </c>
      <c r="K307" s="1">
        <v>2</v>
      </c>
      <c r="L307" s="24">
        <v>7.9</v>
      </c>
      <c r="M307" s="24">
        <v>151.905</v>
      </c>
      <c r="N307" s="21">
        <f t="shared" si="13"/>
        <v>-1.933505487411236E-2</v>
      </c>
      <c r="P307" s="1">
        <v>6</v>
      </c>
      <c r="Q307" s="24">
        <v>15.990000000000009</v>
      </c>
      <c r="R307" s="24">
        <v>143.91</v>
      </c>
      <c r="S307" s="21">
        <f t="shared" si="14"/>
        <v>-7.0948999354422268E-2</v>
      </c>
    </row>
    <row r="308" spans="2:19" ht="11.4" customHeight="1" x14ac:dyDescent="0.2">
      <c r="B308" s="24"/>
      <c r="C308" s="4">
        <v>6408</v>
      </c>
      <c r="D308" s="18" t="s">
        <v>331</v>
      </c>
      <c r="E308" s="18" t="s">
        <v>225</v>
      </c>
      <c r="F308" s="17">
        <v>1</v>
      </c>
      <c r="G308" s="18" t="s">
        <v>23</v>
      </c>
      <c r="H308" s="17">
        <v>216.5</v>
      </c>
      <c r="I308" s="5">
        <v>239.9</v>
      </c>
      <c r="J308" s="21">
        <f t="shared" si="12"/>
        <v>0.10808314087759818</v>
      </c>
      <c r="K308" s="1">
        <v>2</v>
      </c>
      <c r="L308" s="24">
        <v>11.9</v>
      </c>
      <c r="M308" s="24">
        <v>227.905</v>
      </c>
      <c r="N308" s="21">
        <f t="shared" si="13"/>
        <v>5.2678983833718253E-2</v>
      </c>
      <c r="P308" s="1">
        <v>6</v>
      </c>
      <c r="Q308" s="24">
        <v>23.990000000000009</v>
      </c>
      <c r="R308" s="24">
        <v>215.91</v>
      </c>
      <c r="S308" s="21">
        <f t="shared" si="14"/>
        <v>-2.7251732101616784E-3</v>
      </c>
    </row>
    <row r="309" spans="2:19" ht="11.4" customHeight="1" x14ac:dyDescent="0.2">
      <c r="B309" s="24"/>
      <c r="C309" s="4">
        <v>5508</v>
      </c>
      <c r="D309" s="18" t="s">
        <v>332</v>
      </c>
      <c r="E309" s="18" t="s">
        <v>225</v>
      </c>
      <c r="F309" s="17">
        <v>1</v>
      </c>
      <c r="G309" s="18" t="s">
        <v>23</v>
      </c>
      <c r="H309" s="17">
        <v>390.4</v>
      </c>
      <c r="I309" s="5">
        <v>412.5</v>
      </c>
      <c r="J309" s="21">
        <f t="shared" si="12"/>
        <v>5.6608606557377109E-2</v>
      </c>
      <c r="K309" s="1">
        <v>2</v>
      </c>
      <c r="L309" s="24">
        <v>20.6</v>
      </c>
      <c r="M309" s="24">
        <v>391.875</v>
      </c>
      <c r="N309" s="21">
        <f t="shared" si="13"/>
        <v>3.7781762295082551E-3</v>
      </c>
      <c r="P309" s="1">
        <v>6</v>
      </c>
      <c r="Q309" s="24">
        <v>41.25</v>
      </c>
      <c r="R309" s="24">
        <v>371.25</v>
      </c>
      <c r="S309" s="21">
        <f t="shared" si="14"/>
        <v>-4.9052254098360601E-2</v>
      </c>
    </row>
    <row r="310" spans="2:19" ht="11.4" customHeight="1" x14ac:dyDescent="0.2">
      <c r="B310" s="24"/>
      <c r="C310" s="4">
        <v>39732</v>
      </c>
      <c r="D310" s="18" t="s">
        <v>333</v>
      </c>
      <c r="E310" s="18" t="s">
        <v>225</v>
      </c>
      <c r="F310" s="17">
        <v>1</v>
      </c>
      <c r="G310" s="18" t="s">
        <v>23</v>
      </c>
      <c r="H310" s="17">
        <v>526.5</v>
      </c>
      <c r="I310" s="5">
        <v>754.5</v>
      </c>
      <c r="J310" s="21">
        <f t="shared" si="12"/>
        <v>0.43304843304843305</v>
      </c>
      <c r="K310" s="1">
        <v>2</v>
      </c>
      <c r="L310" s="24">
        <v>37.700000000000003</v>
      </c>
      <c r="M310" s="24">
        <v>716.77499999999998</v>
      </c>
      <c r="N310" s="21">
        <f t="shared" si="13"/>
        <v>0.36139601139601135</v>
      </c>
      <c r="P310" s="1">
        <v>6</v>
      </c>
      <c r="Q310" s="24">
        <v>75.449999999999932</v>
      </c>
      <c r="R310" s="24">
        <v>679.05000000000007</v>
      </c>
      <c r="S310" s="21">
        <f t="shared" si="14"/>
        <v>0.28974358974358988</v>
      </c>
    </row>
    <row r="311" spans="2:19" ht="11.4" customHeight="1" x14ac:dyDescent="0.2">
      <c r="B311" s="24"/>
      <c r="C311" s="4">
        <v>6847</v>
      </c>
      <c r="D311" s="18" t="s">
        <v>334</v>
      </c>
      <c r="E311" s="18" t="s">
        <v>225</v>
      </c>
      <c r="F311" s="17">
        <v>2</v>
      </c>
      <c r="G311" s="18" t="s">
        <v>23</v>
      </c>
      <c r="H311" s="17">
        <v>24.9</v>
      </c>
      <c r="I311" s="5">
        <v>26.9</v>
      </c>
      <c r="J311" s="21">
        <f t="shared" si="12"/>
        <v>8.0321285140562249E-2</v>
      </c>
      <c r="K311" s="1">
        <v>2</v>
      </c>
      <c r="L311" s="24">
        <v>1.3</v>
      </c>
      <c r="M311" s="24">
        <v>25.554999999999996</v>
      </c>
      <c r="N311" s="21">
        <f t="shared" si="13"/>
        <v>2.6305220883534042E-2</v>
      </c>
      <c r="P311" s="1">
        <v>6</v>
      </c>
      <c r="Q311" s="24">
        <v>2.6899999999999977</v>
      </c>
      <c r="R311" s="24">
        <v>24.21</v>
      </c>
      <c r="S311" s="21">
        <f t="shared" si="14"/>
        <v>-2.7710843373493887E-2</v>
      </c>
    </row>
    <row r="312" spans="2:19" ht="11.4" customHeight="1" x14ac:dyDescent="0.2">
      <c r="B312" s="24"/>
      <c r="C312" s="4">
        <v>37988</v>
      </c>
      <c r="D312" s="18" t="s">
        <v>335</v>
      </c>
      <c r="E312" s="18" t="s">
        <v>225</v>
      </c>
      <c r="F312" s="17">
        <v>2</v>
      </c>
      <c r="G312" s="18" t="s">
        <v>23</v>
      </c>
      <c r="H312" s="17">
        <v>44.6</v>
      </c>
      <c r="I312" s="5">
        <v>48.5</v>
      </c>
      <c r="J312" s="21">
        <f t="shared" si="12"/>
        <v>8.7443946188340768E-2</v>
      </c>
      <c r="K312" s="1">
        <v>2</v>
      </c>
      <c r="L312" s="24">
        <v>2.4</v>
      </c>
      <c r="M312" s="24">
        <v>46.074999999999996</v>
      </c>
      <c r="N312" s="21">
        <f t="shared" si="13"/>
        <v>3.307174887892364E-2</v>
      </c>
      <c r="P312" s="1">
        <v>6</v>
      </c>
      <c r="Q312" s="24">
        <v>4.8500000000000014</v>
      </c>
      <c r="R312" s="24">
        <v>43.65</v>
      </c>
      <c r="S312" s="21">
        <f t="shared" si="14"/>
        <v>-2.1300448430493335E-2</v>
      </c>
    </row>
    <row r="313" spans="2:19" ht="11.4" customHeight="1" x14ac:dyDescent="0.2">
      <c r="B313" s="24"/>
      <c r="C313" s="4">
        <v>37989</v>
      </c>
      <c r="D313" s="18" t="s">
        <v>336</v>
      </c>
      <c r="E313" s="18" t="s">
        <v>225</v>
      </c>
      <c r="F313" s="17">
        <v>2</v>
      </c>
      <c r="G313" s="18" t="s">
        <v>23</v>
      </c>
      <c r="H313" s="17">
        <v>98.3</v>
      </c>
      <c r="I313" s="5">
        <v>106.5</v>
      </c>
      <c r="J313" s="21">
        <f t="shared" si="12"/>
        <v>8.3418107833163821E-2</v>
      </c>
      <c r="K313" s="1">
        <v>2</v>
      </c>
      <c r="L313" s="24">
        <v>5.3</v>
      </c>
      <c r="M313" s="24">
        <v>101.175</v>
      </c>
      <c r="N313" s="21">
        <f t="shared" si="13"/>
        <v>2.9247202441505596E-2</v>
      </c>
      <c r="P313" s="1">
        <v>6</v>
      </c>
      <c r="Q313" s="24">
        <v>10.649999999999991</v>
      </c>
      <c r="R313" s="24">
        <v>95.850000000000009</v>
      </c>
      <c r="S313" s="21">
        <f t="shared" si="14"/>
        <v>-2.492370295015248E-2</v>
      </c>
    </row>
    <row r="314" spans="2:19" ht="11.4" customHeight="1" x14ac:dyDescent="0.2">
      <c r="B314" s="24"/>
      <c r="C314" s="4">
        <v>37990</v>
      </c>
      <c r="D314" s="18" t="s">
        <v>337</v>
      </c>
      <c r="E314" s="18" t="s">
        <v>225</v>
      </c>
      <c r="F314" s="17">
        <v>2</v>
      </c>
      <c r="G314" s="18" t="s">
        <v>23</v>
      </c>
      <c r="H314" s="17">
        <v>133.9</v>
      </c>
      <c r="I314" s="5">
        <v>145.5</v>
      </c>
      <c r="J314" s="21">
        <f t="shared" si="12"/>
        <v>8.6631814787154551E-2</v>
      </c>
      <c r="K314" s="1">
        <v>2</v>
      </c>
      <c r="L314" s="24">
        <v>7.2</v>
      </c>
      <c r="M314" s="24">
        <v>138.22499999999999</v>
      </c>
      <c r="N314" s="21">
        <f t="shared" si="13"/>
        <v>3.2300224047796776E-2</v>
      </c>
      <c r="P314" s="1">
        <v>6</v>
      </c>
      <c r="Q314" s="24">
        <v>14.549999999999983</v>
      </c>
      <c r="R314" s="24">
        <v>130.95000000000002</v>
      </c>
      <c r="S314" s="21">
        <f t="shared" si="14"/>
        <v>-2.2031366691560781E-2</v>
      </c>
    </row>
    <row r="315" spans="2:19" ht="11.4" customHeight="1" x14ac:dyDescent="0.2">
      <c r="B315" s="24"/>
      <c r="C315" s="4">
        <v>42393</v>
      </c>
      <c r="D315" s="18" t="s">
        <v>338</v>
      </c>
      <c r="E315" s="18" t="s">
        <v>225</v>
      </c>
      <c r="F315" s="18"/>
      <c r="G315" s="18" t="s">
        <v>23</v>
      </c>
      <c r="H315" s="17">
        <v>92.34</v>
      </c>
      <c r="I315" s="5">
        <v>135.80000000000001</v>
      </c>
      <c r="J315" s="21">
        <f t="shared" si="12"/>
        <v>0.47065193848819586</v>
      </c>
      <c r="K315" s="1">
        <v>2</v>
      </c>
      <c r="L315" s="24">
        <v>6.7</v>
      </c>
      <c r="M315" s="24">
        <v>129.01</v>
      </c>
      <c r="N315" s="21">
        <f t="shared" si="13"/>
        <v>0.39711934156378587</v>
      </c>
      <c r="P315" s="1">
        <v>6</v>
      </c>
      <c r="Q315" s="24">
        <v>13.579999999999998</v>
      </c>
      <c r="R315" s="24">
        <v>122.22000000000001</v>
      </c>
      <c r="S315" s="21">
        <f t="shared" si="14"/>
        <v>0.32358674463937631</v>
      </c>
    </row>
    <row r="316" spans="2:19" ht="11.4" customHeight="1" x14ac:dyDescent="0.2">
      <c r="B316" s="24"/>
      <c r="C316" s="4">
        <v>3248</v>
      </c>
      <c r="D316" s="18" t="s">
        <v>339</v>
      </c>
      <c r="E316" s="18" t="s">
        <v>225</v>
      </c>
      <c r="F316" s="17">
        <v>1</v>
      </c>
      <c r="G316" s="18" t="s">
        <v>23</v>
      </c>
      <c r="H316" s="17">
        <v>308</v>
      </c>
      <c r="I316" s="5">
        <v>299</v>
      </c>
      <c r="J316" s="21">
        <f t="shared" si="12"/>
        <v>-2.922077922077922E-2</v>
      </c>
      <c r="K316" s="1">
        <v>2</v>
      </c>
      <c r="L316" s="24">
        <v>14.9</v>
      </c>
      <c r="M316" s="24">
        <v>284.05</v>
      </c>
      <c r="N316" s="21">
        <f t="shared" si="13"/>
        <v>-7.7759740259740223E-2</v>
      </c>
      <c r="P316" s="1">
        <v>6</v>
      </c>
      <c r="Q316" s="24">
        <v>29.899999999999977</v>
      </c>
      <c r="R316" s="24">
        <v>269.10000000000002</v>
      </c>
      <c r="S316" s="21">
        <f t="shared" si="14"/>
        <v>-0.12629870129870122</v>
      </c>
    </row>
    <row r="317" spans="2:19" ht="11.4" customHeight="1" x14ac:dyDescent="0.2">
      <c r="B317" s="24"/>
      <c r="C317" s="4">
        <v>3249</v>
      </c>
      <c r="D317" s="18" t="s">
        <v>340</v>
      </c>
      <c r="E317" s="18" t="s">
        <v>225</v>
      </c>
      <c r="F317" s="17">
        <v>1</v>
      </c>
      <c r="G317" s="18" t="s">
        <v>23</v>
      </c>
      <c r="H317" s="17">
        <v>413</v>
      </c>
      <c r="I317" s="5">
        <v>404.6</v>
      </c>
      <c r="J317" s="21">
        <f t="shared" si="12"/>
        <v>-2.0338983050847404E-2</v>
      </c>
      <c r="K317" s="1">
        <v>2</v>
      </c>
      <c r="L317" s="24">
        <v>20.2</v>
      </c>
      <c r="M317" s="24">
        <v>384.37</v>
      </c>
      <c r="N317" s="21">
        <f t="shared" si="13"/>
        <v>-6.9322033898305074E-2</v>
      </c>
      <c r="P317" s="1">
        <v>6</v>
      </c>
      <c r="Q317" s="24">
        <v>40.45999999999998</v>
      </c>
      <c r="R317" s="24">
        <v>364.14000000000004</v>
      </c>
      <c r="S317" s="21">
        <f t="shared" si="14"/>
        <v>-0.11830508474576261</v>
      </c>
    </row>
    <row r="318" spans="2:19" ht="11.4" customHeight="1" x14ac:dyDescent="0.2">
      <c r="B318" s="24"/>
      <c r="C318" s="4">
        <v>37101</v>
      </c>
      <c r="D318" s="18" t="s">
        <v>341</v>
      </c>
      <c r="E318" s="18" t="s">
        <v>225</v>
      </c>
      <c r="F318" s="17">
        <v>1</v>
      </c>
      <c r="G318" s="18" t="s">
        <v>23</v>
      </c>
      <c r="H318" s="17">
        <v>569.4</v>
      </c>
      <c r="I318" s="5">
        <v>549.4</v>
      </c>
      <c r="J318" s="21">
        <f t="shared" si="12"/>
        <v>-3.5124692658939236E-2</v>
      </c>
      <c r="K318" s="1">
        <v>2</v>
      </c>
      <c r="L318" s="24">
        <v>27.4</v>
      </c>
      <c r="M318" s="24">
        <v>521.92999999999995</v>
      </c>
      <c r="N318" s="21">
        <f t="shared" si="13"/>
        <v>-8.3368458025992326E-2</v>
      </c>
      <c r="P318" s="1">
        <v>6</v>
      </c>
      <c r="Q318" s="24">
        <v>54.94</v>
      </c>
      <c r="R318" s="24">
        <v>494.46</v>
      </c>
      <c r="S318" s="21">
        <f t="shared" si="14"/>
        <v>-0.13161222339304532</v>
      </c>
    </row>
    <row r="319" spans="2:19" ht="11.4" customHeight="1" x14ac:dyDescent="0.2">
      <c r="B319" s="24"/>
      <c r="C319" s="4">
        <v>39605</v>
      </c>
      <c r="D319" s="18" t="s">
        <v>342</v>
      </c>
      <c r="E319" s="18" t="s">
        <v>225</v>
      </c>
      <c r="F319" s="17">
        <v>1</v>
      </c>
      <c r="G319" s="18" t="s">
        <v>23</v>
      </c>
      <c r="H319" s="17">
        <v>309.89999999999998</v>
      </c>
      <c r="I319" s="5">
        <v>399</v>
      </c>
      <c r="J319" s="21">
        <f t="shared" si="12"/>
        <v>0.28751210067763805</v>
      </c>
      <c r="K319" s="1">
        <v>2</v>
      </c>
      <c r="L319" s="24">
        <v>19.899999999999999</v>
      </c>
      <c r="M319" s="24">
        <v>379.04999999999995</v>
      </c>
      <c r="N319" s="21">
        <f t="shared" si="13"/>
        <v>0.22313649564375598</v>
      </c>
      <c r="P319" s="1">
        <v>6</v>
      </c>
      <c r="Q319" s="24">
        <v>39.899999999999977</v>
      </c>
      <c r="R319" s="24">
        <v>359.1</v>
      </c>
      <c r="S319" s="21">
        <f t="shared" si="14"/>
        <v>0.15876089060987431</v>
      </c>
    </row>
    <row r="320" spans="2:19" ht="11.4" customHeight="1" x14ac:dyDescent="0.2">
      <c r="B320" s="24"/>
      <c r="C320" s="4">
        <v>39606</v>
      </c>
      <c r="D320" s="18" t="s">
        <v>343</v>
      </c>
      <c r="E320" s="18" t="s">
        <v>225</v>
      </c>
      <c r="F320" s="17">
        <v>1</v>
      </c>
      <c r="G320" s="18" t="s">
        <v>23</v>
      </c>
      <c r="H320" s="17">
        <v>412.5</v>
      </c>
      <c r="I320" s="5">
        <v>489.9</v>
      </c>
      <c r="J320" s="21">
        <f t="shared" si="12"/>
        <v>0.18763636363636357</v>
      </c>
      <c r="K320" s="1">
        <v>2</v>
      </c>
      <c r="L320" s="24">
        <v>24.4</v>
      </c>
      <c r="M320" s="24">
        <v>465.40499999999997</v>
      </c>
      <c r="N320" s="21">
        <f t="shared" si="13"/>
        <v>0.1282545454545454</v>
      </c>
      <c r="P320" s="1">
        <v>6</v>
      </c>
      <c r="Q320" s="24">
        <v>48.990000000000009</v>
      </c>
      <c r="R320" s="24">
        <v>440.90999999999997</v>
      </c>
      <c r="S320" s="21">
        <f t="shared" si="14"/>
        <v>6.8872727272727197E-2</v>
      </c>
    </row>
    <row r="321" spans="2:19" ht="11.4" customHeight="1" x14ac:dyDescent="0.2">
      <c r="B321" s="24"/>
      <c r="C321" s="4">
        <v>12483</v>
      </c>
      <c r="D321" s="18" t="s">
        <v>344</v>
      </c>
      <c r="E321" s="18" t="s">
        <v>225</v>
      </c>
      <c r="F321" s="17">
        <v>1</v>
      </c>
      <c r="G321" s="18" t="s">
        <v>23</v>
      </c>
      <c r="H321" s="17">
        <v>308</v>
      </c>
      <c r="I321" s="5">
        <v>301.60000000000002</v>
      </c>
      <c r="J321" s="21">
        <f t="shared" si="12"/>
        <v>-2.0779220779220706E-2</v>
      </c>
      <c r="K321" s="1">
        <v>2</v>
      </c>
      <c r="L321" s="24">
        <v>15</v>
      </c>
      <c r="M321" s="24">
        <v>286.52</v>
      </c>
      <c r="N321" s="21">
        <f t="shared" si="13"/>
        <v>-6.9740259740259797E-2</v>
      </c>
      <c r="P321" s="1">
        <v>6</v>
      </c>
      <c r="Q321" s="24">
        <v>30.159999999999968</v>
      </c>
      <c r="R321" s="24">
        <v>271.44000000000005</v>
      </c>
      <c r="S321" s="21">
        <f t="shared" si="14"/>
        <v>-0.11870129870129853</v>
      </c>
    </row>
    <row r="322" spans="2:19" ht="11.4" customHeight="1" x14ac:dyDescent="0.2">
      <c r="B322" s="24"/>
      <c r="C322" s="4">
        <v>46130</v>
      </c>
      <c r="D322" s="18" t="s">
        <v>345</v>
      </c>
      <c r="E322" s="18" t="s">
        <v>346</v>
      </c>
      <c r="F322" s="17">
        <v>6</v>
      </c>
      <c r="G322" s="18" t="s">
        <v>23</v>
      </c>
      <c r="H322" s="17">
        <v>826.15</v>
      </c>
      <c r="I322" s="6">
        <v>1059.5</v>
      </c>
      <c r="J322" s="21">
        <f t="shared" si="12"/>
        <v>0.2824547600314713</v>
      </c>
      <c r="K322" s="1">
        <v>2</v>
      </c>
      <c r="L322" s="24">
        <v>52.9</v>
      </c>
      <c r="M322" s="24">
        <v>1006.525</v>
      </c>
      <c r="N322" s="21">
        <f t="shared" si="13"/>
        <v>0.21833202202989774</v>
      </c>
      <c r="P322" s="1">
        <v>6</v>
      </c>
      <c r="Q322" s="24">
        <v>105.94999999999993</v>
      </c>
      <c r="R322" s="24">
        <v>953.55000000000007</v>
      </c>
      <c r="S322" s="21">
        <f t="shared" si="14"/>
        <v>0.15420928402832426</v>
      </c>
    </row>
    <row r="323" spans="2:19" ht="11.4" customHeight="1" x14ac:dyDescent="0.2">
      <c r="B323" s="24"/>
      <c r="C323" s="4">
        <v>46109</v>
      </c>
      <c r="D323" s="18" t="s">
        <v>347</v>
      </c>
      <c r="E323" s="18" t="s">
        <v>346</v>
      </c>
      <c r="F323" s="17">
        <v>12</v>
      </c>
      <c r="G323" s="18" t="s">
        <v>23</v>
      </c>
      <c r="H323" s="17">
        <v>668.34</v>
      </c>
      <c r="I323" s="6">
        <v>1249</v>
      </c>
      <c r="J323" s="21">
        <f t="shared" ref="J323:J386" si="15">(I323-H323)/H323</f>
        <v>0.86880928868539953</v>
      </c>
      <c r="K323" s="1">
        <v>2</v>
      </c>
      <c r="L323" s="24">
        <v>62.4</v>
      </c>
      <c r="M323" s="24">
        <v>1186.55</v>
      </c>
      <c r="N323" s="21">
        <f t="shared" ref="N323:N386" si="16">(M323-H323)/H323</f>
        <v>0.77536882425112952</v>
      </c>
      <c r="P323" s="1">
        <v>6</v>
      </c>
      <c r="Q323" s="24">
        <v>124.89999999999986</v>
      </c>
      <c r="R323" s="24">
        <v>1124.1000000000001</v>
      </c>
      <c r="S323" s="21">
        <f t="shared" ref="S323:S386" si="17">(R323-H323)/H323</f>
        <v>0.68192835981685984</v>
      </c>
    </row>
    <row r="324" spans="2:19" ht="11.4" customHeight="1" x14ac:dyDescent="0.2">
      <c r="B324" s="24"/>
      <c r="C324" s="4">
        <v>46151</v>
      </c>
      <c r="D324" s="18" t="s">
        <v>348</v>
      </c>
      <c r="E324" s="18" t="s">
        <v>346</v>
      </c>
      <c r="F324" s="17">
        <v>6</v>
      </c>
      <c r="G324" s="18" t="s">
        <v>23</v>
      </c>
      <c r="H324" s="19">
        <v>1348.83</v>
      </c>
      <c r="I324" s="6">
        <v>2380.5</v>
      </c>
      <c r="J324" s="21">
        <f t="shared" si="15"/>
        <v>0.76486288116367529</v>
      </c>
      <c r="K324" s="1">
        <v>2</v>
      </c>
      <c r="L324" s="24">
        <v>119</v>
      </c>
      <c r="M324" s="24">
        <v>2261.4749999999999</v>
      </c>
      <c r="N324" s="21">
        <f t="shared" si="16"/>
        <v>0.6766197371054915</v>
      </c>
      <c r="P324" s="1">
        <v>6</v>
      </c>
      <c r="Q324" s="24">
        <v>238.04999999999973</v>
      </c>
      <c r="R324" s="24">
        <v>2142.4500000000003</v>
      </c>
      <c r="S324" s="21">
        <f t="shared" si="17"/>
        <v>0.58837659304730794</v>
      </c>
    </row>
    <row r="325" spans="2:19" ht="11.4" customHeight="1" x14ac:dyDescent="0.2">
      <c r="B325" s="24"/>
      <c r="C325" s="4">
        <v>39752</v>
      </c>
      <c r="D325" s="18" t="s">
        <v>349</v>
      </c>
      <c r="E325" s="18" t="s">
        <v>346</v>
      </c>
      <c r="F325" s="17">
        <v>1</v>
      </c>
      <c r="G325" s="18" t="s">
        <v>23</v>
      </c>
      <c r="H325" s="19">
        <v>1142.46</v>
      </c>
      <c r="I325" s="6">
        <v>1299</v>
      </c>
      <c r="J325" s="21">
        <f t="shared" si="15"/>
        <v>0.13702011448978516</v>
      </c>
      <c r="K325" s="1">
        <v>2</v>
      </c>
      <c r="L325" s="24">
        <v>64.900000000000006</v>
      </c>
      <c r="M325" s="24">
        <v>1234.05</v>
      </c>
      <c r="N325" s="21">
        <f t="shared" si="16"/>
        <v>8.0169108765295871E-2</v>
      </c>
      <c r="P325" s="1">
        <v>6</v>
      </c>
      <c r="Q325" s="24">
        <v>129.89999999999986</v>
      </c>
      <c r="R325" s="24">
        <v>1169.1000000000001</v>
      </c>
      <c r="S325" s="21">
        <f t="shared" si="17"/>
        <v>2.3318103040806767E-2</v>
      </c>
    </row>
    <row r="326" spans="2:19" ht="11.4" customHeight="1" x14ac:dyDescent="0.2">
      <c r="B326" s="24"/>
      <c r="C326" s="4">
        <v>39831</v>
      </c>
      <c r="D326" s="18" t="s">
        <v>350</v>
      </c>
      <c r="E326" s="18" t="s">
        <v>346</v>
      </c>
      <c r="F326" s="17">
        <v>1</v>
      </c>
      <c r="G326" s="18" t="s">
        <v>23</v>
      </c>
      <c r="H326" s="17">
        <v>831.36</v>
      </c>
      <c r="I326" s="6">
        <v>1122.5</v>
      </c>
      <c r="J326" s="21">
        <f t="shared" si="15"/>
        <v>0.35019726712856042</v>
      </c>
      <c r="K326" s="1">
        <v>2</v>
      </c>
      <c r="L326" s="24">
        <v>56.1</v>
      </c>
      <c r="M326" s="24">
        <v>1066.375</v>
      </c>
      <c r="N326" s="21">
        <f t="shared" si="16"/>
        <v>0.28268740377213236</v>
      </c>
      <c r="P326" s="1">
        <v>6</v>
      </c>
      <c r="Q326" s="24">
        <v>112.25</v>
      </c>
      <c r="R326" s="24">
        <v>1010.25</v>
      </c>
      <c r="S326" s="21">
        <f t="shared" si="17"/>
        <v>0.21517754041570436</v>
      </c>
    </row>
    <row r="327" spans="2:19" ht="11.4" customHeight="1" x14ac:dyDescent="0.2">
      <c r="B327" s="24"/>
      <c r="C327" s="4">
        <v>46143</v>
      </c>
      <c r="D327" s="18" t="s">
        <v>351</v>
      </c>
      <c r="E327" s="18" t="s">
        <v>346</v>
      </c>
      <c r="F327" s="17">
        <v>12</v>
      </c>
      <c r="G327" s="18" t="s">
        <v>23</v>
      </c>
      <c r="H327" s="17">
        <v>522.63</v>
      </c>
      <c r="I327" s="5">
        <v>783.9</v>
      </c>
      <c r="J327" s="21">
        <f t="shared" si="15"/>
        <v>0.49991389702083688</v>
      </c>
      <c r="K327" s="1">
        <v>2</v>
      </c>
      <c r="L327" s="24">
        <v>39.1</v>
      </c>
      <c r="M327" s="24">
        <v>744.70499999999993</v>
      </c>
      <c r="N327" s="21">
        <f t="shared" si="16"/>
        <v>0.42491820216979492</v>
      </c>
      <c r="P327" s="1">
        <v>6</v>
      </c>
      <c r="Q327" s="24">
        <v>78.389999999999986</v>
      </c>
      <c r="R327" s="24">
        <v>705.51</v>
      </c>
      <c r="S327" s="21">
        <f t="shared" si="17"/>
        <v>0.34992250731875324</v>
      </c>
    </row>
    <row r="328" spans="2:19" ht="11.4" customHeight="1" x14ac:dyDescent="0.2">
      <c r="B328" s="24"/>
      <c r="C328" s="4">
        <v>46146</v>
      </c>
      <c r="D328" s="18" t="s">
        <v>352</v>
      </c>
      <c r="E328" s="18" t="s">
        <v>346</v>
      </c>
      <c r="F328" s="17">
        <v>12</v>
      </c>
      <c r="G328" s="18" t="s">
        <v>23</v>
      </c>
      <c r="H328" s="17">
        <v>292.10000000000002</v>
      </c>
      <c r="I328" s="5">
        <v>438.2</v>
      </c>
      <c r="J328" s="21">
        <f t="shared" si="15"/>
        <v>0.50017117425539181</v>
      </c>
      <c r="K328" s="1">
        <v>2</v>
      </c>
      <c r="L328" s="24">
        <v>21.9</v>
      </c>
      <c r="M328" s="24">
        <v>416.28999999999996</v>
      </c>
      <c r="N328" s="21">
        <f t="shared" si="16"/>
        <v>0.42516261554262214</v>
      </c>
      <c r="P328" s="1">
        <v>6</v>
      </c>
      <c r="Q328" s="24">
        <v>43.819999999999993</v>
      </c>
      <c r="R328" s="24">
        <v>394.38</v>
      </c>
      <c r="S328" s="21">
        <f t="shared" si="17"/>
        <v>0.35015405682985268</v>
      </c>
    </row>
    <row r="329" spans="2:19" ht="11.4" customHeight="1" x14ac:dyDescent="0.2">
      <c r="B329" s="24"/>
      <c r="C329" s="4">
        <v>46144</v>
      </c>
      <c r="D329" s="18" t="s">
        <v>353</v>
      </c>
      <c r="E329" s="18" t="s">
        <v>346</v>
      </c>
      <c r="F329" s="17">
        <v>12</v>
      </c>
      <c r="G329" s="18" t="s">
        <v>23</v>
      </c>
      <c r="H329" s="17">
        <v>319.72000000000003</v>
      </c>
      <c r="I329" s="5">
        <v>564.5</v>
      </c>
      <c r="J329" s="21">
        <f t="shared" si="15"/>
        <v>0.76560740648067038</v>
      </c>
      <c r="K329" s="1">
        <v>2</v>
      </c>
      <c r="L329" s="24">
        <v>28.2</v>
      </c>
      <c r="M329" s="24">
        <v>536.27499999999998</v>
      </c>
      <c r="N329" s="21">
        <f t="shared" si="16"/>
        <v>0.67732703615663681</v>
      </c>
      <c r="P329" s="1">
        <v>6</v>
      </c>
      <c r="Q329" s="24">
        <v>56.449999999999989</v>
      </c>
      <c r="R329" s="24">
        <v>508.05</v>
      </c>
      <c r="S329" s="21">
        <f t="shared" si="17"/>
        <v>0.58904666583260346</v>
      </c>
    </row>
    <row r="330" spans="2:19" ht="11.4" customHeight="1" x14ac:dyDescent="0.2">
      <c r="B330" s="24"/>
      <c r="C330" s="4">
        <v>39600</v>
      </c>
      <c r="D330" s="18" t="s">
        <v>354</v>
      </c>
      <c r="E330" s="18" t="s">
        <v>346</v>
      </c>
      <c r="F330" s="17">
        <v>1</v>
      </c>
      <c r="G330" s="18" t="s">
        <v>23</v>
      </c>
      <c r="H330" s="19">
        <v>1015.14</v>
      </c>
      <c r="I330" s="6">
        <v>1177</v>
      </c>
      <c r="J330" s="21">
        <f t="shared" si="15"/>
        <v>0.15944598774553265</v>
      </c>
      <c r="K330" s="1">
        <v>2</v>
      </c>
      <c r="L330" s="24">
        <v>58.8</v>
      </c>
      <c r="M330" s="24">
        <v>1118.1499999999999</v>
      </c>
      <c r="N330" s="21">
        <f t="shared" si="16"/>
        <v>0.10147368835825589</v>
      </c>
      <c r="P330" s="1">
        <v>6</v>
      </c>
      <c r="Q330" s="24">
        <v>117.70000000000005</v>
      </c>
      <c r="R330" s="24">
        <v>1059.3</v>
      </c>
      <c r="S330" s="21">
        <f t="shared" si="17"/>
        <v>4.3501388970979341E-2</v>
      </c>
    </row>
    <row r="331" spans="2:19" ht="11.4" customHeight="1" x14ac:dyDescent="0.2">
      <c r="B331" s="24"/>
      <c r="C331" s="4">
        <v>41639</v>
      </c>
      <c r="D331" s="18" t="s">
        <v>355</v>
      </c>
      <c r="E331" s="18" t="s">
        <v>346</v>
      </c>
      <c r="F331" s="17">
        <v>1</v>
      </c>
      <c r="G331" s="18" t="s">
        <v>23</v>
      </c>
      <c r="H331" s="19">
        <v>6319.38</v>
      </c>
      <c r="I331" s="6">
        <v>8299</v>
      </c>
      <c r="J331" s="21">
        <f t="shared" si="15"/>
        <v>0.3132617440318512</v>
      </c>
      <c r="K331" s="1">
        <v>2</v>
      </c>
      <c r="L331" s="24">
        <v>414.9</v>
      </c>
      <c r="M331" s="24">
        <v>7884.0499999999993</v>
      </c>
      <c r="N331" s="21">
        <f t="shared" si="16"/>
        <v>0.24759865683025853</v>
      </c>
      <c r="P331" s="1">
        <v>6</v>
      </c>
      <c r="Q331" s="24">
        <v>829.89999999999964</v>
      </c>
      <c r="R331" s="24">
        <v>7469.1</v>
      </c>
      <c r="S331" s="21">
        <f t="shared" si="17"/>
        <v>0.18193556962866614</v>
      </c>
    </row>
    <row r="332" spans="2:19" ht="11.4" customHeight="1" x14ac:dyDescent="0.2">
      <c r="B332" s="24"/>
      <c r="C332" s="4">
        <v>41643</v>
      </c>
      <c r="D332" s="18" t="s">
        <v>356</v>
      </c>
      <c r="E332" s="18" t="s">
        <v>346</v>
      </c>
      <c r="F332" s="17">
        <v>1</v>
      </c>
      <c r="G332" s="18" t="s">
        <v>23</v>
      </c>
      <c r="H332" s="17">
        <v>84.66</v>
      </c>
      <c r="I332" s="5">
        <v>95.5</v>
      </c>
      <c r="J332" s="21">
        <f t="shared" si="15"/>
        <v>0.128041578077014</v>
      </c>
      <c r="K332" s="1">
        <v>2</v>
      </c>
      <c r="L332" s="24">
        <v>4.7</v>
      </c>
      <c r="M332" s="24">
        <v>90.724999999999994</v>
      </c>
      <c r="N332" s="21">
        <f t="shared" si="16"/>
        <v>7.1639499173163215E-2</v>
      </c>
      <c r="P332" s="1">
        <v>6</v>
      </c>
      <c r="Q332" s="24">
        <v>9.5499999999999972</v>
      </c>
      <c r="R332" s="24">
        <v>85.95</v>
      </c>
      <c r="S332" s="21">
        <f t="shared" si="17"/>
        <v>1.5237420269312619E-2</v>
      </c>
    </row>
    <row r="333" spans="2:19" ht="11.4" customHeight="1" x14ac:dyDescent="0.2">
      <c r="B333" s="24"/>
      <c r="C333" s="4">
        <v>3300</v>
      </c>
      <c r="D333" s="18" t="s">
        <v>357</v>
      </c>
      <c r="E333" s="18" t="s">
        <v>346</v>
      </c>
      <c r="F333" s="17">
        <v>1</v>
      </c>
      <c r="G333" s="18" t="s">
        <v>23</v>
      </c>
      <c r="H333" s="17">
        <v>604.29999999999995</v>
      </c>
      <c r="I333" s="5">
        <v>639</v>
      </c>
      <c r="J333" s="21">
        <f t="shared" si="15"/>
        <v>5.7421810359093245E-2</v>
      </c>
      <c r="K333" s="1">
        <v>2</v>
      </c>
      <c r="L333" s="24">
        <v>31.9</v>
      </c>
      <c r="M333" s="24">
        <v>607.04999999999995</v>
      </c>
      <c r="N333" s="21">
        <f t="shared" si="16"/>
        <v>4.5507198411385077E-3</v>
      </c>
      <c r="P333" s="1">
        <v>6</v>
      </c>
      <c r="Q333" s="24">
        <v>63.899999999999977</v>
      </c>
      <c r="R333" s="24">
        <v>575.1</v>
      </c>
      <c r="S333" s="21">
        <f t="shared" si="17"/>
        <v>-4.8320370676816042E-2</v>
      </c>
    </row>
    <row r="334" spans="2:19" ht="11.4" customHeight="1" x14ac:dyDescent="0.2">
      <c r="B334" s="24"/>
      <c r="C334" s="4">
        <v>3301</v>
      </c>
      <c r="D334" s="18" t="s">
        <v>358</v>
      </c>
      <c r="E334" s="18" t="s">
        <v>346</v>
      </c>
      <c r="F334" s="17">
        <v>1</v>
      </c>
      <c r="G334" s="18" t="s">
        <v>23</v>
      </c>
      <c r="H334" s="17">
        <v>822.9</v>
      </c>
      <c r="I334" s="5">
        <v>879</v>
      </c>
      <c r="J334" s="21">
        <f t="shared" si="15"/>
        <v>6.8173532628508962E-2</v>
      </c>
      <c r="K334" s="1">
        <v>2</v>
      </c>
      <c r="L334" s="24">
        <v>43.9</v>
      </c>
      <c r="M334" s="24">
        <v>835.05</v>
      </c>
      <c r="N334" s="21">
        <f t="shared" si="16"/>
        <v>1.4764855997083458E-2</v>
      </c>
      <c r="P334" s="1">
        <v>6</v>
      </c>
      <c r="Q334" s="24">
        <v>87.899999999999977</v>
      </c>
      <c r="R334" s="24">
        <v>791.1</v>
      </c>
      <c r="S334" s="21">
        <f t="shared" si="17"/>
        <v>-3.8643820634341908E-2</v>
      </c>
    </row>
    <row r="335" spans="2:19" ht="11.4" customHeight="1" x14ac:dyDescent="0.2">
      <c r="B335" s="24"/>
      <c r="C335" s="4">
        <v>13251</v>
      </c>
      <c r="D335" s="18" t="s">
        <v>359</v>
      </c>
      <c r="E335" s="18" t="s">
        <v>346</v>
      </c>
      <c r="F335" s="17">
        <v>1</v>
      </c>
      <c r="G335" s="18" t="s">
        <v>23</v>
      </c>
      <c r="H335" s="19">
        <v>1113.0999999999999</v>
      </c>
      <c r="I335" s="6">
        <v>1190</v>
      </c>
      <c r="J335" s="21">
        <f t="shared" si="15"/>
        <v>6.908633545952754E-2</v>
      </c>
      <c r="K335" s="1">
        <v>2</v>
      </c>
      <c r="L335" s="24">
        <v>59.5</v>
      </c>
      <c r="M335" s="24">
        <v>1130.5</v>
      </c>
      <c r="N335" s="21">
        <f t="shared" si="16"/>
        <v>1.5632018686551157E-2</v>
      </c>
      <c r="P335" s="1">
        <v>6</v>
      </c>
      <c r="Q335" s="24">
        <v>119</v>
      </c>
      <c r="R335" s="24">
        <v>1071</v>
      </c>
      <c r="S335" s="21">
        <f t="shared" si="17"/>
        <v>-3.7822298086425218E-2</v>
      </c>
    </row>
    <row r="336" spans="2:19" ht="11.4" customHeight="1" x14ac:dyDescent="0.2">
      <c r="B336" s="24"/>
      <c r="C336" s="4">
        <v>41637</v>
      </c>
      <c r="D336" s="18" t="s">
        <v>360</v>
      </c>
      <c r="E336" s="18" t="s">
        <v>346</v>
      </c>
      <c r="F336" s="17">
        <v>1</v>
      </c>
      <c r="G336" s="18" t="s">
        <v>23</v>
      </c>
      <c r="H336" s="19">
        <v>2913.06</v>
      </c>
      <c r="I336" s="6">
        <v>3799.9</v>
      </c>
      <c r="J336" s="21">
        <f t="shared" si="15"/>
        <v>0.30443588528900889</v>
      </c>
      <c r="K336" s="1">
        <v>2</v>
      </c>
      <c r="L336" s="24">
        <v>189.9</v>
      </c>
      <c r="M336" s="24">
        <v>3609.9049999999997</v>
      </c>
      <c r="N336" s="21">
        <f t="shared" si="16"/>
        <v>0.23921409102455832</v>
      </c>
      <c r="P336" s="1">
        <v>6</v>
      </c>
      <c r="Q336" s="24">
        <v>379.98999999999978</v>
      </c>
      <c r="R336" s="24">
        <v>3419.9100000000003</v>
      </c>
      <c r="S336" s="21">
        <f t="shared" si="17"/>
        <v>0.17399229676010805</v>
      </c>
    </row>
    <row r="337" spans="2:19" ht="11.4" customHeight="1" x14ac:dyDescent="0.2">
      <c r="B337" s="24"/>
      <c r="C337" s="4">
        <v>13252</v>
      </c>
      <c r="D337" s="18" t="s">
        <v>361</v>
      </c>
      <c r="E337" s="18" t="s">
        <v>346</v>
      </c>
      <c r="F337" s="17">
        <v>1</v>
      </c>
      <c r="G337" s="18" t="s">
        <v>23</v>
      </c>
      <c r="H337" s="17">
        <v>64.86</v>
      </c>
      <c r="I337" s="5">
        <v>85.5</v>
      </c>
      <c r="J337" s="21">
        <f t="shared" si="15"/>
        <v>0.31822386679000925</v>
      </c>
      <c r="K337" s="1">
        <v>2</v>
      </c>
      <c r="L337" s="24">
        <v>4.2</v>
      </c>
      <c r="M337" s="24">
        <v>81.224999999999994</v>
      </c>
      <c r="N337" s="21">
        <f t="shared" si="16"/>
        <v>0.25231267345050873</v>
      </c>
      <c r="P337" s="1">
        <v>6</v>
      </c>
      <c r="Q337" s="24">
        <v>8.5499999999999972</v>
      </c>
      <c r="R337" s="24">
        <v>76.95</v>
      </c>
      <c r="S337" s="21">
        <f t="shared" si="17"/>
        <v>0.18640148011100838</v>
      </c>
    </row>
    <row r="338" spans="2:19" ht="11.4" customHeight="1" x14ac:dyDescent="0.2">
      <c r="B338" s="24"/>
      <c r="C338" s="4">
        <v>3303</v>
      </c>
      <c r="D338" s="18" t="s">
        <v>362</v>
      </c>
      <c r="E338" s="18" t="s">
        <v>346</v>
      </c>
      <c r="F338" s="17">
        <v>1</v>
      </c>
      <c r="G338" s="18" t="s">
        <v>23</v>
      </c>
      <c r="H338" s="17">
        <v>787.5</v>
      </c>
      <c r="I338" s="5">
        <v>749</v>
      </c>
      <c r="J338" s="21">
        <f t="shared" si="15"/>
        <v>-4.8888888888888891E-2</v>
      </c>
      <c r="K338" s="1">
        <v>2</v>
      </c>
      <c r="L338" s="24">
        <v>37.4</v>
      </c>
      <c r="M338" s="24">
        <v>711.55</v>
      </c>
      <c r="N338" s="21">
        <f t="shared" si="16"/>
        <v>-9.6444444444444499E-2</v>
      </c>
      <c r="P338" s="1">
        <v>6</v>
      </c>
      <c r="Q338" s="24">
        <v>74.899999999999977</v>
      </c>
      <c r="R338" s="24">
        <v>674.1</v>
      </c>
      <c r="S338" s="21">
        <f t="shared" si="17"/>
        <v>-0.14399999999999996</v>
      </c>
    </row>
    <row r="339" spans="2:19" ht="11.4" customHeight="1" x14ac:dyDescent="0.2">
      <c r="B339" s="24"/>
      <c r="C339" s="4">
        <v>4293</v>
      </c>
      <c r="D339" s="18" t="s">
        <v>363</v>
      </c>
      <c r="E339" s="18" t="s">
        <v>346</v>
      </c>
      <c r="F339" s="17">
        <v>1</v>
      </c>
      <c r="G339" s="18" t="s">
        <v>23</v>
      </c>
      <c r="H339" s="19">
        <v>1094.5</v>
      </c>
      <c r="I339" s="6">
        <v>1099</v>
      </c>
      <c r="J339" s="21">
        <f t="shared" si="15"/>
        <v>4.1114664230242123E-3</v>
      </c>
      <c r="K339" s="1">
        <v>2</v>
      </c>
      <c r="L339" s="24">
        <v>54.9</v>
      </c>
      <c r="M339" s="24">
        <v>1044.05</v>
      </c>
      <c r="N339" s="21">
        <f t="shared" si="16"/>
        <v>-4.6094106898127041E-2</v>
      </c>
      <c r="P339" s="1">
        <v>6</v>
      </c>
      <c r="Q339" s="24">
        <v>109.89999999999998</v>
      </c>
      <c r="R339" s="24">
        <v>989.1</v>
      </c>
      <c r="S339" s="21">
        <f t="shared" si="17"/>
        <v>-9.6299680219278191E-2</v>
      </c>
    </row>
    <row r="340" spans="2:19" ht="11.4" customHeight="1" x14ac:dyDescent="0.2">
      <c r="B340" s="24"/>
      <c r="C340" s="4">
        <v>4294</v>
      </c>
      <c r="D340" s="18" t="s">
        <v>364</v>
      </c>
      <c r="E340" s="18" t="s">
        <v>346</v>
      </c>
      <c r="F340" s="17">
        <v>12</v>
      </c>
      <c r="G340" s="18" t="s">
        <v>23</v>
      </c>
      <c r="H340" s="17">
        <v>657.06</v>
      </c>
      <c r="I340" s="5">
        <v>827</v>
      </c>
      <c r="J340" s="21">
        <f t="shared" si="15"/>
        <v>0.25863695857303759</v>
      </c>
      <c r="K340" s="1">
        <v>2</v>
      </c>
      <c r="L340" s="24">
        <v>41.3</v>
      </c>
      <c r="M340" s="24">
        <v>785.65</v>
      </c>
      <c r="N340" s="21">
        <f t="shared" si="16"/>
        <v>0.19570511064438567</v>
      </c>
      <c r="P340" s="1">
        <v>6</v>
      </c>
      <c r="Q340" s="24">
        <v>82.699999999999932</v>
      </c>
      <c r="R340" s="24">
        <v>744.30000000000007</v>
      </c>
      <c r="S340" s="21">
        <f t="shared" si="17"/>
        <v>0.13277326271573392</v>
      </c>
    </row>
    <row r="341" spans="2:19" ht="11.4" customHeight="1" x14ac:dyDescent="0.2">
      <c r="B341" s="24"/>
      <c r="C341" s="4">
        <v>39582</v>
      </c>
      <c r="D341" s="18" t="s">
        <v>365</v>
      </c>
      <c r="E341" s="18" t="s">
        <v>346</v>
      </c>
      <c r="F341" s="17">
        <v>1</v>
      </c>
      <c r="G341" s="18" t="s">
        <v>23</v>
      </c>
      <c r="H341" s="19">
        <v>1079.9000000000001</v>
      </c>
      <c r="I341" s="6">
        <v>1199</v>
      </c>
      <c r="J341" s="21">
        <f t="shared" si="15"/>
        <v>0.11028798962866923</v>
      </c>
      <c r="K341" s="1">
        <v>2</v>
      </c>
      <c r="L341" s="24">
        <v>59.9</v>
      </c>
      <c r="M341" s="24">
        <v>1139.05</v>
      </c>
      <c r="N341" s="21">
        <f t="shared" si="16"/>
        <v>5.4773590147235728E-2</v>
      </c>
      <c r="P341" s="1">
        <v>6</v>
      </c>
      <c r="Q341" s="24">
        <v>119.89999999999986</v>
      </c>
      <c r="R341" s="24">
        <v>1079.1000000000001</v>
      </c>
      <c r="S341" s="21">
        <f t="shared" si="17"/>
        <v>-7.4080933419756875E-4</v>
      </c>
    </row>
    <row r="342" spans="2:19" ht="11.4" customHeight="1" x14ac:dyDescent="0.2">
      <c r="B342" s="24"/>
      <c r="C342" s="4">
        <v>41380</v>
      </c>
      <c r="D342" s="18" t="s">
        <v>366</v>
      </c>
      <c r="E342" s="18" t="s">
        <v>346</v>
      </c>
      <c r="F342" s="17">
        <v>6</v>
      </c>
      <c r="G342" s="18" t="s">
        <v>23</v>
      </c>
      <c r="H342" s="19">
        <v>1541.16</v>
      </c>
      <c r="I342" s="6">
        <v>2079.9</v>
      </c>
      <c r="J342" s="21">
        <f t="shared" si="15"/>
        <v>0.34956785797710815</v>
      </c>
      <c r="K342" s="1">
        <v>2</v>
      </c>
      <c r="L342" s="24">
        <v>103.9</v>
      </c>
      <c r="M342" s="24">
        <v>1975.905</v>
      </c>
      <c r="N342" s="21">
        <f t="shared" si="16"/>
        <v>0.28208946507825267</v>
      </c>
      <c r="P342" s="1">
        <v>6</v>
      </c>
      <c r="Q342" s="24">
        <v>207.99</v>
      </c>
      <c r="R342" s="24">
        <v>1871.91</v>
      </c>
      <c r="S342" s="21">
        <f t="shared" si="17"/>
        <v>0.21461107217939732</v>
      </c>
    </row>
    <row r="343" spans="2:19" ht="11.4" customHeight="1" x14ac:dyDescent="0.2">
      <c r="B343" s="24"/>
      <c r="C343" s="4">
        <v>39749</v>
      </c>
      <c r="D343" s="18" t="s">
        <v>367</v>
      </c>
      <c r="E343" s="18" t="s">
        <v>346</v>
      </c>
      <c r="F343" s="17">
        <v>1</v>
      </c>
      <c r="G343" s="18" t="s">
        <v>23</v>
      </c>
      <c r="H343" s="17">
        <v>882</v>
      </c>
      <c r="I343" s="5">
        <v>999</v>
      </c>
      <c r="J343" s="21">
        <f t="shared" si="15"/>
        <v>0.1326530612244898</v>
      </c>
      <c r="K343" s="1">
        <v>2</v>
      </c>
      <c r="L343" s="24">
        <v>49.9</v>
      </c>
      <c r="M343" s="24">
        <v>949.05</v>
      </c>
      <c r="N343" s="21">
        <f t="shared" si="16"/>
        <v>7.602040816326526E-2</v>
      </c>
      <c r="P343" s="1">
        <v>6</v>
      </c>
      <c r="Q343" s="24">
        <v>99.899999999999977</v>
      </c>
      <c r="R343" s="24">
        <v>899.1</v>
      </c>
      <c r="S343" s="21">
        <f t="shared" si="17"/>
        <v>1.9387755102040841E-2</v>
      </c>
    </row>
    <row r="344" spans="2:19" ht="11.4" customHeight="1" x14ac:dyDescent="0.2">
      <c r="B344" s="24"/>
      <c r="C344" s="4">
        <v>39751</v>
      </c>
      <c r="D344" s="18" t="s">
        <v>368</v>
      </c>
      <c r="E344" s="18" t="s">
        <v>346</v>
      </c>
      <c r="F344" s="17">
        <v>1</v>
      </c>
      <c r="G344" s="18" t="s">
        <v>23</v>
      </c>
      <c r="H344" s="19">
        <v>1003.38</v>
      </c>
      <c r="I344" s="6">
        <v>1199</v>
      </c>
      <c r="J344" s="21">
        <f t="shared" si="15"/>
        <v>0.19496103171281071</v>
      </c>
      <c r="K344" s="1">
        <v>2</v>
      </c>
      <c r="L344" s="24">
        <v>59.9</v>
      </c>
      <c r="M344" s="24">
        <v>1139.05</v>
      </c>
      <c r="N344" s="21">
        <f t="shared" si="16"/>
        <v>0.13521298012717012</v>
      </c>
      <c r="P344" s="1">
        <v>6</v>
      </c>
      <c r="Q344" s="24">
        <v>119.89999999999986</v>
      </c>
      <c r="R344" s="24">
        <v>1079.1000000000001</v>
      </c>
      <c r="S344" s="21">
        <f t="shared" si="17"/>
        <v>7.5464928541529766E-2</v>
      </c>
    </row>
    <row r="345" spans="2:19" ht="11.4" customHeight="1" x14ac:dyDescent="0.2">
      <c r="B345" s="24"/>
      <c r="C345" s="4">
        <v>46122</v>
      </c>
      <c r="D345" s="18" t="s">
        <v>369</v>
      </c>
      <c r="E345" s="18" t="s">
        <v>346</v>
      </c>
      <c r="F345" s="17">
        <v>6</v>
      </c>
      <c r="G345" s="18" t="s">
        <v>23</v>
      </c>
      <c r="H345" s="19">
        <v>1196.4100000000001</v>
      </c>
      <c r="I345" s="6">
        <v>1794.5</v>
      </c>
      <c r="J345" s="21">
        <f t="shared" si="15"/>
        <v>0.49990387910498901</v>
      </c>
      <c r="K345" s="1">
        <v>2</v>
      </c>
      <c r="L345" s="24">
        <v>89.7</v>
      </c>
      <c r="M345" s="24">
        <v>1704.7749999999999</v>
      </c>
      <c r="N345" s="21">
        <f t="shared" si="16"/>
        <v>0.42490868514973945</v>
      </c>
      <c r="P345" s="1">
        <v>6</v>
      </c>
      <c r="Q345" s="24">
        <v>179.45000000000005</v>
      </c>
      <c r="R345" s="24">
        <v>1615.05</v>
      </c>
      <c r="S345" s="21">
        <f t="shared" si="17"/>
        <v>0.34991349119449006</v>
      </c>
    </row>
    <row r="346" spans="2:19" ht="11.4" customHeight="1" x14ac:dyDescent="0.2">
      <c r="B346" s="24"/>
      <c r="C346" s="4">
        <v>39500</v>
      </c>
      <c r="D346" s="18" t="s">
        <v>370</v>
      </c>
      <c r="E346" s="18" t="s">
        <v>346</v>
      </c>
      <c r="F346" s="17">
        <v>12</v>
      </c>
      <c r="G346" s="18" t="s">
        <v>23</v>
      </c>
      <c r="H346" s="17">
        <v>457.9</v>
      </c>
      <c r="I346" s="5">
        <v>570.9</v>
      </c>
      <c r="J346" s="21">
        <f t="shared" si="15"/>
        <v>0.24677877265778556</v>
      </c>
      <c r="K346" s="1">
        <v>2</v>
      </c>
      <c r="L346" s="24">
        <v>28.5</v>
      </c>
      <c r="M346" s="24">
        <v>542.3549999999999</v>
      </c>
      <c r="N346" s="21">
        <f t="shared" si="16"/>
        <v>0.18443983402489611</v>
      </c>
      <c r="P346" s="1">
        <v>6</v>
      </c>
      <c r="Q346" s="24">
        <v>57.090000000000032</v>
      </c>
      <c r="R346" s="24">
        <v>513.80999999999995</v>
      </c>
      <c r="S346" s="21">
        <f t="shared" si="17"/>
        <v>0.12210089539200693</v>
      </c>
    </row>
    <row r="347" spans="2:19" ht="11.4" customHeight="1" x14ac:dyDescent="0.2">
      <c r="B347" s="24"/>
      <c r="C347" s="4">
        <v>4162</v>
      </c>
      <c r="D347" s="18" t="s">
        <v>371</v>
      </c>
      <c r="E347" s="18" t="s">
        <v>346</v>
      </c>
      <c r="F347" s="17">
        <v>1</v>
      </c>
      <c r="G347" s="18" t="s">
        <v>23</v>
      </c>
      <c r="H347" s="17">
        <v>579.9</v>
      </c>
      <c r="I347" s="5">
        <v>644</v>
      </c>
      <c r="J347" s="21">
        <f t="shared" si="15"/>
        <v>0.110536299361959</v>
      </c>
      <c r="K347" s="1">
        <v>2</v>
      </c>
      <c r="L347" s="24">
        <v>32.200000000000003</v>
      </c>
      <c r="M347" s="24">
        <v>611.79999999999995</v>
      </c>
      <c r="N347" s="21">
        <f t="shared" si="16"/>
        <v>5.5009484393860976E-2</v>
      </c>
      <c r="P347" s="1">
        <v>6</v>
      </c>
      <c r="Q347" s="24">
        <v>64.399999999999977</v>
      </c>
      <c r="R347" s="24">
        <v>579.6</v>
      </c>
      <c r="S347" s="21">
        <f t="shared" si="17"/>
        <v>-5.17330574236859E-4</v>
      </c>
    </row>
    <row r="348" spans="2:19" ht="11.4" customHeight="1" x14ac:dyDescent="0.2">
      <c r="B348" s="24"/>
      <c r="C348" s="4">
        <v>39501</v>
      </c>
      <c r="D348" s="18" t="s">
        <v>372</v>
      </c>
      <c r="E348" s="18" t="s">
        <v>346</v>
      </c>
      <c r="F348" s="17">
        <v>1</v>
      </c>
      <c r="G348" s="18" t="s">
        <v>23</v>
      </c>
      <c r="H348" s="17">
        <v>719.9</v>
      </c>
      <c r="I348" s="5">
        <v>849</v>
      </c>
      <c r="J348" s="21">
        <f t="shared" si="15"/>
        <v>0.17933046256424506</v>
      </c>
      <c r="K348" s="1">
        <v>2</v>
      </c>
      <c r="L348" s="24">
        <v>42.4</v>
      </c>
      <c r="M348" s="24">
        <v>806.55</v>
      </c>
      <c r="N348" s="21">
        <f t="shared" si="16"/>
        <v>0.12036393943603275</v>
      </c>
      <c r="P348" s="1">
        <v>6</v>
      </c>
      <c r="Q348" s="24">
        <v>84.899999999999977</v>
      </c>
      <c r="R348" s="24">
        <v>764.1</v>
      </c>
      <c r="S348" s="21">
        <f t="shared" si="17"/>
        <v>6.1397416307820599E-2</v>
      </c>
    </row>
    <row r="349" spans="2:19" ht="11.4" customHeight="1" x14ac:dyDescent="0.2">
      <c r="B349" s="24"/>
      <c r="C349" s="4">
        <v>39502</v>
      </c>
      <c r="D349" s="18" t="s">
        <v>373</v>
      </c>
      <c r="E349" s="18" t="s">
        <v>346</v>
      </c>
      <c r="F349" s="17">
        <v>1</v>
      </c>
      <c r="G349" s="18" t="s">
        <v>23</v>
      </c>
      <c r="H349" s="17">
        <v>999.9</v>
      </c>
      <c r="I349" s="6">
        <v>1249</v>
      </c>
      <c r="J349" s="21">
        <f t="shared" si="15"/>
        <v>0.24912491249124916</v>
      </c>
      <c r="K349" s="1">
        <v>2</v>
      </c>
      <c r="L349" s="24">
        <v>62.4</v>
      </c>
      <c r="M349" s="24">
        <v>1186.55</v>
      </c>
      <c r="N349" s="21">
        <f t="shared" si="16"/>
        <v>0.18666866686668665</v>
      </c>
      <c r="P349" s="1">
        <v>6</v>
      </c>
      <c r="Q349" s="24">
        <v>124.89999999999986</v>
      </c>
      <c r="R349" s="24">
        <v>1124.1000000000001</v>
      </c>
      <c r="S349" s="21">
        <f t="shared" si="17"/>
        <v>0.12421242124212438</v>
      </c>
    </row>
    <row r="350" spans="2:19" ht="11.4" customHeight="1" x14ac:dyDescent="0.2">
      <c r="B350" s="24"/>
      <c r="C350" s="4">
        <v>26702</v>
      </c>
      <c r="D350" s="18" t="s">
        <v>374</v>
      </c>
      <c r="E350" s="18" t="s">
        <v>346</v>
      </c>
      <c r="F350" s="17">
        <v>1</v>
      </c>
      <c r="G350" s="18" t="s">
        <v>23</v>
      </c>
      <c r="H350" s="17">
        <v>374.5</v>
      </c>
      <c r="I350" s="5">
        <v>425.5</v>
      </c>
      <c r="J350" s="21">
        <f t="shared" si="15"/>
        <v>0.13618157543391188</v>
      </c>
      <c r="K350" s="1">
        <v>2</v>
      </c>
      <c r="L350" s="24">
        <v>21.2</v>
      </c>
      <c r="M350" s="24">
        <v>404.22499999999997</v>
      </c>
      <c r="N350" s="21">
        <f t="shared" si="16"/>
        <v>7.9372496662216199E-2</v>
      </c>
      <c r="P350" s="1">
        <v>6</v>
      </c>
      <c r="Q350" s="24">
        <v>42.550000000000011</v>
      </c>
      <c r="R350" s="24">
        <v>382.95</v>
      </c>
      <c r="S350" s="21">
        <f t="shared" si="17"/>
        <v>2.2563417890520663E-2</v>
      </c>
    </row>
    <row r="351" spans="2:19" ht="11.4" customHeight="1" x14ac:dyDescent="0.2">
      <c r="B351" s="24"/>
      <c r="C351" s="4">
        <v>39584</v>
      </c>
      <c r="D351" s="18" t="s">
        <v>375</v>
      </c>
      <c r="E351" s="18" t="s">
        <v>346</v>
      </c>
      <c r="F351" s="17">
        <v>1</v>
      </c>
      <c r="G351" s="18" t="s">
        <v>23</v>
      </c>
      <c r="H351" s="19">
        <v>1611.5</v>
      </c>
      <c r="I351" s="6">
        <v>1799</v>
      </c>
      <c r="J351" s="21">
        <f t="shared" si="15"/>
        <v>0.11635122556624262</v>
      </c>
      <c r="K351" s="1">
        <v>2</v>
      </c>
      <c r="L351" s="24">
        <v>89.9</v>
      </c>
      <c r="M351" s="24">
        <v>1709.05</v>
      </c>
      <c r="N351" s="21">
        <f t="shared" si="16"/>
        <v>6.0533664287930472E-2</v>
      </c>
      <c r="P351" s="1">
        <v>6</v>
      </c>
      <c r="Q351" s="24">
        <v>179.89999999999986</v>
      </c>
      <c r="R351" s="24">
        <v>1619.1000000000001</v>
      </c>
      <c r="S351" s="21">
        <f t="shared" si="17"/>
        <v>4.7161030096184529E-3</v>
      </c>
    </row>
    <row r="352" spans="2:19" ht="11.4" customHeight="1" x14ac:dyDescent="0.2">
      <c r="B352" s="24"/>
      <c r="C352" s="4">
        <v>46156</v>
      </c>
      <c r="D352" s="18" t="s">
        <v>376</v>
      </c>
      <c r="E352" s="18" t="s">
        <v>346</v>
      </c>
      <c r="F352" s="17">
        <v>6</v>
      </c>
      <c r="G352" s="18" t="s">
        <v>23</v>
      </c>
      <c r="H352" s="17">
        <v>722.71</v>
      </c>
      <c r="I352" s="6">
        <v>1099</v>
      </c>
      <c r="J352" s="21">
        <f t="shared" si="15"/>
        <v>0.52066527376125959</v>
      </c>
      <c r="K352" s="1">
        <v>2</v>
      </c>
      <c r="L352" s="24">
        <v>54.9</v>
      </c>
      <c r="M352" s="24">
        <v>1044.05</v>
      </c>
      <c r="N352" s="21">
        <f t="shared" si="16"/>
        <v>0.44463201007319658</v>
      </c>
      <c r="P352" s="1">
        <v>6</v>
      </c>
      <c r="Q352" s="24">
        <v>109.89999999999998</v>
      </c>
      <c r="R352" s="24">
        <v>989.1</v>
      </c>
      <c r="S352" s="21">
        <f t="shared" si="17"/>
        <v>0.36859874638513368</v>
      </c>
    </row>
    <row r="353" spans="2:19" ht="11.4" customHeight="1" x14ac:dyDescent="0.2">
      <c r="B353" s="24"/>
      <c r="C353" s="4">
        <v>39750</v>
      </c>
      <c r="D353" s="18" t="s">
        <v>377</v>
      </c>
      <c r="E353" s="18" t="s">
        <v>346</v>
      </c>
      <c r="F353" s="17">
        <v>1</v>
      </c>
      <c r="G353" s="18" t="s">
        <v>23</v>
      </c>
      <c r="H353" s="17">
        <v>882</v>
      </c>
      <c r="I353" s="6">
        <v>1023</v>
      </c>
      <c r="J353" s="21">
        <f t="shared" si="15"/>
        <v>0.1598639455782313</v>
      </c>
      <c r="K353" s="1">
        <v>2</v>
      </c>
      <c r="L353" s="24">
        <v>51.1</v>
      </c>
      <c r="M353" s="24">
        <v>971.84999999999991</v>
      </c>
      <c r="N353" s="21">
        <f t="shared" si="16"/>
        <v>0.10187074829931962</v>
      </c>
      <c r="P353" s="1">
        <v>6</v>
      </c>
      <c r="Q353" s="24">
        <v>102.29999999999995</v>
      </c>
      <c r="R353" s="24">
        <v>920.7</v>
      </c>
      <c r="S353" s="21">
        <f t="shared" si="17"/>
        <v>4.3877551020408218E-2</v>
      </c>
    </row>
    <row r="354" spans="2:19" ht="11.4" customHeight="1" x14ac:dyDescent="0.2">
      <c r="B354" s="24"/>
      <c r="C354" s="4">
        <v>46152</v>
      </c>
      <c r="D354" s="18" t="s">
        <v>378</v>
      </c>
      <c r="E354" s="18" t="s">
        <v>346</v>
      </c>
      <c r="F354" s="17">
        <v>3</v>
      </c>
      <c r="G354" s="18" t="s">
        <v>23</v>
      </c>
      <c r="H354" s="17">
        <v>476.64</v>
      </c>
      <c r="I354" s="5">
        <v>715</v>
      </c>
      <c r="J354" s="21">
        <f t="shared" si="15"/>
        <v>0.50008392077878483</v>
      </c>
      <c r="K354" s="1">
        <v>2</v>
      </c>
      <c r="L354" s="24">
        <v>35.700000000000003</v>
      </c>
      <c r="M354" s="24">
        <v>679.25</v>
      </c>
      <c r="N354" s="21">
        <f t="shared" si="16"/>
        <v>0.42507972473984562</v>
      </c>
      <c r="P354" s="1">
        <v>6</v>
      </c>
      <c r="Q354" s="24">
        <v>71.5</v>
      </c>
      <c r="R354" s="24">
        <v>643.5</v>
      </c>
      <c r="S354" s="21">
        <f t="shared" si="17"/>
        <v>0.35007552870090636</v>
      </c>
    </row>
    <row r="355" spans="2:19" ht="11.4" customHeight="1" x14ac:dyDescent="0.2">
      <c r="B355" s="24"/>
      <c r="C355" s="4">
        <v>37534</v>
      </c>
      <c r="D355" s="18" t="s">
        <v>379</v>
      </c>
      <c r="E355" s="18" t="s">
        <v>346</v>
      </c>
      <c r="F355" s="17">
        <v>1</v>
      </c>
      <c r="G355" s="18" t="s">
        <v>23</v>
      </c>
      <c r="H355" s="17">
        <v>837.9</v>
      </c>
      <c r="I355" s="5">
        <v>949</v>
      </c>
      <c r="J355" s="21">
        <f t="shared" si="15"/>
        <v>0.13259338823248601</v>
      </c>
      <c r="K355" s="1">
        <v>2</v>
      </c>
      <c r="L355" s="24">
        <v>47.4</v>
      </c>
      <c r="M355" s="24">
        <v>901.55</v>
      </c>
      <c r="N355" s="21">
        <f t="shared" si="16"/>
        <v>7.5963718820861656E-2</v>
      </c>
      <c r="P355" s="1">
        <v>6</v>
      </c>
      <c r="Q355" s="24">
        <v>94.899999999999977</v>
      </c>
      <c r="R355" s="24">
        <v>854.1</v>
      </c>
      <c r="S355" s="21">
        <f t="shared" si="17"/>
        <v>1.9334049409237435E-2</v>
      </c>
    </row>
    <row r="356" spans="2:19" ht="11.4" customHeight="1" x14ac:dyDescent="0.2">
      <c r="B356" s="24"/>
      <c r="C356" s="4">
        <v>13247</v>
      </c>
      <c r="D356" s="18" t="s">
        <v>380</v>
      </c>
      <c r="E356" s="18" t="s">
        <v>346</v>
      </c>
      <c r="F356" s="17">
        <v>1</v>
      </c>
      <c r="G356" s="18" t="s">
        <v>23</v>
      </c>
      <c r="H356" s="17">
        <v>70.38</v>
      </c>
      <c r="I356" s="5">
        <v>80.5</v>
      </c>
      <c r="J356" s="21">
        <f t="shared" si="15"/>
        <v>0.14379084967320269</v>
      </c>
      <c r="K356" s="1">
        <v>2</v>
      </c>
      <c r="L356" s="24">
        <v>4</v>
      </c>
      <c r="M356" s="24">
        <v>76.474999999999994</v>
      </c>
      <c r="N356" s="21">
        <f t="shared" si="16"/>
        <v>8.6601307189542467E-2</v>
      </c>
      <c r="P356" s="1">
        <v>6</v>
      </c>
      <c r="Q356" s="24">
        <v>8.0499999999999972</v>
      </c>
      <c r="R356" s="24">
        <v>72.45</v>
      </c>
      <c r="S356" s="21">
        <f t="shared" si="17"/>
        <v>2.941176470588246E-2</v>
      </c>
    </row>
    <row r="357" spans="2:19" ht="11.4" customHeight="1" x14ac:dyDescent="0.2">
      <c r="B357" s="24"/>
      <c r="C357" s="4">
        <v>3296</v>
      </c>
      <c r="D357" s="18" t="s">
        <v>381</v>
      </c>
      <c r="E357" s="18" t="s">
        <v>346</v>
      </c>
      <c r="F357" s="17">
        <v>1</v>
      </c>
      <c r="G357" s="18" t="s">
        <v>23</v>
      </c>
      <c r="H357" s="17">
        <v>513</v>
      </c>
      <c r="I357" s="5">
        <v>539</v>
      </c>
      <c r="J357" s="21">
        <f t="shared" si="15"/>
        <v>5.0682261208576995E-2</v>
      </c>
      <c r="K357" s="1">
        <v>2</v>
      </c>
      <c r="L357" s="24">
        <v>26.9</v>
      </c>
      <c r="M357" s="24">
        <v>512.04999999999995</v>
      </c>
      <c r="N357" s="21">
        <f t="shared" si="16"/>
        <v>-1.8518518518519404E-3</v>
      </c>
      <c r="P357" s="1">
        <v>6</v>
      </c>
      <c r="Q357" s="24">
        <v>53.899999999999977</v>
      </c>
      <c r="R357" s="24">
        <v>485.1</v>
      </c>
      <c r="S357" s="21">
        <f t="shared" si="17"/>
        <v>-5.4385964912280656E-2</v>
      </c>
    </row>
    <row r="358" spans="2:19" ht="11.4" customHeight="1" x14ac:dyDescent="0.2">
      <c r="B358" s="24"/>
      <c r="C358" s="4">
        <v>41638</v>
      </c>
      <c r="D358" s="18" t="s">
        <v>382</v>
      </c>
      <c r="E358" s="18" t="s">
        <v>346</v>
      </c>
      <c r="F358" s="17">
        <v>1</v>
      </c>
      <c r="G358" s="18" t="s">
        <v>23</v>
      </c>
      <c r="H358" s="19">
        <v>4231.4399999999996</v>
      </c>
      <c r="I358" s="6">
        <v>4999</v>
      </c>
      <c r="J358" s="21">
        <f t="shared" si="15"/>
        <v>0.18139451345168559</v>
      </c>
      <c r="K358" s="1">
        <v>2</v>
      </c>
      <c r="L358" s="24">
        <v>249.9</v>
      </c>
      <c r="M358" s="24">
        <v>4749.05</v>
      </c>
      <c r="N358" s="21">
        <f t="shared" si="16"/>
        <v>0.12232478777910136</v>
      </c>
      <c r="P358" s="1">
        <v>6</v>
      </c>
      <c r="Q358" s="24">
        <v>499.89999999999964</v>
      </c>
      <c r="R358" s="24">
        <v>4499.1000000000004</v>
      </c>
      <c r="S358" s="21">
        <f t="shared" si="17"/>
        <v>6.3255062106517115E-2</v>
      </c>
    </row>
    <row r="359" spans="2:19" ht="11.4" customHeight="1" x14ac:dyDescent="0.2">
      <c r="B359" s="24"/>
      <c r="C359" s="4">
        <v>46153</v>
      </c>
      <c r="D359" s="18" t="s">
        <v>383</v>
      </c>
      <c r="E359" s="18" t="s">
        <v>346</v>
      </c>
      <c r="F359" s="17">
        <v>12</v>
      </c>
      <c r="G359" s="18" t="s">
        <v>23</v>
      </c>
      <c r="H359" s="17">
        <v>346.88</v>
      </c>
      <c r="I359" s="5">
        <v>520.20000000000005</v>
      </c>
      <c r="J359" s="21">
        <f t="shared" si="15"/>
        <v>0.49965405904059057</v>
      </c>
      <c r="K359" s="1">
        <v>2</v>
      </c>
      <c r="L359" s="24">
        <v>26</v>
      </c>
      <c r="M359" s="24">
        <v>494.19</v>
      </c>
      <c r="N359" s="21">
        <f t="shared" si="16"/>
        <v>0.42467135608856088</v>
      </c>
      <c r="P359" s="1">
        <v>6</v>
      </c>
      <c r="Q359" s="24">
        <v>52.019999999999982</v>
      </c>
      <c r="R359" s="24">
        <v>468.18000000000006</v>
      </c>
      <c r="S359" s="21">
        <f t="shared" si="17"/>
        <v>0.34968865313653158</v>
      </c>
    </row>
    <row r="360" spans="2:19" ht="11.4" customHeight="1" x14ac:dyDescent="0.2">
      <c r="B360" s="24"/>
      <c r="C360" s="4">
        <v>41640</v>
      </c>
      <c r="D360" s="18" t="s">
        <v>384</v>
      </c>
      <c r="E360" s="18" t="s">
        <v>346</v>
      </c>
      <c r="F360" s="17">
        <v>1</v>
      </c>
      <c r="G360" s="18" t="s">
        <v>23</v>
      </c>
      <c r="H360" s="19">
        <v>9162.2999999999993</v>
      </c>
      <c r="I360" s="6">
        <v>10499</v>
      </c>
      <c r="J360" s="21">
        <f t="shared" si="15"/>
        <v>0.14589131549938344</v>
      </c>
      <c r="K360" s="1">
        <v>2</v>
      </c>
      <c r="L360" s="24">
        <v>524.9</v>
      </c>
      <c r="M360" s="24">
        <v>9974.0499999999993</v>
      </c>
      <c r="N360" s="21">
        <f t="shared" si="16"/>
        <v>8.8596749724414184E-2</v>
      </c>
      <c r="P360" s="1">
        <v>6</v>
      </c>
      <c r="Q360" s="24">
        <v>1049.8999999999996</v>
      </c>
      <c r="R360" s="24">
        <v>9449.1</v>
      </c>
      <c r="S360" s="21">
        <f t="shared" si="17"/>
        <v>3.1302183949445131E-2</v>
      </c>
    </row>
    <row r="361" spans="2:19" ht="11.4" customHeight="1" x14ac:dyDescent="0.2">
      <c r="B361" s="24"/>
      <c r="C361" s="4">
        <v>3305</v>
      </c>
      <c r="D361" s="18" t="s">
        <v>385</v>
      </c>
      <c r="E361" s="18" t="s">
        <v>386</v>
      </c>
      <c r="F361" s="17">
        <v>1</v>
      </c>
      <c r="G361" s="18" t="s">
        <v>23</v>
      </c>
      <c r="H361" s="17">
        <v>457.32</v>
      </c>
      <c r="I361" s="5">
        <v>617.4</v>
      </c>
      <c r="J361" s="21">
        <f t="shared" si="15"/>
        <v>0.35003935974809758</v>
      </c>
      <c r="K361" s="1">
        <v>2</v>
      </c>
      <c r="L361" s="24">
        <v>30.8</v>
      </c>
      <c r="M361" s="24">
        <v>586.53</v>
      </c>
      <c r="N361" s="21">
        <f t="shared" si="16"/>
        <v>0.2825373917606927</v>
      </c>
      <c r="P361" s="1">
        <v>6</v>
      </c>
      <c r="Q361" s="24">
        <v>61.740000000000009</v>
      </c>
      <c r="R361" s="24">
        <v>555.66</v>
      </c>
      <c r="S361" s="21">
        <f t="shared" si="17"/>
        <v>0.2150354237732878</v>
      </c>
    </row>
    <row r="362" spans="2:19" ht="11.4" customHeight="1" x14ac:dyDescent="0.2">
      <c r="B362" s="24"/>
      <c r="C362" s="4">
        <v>4376</v>
      </c>
      <c r="D362" s="18" t="s">
        <v>387</v>
      </c>
      <c r="E362" s="18" t="s">
        <v>386</v>
      </c>
      <c r="F362" s="17">
        <v>1</v>
      </c>
      <c r="G362" s="18" t="s">
        <v>23</v>
      </c>
      <c r="H362" s="17">
        <v>687.8</v>
      </c>
      <c r="I362" s="5">
        <v>699</v>
      </c>
      <c r="J362" s="21">
        <f t="shared" si="15"/>
        <v>1.6283803431230075E-2</v>
      </c>
      <c r="K362" s="1">
        <v>2</v>
      </c>
      <c r="L362" s="24">
        <v>34.9</v>
      </c>
      <c r="M362" s="24">
        <v>664.05</v>
      </c>
      <c r="N362" s="21">
        <f t="shared" si="16"/>
        <v>-3.4530386740331494E-2</v>
      </c>
      <c r="P362" s="1">
        <v>6</v>
      </c>
      <c r="Q362" s="24">
        <v>69.899999999999977</v>
      </c>
      <c r="R362" s="24">
        <v>629.1</v>
      </c>
      <c r="S362" s="21">
        <f t="shared" si="17"/>
        <v>-8.53445769118929E-2</v>
      </c>
    </row>
    <row r="363" spans="2:19" ht="11.4" customHeight="1" x14ac:dyDescent="0.2">
      <c r="B363" s="24"/>
      <c r="C363" s="4">
        <v>46128</v>
      </c>
      <c r="D363" s="18" t="s">
        <v>388</v>
      </c>
      <c r="E363" s="18" t="s">
        <v>386</v>
      </c>
      <c r="F363" s="17">
        <v>6</v>
      </c>
      <c r="G363" s="18" t="s">
        <v>23</v>
      </c>
      <c r="H363" s="17">
        <v>322.27999999999997</v>
      </c>
      <c r="I363" s="5">
        <v>484</v>
      </c>
      <c r="J363" s="21">
        <f t="shared" si="15"/>
        <v>0.50179967729924302</v>
      </c>
      <c r="K363" s="1">
        <v>2</v>
      </c>
      <c r="L363" s="24">
        <v>24.2</v>
      </c>
      <c r="M363" s="24">
        <v>459.79999999999995</v>
      </c>
      <c r="N363" s="21">
        <f t="shared" si="16"/>
        <v>0.42670969343428072</v>
      </c>
      <c r="P363" s="1">
        <v>6</v>
      </c>
      <c r="Q363" s="24">
        <v>48.399999999999977</v>
      </c>
      <c r="R363" s="24">
        <v>435.6</v>
      </c>
      <c r="S363" s="21">
        <f t="shared" si="17"/>
        <v>0.35161970956931882</v>
      </c>
    </row>
    <row r="364" spans="2:19" ht="11.4" customHeight="1" x14ac:dyDescent="0.2">
      <c r="B364" s="24"/>
      <c r="C364" s="4">
        <v>41382</v>
      </c>
      <c r="D364" s="18" t="s">
        <v>389</v>
      </c>
      <c r="E364" s="18" t="s">
        <v>386</v>
      </c>
      <c r="F364" s="17">
        <v>1</v>
      </c>
      <c r="G364" s="18" t="s">
        <v>23</v>
      </c>
      <c r="H364" s="17">
        <v>618.17999999999995</v>
      </c>
      <c r="I364" s="5">
        <v>699</v>
      </c>
      <c r="J364" s="21">
        <f t="shared" si="15"/>
        <v>0.13073861981947016</v>
      </c>
      <c r="K364" s="1">
        <v>2</v>
      </c>
      <c r="L364" s="24">
        <v>34.9</v>
      </c>
      <c r="M364" s="24">
        <v>664.05</v>
      </c>
      <c r="N364" s="21">
        <f t="shared" si="16"/>
        <v>7.4201688828496565E-2</v>
      </c>
      <c r="P364" s="1">
        <v>6</v>
      </c>
      <c r="Q364" s="24">
        <v>69.899999999999977</v>
      </c>
      <c r="R364" s="24">
        <v>629.1</v>
      </c>
      <c r="S364" s="21">
        <f t="shared" si="17"/>
        <v>1.7664757837523172E-2</v>
      </c>
    </row>
    <row r="365" spans="2:19" ht="11.4" customHeight="1" x14ac:dyDescent="0.2">
      <c r="B365" s="24"/>
      <c r="C365" s="4">
        <v>39354</v>
      </c>
      <c r="D365" s="18" t="s">
        <v>390</v>
      </c>
      <c r="E365" s="18" t="s">
        <v>391</v>
      </c>
      <c r="F365" s="17">
        <v>1</v>
      </c>
      <c r="G365" s="18" t="s">
        <v>23</v>
      </c>
      <c r="H365" s="17">
        <v>596.5</v>
      </c>
      <c r="I365" s="5">
        <v>639</v>
      </c>
      <c r="J365" s="21">
        <f t="shared" si="15"/>
        <v>7.1248952221290865E-2</v>
      </c>
      <c r="K365" s="1">
        <v>2</v>
      </c>
      <c r="L365" s="24">
        <v>31.9</v>
      </c>
      <c r="M365" s="24">
        <v>607.04999999999995</v>
      </c>
      <c r="N365" s="21">
        <f t="shared" si="16"/>
        <v>1.7686504610226243E-2</v>
      </c>
      <c r="P365" s="1">
        <v>6</v>
      </c>
      <c r="Q365" s="24">
        <v>63.899999999999977</v>
      </c>
      <c r="R365" s="24">
        <v>575.1</v>
      </c>
      <c r="S365" s="21">
        <f t="shared" si="17"/>
        <v>-3.5875943000838184E-2</v>
      </c>
    </row>
    <row r="366" spans="2:19" ht="11.4" customHeight="1" x14ac:dyDescent="0.2">
      <c r="B366" s="24"/>
      <c r="C366" s="4">
        <v>39353</v>
      </c>
      <c r="D366" s="18" t="s">
        <v>392</v>
      </c>
      <c r="E366" s="18" t="s">
        <v>391</v>
      </c>
      <c r="F366" s="17">
        <v>1</v>
      </c>
      <c r="G366" s="18" t="s">
        <v>23</v>
      </c>
      <c r="H366" s="17">
        <v>878.5</v>
      </c>
      <c r="I366" s="5">
        <v>989</v>
      </c>
      <c r="J366" s="21">
        <f t="shared" si="15"/>
        <v>0.12578258394991462</v>
      </c>
      <c r="K366" s="1">
        <v>2</v>
      </c>
      <c r="L366" s="24">
        <v>49.4</v>
      </c>
      <c r="M366" s="24">
        <v>939.55</v>
      </c>
      <c r="N366" s="21">
        <f t="shared" si="16"/>
        <v>6.9493454752418846E-2</v>
      </c>
      <c r="P366" s="1">
        <v>6</v>
      </c>
      <c r="Q366" s="24">
        <v>98.899999999999977</v>
      </c>
      <c r="R366" s="24">
        <v>890.1</v>
      </c>
      <c r="S366" s="21">
        <f t="shared" si="17"/>
        <v>1.320432555492319E-2</v>
      </c>
    </row>
    <row r="367" spans="2:19" ht="11.4" customHeight="1" x14ac:dyDescent="0.2">
      <c r="B367" s="24"/>
      <c r="C367" s="4">
        <v>20523</v>
      </c>
      <c r="D367" s="18" t="s">
        <v>393</v>
      </c>
      <c r="E367" s="18" t="s">
        <v>391</v>
      </c>
      <c r="F367" s="17">
        <v>1</v>
      </c>
      <c r="G367" s="18" t="s">
        <v>23</v>
      </c>
      <c r="H367" s="17">
        <v>625.4</v>
      </c>
      <c r="I367" s="5">
        <v>669</v>
      </c>
      <c r="J367" s="21">
        <f t="shared" si="15"/>
        <v>6.9715382155420572E-2</v>
      </c>
      <c r="K367" s="1">
        <v>2</v>
      </c>
      <c r="L367" s="24">
        <v>33.4</v>
      </c>
      <c r="M367" s="24">
        <v>635.54999999999995</v>
      </c>
      <c r="N367" s="21">
        <f t="shared" si="16"/>
        <v>1.6229613047649468E-2</v>
      </c>
      <c r="P367" s="1">
        <v>6</v>
      </c>
      <c r="Q367" s="24">
        <v>66.899999999999977</v>
      </c>
      <c r="R367" s="24">
        <v>602.1</v>
      </c>
      <c r="S367" s="21">
        <f t="shared" si="17"/>
        <v>-3.7256156060121448E-2</v>
      </c>
    </row>
    <row r="368" spans="2:19" ht="11.4" customHeight="1" x14ac:dyDescent="0.2">
      <c r="B368" s="24"/>
      <c r="C368" s="4">
        <v>37361</v>
      </c>
      <c r="D368" s="18" t="s">
        <v>394</v>
      </c>
      <c r="E368" s="18" t="s">
        <v>391</v>
      </c>
      <c r="F368" s="17">
        <v>1</v>
      </c>
      <c r="G368" s="18" t="s">
        <v>23</v>
      </c>
      <c r="H368" s="19">
        <v>1194.3</v>
      </c>
      <c r="I368" s="6">
        <v>1099</v>
      </c>
      <c r="J368" s="21">
        <f t="shared" si="15"/>
        <v>-7.979569622372934E-2</v>
      </c>
      <c r="K368" s="1">
        <v>2</v>
      </c>
      <c r="L368" s="24">
        <v>54.9</v>
      </c>
      <c r="M368" s="24">
        <v>1044.05</v>
      </c>
      <c r="N368" s="21">
        <f t="shared" si="16"/>
        <v>-0.12580591141254291</v>
      </c>
      <c r="P368" s="1">
        <v>6</v>
      </c>
      <c r="Q368" s="24">
        <v>109.89999999999998</v>
      </c>
      <c r="R368" s="24">
        <v>989.1</v>
      </c>
      <c r="S368" s="21">
        <f t="shared" si="17"/>
        <v>-0.17181612660135639</v>
      </c>
    </row>
    <row r="369" spans="2:19" ht="11.4" customHeight="1" x14ac:dyDescent="0.2">
      <c r="B369" s="24"/>
      <c r="C369" s="4">
        <v>37362</v>
      </c>
      <c r="D369" s="18" t="s">
        <v>395</v>
      </c>
      <c r="E369" s="18" t="s">
        <v>391</v>
      </c>
      <c r="F369" s="17">
        <v>1</v>
      </c>
      <c r="G369" s="18" t="s">
        <v>23</v>
      </c>
      <c r="H369" s="17">
        <v>838.8</v>
      </c>
      <c r="I369" s="5">
        <v>827</v>
      </c>
      <c r="J369" s="21">
        <f t="shared" si="15"/>
        <v>-1.4067715784453929E-2</v>
      </c>
      <c r="K369" s="1">
        <v>2</v>
      </c>
      <c r="L369" s="24">
        <v>41.3</v>
      </c>
      <c r="M369" s="24">
        <v>785.65</v>
      </c>
      <c r="N369" s="21">
        <f t="shared" si="16"/>
        <v>-6.3364329995231256E-2</v>
      </c>
      <c r="P369" s="1">
        <v>6</v>
      </c>
      <c r="Q369" s="24">
        <v>82.699999999999932</v>
      </c>
      <c r="R369" s="24">
        <v>744.30000000000007</v>
      </c>
      <c r="S369" s="21">
        <f t="shared" si="17"/>
        <v>-0.11266094420600846</v>
      </c>
    </row>
    <row r="370" spans="2:19" ht="11.4" customHeight="1" x14ac:dyDescent="0.2">
      <c r="B370" s="24"/>
      <c r="C370" s="4">
        <v>47775</v>
      </c>
      <c r="D370" s="18" t="s">
        <v>396</v>
      </c>
      <c r="E370" s="18" t="s">
        <v>386</v>
      </c>
      <c r="F370" s="17">
        <v>6</v>
      </c>
      <c r="G370" s="18" t="s">
        <v>23</v>
      </c>
      <c r="H370" s="17">
        <v>618.17999999999995</v>
      </c>
      <c r="I370" s="5">
        <v>799</v>
      </c>
      <c r="J370" s="21">
        <f t="shared" si="15"/>
        <v>0.29250380148176919</v>
      </c>
      <c r="K370" s="1">
        <v>2</v>
      </c>
      <c r="L370" s="24">
        <v>39.9</v>
      </c>
      <c r="M370" s="24">
        <v>759.05</v>
      </c>
      <c r="N370" s="21">
        <f t="shared" si="16"/>
        <v>0.22787861140768065</v>
      </c>
      <c r="P370" s="1">
        <v>6</v>
      </c>
      <c r="Q370" s="24">
        <v>79.899999999999977</v>
      </c>
      <c r="R370" s="24">
        <v>719.1</v>
      </c>
      <c r="S370" s="21">
        <f t="shared" si="17"/>
        <v>0.1632534213335923</v>
      </c>
    </row>
    <row r="371" spans="2:19" ht="11.4" customHeight="1" x14ac:dyDescent="0.2">
      <c r="B371" s="24"/>
      <c r="C371" s="4">
        <v>4988</v>
      </c>
      <c r="D371" s="18" t="s">
        <v>397</v>
      </c>
      <c r="E371" s="18" t="s">
        <v>398</v>
      </c>
      <c r="F371" s="17">
        <v>1</v>
      </c>
      <c r="G371" s="18" t="s">
        <v>23</v>
      </c>
      <c r="H371" s="17">
        <v>445.3</v>
      </c>
      <c r="I371" s="5">
        <v>449.5</v>
      </c>
      <c r="J371" s="21">
        <f t="shared" si="15"/>
        <v>9.4318437008757885E-3</v>
      </c>
      <c r="K371" s="1">
        <v>2</v>
      </c>
      <c r="L371" s="24">
        <v>22.4</v>
      </c>
      <c r="M371" s="24">
        <v>427.02499999999998</v>
      </c>
      <c r="N371" s="21">
        <f t="shared" si="16"/>
        <v>-4.1039748484168054E-2</v>
      </c>
      <c r="P371" s="1">
        <v>6</v>
      </c>
      <c r="Q371" s="24">
        <v>44.949999999999989</v>
      </c>
      <c r="R371" s="24">
        <v>404.55</v>
      </c>
      <c r="S371" s="21">
        <f t="shared" si="17"/>
        <v>-9.1511340669211766E-2</v>
      </c>
    </row>
    <row r="372" spans="2:19" ht="11.4" customHeight="1" x14ac:dyDescent="0.2">
      <c r="B372" s="24"/>
      <c r="C372" s="4">
        <v>40209</v>
      </c>
      <c r="D372" s="18" t="s">
        <v>399</v>
      </c>
      <c r="E372" s="18" t="s">
        <v>398</v>
      </c>
      <c r="F372" s="17">
        <v>1</v>
      </c>
      <c r="G372" s="18" t="s">
        <v>23</v>
      </c>
      <c r="H372" s="19">
        <v>1108.32</v>
      </c>
      <c r="I372" s="6">
        <v>1349</v>
      </c>
      <c r="J372" s="21">
        <f t="shared" si="15"/>
        <v>0.21715749963909348</v>
      </c>
      <c r="K372" s="1">
        <v>2</v>
      </c>
      <c r="L372" s="24">
        <v>67.400000000000006</v>
      </c>
      <c r="M372" s="24">
        <v>1281.55</v>
      </c>
      <c r="N372" s="21">
        <f t="shared" si="16"/>
        <v>0.15629962465713876</v>
      </c>
      <c r="P372" s="1">
        <v>6</v>
      </c>
      <c r="Q372" s="24">
        <v>134.89999999999986</v>
      </c>
      <c r="R372" s="24">
        <v>1214.1000000000001</v>
      </c>
      <c r="S372" s="21">
        <f t="shared" si="17"/>
        <v>9.5441749675184248E-2</v>
      </c>
    </row>
    <row r="373" spans="2:19" ht="11.4" customHeight="1" x14ac:dyDescent="0.2">
      <c r="B373" s="24"/>
      <c r="C373" s="4">
        <v>41646</v>
      </c>
      <c r="D373" s="18" t="s">
        <v>400</v>
      </c>
      <c r="E373" s="18" t="s">
        <v>398</v>
      </c>
      <c r="F373" s="17">
        <v>120</v>
      </c>
      <c r="G373" s="18" t="s">
        <v>23</v>
      </c>
      <c r="H373" s="17">
        <v>63.72</v>
      </c>
      <c r="I373" s="5">
        <v>72.5</v>
      </c>
      <c r="J373" s="21">
        <f t="shared" si="15"/>
        <v>0.13779033270558697</v>
      </c>
      <c r="K373" s="1">
        <v>2</v>
      </c>
      <c r="L373" s="24">
        <v>3.6</v>
      </c>
      <c r="M373" s="24">
        <v>68.875</v>
      </c>
      <c r="N373" s="21">
        <f t="shared" si="16"/>
        <v>8.0900816070307621E-2</v>
      </c>
      <c r="P373" s="1">
        <v>6</v>
      </c>
      <c r="Q373" s="24">
        <v>7.25</v>
      </c>
      <c r="R373" s="24">
        <v>65.25</v>
      </c>
      <c r="S373" s="21">
        <f t="shared" si="17"/>
        <v>2.4011299435028267E-2</v>
      </c>
    </row>
    <row r="374" spans="2:19" ht="11.4" customHeight="1" x14ac:dyDescent="0.2">
      <c r="B374" s="24"/>
      <c r="C374" s="4">
        <v>5149</v>
      </c>
      <c r="D374" s="18" t="s">
        <v>401</v>
      </c>
      <c r="E374" s="18" t="s">
        <v>402</v>
      </c>
      <c r="F374" s="17">
        <v>1</v>
      </c>
      <c r="G374" s="18" t="s">
        <v>23</v>
      </c>
      <c r="H374" s="17">
        <v>511.9</v>
      </c>
      <c r="I374" s="5">
        <v>639</v>
      </c>
      <c r="J374" s="21">
        <f t="shared" si="15"/>
        <v>0.24829068177378399</v>
      </c>
      <c r="K374" s="1">
        <v>2</v>
      </c>
      <c r="L374" s="24">
        <v>31.9</v>
      </c>
      <c r="M374" s="24">
        <v>607.04999999999995</v>
      </c>
      <c r="N374" s="21">
        <f t="shared" si="16"/>
        <v>0.18587614768509472</v>
      </c>
      <c r="P374" s="1">
        <v>6</v>
      </c>
      <c r="Q374" s="24">
        <v>63.899999999999977</v>
      </c>
      <c r="R374" s="24">
        <v>575.1</v>
      </c>
      <c r="S374" s="21">
        <f t="shared" si="17"/>
        <v>0.12346161359640564</v>
      </c>
    </row>
    <row r="375" spans="2:19" ht="11.4" customHeight="1" x14ac:dyDescent="0.2">
      <c r="B375" s="24"/>
      <c r="C375" s="4">
        <v>39503</v>
      </c>
      <c r="D375" s="18" t="s">
        <v>403</v>
      </c>
      <c r="E375" s="18" t="s">
        <v>402</v>
      </c>
      <c r="F375" s="17">
        <v>1</v>
      </c>
      <c r="G375" s="18" t="s">
        <v>23</v>
      </c>
      <c r="H375" s="17">
        <v>707.5</v>
      </c>
      <c r="I375" s="5">
        <v>869</v>
      </c>
      <c r="J375" s="21">
        <f t="shared" si="15"/>
        <v>0.22826855123674911</v>
      </c>
      <c r="K375" s="1">
        <v>2</v>
      </c>
      <c r="L375" s="24">
        <v>43.4</v>
      </c>
      <c r="M375" s="24">
        <v>825.55</v>
      </c>
      <c r="N375" s="21">
        <f t="shared" si="16"/>
        <v>0.16685512367491159</v>
      </c>
      <c r="P375" s="1">
        <v>6</v>
      </c>
      <c r="Q375" s="24">
        <v>86.899999999999977</v>
      </c>
      <c r="R375" s="24">
        <v>782.1</v>
      </c>
      <c r="S375" s="21">
        <f t="shared" si="17"/>
        <v>0.10544169611307423</v>
      </c>
    </row>
    <row r="376" spans="2:19" ht="11.4" customHeight="1" x14ac:dyDescent="0.2">
      <c r="B376" s="24"/>
      <c r="C376" s="4">
        <v>5165</v>
      </c>
      <c r="D376" s="18" t="s">
        <v>404</v>
      </c>
      <c r="E376" s="18" t="s">
        <v>402</v>
      </c>
      <c r="F376" s="17">
        <v>1</v>
      </c>
      <c r="G376" s="18" t="s">
        <v>23</v>
      </c>
      <c r="H376" s="17">
        <v>497.9</v>
      </c>
      <c r="I376" s="5">
        <v>553.29999999999995</v>
      </c>
      <c r="J376" s="21">
        <f t="shared" si="15"/>
        <v>0.11126732275557337</v>
      </c>
      <c r="K376" s="1">
        <v>2</v>
      </c>
      <c r="L376" s="24">
        <v>27.6</v>
      </c>
      <c r="M376" s="24">
        <v>525.63499999999988</v>
      </c>
      <c r="N376" s="21">
        <f t="shared" si="16"/>
        <v>5.5703956617794537E-2</v>
      </c>
      <c r="P376" s="1">
        <v>6</v>
      </c>
      <c r="Q376" s="24">
        <v>55.329999999999984</v>
      </c>
      <c r="R376" s="24">
        <v>497.96999999999997</v>
      </c>
      <c r="S376" s="21">
        <f t="shared" si="17"/>
        <v>1.405904800160538E-4</v>
      </c>
    </row>
    <row r="377" spans="2:19" ht="11.4" customHeight="1" x14ac:dyDescent="0.2">
      <c r="B377" s="24"/>
      <c r="C377" s="4">
        <v>39505</v>
      </c>
      <c r="D377" s="18" t="s">
        <v>405</v>
      </c>
      <c r="E377" s="18" t="s">
        <v>402</v>
      </c>
      <c r="F377" s="17">
        <v>1</v>
      </c>
      <c r="G377" s="18" t="s">
        <v>23</v>
      </c>
      <c r="H377" s="17">
        <v>929.9</v>
      </c>
      <c r="I377" s="6">
        <v>1099</v>
      </c>
      <c r="J377" s="21">
        <f t="shared" si="15"/>
        <v>0.18184751048499842</v>
      </c>
      <c r="K377" s="1">
        <v>2</v>
      </c>
      <c r="L377" s="24">
        <v>54.9</v>
      </c>
      <c r="M377" s="24">
        <v>1044.05</v>
      </c>
      <c r="N377" s="21">
        <f t="shared" si="16"/>
        <v>0.12275513496074844</v>
      </c>
      <c r="P377" s="1">
        <v>6</v>
      </c>
      <c r="Q377" s="24">
        <v>109.89999999999998</v>
      </c>
      <c r="R377" s="24">
        <v>989.1</v>
      </c>
      <c r="S377" s="21">
        <f t="shared" si="17"/>
        <v>6.36627594364986E-2</v>
      </c>
    </row>
    <row r="378" spans="2:19" ht="11.4" customHeight="1" x14ac:dyDescent="0.2">
      <c r="B378" s="24"/>
      <c r="C378" s="4">
        <v>41379</v>
      </c>
      <c r="D378" s="18" t="s">
        <v>406</v>
      </c>
      <c r="E378" s="18" t="s">
        <v>407</v>
      </c>
      <c r="F378" s="17">
        <v>1</v>
      </c>
      <c r="G378" s="18" t="s">
        <v>23</v>
      </c>
      <c r="H378" s="17">
        <v>632.22</v>
      </c>
      <c r="I378" s="5">
        <v>779</v>
      </c>
      <c r="J378" s="21">
        <f t="shared" si="15"/>
        <v>0.23216601815823601</v>
      </c>
      <c r="K378" s="1">
        <v>2</v>
      </c>
      <c r="L378" s="24">
        <v>38.9</v>
      </c>
      <c r="M378" s="24">
        <v>740.05</v>
      </c>
      <c r="N378" s="21">
        <f t="shared" si="16"/>
        <v>0.17055771725032412</v>
      </c>
      <c r="P378" s="1">
        <v>6</v>
      </c>
      <c r="Q378" s="24">
        <v>77.899999999999977</v>
      </c>
      <c r="R378" s="24">
        <v>701.1</v>
      </c>
      <c r="S378" s="21">
        <f t="shared" si="17"/>
        <v>0.10894941634241244</v>
      </c>
    </row>
    <row r="379" spans="2:19" ht="11.4" customHeight="1" x14ac:dyDescent="0.2">
      <c r="B379" s="24"/>
      <c r="C379" s="4">
        <v>47462</v>
      </c>
      <c r="D379" s="18" t="s">
        <v>408</v>
      </c>
      <c r="E379" s="18" t="s">
        <v>407</v>
      </c>
      <c r="F379" s="17">
        <v>12</v>
      </c>
      <c r="G379" s="18" t="s">
        <v>23</v>
      </c>
      <c r="H379" s="17">
        <v>128.19</v>
      </c>
      <c r="I379" s="5">
        <v>219</v>
      </c>
      <c r="J379" s="21">
        <f t="shared" si="15"/>
        <v>0.7084015913877838</v>
      </c>
      <c r="K379" s="1">
        <v>2</v>
      </c>
      <c r="L379" s="24">
        <v>10.9</v>
      </c>
      <c r="M379" s="24">
        <v>208.04999999999998</v>
      </c>
      <c r="N379" s="21">
        <f t="shared" si="16"/>
        <v>0.62298151181839445</v>
      </c>
      <c r="P379" s="1">
        <v>6</v>
      </c>
      <c r="Q379" s="24">
        <v>21.900000000000006</v>
      </c>
      <c r="R379" s="24">
        <v>197.1</v>
      </c>
      <c r="S379" s="21">
        <f t="shared" si="17"/>
        <v>0.53756143224900532</v>
      </c>
    </row>
    <row r="380" spans="2:19" ht="11.4" customHeight="1" x14ac:dyDescent="0.2">
      <c r="B380" s="24"/>
      <c r="C380" s="4">
        <v>46140</v>
      </c>
      <c r="D380" s="18" t="s">
        <v>409</v>
      </c>
      <c r="E380" s="18" t="s">
        <v>407</v>
      </c>
      <c r="F380" s="17">
        <v>12</v>
      </c>
      <c r="G380" s="18" t="s">
        <v>23</v>
      </c>
      <c r="H380" s="17">
        <v>263.69</v>
      </c>
      <c r="I380" s="5">
        <v>395.5</v>
      </c>
      <c r="J380" s="21">
        <f t="shared" si="15"/>
        <v>0.4998672683833289</v>
      </c>
      <c r="K380" s="1">
        <v>2</v>
      </c>
      <c r="L380" s="24">
        <v>19.7</v>
      </c>
      <c r="M380" s="24">
        <v>375.72499999999997</v>
      </c>
      <c r="N380" s="21">
        <f t="shared" si="16"/>
        <v>0.42487390496416233</v>
      </c>
      <c r="P380" s="1">
        <v>6</v>
      </c>
      <c r="Q380" s="24">
        <v>39.550000000000011</v>
      </c>
      <c r="R380" s="24">
        <v>355.95</v>
      </c>
      <c r="S380" s="21">
        <f t="shared" si="17"/>
        <v>0.34988054154499598</v>
      </c>
    </row>
    <row r="381" spans="2:19" ht="11.4" customHeight="1" x14ac:dyDescent="0.2">
      <c r="B381" s="24"/>
      <c r="C381" s="4">
        <v>11081</v>
      </c>
      <c r="D381" s="18" t="s">
        <v>410</v>
      </c>
      <c r="E381" s="18" t="s">
        <v>407</v>
      </c>
      <c r="F381" s="17">
        <v>1</v>
      </c>
      <c r="G381" s="18" t="s">
        <v>23</v>
      </c>
      <c r="H381" s="17">
        <v>450</v>
      </c>
      <c r="I381" s="5">
        <v>505</v>
      </c>
      <c r="J381" s="21">
        <f t="shared" si="15"/>
        <v>0.12222222222222222</v>
      </c>
      <c r="K381" s="1">
        <v>2</v>
      </c>
      <c r="L381" s="24">
        <v>25.2</v>
      </c>
      <c r="M381" s="24">
        <v>479.75</v>
      </c>
      <c r="N381" s="21">
        <f t="shared" si="16"/>
        <v>6.6111111111111107E-2</v>
      </c>
      <c r="P381" s="1">
        <v>6</v>
      </c>
      <c r="Q381" s="24">
        <v>50.5</v>
      </c>
      <c r="R381" s="24">
        <v>454.5</v>
      </c>
      <c r="S381" s="21">
        <f t="shared" si="17"/>
        <v>0.01</v>
      </c>
    </row>
    <row r="382" spans="2:19" ht="11.4" customHeight="1" x14ac:dyDescent="0.2">
      <c r="B382" s="24"/>
      <c r="C382" s="4">
        <v>38017</v>
      </c>
      <c r="D382" s="18" t="s">
        <v>411</v>
      </c>
      <c r="E382" s="18" t="s">
        <v>407</v>
      </c>
      <c r="F382" s="17">
        <v>1</v>
      </c>
      <c r="G382" s="18" t="s">
        <v>23</v>
      </c>
      <c r="H382" s="17">
        <v>175.9</v>
      </c>
      <c r="I382" s="5">
        <v>209.9</v>
      </c>
      <c r="J382" s="21">
        <f t="shared" si="15"/>
        <v>0.19329164297896531</v>
      </c>
      <c r="K382" s="1">
        <v>2</v>
      </c>
      <c r="L382" s="24">
        <v>10.4</v>
      </c>
      <c r="M382" s="24">
        <v>199.405</v>
      </c>
      <c r="N382" s="21">
        <f t="shared" si="16"/>
        <v>0.13362706083001702</v>
      </c>
      <c r="P382" s="1">
        <v>6</v>
      </c>
      <c r="Q382" s="24">
        <v>20.990000000000009</v>
      </c>
      <c r="R382" s="24">
        <v>188.91</v>
      </c>
      <c r="S382" s="21">
        <f t="shared" si="17"/>
        <v>7.3962478681068741E-2</v>
      </c>
    </row>
    <row r="383" spans="2:19" ht="11.4" customHeight="1" x14ac:dyDescent="0.2">
      <c r="B383" s="24"/>
      <c r="C383" s="4">
        <v>39598</v>
      </c>
      <c r="D383" s="18" t="s">
        <v>412</v>
      </c>
      <c r="E383" s="18" t="s">
        <v>407</v>
      </c>
      <c r="F383" s="17">
        <v>1</v>
      </c>
      <c r="G383" s="18" t="s">
        <v>23</v>
      </c>
      <c r="H383" s="19">
        <v>1162.9000000000001</v>
      </c>
      <c r="I383" s="6">
        <v>1412.5</v>
      </c>
      <c r="J383" s="21">
        <f t="shared" si="15"/>
        <v>0.21463582423252206</v>
      </c>
      <c r="K383" s="1">
        <v>2</v>
      </c>
      <c r="L383" s="24">
        <v>70.599999999999994</v>
      </c>
      <c r="M383" s="24">
        <v>1341.875</v>
      </c>
      <c r="N383" s="21">
        <f t="shared" si="16"/>
        <v>0.15390403302089595</v>
      </c>
      <c r="P383" s="1">
        <v>6</v>
      </c>
      <c r="Q383" s="24">
        <v>141.25</v>
      </c>
      <c r="R383" s="24">
        <v>1271.25</v>
      </c>
      <c r="S383" s="21">
        <f t="shared" si="17"/>
        <v>9.3172241809269848E-2</v>
      </c>
    </row>
    <row r="384" spans="2:19" ht="11.4" customHeight="1" x14ac:dyDescent="0.2">
      <c r="B384" s="24"/>
      <c r="C384" s="4">
        <v>37535</v>
      </c>
      <c r="D384" s="18" t="s">
        <v>413</v>
      </c>
      <c r="E384" s="18" t="s">
        <v>407</v>
      </c>
      <c r="F384" s="17">
        <v>1</v>
      </c>
      <c r="G384" s="18" t="s">
        <v>23</v>
      </c>
      <c r="H384" s="17">
        <v>697.1</v>
      </c>
      <c r="I384" s="5">
        <v>828.5</v>
      </c>
      <c r="J384" s="21">
        <f t="shared" si="15"/>
        <v>0.18849519437670345</v>
      </c>
      <c r="K384" s="1">
        <v>2</v>
      </c>
      <c r="L384" s="24">
        <v>41.4</v>
      </c>
      <c r="M384" s="24">
        <v>787.07499999999993</v>
      </c>
      <c r="N384" s="21">
        <f t="shared" si="16"/>
        <v>0.12907043465786819</v>
      </c>
      <c r="P384" s="1">
        <v>6</v>
      </c>
      <c r="Q384" s="24">
        <v>82.850000000000023</v>
      </c>
      <c r="R384" s="24">
        <v>745.65</v>
      </c>
      <c r="S384" s="21">
        <f t="shared" si="17"/>
        <v>6.9645674939033064E-2</v>
      </c>
    </row>
    <row r="385" spans="2:19" ht="11.4" customHeight="1" x14ac:dyDescent="0.2">
      <c r="B385" s="24"/>
      <c r="C385" s="4">
        <v>35328</v>
      </c>
      <c r="D385" s="18" t="s">
        <v>414</v>
      </c>
      <c r="E385" s="18" t="s">
        <v>407</v>
      </c>
      <c r="F385" s="17">
        <v>1</v>
      </c>
      <c r="G385" s="18" t="s">
        <v>23</v>
      </c>
      <c r="H385" s="17">
        <v>569</v>
      </c>
      <c r="I385" s="5">
        <v>638</v>
      </c>
      <c r="J385" s="21">
        <f t="shared" si="15"/>
        <v>0.12126537785588752</v>
      </c>
      <c r="K385" s="1">
        <v>2</v>
      </c>
      <c r="L385" s="24">
        <v>31.9</v>
      </c>
      <c r="M385" s="24">
        <v>606.1</v>
      </c>
      <c r="N385" s="21">
        <f t="shared" si="16"/>
        <v>6.5202108963093183E-2</v>
      </c>
      <c r="P385" s="1">
        <v>6</v>
      </c>
      <c r="Q385" s="24">
        <v>63.799999999999955</v>
      </c>
      <c r="R385" s="24">
        <v>574.20000000000005</v>
      </c>
      <c r="S385" s="21">
        <f t="shared" si="17"/>
        <v>9.1388400702988488E-3</v>
      </c>
    </row>
    <row r="386" spans="2:19" ht="11.4" customHeight="1" x14ac:dyDescent="0.2">
      <c r="B386" s="24"/>
      <c r="C386" s="4">
        <v>3276</v>
      </c>
      <c r="D386" s="18" t="s">
        <v>415</v>
      </c>
      <c r="E386" s="18" t="s">
        <v>407</v>
      </c>
      <c r="F386" s="17">
        <v>1</v>
      </c>
      <c r="G386" s="18" t="s">
        <v>23</v>
      </c>
      <c r="H386" s="17">
        <v>159.9</v>
      </c>
      <c r="I386" s="5">
        <v>206.3</v>
      </c>
      <c r="J386" s="21">
        <f t="shared" si="15"/>
        <v>0.2901813633520951</v>
      </c>
      <c r="K386" s="1">
        <v>2</v>
      </c>
      <c r="L386" s="24">
        <v>10.3</v>
      </c>
      <c r="M386" s="24">
        <v>195.98500000000001</v>
      </c>
      <c r="N386" s="21">
        <f t="shared" si="16"/>
        <v>0.22567229518449033</v>
      </c>
      <c r="P386" s="1">
        <v>6</v>
      </c>
      <c r="Q386" s="24">
        <v>20.629999999999995</v>
      </c>
      <c r="R386" s="24">
        <v>185.67000000000002</v>
      </c>
      <c r="S386" s="21">
        <f t="shared" si="17"/>
        <v>0.16116322701688562</v>
      </c>
    </row>
    <row r="387" spans="2:19" ht="11.4" customHeight="1" x14ac:dyDescent="0.2">
      <c r="B387" s="24"/>
      <c r="C387" s="4">
        <v>9694</v>
      </c>
      <c r="D387" s="18" t="s">
        <v>416</v>
      </c>
      <c r="E387" s="18" t="s">
        <v>407</v>
      </c>
      <c r="F387" s="17">
        <v>1</v>
      </c>
      <c r="G387" s="18" t="s">
        <v>23</v>
      </c>
      <c r="H387" s="17">
        <v>148.30000000000001</v>
      </c>
      <c r="I387" s="5">
        <v>173.5</v>
      </c>
      <c r="J387" s="21">
        <f t="shared" ref="J387:J450" si="18">(I387-H387)/H387</f>
        <v>0.16992582602832088</v>
      </c>
      <c r="K387" s="1">
        <v>2</v>
      </c>
      <c r="L387" s="24">
        <v>8.6</v>
      </c>
      <c r="M387" s="24">
        <v>164.82499999999999</v>
      </c>
      <c r="N387" s="21">
        <f t="shared" ref="N387:N450" si="19">(M387-H387)/H387</f>
        <v>0.11142953472690476</v>
      </c>
      <c r="P387" s="1">
        <v>6</v>
      </c>
      <c r="Q387" s="24">
        <v>17.349999999999994</v>
      </c>
      <c r="R387" s="24">
        <v>156.15</v>
      </c>
      <c r="S387" s="21">
        <f t="shared" ref="S387:S450" si="20">(R387-H387)/H387</f>
        <v>5.293324342548883E-2</v>
      </c>
    </row>
    <row r="388" spans="2:19" ht="11.4" customHeight="1" x14ac:dyDescent="0.2">
      <c r="B388" s="24"/>
      <c r="C388" s="4">
        <v>13508</v>
      </c>
      <c r="D388" s="18" t="s">
        <v>417</v>
      </c>
      <c r="E388" s="18" t="s">
        <v>407</v>
      </c>
      <c r="F388" s="17">
        <v>1</v>
      </c>
      <c r="G388" s="18" t="s">
        <v>23</v>
      </c>
      <c r="H388" s="17">
        <v>162.6</v>
      </c>
      <c r="I388" s="5">
        <v>187.9</v>
      </c>
      <c r="J388" s="21">
        <f t="shared" si="18"/>
        <v>0.15559655596555974</v>
      </c>
      <c r="K388" s="1">
        <v>2</v>
      </c>
      <c r="L388" s="24">
        <v>9.3000000000000007</v>
      </c>
      <c r="M388" s="24">
        <v>178.505</v>
      </c>
      <c r="N388" s="21">
        <f t="shared" si="19"/>
        <v>9.781672816728168E-2</v>
      </c>
      <c r="P388" s="1">
        <v>6</v>
      </c>
      <c r="Q388" s="24">
        <v>18.789999999999992</v>
      </c>
      <c r="R388" s="24">
        <v>169.11</v>
      </c>
      <c r="S388" s="21">
        <f t="shared" si="20"/>
        <v>4.0036900369003807E-2</v>
      </c>
    </row>
    <row r="389" spans="2:19" ht="11.4" customHeight="1" x14ac:dyDescent="0.2">
      <c r="B389" s="24"/>
      <c r="C389" s="4">
        <v>46145</v>
      </c>
      <c r="D389" s="18" t="s">
        <v>418</v>
      </c>
      <c r="E389" s="18" t="s">
        <v>407</v>
      </c>
      <c r="F389" s="17">
        <v>4</v>
      </c>
      <c r="G389" s="18" t="s">
        <v>23</v>
      </c>
      <c r="H389" s="17">
        <v>427.75</v>
      </c>
      <c r="I389" s="5">
        <v>641.5</v>
      </c>
      <c r="J389" s="21">
        <f t="shared" si="18"/>
        <v>0.49970777323202803</v>
      </c>
      <c r="K389" s="1">
        <v>2</v>
      </c>
      <c r="L389" s="24">
        <v>32</v>
      </c>
      <c r="M389" s="24">
        <v>609.42499999999995</v>
      </c>
      <c r="N389" s="21">
        <f t="shared" si="19"/>
        <v>0.42472238457042655</v>
      </c>
      <c r="P389" s="1">
        <v>6</v>
      </c>
      <c r="Q389" s="24">
        <v>64.149999999999977</v>
      </c>
      <c r="R389" s="24">
        <v>577.35</v>
      </c>
      <c r="S389" s="21">
        <f t="shared" si="20"/>
        <v>0.34973699590882529</v>
      </c>
    </row>
    <row r="390" spans="2:19" ht="11.4" customHeight="1" x14ac:dyDescent="0.2">
      <c r="B390" s="24"/>
      <c r="C390" s="4">
        <v>46142</v>
      </c>
      <c r="D390" s="18" t="s">
        <v>419</v>
      </c>
      <c r="E390" s="18" t="s">
        <v>407</v>
      </c>
      <c r="F390" s="17">
        <v>12</v>
      </c>
      <c r="G390" s="18" t="s">
        <v>23</v>
      </c>
      <c r="H390" s="17">
        <v>300.01</v>
      </c>
      <c r="I390" s="5">
        <v>449.9</v>
      </c>
      <c r="J390" s="21">
        <f t="shared" si="18"/>
        <v>0.4996166794440185</v>
      </c>
      <c r="K390" s="1">
        <v>2</v>
      </c>
      <c r="L390" s="24">
        <v>22.4</v>
      </c>
      <c r="M390" s="24">
        <v>427.40499999999997</v>
      </c>
      <c r="N390" s="21">
        <f t="shared" si="19"/>
        <v>0.42463584547181754</v>
      </c>
      <c r="P390" s="1">
        <v>6</v>
      </c>
      <c r="Q390" s="24">
        <v>44.990000000000009</v>
      </c>
      <c r="R390" s="24">
        <v>404.90999999999997</v>
      </c>
      <c r="S390" s="21">
        <f t="shared" si="20"/>
        <v>0.34965501149961664</v>
      </c>
    </row>
    <row r="391" spans="2:19" ht="11.4" customHeight="1" x14ac:dyDescent="0.2">
      <c r="B391" s="24"/>
      <c r="C391" s="4">
        <v>41642</v>
      </c>
      <c r="D391" s="18" t="s">
        <v>420</v>
      </c>
      <c r="E391" s="18" t="s">
        <v>407</v>
      </c>
      <c r="F391" s="17">
        <v>1</v>
      </c>
      <c r="G391" s="18" t="s">
        <v>23</v>
      </c>
      <c r="H391" s="17">
        <v>123.66</v>
      </c>
      <c r="I391" s="5">
        <v>139</v>
      </c>
      <c r="J391" s="21">
        <f t="shared" si="18"/>
        <v>0.12404981400614591</v>
      </c>
      <c r="K391" s="1">
        <v>2</v>
      </c>
      <c r="L391" s="24">
        <v>6.9</v>
      </c>
      <c r="M391" s="24">
        <v>132.04999999999998</v>
      </c>
      <c r="N391" s="21">
        <f t="shared" si="19"/>
        <v>6.7847323305838481E-2</v>
      </c>
      <c r="P391" s="1">
        <v>6</v>
      </c>
      <c r="Q391" s="24">
        <v>13.899999999999991</v>
      </c>
      <c r="R391" s="24">
        <v>125.10000000000001</v>
      </c>
      <c r="S391" s="21">
        <f t="shared" si="20"/>
        <v>1.1644832605531393E-2</v>
      </c>
    </row>
    <row r="392" spans="2:19" ht="11.4" customHeight="1" x14ac:dyDescent="0.2">
      <c r="B392" s="24"/>
      <c r="C392" s="4">
        <v>39351</v>
      </c>
      <c r="D392" s="18" t="s">
        <v>421</v>
      </c>
      <c r="E392" s="18" t="s">
        <v>407</v>
      </c>
      <c r="F392" s="17">
        <v>6</v>
      </c>
      <c r="G392" s="18" t="s">
        <v>23</v>
      </c>
      <c r="H392" s="19">
        <v>1589.9</v>
      </c>
      <c r="I392" s="6">
        <v>1699</v>
      </c>
      <c r="J392" s="21">
        <f t="shared" si="18"/>
        <v>6.862066796653872E-2</v>
      </c>
      <c r="K392" s="1">
        <v>2</v>
      </c>
      <c r="L392" s="24">
        <v>84.9</v>
      </c>
      <c r="M392" s="24">
        <v>1614.05</v>
      </c>
      <c r="N392" s="21">
        <f t="shared" si="19"/>
        <v>1.5189634568211751E-2</v>
      </c>
      <c r="P392" s="1">
        <v>6</v>
      </c>
      <c r="Q392" s="24">
        <v>169.89999999999986</v>
      </c>
      <c r="R392" s="24">
        <v>1529.1000000000001</v>
      </c>
      <c r="S392" s="21">
        <f t="shared" si="20"/>
        <v>-3.824139883011507E-2</v>
      </c>
    </row>
    <row r="393" spans="2:19" ht="11.4" customHeight="1" x14ac:dyDescent="0.2">
      <c r="B393" s="24"/>
      <c r="C393" s="4">
        <v>41647</v>
      </c>
      <c r="D393" s="18" t="s">
        <v>422</v>
      </c>
      <c r="E393" s="18" t="s">
        <v>407</v>
      </c>
      <c r="F393" s="17">
        <v>1</v>
      </c>
      <c r="G393" s="18" t="s">
        <v>23</v>
      </c>
      <c r="H393" s="17">
        <v>140.28</v>
      </c>
      <c r="I393" s="5">
        <v>213.5</v>
      </c>
      <c r="J393" s="21">
        <f t="shared" si="18"/>
        <v>0.52195608782435132</v>
      </c>
      <c r="K393" s="1">
        <v>2</v>
      </c>
      <c r="L393" s="24">
        <v>10.6</v>
      </c>
      <c r="M393" s="24">
        <v>202.82499999999999</v>
      </c>
      <c r="N393" s="21">
        <f t="shared" si="19"/>
        <v>0.44585828343313366</v>
      </c>
      <c r="P393" s="1">
        <v>6</v>
      </c>
      <c r="Q393" s="24">
        <v>21.349999999999994</v>
      </c>
      <c r="R393" s="24">
        <v>192.15</v>
      </c>
      <c r="S393" s="21">
        <f t="shared" si="20"/>
        <v>0.36976047904191622</v>
      </c>
    </row>
    <row r="394" spans="2:19" ht="11.4" customHeight="1" x14ac:dyDescent="0.2">
      <c r="B394" s="24"/>
      <c r="C394" s="4">
        <v>10128</v>
      </c>
      <c r="D394" s="18" t="s">
        <v>423</v>
      </c>
      <c r="E394" s="18" t="s">
        <v>407</v>
      </c>
      <c r="F394" s="17">
        <v>1</v>
      </c>
      <c r="G394" s="18" t="s">
        <v>23</v>
      </c>
      <c r="H394" s="17">
        <v>109.5</v>
      </c>
      <c r="I394" s="5">
        <v>109.5</v>
      </c>
      <c r="J394" s="21">
        <f t="shared" si="18"/>
        <v>0</v>
      </c>
      <c r="K394" s="1">
        <v>2</v>
      </c>
      <c r="L394" s="24">
        <v>5.4</v>
      </c>
      <c r="M394" s="24">
        <v>104.02499999999999</v>
      </c>
      <c r="N394" s="21">
        <f t="shared" si="19"/>
        <v>-5.0000000000000079E-2</v>
      </c>
      <c r="P394" s="1">
        <v>6</v>
      </c>
      <c r="Q394" s="24">
        <v>10.950000000000003</v>
      </c>
      <c r="R394" s="24">
        <v>98.55</v>
      </c>
      <c r="S394" s="21">
        <f t="shared" si="20"/>
        <v>-0.10000000000000002</v>
      </c>
    </row>
    <row r="395" spans="2:19" ht="11.4" customHeight="1" x14ac:dyDescent="0.2">
      <c r="B395" s="24"/>
      <c r="C395" s="4">
        <v>10129</v>
      </c>
      <c r="D395" s="18" t="s">
        <v>424</v>
      </c>
      <c r="E395" s="18" t="s">
        <v>407</v>
      </c>
      <c r="F395" s="17">
        <v>1</v>
      </c>
      <c r="G395" s="18" t="s">
        <v>23</v>
      </c>
      <c r="H395" s="17">
        <v>186.9</v>
      </c>
      <c r="I395" s="5">
        <v>192.6</v>
      </c>
      <c r="J395" s="21">
        <f t="shared" si="18"/>
        <v>3.0497592295345044E-2</v>
      </c>
      <c r="K395" s="1">
        <v>2</v>
      </c>
      <c r="L395" s="24">
        <v>9.6</v>
      </c>
      <c r="M395" s="24">
        <v>182.97</v>
      </c>
      <c r="N395" s="21">
        <f t="shared" si="19"/>
        <v>-2.1027287319422185E-2</v>
      </c>
      <c r="P395" s="1">
        <v>6</v>
      </c>
      <c r="Q395" s="24">
        <v>19.259999999999991</v>
      </c>
      <c r="R395" s="24">
        <v>173.34</v>
      </c>
      <c r="S395" s="21">
        <f t="shared" si="20"/>
        <v>-7.2552166934189422E-2</v>
      </c>
    </row>
    <row r="396" spans="2:19" ht="11.4" customHeight="1" x14ac:dyDescent="0.2">
      <c r="B396" s="24"/>
      <c r="C396" s="4">
        <v>10130</v>
      </c>
      <c r="D396" s="18" t="s">
        <v>425</v>
      </c>
      <c r="E396" s="18" t="s">
        <v>407</v>
      </c>
      <c r="F396" s="17">
        <v>1</v>
      </c>
      <c r="G396" s="18" t="s">
        <v>23</v>
      </c>
      <c r="H396" s="17">
        <v>123.5</v>
      </c>
      <c r="I396" s="5">
        <v>123.5</v>
      </c>
      <c r="J396" s="21">
        <f t="shared" si="18"/>
        <v>0</v>
      </c>
      <c r="K396" s="1">
        <v>2</v>
      </c>
      <c r="L396" s="24">
        <v>6.1</v>
      </c>
      <c r="M396" s="24">
        <v>117.32499999999999</v>
      </c>
      <c r="N396" s="21">
        <f t="shared" si="19"/>
        <v>-5.0000000000000093E-2</v>
      </c>
      <c r="P396" s="1">
        <v>6</v>
      </c>
      <c r="Q396" s="24">
        <v>12.349999999999994</v>
      </c>
      <c r="R396" s="24">
        <v>111.15</v>
      </c>
      <c r="S396" s="21">
        <f t="shared" si="20"/>
        <v>-9.999999999999995E-2</v>
      </c>
    </row>
    <row r="397" spans="2:19" ht="11.4" customHeight="1" x14ac:dyDescent="0.2">
      <c r="B397" s="24"/>
      <c r="C397" s="4">
        <v>11461</v>
      </c>
      <c r="D397" s="18" t="s">
        <v>426</v>
      </c>
      <c r="E397" s="18" t="s">
        <v>407</v>
      </c>
      <c r="F397" s="17">
        <v>12</v>
      </c>
      <c r="G397" s="18" t="s">
        <v>23</v>
      </c>
      <c r="H397" s="17">
        <v>222.9</v>
      </c>
      <c r="I397" s="5">
        <v>227.6</v>
      </c>
      <c r="J397" s="21">
        <f t="shared" si="18"/>
        <v>2.1085688649618611E-2</v>
      </c>
      <c r="K397" s="1">
        <v>2</v>
      </c>
      <c r="L397" s="24">
        <v>11.3</v>
      </c>
      <c r="M397" s="24">
        <v>216.21999999999997</v>
      </c>
      <c r="N397" s="21">
        <f t="shared" si="19"/>
        <v>-2.9968595782862428E-2</v>
      </c>
      <c r="P397" s="1">
        <v>6</v>
      </c>
      <c r="Q397" s="24">
        <v>22.759999999999991</v>
      </c>
      <c r="R397" s="24">
        <v>204.84</v>
      </c>
      <c r="S397" s="21">
        <f t="shared" si="20"/>
        <v>-8.1022880215343207E-2</v>
      </c>
    </row>
    <row r="398" spans="2:19" ht="11.4" customHeight="1" x14ac:dyDescent="0.2">
      <c r="B398" s="24"/>
      <c r="C398" s="4">
        <v>11656</v>
      </c>
      <c r="D398" s="18" t="s">
        <v>427</v>
      </c>
      <c r="E398" s="18" t="s">
        <v>407</v>
      </c>
      <c r="F398" s="17">
        <v>1</v>
      </c>
      <c r="G398" s="18" t="s">
        <v>23</v>
      </c>
      <c r="H398" s="17">
        <v>98.5</v>
      </c>
      <c r="I398" s="5">
        <v>97.7</v>
      </c>
      <c r="J398" s="21">
        <f t="shared" si="18"/>
        <v>-8.1218274111674836E-3</v>
      </c>
      <c r="K398" s="1">
        <v>2</v>
      </c>
      <c r="L398" s="24">
        <v>4.8</v>
      </c>
      <c r="M398" s="24">
        <v>92.814999999999998</v>
      </c>
      <c r="N398" s="21">
        <f t="shared" si="19"/>
        <v>-5.7715736040609159E-2</v>
      </c>
      <c r="P398" s="1">
        <v>6</v>
      </c>
      <c r="Q398" s="24">
        <v>9.769999999999996</v>
      </c>
      <c r="R398" s="24">
        <v>87.93</v>
      </c>
      <c r="S398" s="21">
        <f t="shared" si="20"/>
        <v>-0.10730964467005069</v>
      </c>
    </row>
    <row r="399" spans="2:19" ht="11.4" customHeight="1" x14ac:dyDescent="0.2">
      <c r="B399" s="24"/>
      <c r="C399" s="4">
        <v>39153</v>
      </c>
      <c r="D399" s="18" t="s">
        <v>428</v>
      </c>
      <c r="E399" s="18" t="s">
        <v>407</v>
      </c>
      <c r="F399" s="17">
        <v>1</v>
      </c>
      <c r="G399" s="18" t="s">
        <v>23</v>
      </c>
      <c r="H399" s="17">
        <v>128.9</v>
      </c>
      <c r="I399" s="5">
        <v>144</v>
      </c>
      <c r="J399" s="21">
        <f t="shared" si="18"/>
        <v>0.117145073700543</v>
      </c>
      <c r="K399" s="1">
        <v>2</v>
      </c>
      <c r="L399" s="24">
        <v>7.2</v>
      </c>
      <c r="M399" s="24">
        <v>136.79999999999998</v>
      </c>
      <c r="N399" s="21">
        <f t="shared" si="19"/>
        <v>6.1287820015515727E-2</v>
      </c>
      <c r="P399" s="1">
        <v>6</v>
      </c>
      <c r="Q399" s="24">
        <v>14.400000000000006</v>
      </c>
      <c r="R399" s="24">
        <v>129.6</v>
      </c>
      <c r="S399" s="21">
        <f t="shared" si="20"/>
        <v>5.4305663304886629E-3</v>
      </c>
    </row>
    <row r="400" spans="2:19" ht="11.4" customHeight="1" x14ac:dyDescent="0.2">
      <c r="B400" s="24"/>
      <c r="C400" s="4">
        <v>11672</v>
      </c>
      <c r="D400" s="18" t="s">
        <v>429</v>
      </c>
      <c r="E400" s="18" t="s">
        <v>407</v>
      </c>
      <c r="F400" s="17">
        <v>1</v>
      </c>
      <c r="G400" s="18" t="s">
        <v>23</v>
      </c>
      <c r="H400" s="17">
        <v>185.3</v>
      </c>
      <c r="I400" s="5">
        <v>201.9</v>
      </c>
      <c r="J400" s="21">
        <f t="shared" si="18"/>
        <v>8.9584457636265477E-2</v>
      </c>
      <c r="K400" s="1">
        <v>2</v>
      </c>
      <c r="L400" s="24">
        <v>10</v>
      </c>
      <c r="M400" s="24">
        <v>191.80500000000001</v>
      </c>
      <c r="N400" s="21">
        <f t="shared" si="19"/>
        <v>3.5105234754452215E-2</v>
      </c>
      <c r="P400" s="1">
        <v>6</v>
      </c>
      <c r="Q400" s="24">
        <v>20.189999999999998</v>
      </c>
      <c r="R400" s="24">
        <v>181.71</v>
      </c>
      <c r="S400" s="21">
        <f t="shared" si="20"/>
        <v>-1.9373988127361054E-2</v>
      </c>
    </row>
    <row r="401" spans="2:19" ht="11.4" customHeight="1" x14ac:dyDescent="0.2">
      <c r="B401" s="24"/>
      <c r="C401" s="4">
        <v>39155</v>
      </c>
      <c r="D401" s="18" t="s">
        <v>430</v>
      </c>
      <c r="E401" s="18" t="s">
        <v>407</v>
      </c>
      <c r="F401" s="17">
        <v>1</v>
      </c>
      <c r="G401" s="18" t="s">
        <v>23</v>
      </c>
      <c r="H401" s="17">
        <v>234.9</v>
      </c>
      <c r="I401" s="5">
        <v>269.7</v>
      </c>
      <c r="J401" s="21">
        <f t="shared" si="18"/>
        <v>0.14814814814814808</v>
      </c>
      <c r="K401" s="1">
        <v>2</v>
      </c>
      <c r="L401" s="24">
        <v>13.4</v>
      </c>
      <c r="M401" s="24">
        <v>256.21499999999997</v>
      </c>
      <c r="N401" s="21">
        <f t="shared" si="19"/>
        <v>9.0740740740740608E-2</v>
      </c>
      <c r="P401" s="1">
        <v>6</v>
      </c>
      <c r="Q401" s="24">
        <v>26.97</v>
      </c>
      <c r="R401" s="24">
        <v>242.73</v>
      </c>
      <c r="S401" s="21">
        <f t="shared" si="20"/>
        <v>3.3333333333333263E-2</v>
      </c>
    </row>
    <row r="402" spans="2:19" ht="11.4" customHeight="1" x14ac:dyDescent="0.2">
      <c r="B402" s="24"/>
      <c r="C402" s="4">
        <v>39156</v>
      </c>
      <c r="D402" s="18" t="s">
        <v>431</v>
      </c>
      <c r="E402" s="18" t="s">
        <v>407</v>
      </c>
      <c r="F402" s="17">
        <v>1</v>
      </c>
      <c r="G402" s="18" t="s">
        <v>23</v>
      </c>
      <c r="H402" s="17">
        <v>314.89999999999998</v>
      </c>
      <c r="I402" s="5">
        <v>385.2</v>
      </c>
      <c r="J402" s="21">
        <f t="shared" si="18"/>
        <v>0.22324547475389017</v>
      </c>
      <c r="K402" s="1">
        <v>2</v>
      </c>
      <c r="L402" s="24">
        <v>19.2</v>
      </c>
      <c r="M402" s="24">
        <v>365.94</v>
      </c>
      <c r="N402" s="21">
        <f t="shared" si="19"/>
        <v>0.16208320101619569</v>
      </c>
      <c r="P402" s="1">
        <v>6</v>
      </c>
      <c r="Q402" s="24">
        <v>38.519999999999982</v>
      </c>
      <c r="R402" s="24">
        <v>346.68</v>
      </c>
      <c r="S402" s="21">
        <f t="shared" si="20"/>
        <v>0.10092092727850122</v>
      </c>
    </row>
    <row r="403" spans="2:19" ht="11.4" customHeight="1" x14ac:dyDescent="0.2">
      <c r="B403" s="24"/>
      <c r="C403" s="4">
        <v>11680</v>
      </c>
      <c r="D403" s="18" t="s">
        <v>432</v>
      </c>
      <c r="E403" s="18" t="s">
        <v>407</v>
      </c>
      <c r="F403" s="17">
        <v>1</v>
      </c>
      <c r="G403" s="18" t="s">
        <v>23</v>
      </c>
      <c r="H403" s="17">
        <v>177.06</v>
      </c>
      <c r="I403" s="5">
        <v>219</v>
      </c>
      <c r="J403" s="21">
        <f t="shared" si="18"/>
        <v>0.23686885801423244</v>
      </c>
      <c r="K403" s="1">
        <v>2</v>
      </c>
      <c r="L403" s="24">
        <v>10.9</v>
      </c>
      <c r="M403" s="24">
        <v>208.04999999999998</v>
      </c>
      <c r="N403" s="21">
        <f t="shared" si="19"/>
        <v>0.17502541511352074</v>
      </c>
      <c r="P403" s="1">
        <v>6</v>
      </c>
      <c r="Q403" s="24">
        <v>21.900000000000006</v>
      </c>
      <c r="R403" s="24">
        <v>197.1</v>
      </c>
      <c r="S403" s="21">
        <f t="shared" si="20"/>
        <v>0.11318197221280916</v>
      </c>
    </row>
    <row r="404" spans="2:19" ht="11.4" customHeight="1" x14ac:dyDescent="0.2">
      <c r="B404" s="24"/>
      <c r="C404" s="4">
        <v>41591</v>
      </c>
      <c r="D404" s="18" t="s">
        <v>433</v>
      </c>
      <c r="E404" s="18" t="s">
        <v>407</v>
      </c>
      <c r="F404" s="17">
        <v>1</v>
      </c>
      <c r="G404" s="18" t="s">
        <v>23</v>
      </c>
      <c r="H404" s="17">
        <v>216.18</v>
      </c>
      <c r="I404" s="5">
        <v>244.4</v>
      </c>
      <c r="J404" s="21">
        <f t="shared" si="18"/>
        <v>0.13053936534369506</v>
      </c>
      <c r="K404" s="1">
        <v>2</v>
      </c>
      <c r="L404" s="24">
        <v>12.2</v>
      </c>
      <c r="M404" s="24">
        <v>232.18</v>
      </c>
      <c r="N404" s="21">
        <f t="shared" si="19"/>
        <v>7.401239707651032E-2</v>
      </c>
      <c r="P404" s="1">
        <v>6</v>
      </c>
      <c r="Q404" s="24">
        <v>24.439999999999998</v>
      </c>
      <c r="R404" s="24">
        <v>219.96</v>
      </c>
      <c r="S404" s="21">
        <f t="shared" si="20"/>
        <v>1.7485428809325566E-2</v>
      </c>
    </row>
    <row r="405" spans="2:19" ht="11.4" customHeight="1" x14ac:dyDescent="0.2">
      <c r="B405" s="24"/>
      <c r="C405" s="4">
        <v>42037</v>
      </c>
      <c r="D405" s="18" t="s">
        <v>434</v>
      </c>
      <c r="E405" s="18" t="s">
        <v>407</v>
      </c>
      <c r="F405" s="17">
        <v>1</v>
      </c>
      <c r="G405" s="18" t="s">
        <v>23</v>
      </c>
      <c r="H405" s="17">
        <v>43.98</v>
      </c>
      <c r="I405" s="5">
        <v>62.4</v>
      </c>
      <c r="J405" s="21">
        <f t="shared" si="18"/>
        <v>0.41882673942701237</v>
      </c>
      <c r="K405" s="1">
        <v>2</v>
      </c>
      <c r="L405" s="24">
        <v>3.1</v>
      </c>
      <c r="M405" s="24">
        <v>59.279999999999994</v>
      </c>
      <c r="N405" s="21">
        <f t="shared" si="19"/>
        <v>0.34788540245566163</v>
      </c>
      <c r="P405" s="1">
        <v>6</v>
      </c>
      <c r="Q405" s="24">
        <v>6.240000000000002</v>
      </c>
      <c r="R405" s="24">
        <v>56.16</v>
      </c>
      <c r="S405" s="21">
        <f t="shared" si="20"/>
        <v>0.27694406548431105</v>
      </c>
    </row>
    <row r="406" spans="2:19" ht="11.4" customHeight="1" x14ac:dyDescent="0.2">
      <c r="B406" s="24"/>
      <c r="C406" s="4">
        <v>11691</v>
      </c>
      <c r="D406" s="18" t="s">
        <v>435</v>
      </c>
      <c r="E406" s="18" t="s">
        <v>407</v>
      </c>
      <c r="F406" s="17">
        <v>1</v>
      </c>
      <c r="G406" s="18" t="s">
        <v>23</v>
      </c>
      <c r="H406" s="17">
        <v>107.5</v>
      </c>
      <c r="I406" s="5">
        <v>125.2</v>
      </c>
      <c r="J406" s="21">
        <f t="shared" si="18"/>
        <v>0.16465116279069769</v>
      </c>
      <c r="K406" s="1">
        <v>2</v>
      </c>
      <c r="L406" s="24">
        <v>6.2</v>
      </c>
      <c r="M406" s="24">
        <v>118.94</v>
      </c>
      <c r="N406" s="21">
        <f t="shared" si="19"/>
        <v>0.10641860465116278</v>
      </c>
      <c r="P406" s="1">
        <v>6</v>
      </c>
      <c r="Q406" s="24">
        <v>12.519999999999996</v>
      </c>
      <c r="R406" s="24">
        <v>112.68</v>
      </c>
      <c r="S406" s="21">
        <f t="shared" si="20"/>
        <v>4.8186046511627972E-2</v>
      </c>
    </row>
    <row r="407" spans="2:19" ht="11.4" customHeight="1" x14ac:dyDescent="0.2">
      <c r="B407" s="24"/>
      <c r="C407" s="4">
        <v>39154</v>
      </c>
      <c r="D407" s="18" t="s">
        <v>436</v>
      </c>
      <c r="E407" s="18" t="s">
        <v>407</v>
      </c>
      <c r="F407" s="17">
        <v>1</v>
      </c>
      <c r="G407" s="18" t="s">
        <v>23</v>
      </c>
      <c r="H407" s="17">
        <v>145.5</v>
      </c>
      <c r="I407" s="5">
        <v>179</v>
      </c>
      <c r="J407" s="21">
        <f t="shared" si="18"/>
        <v>0.23024054982817868</v>
      </c>
      <c r="K407" s="1">
        <v>2</v>
      </c>
      <c r="L407" s="24">
        <v>8.9</v>
      </c>
      <c r="M407" s="24">
        <v>170.04999999999998</v>
      </c>
      <c r="N407" s="21">
        <f t="shared" si="19"/>
        <v>0.16872852233676963</v>
      </c>
      <c r="P407" s="1">
        <v>6</v>
      </c>
      <c r="Q407" s="24">
        <v>17.900000000000006</v>
      </c>
      <c r="R407" s="24">
        <v>161.1</v>
      </c>
      <c r="S407" s="21">
        <f t="shared" si="20"/>
        <v>0.10721649484536079</v>
      </c>
    </row>
    <row r="408" spans="2:19" ht="11.4" customHeight="1" x14ac:dyDescent="0.2">
      <c r="B408" s="24"/>
      <c r="C408" s="4">
        <v>11706</v>
      </c>
      <c r="D408" s="18" t="s">
        <v>437</v>
      </c>
      <c r="E408" s="18" t="s">
        <v>407</v>
      </c>
      <c r="F408" s="17">
        <v>1</v>
      </c>
      <c r="G408" s="18" t="s">
        <v>23</v>
      </c>
      <c r="H408" s="17">
        <v>199.9</v>
      </c>
      <c r="I408" s="5">
        <v>227.6</v>
      </c>
      <c r="J408" s="21">
        <f t="shared" si="18"/>
        <v>0.1385692846423211</v>
      </c>
      <c r="K408" s="1">
        <v>2</v>
      </c>
      <c r="L408" s="24">
        <v>11.3</v>
      </c>
      <c r="M408" s="24">
        <v>216.21999999999997</v>
      </c>
      <c r="N408" s="21">
        <f t="shared" si="19"/>
        <v>8.1640820410204928E-2</v>
      </c>
      <c r="P408" s="1">
        <v>6</v>
      </c>
      <c r="Q408" s="24">
        <v>22.759999999999991</v>
      </c>
      <c r="R408" s="24">
        <v>204.84</v>
      </c>
      <c r="S408" s="21">
        <f t="shared" si="20"/>
        <v>2.4712356178089031E-2</v>
      </c>
    </row>
    <row r="409" spans="2:19" ht="11.4" customHeight="1" x14ac:dyDescent="0.2">
      <c r="B409" s="24"/>
      <c r="C409" s="4">
        <v>41592</v>
      </c>
      <c r="D409" s="18" t="s">
        <v>438</v>
      </c>
      <c r="E409" s="18" t="s">
        <v>407</v>
      </c>
      <c r="F409" s="17">
        <v>1</v>
      </c>
      <c r="G409" s="18" t="s">
        <v>23</v>
      </c>
      <c r="H409" s="17">
        <v>367.56</v>
      </c>
      <c r="I409" s="5">
        <v>455.5</v>
      </c>
      <c r="J409" s="21">
        <f t="shared" si="18"/>
        <v>0.23925345521819566</v>
      </c>
      <c r="K409" s="1">
        <v>2</v>
      </c>
      <c r="L409" s="24">
        <v>22.7</v>
      </c>
      <c r="M409" s="24">
        <v>432.72499999999997</v>
      </c>
      <c r="N409" s="21">
        <f t="shared" si="19"/>
        <v>0.17729078245728577</v>
      </c>
      <c r="P409" s="1">
        <v>6</v>
      </c>
      <c r="Q409" s="24">
        <v>45.550000000000011</v>
      </c>
      <c r="R409" s="24">
        <v>409.95</v>
      </c>
      <c r="S409" s="21">
        <f t="shared" si="20"/>
        <v>0.11532810969637607</v>
      </c>
    </row>
    <row r="410" spans="2:19" ht="11.4" customHeight="1" x14ac:dyDescent="0.2">
      <c r="B410" s="24"/>
      <c r="C410" s="4">
        <v>23857</v>
      </c>
      <c r="D410" s="18" t="s">
        <v>439</v>
      </c>
      <c r="E410" s="18" t="s">
        <v>407</v>
      </c>
      <c r="F410" s="17">
        <v>1</v>
      </c>
      <c r="G410" s="18" t="s">
        <v>23</v>
      </c>
      <c r="H410" s="17">
        <v>233.5</v>
      </c>
      <c r="I410" s="5">
        <v>267.2</v>
      </c>
      <c r="J410" s="21">
        <f t="shared" si="18"/>
        <v>0.14432548179871516</v>
      </c>
      <c r="K410" s="1">
        <v>2</v>
      </c>
      <c r="L410" s="24">
        <v>13.3</v>
      </c>
      <c r="M410" s="24">
        <v>253.83999999999997</v>
      </c>
      <c r="N410" s="21">
        <f t="shared" si="19"/>
        <v>8.7109207708779335E-2</v>
      </c>
      <c r="P410" s="1">
        <v>6</v>
      </c>
      <c r="Q410" s="24">
        <v>26.72</v>
      </c>
      <c r="R410" s="24">
        <v>240.48</v>
      </c>
      <c r="S410" s="21">
        <f t="shared" si="20"/>
        <v>2.989293361884364E-2</v>
      </c>
    </row>
    <row r="411" spans="2:19" ht="11.4" customHeight="1" x14ac:dyDescent="0.2">
      <c r="B411" s="24"/>
      <c r="C411" s="4">
        <v>42398</v>
      </c>
      <c r="D411" s="18" t="s">
        <v>440</v>
      </c>
      <c r="E411" s="18" t="s">
        <v>407</v>
      </c>
      <c r="F411" s="18"/>
      <c r="G411" s="18" t="s">
        <v>23</v>
      </c>
      <c r="H411" s="17">
        <v>78.12</v>
      </c>
      <c r="I411" s="5">
        <v>119.9</v>
      </c>
      <c r="J411" s="21">
        <f t="shared" si="18"/>
        <v>0.53481822836661541</v>
      </c>
      <c r="K411" s="1">
        <v>2</v>
      </c>
      <c r="L411" s="24">
        <v>5.9</v>
      </c>
      <c r="M411" s="24">
        <v>113.905</v>
      </c>
      <c r="N411" s="21">
        <f t="shared" si="19"/>
        <v>0.45807731694828463</v>
      </c>
      <c r="P411" s="1">
        <v>6</v>
      </c>
      <c r="Q411" s="24">
        <v>11.989999999999995</v>
      </c>
      <c r="R411" s="24">
        <v>107.91000000000001</v>
      </c>
      <c r="S411" s="21">
        <f t="shared" si="20"/>
        <v>0.38133640552995396</v>
      </c>
    </row>
    <row r="412" spans="2:19" ht="11.4" customHeight="1" x14ac:dyDescent="0.2">
      <c r="B412" s="24"/>
      <c r="C412" s="4">
        <v>42400</v>
      </c>
      <c r="D412" s="18" t="s">
        <v>441</v>
      </c>
      <c r="E412" s="18" t="s">
        <v>407</v>
      </c>
      <c r="F412" s="18"/>
      <c r="G412" s="18" t="s">
        <v>23</v>
      </c>
      <c r="H412" s="17">
        <v>87.42</v>
      </c>
      <c r="I412" s="5">
        <v>129.9</v>
      </c>
      <c r="J412" s="21">
        <f t="shared" si="18"/>
        <v>0.48592999313658203</v>
      </c>
      <c r="K412" s="1">
        <v>2</v>
      </c>
      <c r="L412" s="24">
        <v>6.4</v>
      </c>
      <c r="M412" s="24">
        <v>123.405</v>
      </c>
      <c r="N412" s="21">
        <f t="shared" si="19"/>
        <v>0.41163349347975292</v>
      </c>
      <c r="P412" s="1">
        <v>6</v>
      </c>
      <c r="Q412" s="24">
        <v>12.989999999999995</v>
      </c>
      <c r="R412" s="24">
        <v>116.91000000000001</v>
      </c>
      <c r="S412" s="21">
        <f t="shared" si="20"/>
        <v>0.33733699382292393</v>
      </c>
    </row>
    <row r="413" spans="2:19" ht="11.4" customHeight="1" x14ac:dyDescent="0.2">
      <c r="B413" s="24"/>
      <c r="C413" s="4">
        <v>42402</v>
      </c>
      <c r="D413" s="18" t="s">
        <v>442</v>
      </c>
      <c r="E413" s="18" t="s">
        <v>407</v>
      </c>
      <c r="F413" s="18"/>
      <c r="G413" s="18" t="s">
        <v>23</v>
      </c>
      <c r="H413" s="17">
        <v>261.60000000000002</v>
      </c>
      <c r="I413" s="5">
        <v>392.4</v>
      </c>
      <c r="J413" s="21">
        <f t="shared" si="18"/>
        <v>0.49999999999999978</v>
      </c>
      <c r="K413" s="1">
        <v>2</v>
      </c>
      <c r="L413" s="24">
        <v>19.600000000000001</v>
      </c>
      <c r="M413" s="24">
        <v>372.78</v>
      </c>
      <c r="N413" s="21">
        <f t="shared" si="19"/>
        <v>0.42499999999999977</v>
      </c>
      <c r="P413" s="1">
        <v>6</v>
      </c>
      <c r="Q413" s="24">
        <v>39.240000000000009</v>
      </c>
      <c r="R413" s="24">
        <v>353.15999999999997</v>
      </c>
      <c r="S413" s="21">
        <f t="shared" si="20"/>
        <v>0.34999999999999976</v>
      </c>
    </row>
    <row r="414" spans="2:19" ht="11.4" customHeight="1" x14ac:dyDescent="0.2">
      <c r="B414" s="24"/>
      <c r="C414" s="4">
        <v>23855</v>
      </c>
      <c r="D414" s="18" t="s">
        <v>443</v>
      </c>
      <c r="E414" s="18" t="s">
        <v>407</v>
      </c>
      <c r="F414" s="17">
        <v>1</v>
      </c>
      <c r="G414" s="18" t="s">
        <v>23</v>
      </c>
      <c r="H414" s="17">
        <v>114.1</v>
      </c>
      <c r="I414" s="5">
        <v>96.3</v>
      </c>
      <c r="J414" s="21">
        <f t="shared" si="18"/>
        <v>-0.15600350569675722</v>
      </c>
      <c r="K414" s="1">
        <v>2</v>
      </c>
      <c r="L414" s="24">
        <v>4.8</v>
      </c>
      <c r="M414" s="24">
        <v>91.484999999999999</v>
      </c>
      <c r="N414" s="21">
        <f t="shared" si="19"/>
        <v>-0.19820333041191934</v>
      </c>
      <c r="P414" s="1">
        <v>6</v>
      </c>
      <c r="Q414" s="24">
        <v>9.6299999999999955</v>
      </c>
      <c r="R414" s="24">
        <v>86.67</v>
      </c>
      <c r="S414" s="21">
        <f t="shared" si="20"/>
        <v>-0.24040315512708146</v>
      </c>
    </row>
    <row r="415" spans="2:19" ht="11.4" customHeight="1" x14ac:dyDescent="0.2">
      <c r="B415" s="24"/>
      <c r="C415" s="4">
        <v>23852</v>
      </c>
      <c r="D415" s="18" t="s">
        <v>444</v>
      </c>
      <c r="E415" s="18" t="s">
        <v>407</v>
      </c>
      <c r="F415" s="17">
        <v>1</v>
      </c>
      <c r="G415" s="18" t="s">
        <v>23</v>
      </c>
      <c r="H415" s="17">
        <v>210.1</v>
      </c>
      <c r="I415" s="5">
        <v>192.6</v>
      </c>
      <c r="J415" s="21">
        <f t="shared" si="18"/>
        <v>-8.3293669681104243E-2</v>
      </c>
      <c r="K415" s="1">
        <v>2</v>
      </c>
      <c r="L415" s="24">
        <v>9.6</v>
      </c>
      <c r="M415" s="24">
        <v>182.97</v>
      </c>
      <c r="N415" s="21">
        <f t="shared" si="19"/>
        <v>-0.12912898619704902</v>
      </c>
      <c r="P415" s="1">
        <v>6</v>
      </c>
      <c r="Q415" s="24">
        <v>19.259999999999991</v>
      </c>
      <c r="R415" s="24">
        <v>173.34</v>
      </c>
      <c r="S415" s="21">
        <f t="shared" si="20"/>
        <v>-0.17496430271299376</v>
      </c>
    </row>
    <row r="416" spans="2:19" ht="11.4" customHeight="1" x14ac:dyDescent="0.2">
      <c r="B416" s="24"/>
      <c r="C416" s="4">
        <v>23856</v>
      </c>
      <c r="D416" s="18" t="s">
        <v>445</v>
      </c>
      <c r="E416" s="18" t="s">
        <v>407</v>
      </c>
      <c r="F416" s="17">
        <v>1</v>
      </c>
      <c r="G416" s="18" t="s">
        <v>23</v>
      </c>
      <c r="H416" s="17">
        <v>123.8</v>
      </c>
      <c r="I416" s="5">
        <v>113.8</v>
      </c>
      <c r="J416" s="21">
        <f t="shared" si="18"/>
        <v>-8.0775444264943458E-2</v>
      </c>
      <c r="K416" s="1">
        <v>2</v>
      </c>
      <c r="L416" s="24">
        <v>5.6</v>
      </c>
      <c r="M416" s="24">
        <v>108.10999999999999</v>
      </c>
      <c r="N416" s="21">
        <f t="shared" si="19"/>
        <v>-0.12673667205169639</v>
      </c>
      <c r="P416" s="1">
        <v>6</v>
      </c>
      <c r="Q416" s="24">
        <v>11.379999999999995</v>
      </c>
      <c r="R416" s="24">
        <v>102.42</v>
      </c>
      <c r="S416" s="21">
        <f t="shared" si="20"/>
        <v>-0.17269789983844908</v>
      </c>
    </row>
    <row r="417" spans="2:19" ht="11.4" customHeight="1" x14ac:dyDescent="0.2">
      <c r="B417" s="24"/>
      <c r="C417" s="4">
        <v>23853</v>
      </c>
      <c r="D417" s="18" t="s">
        <v>446</v>
      </c>
      <c r="E417" s="18" t="s">
        <v>407</v>
      </c>
      <c r="F417" s="17">
        <v>1</v>
      </c>
      <c r="G417" s="18" t="s">
        <v>23</v>
      </c>
      <c r="H417" s="17">
        <v>219.7</v>
      </c>
      <c r="I417" s="5">
        <v>227.6</v>
      </c>
      <c r="J417" s="21">
        <f t="shared" si="18"/>
        <v>3.5958124715521192E-2</v>
      </c>
      <c r="K417" s="1">
        <v>2</v>
      </c>
      <c r="L417" s="24">
        <v>11.3</v>
      </c>
      <c r="M417" s="24">
        <v>216.21999999999997</v>
      </c>
      <c r="N417" s="21">
        <f t="shared" si="19"/>
        <v>-1.5839781520254975E-2</v>
      </c>
      <c r="P417" s="1">
        <v>6</v>
      </c>
      <c r="Q417" s="24">
        <v>22.759999999999991</v>
      </c>
      <c r="R417" s="24">
        <v>204.84</v>
      </c>
      <c r="S417" s="21">
        <f t="shared" si="20"/>
        <v>-6.7637687756030893E-2</v>
      </c>
    </row>
    <row r="418" spans="2:19" ht="11.4" customHeight="1" x14ac:dyDescent="0.2">
      <c r="B418" s="24"/>
      <c r="C418" s="4">
        <v>3774</v>
      </c>
      <c r="D418" s="18" t="s">
        <v>447</v>
      </c>
      <c r="E418" s="18" t="s">
        <v>407</v>
      </c>
      <c r="F418" s="17">
        <v>1</v>
      </c>
      <c r="G418" s="18" t="s">
        <v>23</v>
      </c>
      <c r="H418" s="17">
        <v>91.9</v>
      </c>
      <c r="I418" s="5">
        <v>96.3</v>
      </c>
      <c r="J418" s="21">
        <f t="shared" si="18"/>
        <v>4.7878128400435163E-2</v>
      </c>
      <c r="K418" s="1">
        <v>2</v>
      </c>
      <c r="L418" s="24">
        <v>4.8</v>
      </c>
      <c r="M418" s="24">
        <v>91.484999999999999</v>
      </c>
      <c r="N418" s="21">
        <f t="shared" si="19"/>
        <v>-4.5157780195865752E-3</v>
      </c>
      <c r="P418" s="1">
        <v>6</v>
      </c>
      <c r="Q418" s="24">
        <v>9.6299999999999955</v>
      </c>
      <c r="R418" s="24">
        <v>86.67</v>
      </c>
      <c r="S418" s="21">
        <f t="shared" si="20"/>
        <v>-5.690968443960831E-2</v>
      </c>
    </row>
    <row r="419" spans="2:19" ht="11.4" customHeight="1" x14ac:dyDescent="0.2">
      <c r="B419" s="24"/>
      <c r="C419" s="4">
        <v>3776</v>
      </c>
      <c r="D419" s="18" t="s">
        <v>448</v>
      </c>
      <c r="E419" s="18" t="s">
        <v>407</v>
      </c>
      <c r="F419" s="17">
        <v>1</v>
      </c>
      <c r="G419" s="18" t="s">
        <v>23</v>
      </c>
      <c r="H419" s="17">
        <v>177.9</v>
      </c>
      <c r="I419" s="5">
        <v>192.6</v>
      </c>
      <c r="J419" s="21">
        <f t="shared" si="18"/>
        <v>8.263069139966267E-2</v>
      </c>
      <c r="K419" s="1">
        <v>2</v>
      </c>
      <c r="L419" s="24">
        <v>9.6</v>
      </c>
      <c r="M419" s="24">
        <v>182.97</v>
      </c>
      <c r="N419" s="21">
        <f t="shared" si="19"/>
        <v>2.8499156829679555E-2</v>
      </c>
      <c r="P419" s="1">
        <v>6</v>
      </c>
      <c r="Q419" s="24">
        <v>19.259999999999991</v>
      </c>
      <c r="R419" s="24">
        <v>173.34</v>
      </c>
      <c r="S419" s="21">
        <f t="shared" si="20"/>
        <v>-2.5632377740303552E-2</v>
      </c>
    </row>
    <row r="420" spans="2:19" ht="11.4" customHeight="1" x14ac:dyDescent="0.2">
      <c r="B420" s="24"/>
      <c r="C420" s="4">
        <v>3775</v>
      </c>
      <c r="D420" s="18" t="s">
        <v>449</v>
      </c>
      <c r="E420" s="18" t="s">
        <v>407</v>
      </c>
      <c r="F420" s="17">
        <v>1</v>
      </c>
      <c r="G420" s="18" t="s">
        <v>23</v>
      </c>
      <c r="H420" s="17">
        <v>99.5</v>
      </c>
      <c r="I420" s="5">
        <v>128</v>
      </c>
      <c r="J420" s="21">
        <f t="shared" si="18"/>
        <v>0.28643216080402012</v>
      </c>
      <c r="K420" s="1">
        <v>2</v>
      </c>
      <c r="L420" s="24">
        <v>6.4</v>
      </c>
      <c r="M420" s="24">
        <v>121.6</v>
      </c>
      <c r="N420" s="21">
        <f t="shared" si="19"/>
        <v>0.22211055276381902</v>
      </c>
      <c r="P420" s="1">
        <v>6</v>
      </c>
      <c r="Q420" s="24">
        <v>12.799999999999997</v>
      </c>
      <c r="R420" s="24">
        <v>115.2</v>
      </c>
      <c r="S420" s="21">
        <f t="shared" si="20"/>
        <v>0.15778894472361812</v>
      </c>
    </row>
    <row r="421" spans="2:19" ht="11.4" customHeight="1" x14ac:dyDescent="0.2">
      <c r="B421" s="24"/>
      <c r="C421" s="4">
        <v>3841</v>
      </c>
      <c r="D421" s="18" t="s">
        <v>450</v>
      </c>
      <c r="E421" s="18" t="s">
        <v>407</v>
      </c>
      <c r="F421" s="17">
        <v>1</v>
      </c>
      <c r="G421" s="18" t="s">
        <v>23</v>
      </c>
      <c r="H421" s="17">
        <v>197.2</v>
      </c>
      <c r="I421" s="5">
        <v>259</v>
      </c>
      <c r="J421" s="21">
        <f t="shared" si="18"/>
        <v>0.31338742393509134</v>
      </c>
      <c r="K421" s="1">
        <v>2</v>
      </c>
      <c r="L421" s="24">
        <v>12.9</v>
      </c>
      <c r="M421" s="24">
        <v>246.04999999999998</v>
      </c>
      <c r="N421" s="21">
        <f t="shared" si="19"/>
        <v>0.24771805273833669</v>
      </c>
      <c r="P421" s="1">
        <v>6</v>
      </c>
      <c r="Q421" s="24">
        <v>25.900000000000006</v>
      </c>
      <c r="R421" s="24">
        <v>233.1</v>
      </c>
      <c r="S421" s="21">
        <f t="shared" si="20"/>
        <v>0.18204868154158219</v>
      </c>
    </row>
    <row r="422" spans="2:19" ht="11.4" customHeight="1" x14ac:dyDescent="0.2">
      <c r="B422" s="24"/>
      <c r="C422" s="4">
        <v>26291</v>
      </c>
      <c r="D422" s="18" t="s">
        <v>451</v>
      </c>
      <c r="E422" s="18" t="s">
        <v>407</v>
      </c>
      <c r="F422" s="17">
        <v>2</v>
      </c>
      <c r="G422" s="18" t="s">
        <v>23</v>
      </c>
      <c r="H422" s="17">
        <v>144.80000000000001</v>
      </c>
      <c r="I422" s="5">
        <v>192.6</v>
      </c>
      <c r="J422" s="21">
        <f t="shared" si="18"/>
        <v>0.33011049723756891</v>
      </c>
      <c r="K422" s="1">
        <v>2</v>
      </c>
      <c r="L422" s="24">
        <v>9.6</v>
      </c>
      <c r="M422" s="24">
        <v>182.97</v>
      </c>
      <c r="N422" s="21">
        <f t="shared" si="19"/>
        <v>0.26360497237569053</v>
      </c>
      <c r="P422" s="1">
        <v>6</v>
      </c>
      <c r="Q422" s="24">
        <v>19.259999999999991</v>
      </c>
      <c r="R422" s="24">
        <v>173.34</v>
      </c>
      <c r="S422" s="21">
        <f t="shared" si="20"/>
        <v>0.19709944751381209</v>
      </c>
    </row>
    <row r="423" spans="2:19" ht="11.4" customHeight="1" x14ac:dyDescent="0.2">
      <c r="B423" s="24"/>
      <c r="C423" s="4">
        <v>35468</v>
      </c>
      <c r="D423" s="18" t="s">
        <v>452</v>
      </c>
      <c r="E423" s="18" t="s">
        <v>407</v>
      </c>
      <c r="F423" s="17">
        <v>2</v>
      </c>
      <c r="G423" s="18" t="s">
        <v>23</v>
      </c>
      <c r="H423" s="17">
        <v>78.400000000000006</v>
      </c>
      <c r="I423" s="5">
        <v>113.8</v>
      </c>
      <c r="J423" s="21">
        <f t="shared" si="18"/>
        <v>0.45153061224489782</v>
      </c>
      <c r="K423" s="1">
        <v>2</v>
      </c>
      <c r="L423" s="24">
        <v>5.6</v>
      </c>
      <c r="M423" s="24">
        <v>108.10999999999999</v>
      </c>
      <c r="N423" s="21">
        <f t="shared" si="19"/>
        <v>0.37895408163265276</v>
      </c>
      <c r="P423" s="1">
        <v>6</v>
      </c>
      <c r="Q423" s="24">
        <v>11.379999999999995</v>
      </c>
      <c r="R423" s="24">
        <v>102.42</v>
      </c>
      <c r="S423" s="21">
        <f t="shared" si="20"/>
        <v>0.30637755102040809</v>
      </c>
    </row>
    <row r="424" spans="2:19" ht="11.4" customHeight="1" x14ac:dyDescent="0.2">
      <c r="B424" s="24"/>
      <c r="C424" s="4">
        <v>26288</v>
      </c>
      <c r="D424" s="18" t="s">
        <v>453</v>
      </c>
      <c r="E424" s="18" t="s">
        <v>407</v>
      </c>
      <c r="F424" s="17">
        <v>2</v>
      </c>
      <c r="G424" s="18" t="s">
        <v>23</v>
      </c>
      <c r="H424" s="17">
        <v>171.6</v>
      </c>
      <c r="I424" s="5">
        <v>227.6</v>
      </c>
      <c r="J424" s="21">
        <f t="shared" si="18"/>
        <v>0.32634032634032634</v>
      </c>
      <c r="K424" s="1">
        <v>2</v>
      </c>
      <c r="L424" s="24">
        <v>11.3</v>
      </c>
      <c r="M424" s="24">
        <v>216.21999999999997</v>
      </c>
      <c r="N424" s="21">
        <f t="shared" si="19"/>
        <v>0.26002331002330992</v>
      </c>
      <c r="P424" s="1">
        <v>6</v>
      </c>
      <c r="Q424" s="24">
        <v>22.759999999999991</v>
      </c>
      <c r="R424" s="24">
        <v>204.84</v>
      </c>
      <c r="S424" s="21">
        <f t="shared" si="20"/>
        <v>0.19370629370629378</v>
      </c>
    </row>
    <row r="425" spans="2:19" ht="11.4" customHeight="1" x14ac:dyDescent="0.2">
      <c r="B425" s="24"/>
      <c r="C425" s="4">
        <v>35383</v>
      </c>
      <c r="D425" s="18" t="s">
        <v>454</v>
      </c>
      <c r="E425" s="18" t="s">
        <v>407</v>
      </c>
      <c r="F425" s="17">
        <v>1</v>
      </c>
      <c r="G425" s="18" t="s">
        <v>23</v>
      </c>
      <c r="H425" s="17">
        <v>94.5</v>
      </c>
      <c r="I425" s="5">
        <v>116.3</v>
      </c>
      <c r="J425" s="21">
        <f t="shared" si="18"/>
        <v>0.23068783068783066</v>
      </c>
      <c r="K425" s="1">
        <v>2</v>
      </c>
      <c r="L425" s="24">
        <v>5.8</v>
      </c>
      <c r="M425" s="24">
        <v>110.48499999999999</v>
      </c>
      <c r="N425" s="21">
        <f t="shared" si="19"/>
        <v>0.169153439153439</v>
      </c>
      <c r="P425" s="1">
        <v>6</v>
      </c>
      <c r="Q425" s="24">
        <v>11.629999999999995</v>
      </c>
      <c r="R425" s="24">
        <v>104.67</v>
      </c>
      <c r="S425" s="21">
        <f t="shared" si="20"/>
        <v>0.10761904761904764</v>
      </c>
    </row>
    <row r="426" spans="2:19" ht="11.4" customHeight="1" x14ac:dyDescent="0.2">
      <c r="B426" s="24"/>
      <c r="C426" s="4">
        <v>6910</v>
      </c>
      <c r="D426" s="18" t="s">
        <v>455</v>
      </c>
      <c r="E426" s="18" t="s">
        <v>407</v>
      </c>
      <c r="F426" s="17">
        <v>1</v>
      </c>
      <c r="G426" s="18" t="s">
        <v>23</v>
      </c>
      <c r="H426" s="17">
        <v>179.9</v>
      </c>
      <c r="I426" s="5">
        <v>201.5</v>
      </c>
      <c r="J426" s="21">
        <f t="shared" si="18"/>
        <v>0.12006670372429123</v>
      </c>
      <c r="K426" s="1">
        <v>2</v>
      </c>
      <c r="L426" s="24">
        <v>10</v>
      </c>
      <c r="M426" s="24">
        <v>191.42499999999998</v>
      </c>
      <c r="N426" s="21">
        <f t="shared" si="19"/>
        <v>6.4063368538076579E-2</v>
      </c>
      <c r="P426" s="1">
        <v>6</v>
      </c>
      <c r="Q426" s="24">
        <v>20.150000000000006</v>
      </c>
      <c r="R426" s="24">
        <v>181.35</v>
      </c>
      <c r="S426" s="21">
        <f t="shared" si="20"/>
        <v>8.0600333518620823E-3</v>
      </c>
    </row>
    <row r="427" spans="2:19" ht="11.4" customHeight="1" x14ac:dyDescent="0.2">
      <c r="B427" s="24"/>
      <c r="C427" s="4">
        <v>35384</v>
      </c>
      <c r="D427" s="18" t="s">
        <v>456</v>
      </c>
      <c r="E427" s="18" t="s">
        <v>407</v>
      </c>
      <c r="F427" s="17">
        <v>1</v>
      </c>
      <c r="G427" s="18" t="s">
        <v>23</v>
      </c>
      <c r="H427" s="17">
        <v>111.9</v>
      </c>
      <c r="I427" s="5">
        <v>140.1</v>
      </c>
      <c r="J427" s="21">
        <f t="shared" si="18"/>
        <v>0.2520107238605897</v>
      </c>
      <c r="K427" s="1">
        <v>2</v>
      </c>
      <c r="L427" s="24">
        <v>7</v>
      </c>
      <c r="M427" s="24">
        <v>133.095</v>
      </c>
      <c r="N427" s="21">
        <f t="shared" si="19"/>
        <v>0.18941018766756026</v>
      </c>
      <c r="P427" s="1">
        <v>6</v>
      </c>
      <c r="Q427" s="24">
        <v>14.009999999999991</v>
      </c>
      <c r="R427" s="24">
        <v>126.09</v>
      </c>
      <c r="S427" s="21">
        <f t="shared" si="20"/>
        <v>0.1268096514745308</v>
      </c>
    </row>
    <row r="428" spans="2:19" ht="11.4" customHeight="1" x14ac:dyDescent="0.2">
      <c r="B428" s="24"/>
      <c r="C428" s="4">
        <v>35385</v>
      </c>
      <c r="D428" s="18" t="s">
        <v>457</v>
      </c>
      <c r="E428" s="18" t="s">
        <v>407</v>
      </c>
      <c r="F428" s="17">
        <v>1</v>
      </c>
      <c r="G428" s="18" t="s">
        <v>23</v>
      </c>
      <c r="H428" s="17">
        <v>211.5</v>
      </c>
      <c r="I428" s="5">
        <v>236.5</v>
      </c>
      <c r="J428" s="21">
        <f t="shared" si="18"/>
        <v>0.1182033096926714</v>
      </c>
      <c r="K428" s="1">
        <v>2</v>
      </c>
      <c r="L428" s="24">
        <v>11.8</v>
      </c>
      <c r="M428" s="24">
        <v>224.67499999999998</v>
      </c>
      <c r="N428" s="21">
        <f t="shared" si="19"/>
        <v>6.2293144208037741E-2</v>
      </c>
      <c r="P428" s="1">
        <v>6</v>
      </c>
      <c r="Q428" s="24">
        <v>23.650000000000006</v>
      </c>
      <c r="R428" s="24">
        <v>212.85</v>
      </c>
      <c r="S428" s="21">
        <f t="shared" si="20"/>
        <v>6.3829787234042281E-3</v>
      </c>
    </row>
    <row r="429" spans="2:19" ht="11.4" customHeight="1" x14ac:dyDescent="0.2">
      <c r="B429" s="24"/>
      <c r="C429" s="4">
        <v>3470</v>
      </c>
      <c r="D429" s="18" t="s">
        <v>458</v>
      </c>
      <c r="E429" s="18" t="s">
        <v>407</v>
      </c>
      <c r="F429" s="18"/>
      <c r="G429" s="18" t="s">
        <v>23</v>
      </c>
      <c r="H429" s="17">
        <v>87.66</v>
      </c>
      <c r="I429" s="5">
        <v>122.9</v>
      </c>
      <c r="J429" s="21">
        <f t="shared" si="18"/>
        <v>0.40200775724389698</v>
      </c>
      <c r="K429" s="1">
        <v>2</v>
      </c>
      <c r="L429" s="24">
        <v>6.1</v>
      </c>
      <c r="M429" s="24">
        <v>116.755</v>
      </c>
      <c r="N429" s="21">
        <f t="shared" si="19"/>
        <v>0.33190736938170201</v>
      </c>
      <c r="P429" s="1">
        <v>6</v>
      </c>
      <c r="Q429" s="24">
        <v>12.289999999999992</v>
      </c>
      <c r="R429" s="24">
        <v>110.61000000000001</v>
      </c>
      <c r="S429" s="21">
        <f t="shared" si="20"/>
        <v>0.26180698151950738</v>
      </c>
    </row>
    <row r="430" spans="2:19" ht="11.4" customHeight="1" x14ac:dyDescent="0.2">
      <c r="B430" s="24"/>
      <c r="C430" s="4">
        <v>11588</v>
      </c>
      <c r="D430" s="18" t="s">
        <v>459</v>
      </c>
      <c r="E430" s="18" t="s">
        <v>407</v>
      </c>
      <c r="F430" s="17">
        <v>30</v>
      </c>
      <c r="G430" s="18" t="s">
        <v>23</v>
      </c>
      <c r="H430" s="17">
        <v>92.9</v>
      </c>
      <c r="I430" s="5">
        <v>96.3</v>
      </c>
      <c r="J430" s="21">
        <f t="shared" si="18"/>
        <v>3.6598493003229184E-2</v>
      </c>
      <c r="K430" s="1">
        <v>2</v>
      </c>
      <c r="L430" s="24">
        <v>4.8</v>
      </c>
      <c r="M430" s="24">
        <v>91.484999999999999</v>
      </c>
      <c r="N430" s="21">
        <f t="shared" si="19"/>
        <v>-1.5231431646932251E-2</v>
      </c>
      <c r="P430" s="1">
        <v>6</v>
      </c>
      <c r="Q430" s="24">
        <v>9.6299999999999955</v>
      </c>
      <c r="R430" s="24">
        <v>86.67</v>
      </c>
      <c r="S430" s="21">
        <f t="shared" si="20"/>
        <v>-6.7061356297093686E-2</v>
      </c>
    </row>
    <row r="431" spans="2:19" ht="11.4" customHeight="1" x14ac:dyDescent="0.2">
      <c r="B431" s="24"/>
      <c r="C431" s="4">
        <v>3573</v>
      </c>
      <c r="D431" s="18" t="s">
        <v>460</v>
      </c>
      <c r="E431" s="18" t="s">
        <v>407</v>
      </c>
      <c r="F431" s="17">
        <v>20</v>
      </c>
      <c r="G431" s="18" t="s">
        <v>23</v>
      </c>
      <c r="H431" s="17">
        <v>152.30000000000001</v>
      </c>
      <c r="I431" s="5">
        <v>192.6</v>
      </c>
      <c r="J431" s="21">
        <f t="shared" si="18"/>
        <v>0.26460932370321721</v>
      </c>
      <c r="K431" s="1">
        <v>2</v>
      </c>
      <c r="L431" s="24">
        <v>9.6</v>
      </c>
      <c r="M431" s="24">
        <v>182.97</v>
      </c>
      <c r="N431" s="21">
        <f t="shared" si="19"/>
        <v>0.20137885751805637</v>
      </c>
      <c r="P431" s="1">
        <v>6</v>
      </c>
      <c r="Q431" s="24">
        <v>19.259999999999991</v>
      </c>
      <c r="R431" s="24">
        <v>173.34</v>
      </c>
      <c r="S431" s="21">
        <f t="shared" si="20"/>
        <v>0.13814839133289553</v>
      </c>
    </row>
    <row r="432" spans="2:19" ht="11.4" customHeight="1" x14ac:dyDescent="0.2">
      <c r="B432" s="24"/>
      <c r="C432" s="4">
        <v>3574</v>
      </c>
      <c r="D432" s="18" t="s">
        <v>461</v>
      </c>
      <c r="E432" s="18" t="s">
        <v>407</v>
      </c>
      <c r="F432" s="17">
        <v>20</v>
      </c>
      <c r="G432" s="18" t="s">
        <v>23</v>
      </c>
      <c r="H432" s="17">
        <v>158.69999999999999</v>
      </c>
      <c r="I432" s="5">
        <v>209.1</v>
      </c>
      <c r="J432" s="21">
        <f t="shared" si="18"/>
        <v>0.31758034026465032</v>
      </c>
      <c r="K432" s="1">
        <v>2</v>
      </c>
      <c r="L432" s="24">
        <v>10.4</v>
      </c>
      <c r="M432" s="24">
        <v>198.64499999999998</v>
      </c>
      <c r="N432" s="21">
        <f t="shared" si="19"/>
        <v>0.25170132325141775</v>
      </c>
      <c r="P432" s="1">
        <v>6</v>
      </c>
      <c r="Q432" s="24">
        <v>20.909999999999997</v>
      </c>
      <c r="R432" s="24">
        <v>188.19</v>
      </c>
      <c r="S432" s="21">
        <f t="shared" si="20"/>
        <v>0.18582230623818533</v>
      </c>
    </row>
    <row r="433" spans="2:19" ht="11.4" customHeight="1" x14ac:dyDescent="0.2">
      <c r="B433" s="24"/>
      <c r="C433" s="4">
        <v>3575</v>
      </c>
      <c r="D433" s="18" t="s">
        <v>462</v>
      </c>
      <c r="E433" s="18" t="s">
        <v>407</v>
      </c>
      <c r="F433" s="17">
        <v>20</v>
      </c>
      <c r="G433" s="18" t="s">
        <v>23</v>
      </c>
      <c r="H433" s="17">
        <v>169.2</v>
      </c>
      <c r="I433" s="5">
        <v>227.6</v>
      </c>
      <c r="J433" s="21">
        <f t="shared" si="18"/>
        <v>0.34515366430260053</v>
      </c>
      <c r="K433" s="1">
        <v>2</v>
      </c>
      <c r="L433" s="24">
        <v>11.3</v>
      </c>
      <c r="M433" s="24">
        <v>216.21999999999997</v>
      </c>
      <c r="N433" s="21">
        <f t="shared" si="19"/>
        <v>0.27789598108747038</v>
      </c>
      <c r="P433" s="1">
        <v>6</v>
      </c>
      <c r="Q433" s="24">
        <v>22.759999999999991</v>
      </c>
      <c r="R433" s="24">
        <v>204.84</v>
      </c>
      <c r="S433" s="21">
        <f t="shared" si="20"/>
        <v>0.21063829787234054</v>
      </c>
    </row>
    <row r="434" spans="2:19" ht="11.4" customHeight="1" x14ac:dyDescent="0.2">
      <c r="B434" s="24"/>
      <c r="C434" s="4">
        <v>20585</v>
      </c>
      <c r="D434" s="18" t="s">
        <v>463</v>
      </c>
      <c r="E434" s="18" t="s">
        <v>407</v>
      </c>
      <c r="F434" s="17">
        <v>30</v>
      </c>
      <c r="G434" s="18" t="s">
        <v>23</v>
      </c>
      <c r="H434" s="17">
        <v>93.6</v>
      </c>
      <c r="I434" s="5">
        <v>113.8</v>
      </c>
      <c r="J434" s="21">
        <f t="shared" si="18"/>
        <v>0.21581196581196585</v>
      </c>
      <c r="K434" s="1">
        <v>2</v>
      </c>
      <c r="L434" s="24">
        <v>5.6</v>
      </c>
      <c r="M434" s="24">
        <v>108.10999999999999</v>
      </c>
      <c r="N434" s="21">
        <f t="shared" si="19"/>
        <v>0.15502136752136744</v>
      </c>
      <c r="P434" s="1">
        <v>6</v>
      </c>
      <c r="Q434" s="24">
        <v>11.379999999999995</v>
      </c>
      <c r="R434" s="24">
        <v>102.42</v>
      </c>
      <c r="S434" s="21">
        <f t="shared" si="20"/>
        <v>9.4230769230769312E-2</v>
      </c>
    </row>
    <row r="435" spans="2:19" ht="11.4" customHeight="1" x14ac:dyDescent="0.2">
      <c r="B435" s="24"/>
      <c r="C435" s="4">
        <v>12923</v>
      </c>
      <c r="D435" s="18" t="s">
        <v>464</v>
      </c>
      <c r="E435" s="18" t="s">
        <v>407</v>
      </c>
      <c r="F435" s="18"/>
      <c r="G435" s="18" t="s">
        <v>23</v>
      </c>
      <c r="H435" s="17">
        <v>267.60000000000002</v>
      </c>
      <c r="I435" s="5">
        <v>330</v>
      </c>
      <c r="J435" s="21">
        <f t="shared" si="18"/>
        <v>0.23318385650224205</v>
      </c>
      <c r="K435" s="1">
        <v>2</v>
      </c>
      <c r="L435" s="24">
        <v>16.5</v>
      </c>
      <c r="M435" s="24">
        <v>313.5</v>
      </c>
      <c r="N435" s="21">
        <f t="shared" si="19"/>
        <v>0.17152466367712996</v>
      </c>
      <c r="P435" s="1">
        <v>6</v>
      </c>
      <c r="Q435" s="24">
        <v>33</v>
      </c>
      <c r="R435" s="24">
        <v>297</v>
      </c>
      <c r="S435" s="21">
        <f t="shared" si="20"/>
        <v>0.10986547085201784</v>
      </c>
    </row>
    <row r="436" spans="2:19" ht="11.4" customHeight="1" x14ac:dyDescent="0.2">
      <c r="B436" s="24"/>
      <c r="C436" s="4">
        <v>12960</v>
      </c>
      <c r="D436" s="18" t="s">
        <v>465</v>
      </c>
      <c r="E436" s="18" t="s">
        <v>407</v>
      </c>
      <c r="F436" s="18"/>
      <c r="G436" s="18" t="s">
        <v>23</v>
      </c>
      <c r="H436" s="17">
        <v>309.3</v>
      </c>
      <c r="I436" s="5">
        <v>400</v>
      </c>
      <c r="J436" s="21">
        <f t="shared" si="18"/>
        <v>0.29324280633688971</v>
      </c>
      <c r="K436" s="1">
        <v>2</v>
      </c>
      <c r="L436" s="24">
        <v>20</v>
      </c>
      <c r="M436" s="24">
        <v>380</v>
      </c>
      <c r="N436" s="21">
        <f t="shared" si="19"/>
        <v>0.22858066602004523</v>
      </c>
      <c r="P436" s="1">
        <v>6</v>
      </c>
      <c r="Q436" s="24">
        <v>40</v>
      </c>
      <c r="R436" s="24">
        <v>360</v>
      </c>
      <c r="S436" s="21">
        <f t="shared" si="20"/>
        <v>0.16391852570320073</v>
      </c>
    </row>
    <row r="437" spans="2:19" ht="11.4" customHeight="1" x14ac:dyDescent="0.2">
      <c r="B437" s="24"/>
      <c r="C437" s="4">
        <v>35427</v>
      </c>
      <c r="D437" s="18" t="s">
        <v>466</v>
      </c>
      <c r="E437" s="18" t="s">
        <v>407</v>
      </c>
      <c r="F437" s="17">
        <v>1</v>
      </c>
      <c r="G437" s="18" t="s">
        <v>23</v>
      </c>
      <c r="H437" s="17">
        <v>82.9</v>
      </c>
      <c r="I437" s="5">
        <v>96.3</v>
      </c>
      <c r="J437" s="21">
        <f t="shared" si="18"/>
        <v>0.16164053075995163</v>
      </c>
      <c r="K437" s="1">
        <v>2</v>
      </c>
      <c r="L437" s="24">
        <v>4.8</v>
      </c>
      <c r="M437" s="24">
        <v>91.484999999999999</v>
      </c>
      <c r="N437" s="21">
        <f t="shared" si="19"/>
        <v>0.10355850422195408</v>
      </c>
      <c r="P437" s="1">
        <v>6</v>
      </c>
      <c r="Q437" s="24">
        <v>9.6299999999999955</v>
      </c>
      <c r="R437" s="24">
        <v>86.67</v>
      </c>
      <c r="S437" s="21">
        <f t="shared" si="20"/>
        <v>4.5476477683956525E-2</v>
      </c>
    </row>
    <row r="438" spans="2:19" ht="11.4" customHeight="1" x14ac:dyDescent="0.2">
      <c r="B438" s="24"/>
      <c r="C438" s="4">
        <v>35429</v>
      </c>
      <c r="D438" s="18" t="s">
        <v>467</v>
      </c>
      <c r="E438" s="18" t="s">
        <v>407</v>
      </c>
      <c r="F438" s="17">
        <v>1</v>
      </c>
      <c r="G438" s="18" t="s">
        <v>23</v>
      </c>
      <c r="H438" s="17">
        <v>158.9</v>
      </c>
      <c r="I438" s="5">
        <v>192.6</v>
      </c>
      <c r="J438" s="21">
        <f t="shared" si="18"/>
        <v>0.21208307111390803</v>
      </c>
      <c r="K438" s="1">
        <v>2</v>
      </c>
      <c r="L438" s="24">
        <v>9.6</v>
      </c>
      <c r="M438" s="24">
        <v>182.97</v>
      </c>
      <c r="N438" s="21">
        <f t="shared" si="19"/>
        <v>0.15147891755821266</v>
      </c>
      <c r="P438" s="1">
        <v>6</v>
      </c>
      <c r="Q438" s="24">
        <v>19.259999999999991</v>
      </c>
      <c r="R438" s="24">
        <v>173.34</v>
      </c>
      <c r="S438" s="21">
        <f t="shared" si="20"/>
        <v>9.0874764002517289E-2</v>
      </c>
    </row>
    <row r="439" spans="2:19" ht="11.4" customHeight="1" x14ac:dyDescent="0.2">
      <c r="B439" s="24"/>
      <c r="C439" s="4">
        <v>35428</v>
      </c>
      <c r="D439" s="18" t="s">
        <v>468</v>
      </c>
      <c r="E439" s="18" t="s">
        <v>407</v>
      </c>
      <c r="F439" s="17">
        <v>1</v>
      </c>
      <c r="G439" s="18" t="s">
        <v>23</v>
      </c>
      <c r="H439" s="17">
        <v>88.5</v>
      </c>
      <c r="I439" s="5">
        <v>113.8</v>
      </c>
      <c r="J439" s="21">
        <f t="shared" si="18"/>
        <v>0.28587570621468922</v>
      </c>
      <c r="K439" s="1">
        <v>2</v>
      </c>
      <c r="L439" s="24">
        <v>5.6</v>
      </c>
      <c r="M439" s="24">
        <v>108.10999999999999</v>
      </c>
      <c r="N439" s="21">
        <f t="shared" si="19"/>
        <v>0.22158192090395465</v>
      </c>
      <c r="P439" s="1">
        <v>6</v>
      </c>
      <c r="Q439" s="24">
        <v>11.379999999999995</v>
      </c>
      <c r="R439" s="24">
        <v>102.42</v>
      </c>
      <c r="S439" s="21">
        <f t="shared" si="20"/>
        <v>0.15728813559322036</v>
      </c>
    </row>
    <row r="440" spans="2:19" ht="11.4" customHeight="1" x14ac:dyDescent="0.2">
      <c r="B440" s="24"/>
      <c r="C440" s="4">
        <v>35386</v>
      </c>
      <c r="D440" s="18" t="s">
        <v>469</v>
      </c>
      <c r="E440" s="18" t="s">
        <v>407</v>
      </c>
      <c r="F440" s="17">
        <v>1</v>
      </c>
      <c r="G440" s="18" t="s">
        <v>23</v>
      </c>
      <c r="H440" s="17">
        <v>159.9</v>
      </c>
      <c r="I440" s="5">
        <v>219.5</v>
      </c>
      <c r="J440" s="21">
        <f t="shared" si="18"/>
        <v>0.37273295809881168</v>
      </c>
      <c r="K440" s="1">
        <v>2</v>
      </c>
      <c r="L440" s="24">
        <v>10.9</v>
      </c>
      <c r="M440" s="24">
        <v>208.52499999999998</v>
      </c>
      <c r="N440" s="21">
        <f t="shared" si="19"/>
        <v>0.30409631019387096</v>
      </c>
      <c r="P440" s="1">
        <v>6</v>
      </c>
      <c r="Q440" s="24">
        <v>21.949999999999989</v>
      </c>
      <c r="R440" s="24">
        <v>197.55</v>
      </c>
      <c r="S440" s="21">
        <f t="shared" si="20"/>
        <v>0.23545966228893062</v>
      </c>
    </row>
    <row r="441" spans="2:19" ht="11.4" customHeight="1" x14ac:dyDescent="0.2">
      <c r="B441" s="24"/>
      <c r="C441" s="4">
        <v>35387</v>
      </c>
      <c r="D441" s="18" t="s">
        <v>470</v>
      </c>
      <c r="E441" s="18" t="s">
        <v>407</v>
      </c>
      <c r="F441" s="17">
        <v>1</v>
      </c>
      <c r="G441" s="18" t="s">
        <v>23</v>
      </c>
      <c r="H441" s="17">
        <v>177.11</v>
      </c>
      <c r="I441" s="5">
        <v>256.89999999999998</v>
      </c>
      <c r="J441" s="21">
        <f t="shared" si="18"/>
        <v>0.45051098187567024</v>
      </c>
      <c r="K441" s="1">
        <v>2</v>
      </c>
      <c r="L441" s="24">
        <v>12.8</v>
      </c>
      <c r="M441" s="24">
        <v>244.05499999999998</v>
      </c>
      <c r="N441" s="21">
        <f t="shared" si="19"/>
        <v>0.37798543278188673</v>
      </c>
      <c r="P441" s="1">
        <v>6</v>
      </c>
      <c r="Q441" s="24">
        <v>25.689999999999998</v>
      </c>
      <c r="R441" s="24">
        <v>231.20999999999998</v>
      </c>
      <c r="S441" s="21">
        <f t="shared" si="20"/>
        <v>0.30545988368810323</v>
      </c>
    </row>
    <row r="442" spans="2:19" ht="11.4" customHeight="1" x14ac:dyDescent="0.2">
      <c r="B442" s="24"/>
      <c r="C442" s="4">
        <v>42404</v>
      </c>
      <c r="D442" s="18" t="s">
        <v>471</v>
      </c>
      <c r="E442" s="18" t="s">
        <v>407</v>
      </c>
      <c r="F442" s="18"/>
      <c r="G442" s="18" t="s">
        <v>23</v>
      </c>
      <c r="H442" s="17">
        <v>108.12</v>
      </c>
      <c r="I442" s="5">
        <v>179</v>
      </c>
      <c r="J442" s="21">
        <f t="shared" si="18"/>
        <v>0.65556788753237139</v>
      </c>
      <c r="K442" s="1">
        <v>2</v>
      </c>
      <c r="L442" s="24">
        <v>8.9</v>
      </c>
      <c r="M442" s="24">
        <v>170.04999999999998</v>
      </c>
      <c r="N442" s="21">
        <f t="shared" si="19"/>
        <v>0.57278949315575267</v>
      </c>
      <c r="P442" s="1">
        <v>6</v>
      </c>
      <c r="Q442" s="24">
        <v>17.900000000000006</v>
      </c>
      <c r="R442" s="24">
        <v>161.1</v>
      </c>
      <c r="S442" s="21">
        <f t="shared" si="20"/>
        <v>0.49001109877913418</v>
      </c>
    </row>
    <row r="443" spans="2:19" ht="11.4" customHeight="1" x14ac:dyDescent="0.2">
      <c r="B443" s="24"/>
      <c r="C443" s="4">
        <v>12391</v>
      </c>
      <c r="D443" s="18" t="s">
        <v>472</v>
      </c>
      <c r="E443" s="18" t="s">
        <v>407</v>
      </c>
      <c r="F443" s="17">
        <v>1</v>
      </c>
      <c r="G443" s="18" t="s">
        <v>23</v>
      </c>
      <c r="H443" s="17">
        <v>193.9</v>
      </c>
      <c r="I443" s="5">
        <v>248.5</v>
      </c>
      <c r="J443" s="21">
        <f t="shared" si="18"/>
        <v>0.28158844765342955</v>
      </c>
      <c r="K443" s="1">
        <v>2</v>
      </c>
      <c r="L443" s="24">
        <v>12.4</v>
      </c>
      <c r="M443" s="24">
        <v>236.07499999999999</v>
      </c>
      <c r="N443" s="21">
        <f t="shared" si="19"/>
        <v>0.21750902527075802</v>
      </c>
      <c r="P443" s="1">
        <v>6</v>
      </c>
      <c r="Q443" s="24">
        <v>24.849999999999994</v>
      </c>
      <c r="R443" s="24">
        <v>223.65</v>
      </c>
      <c r="S443" s="21">
        <f t="shared" si="20"/>
        <v>0.15342960288808663</v>
      </c>
    </row>
    <row r="444" spans="2:19" ht="11.4" customHeight="1" x14ac:dyDescent="0.2">
      <c r="B444" s="24"/>
      <c r="C444" s="4">
        <v>13350</v>
      </c>
      <c r="D444" s="18" t="s">
        <v>473</v>
      </c>
      <c r="E444" s="18" t="s">
        <v>407</v>
      </c>
      <c r="F444" s="17">
        <v>1</v>
      </c>
      <c r="G444" s="18" t="s">
        <v>23</v>
      </c>
      <c r="H444" s="17">
        <v>116.3</v>
      </c>
      <c r="I444" s="5">
        <v>149</v>
      </c>
      <c r="J444" s="21">
        <f t="shared" si="18"/>
        <v>0.28116938950988823</v>
      </c>
      <c r="K444" s="1">
        <v>2</v>
      </c>
      <c r="L444" s="24">
        <v>7.4</v>
      </c>
      <c r="M444" s="24">
        <v>141.54999999999998</v>
      </c>
      <c r="N444" s="21">
        <f t="shared" si="19"/>
        <v>0.2171109200343937</v>
      </c>
      <c r="P444" s="1">
        <v>6</v>
      </c>
      <c r="Q444" s="24">
        <v>14.900000000000006</v>
      </c>
      <c r="R444" s="24">
        <v>134.1</v>
      </c>
      <c r="S444" s="21">
        <f t="shared" si="20"/>
        <v>0.15305245055889938</v>
      </c>
    </row>
    <row r="445" spans="2:19" ht="11.4" customHeight="1" x14ac:dyDescent="0.2">
      <c r="B445" s="24"/>
      <c r="C445" s="4">
        <v>7818</v>
      </c>
      <c r="D445" s="18" t="s">
        <v>474</v>
      </c>
      <c r="E445" s="18" t="s">
        <v>407</v>
      </c>
      <c r="F445" s="17">
        <v>1</v>
      </c>
      <c r="G445" s="18" t="s">
        <v>23</v>
      </c>
      <c r="H445" s="17">
        <v>222.9</v>
      </c>
      <c r="I445" s="5">
        <v>278.7</v>
      </c>
      <c r="J445" s="21">
        <f t="shared" si="18"/>
        <v>0.25033647375504703</v>
      </c>
      <c r="K445" s="1">
        <v>2</v>
      </c>
      <c r="L445" s="24">
        <v>13.9</v>
      </c>
      <c r="M445" s="24">
        <v>264.76499999999999</v>
      </c>
      <c r="N445" s="21">
        <f t="shared" si="19"/>
        <v>0.18781965006729465</v>
      </c>
      <c r="P445" s="1">
        <v>6</v>
      </c>
      <c r="Q445" s="24">
        <v>27.870000000000005</v>
      </c>
      <c r="R445" s="24">
        <v>250.82999999999998</v>
      </c>
      <c r="S445" s="21">
        <f t="shared" si="20"/>
        <v>0.12530282637954229</v>
      </c>
    </row>
    <row r="446" spans="2:19" ht="11.4" customHeight="1" x14ac:dyDescent="0.2">
      <c r="B446" s="24"/>
      <c r="C446" s="4">
        <v>39234</v>
      </c>
      <c r="D446" s="18" t="s">
        <v>475</v>
      </c>
      <c r="E446" s="18" t="s">
        <v>407</v>
      </c>
      <c r="F446" s="17">
        <v>1</v>
      </c>
      <c r="G446" s="18" t="s">
        <v>23</v>
      </c>
      <c r="H446" s="17">
        <v>134.5</v>
      </c>
      <c r="I446" s="5">
        <v>192.6</v>
      </c>
      <c r="J446" s="21">
        <f t="shared" si="18"/>
        <v>0.4319702602230483</v>
      </c>
      <c r="K446" s="1">
        <v>2</v>
      </c>
      <c r="L446" s="24">
        <v>9.6</v>
      </c>
      <c r="M446" s="24">
        <v>182.97</v>
      </c>
      <c r="N446" s="21">
        <f t="shared" si="19"/>
        <v>0.36037174721189591</v>
      </c>
      <c r="P446" s="1">
        <v>6</v>
      </c>
      <c r="Q446" s="24">
        <v>19.259999999999991</v>
      </c>
      <c r="R446" s="24">
        <v>173.34</v>
      </c>
      <c r="S446" s="21">
        <f t="shared" si="20"/>
        <v>0.28877323420074352</v>
      </c>
    </row>
    <row r="447" spans="2:19" ht="11.4" customHeight="1" x14ac:dyDescent="0.2">
      <c r="B447" s="24"/>
      <c r="C447" s="4">
        <v>39235</v>
      </c>
      <c r="D447" s="18" t="s">
        <v>476</v>
      </c>
      <c r="E447" s="18" t="s">
        <v>407</v>
      </c>
      <c r="F447" s="17">
        <v>1</v>
      </c>
      <c r="G447" s="18" t="s">
        <v>23</v>
      </c>
      <c r="H447" s="17">
        <v>160.86000000000001</v>
      </c>
      <c r="I447" s="5">
        <v>209.1</v>
      </c>
      <c r="J447" s="21">
        <f t="shared" si="18"/>
        <v>0.29988810145468092</v>
      </c>
      <c r="K447" s="1">
        <v>2</v>
      </c>
      <c r="L447" s="24">
        <v>10.4</v>
      </c>
      <c r="M447" s="24">
        <v>198.64499999999998</v>
      </c>
      <c r="N447" s="21">
        <f t="shared" si="19"/>
        <v>0.23489369638194682</v>
      </c>
      <c r="P447" s="1">
        <v>6</v>
      </c>
      <c r="Q447" s="24">
        <v>20.909999999999997</v>
      </c>
      <c r="R447" s="24">
        <v>188.19</v>
      </c>
      <c r="S447" s="21">
        <f t="shared" si="20"/>
        <v>0.16989929130921286</v>
      </c>
    </row>
    <row r="448" spans="2:19" ht="11.4" customHeight="1" x14ac:dyDescent="0.2">
      <c r="B448" s="24"/>
      <c r="C448" s="4">
        <v>39233</v>
      </c>
      <c r="D448" s="18" t="s">
        <v>477</v>
      </c>
      <c r="E448" s="18" t="s">
        <v>407</v>
      </c>
      <c r="F448" s="17">
        <v>1</v>
      </c>
      <c r="G448" s="18" t="s">
        <v>23</v>
      </c>
      <c r="H448" s="17">
        <v>69.900000000000006</v>
      </c>
      <c r="I448" s="5">
        <v>91.1</v>
      </c>
      <c r="J448" s="21">
        <f t="shared" si="18"/>
        <v>0.30329041487839753</v>
      </c>
      <c r="K448" s="1">
        <v>2</v>
      </c>
      <c r="L448" s="24">
        <v>4.5</v>
      </c>
      <c r="M448" s="24">
        <v>86.544999999999987</v>
      </c>
      <c r="N448" s="21">
        <f t="shared" si="19"/>
        <v>0.23812589413447754</v>
      </c>
      <c r="P448" s="1">
        <v>6</v>
      </c>
      <c r="Q448" s="24">
        <v>9.11</v>
      </c>
      <c r="R448" s="24">
        <v>81.99</v>
      </c>
      <c r="S448" s="21">
        <f t="shared" si="20"/>
        <v>0.17296137339055778</v>
      </c>
    </row>
    <row r="449" spans="2:19" ht="11.4" customHeight="1" x14ac:dyDescent="0.2">
      <c r="B449" s="24"/>
      <c r="C449" s="4">
        <v>39236</v>
      </c>
      <c r="D449" s="18" t="s">
        <v>478</v>
      </c>
      <c r="E449" s="18" t="s">
        <v>407</v>
      </c>
      <c r="F449" s="17">
        <v>1</v>
      </c>
      <c r="G449" s="18" t="s">
        <v>23</v>
      </c>
      <c r="H449" s="17">
        <v>175.02</v>
      </c>
      <c r="I449" s="5">
        <v>227.6</v>
      </c>
      <c r="J449" s="21">
        <f t="shared" si="18"/>
        <v>0.3004228088218488</v>
      </c>
      <c r="K449" s="1">
        <v>2</v>
      </c>
      <c r="L449" s="24">
        <v>11.3</v>
      </c>
      <c r="M449" s="24">
        <v>216.21999999999997</v>
      </c>
      <c r="N449" s="21">
        <f t="shared" si="19"/>
        <v>0.23540166838075624</v>
      </c>
      <c r="P449" s="1">
        <v>6</v>
      </c>
      <c r="Q449" s="24">
        <v>22.759999999999991</v>
      </c>
      <c r="R449" s="24">
        <v>204.84</v>
      </c>
      <c r="S449" s="21">
        <f t="shared" si="20"/>
        <v>0.17038052793966399</v>
      </c>
    </row>
    <row r="450" spans="2:19" ht="11.4" customHeight="1" x14ac:dyDescent="0.2">
      <c r="B450" s="24"/>
      <c r="C450" s="4">
        <v>30481</v>
      </c>
      <c r="D450" s="18" t="s">
        <v>479</v>
      </c>
      <c r="E450" s="18" t="s">
        <v>407</v>
      </c>
      <c r="F450" s="17">
        <v>1</v>
      </c>
      <c r="G450" s="18" t="s">
        <v>23</v>
      </c>
      <c r="H450" s="17">
        <v>184.4</v>
      </c>
      <c r="I450" s="5">
        <v>205.8</v>
      </c>
      <c r="J450" s="21">
        <f t="shared" si="18"/>
        <v>0.11605206073752715</v>
      </c>
      <c r="K450" s="1">
        <v>2</v>
      </c>
      <c r="L450" s="24">
        <v>10.199999999999999</v>
      </c>
      <c r="M450" s="24">
        <v>195.51</v>
      </c>
      <c r="N450" s="21">
        <f t="shared" si="19"/>
        <v>6.0249457700650676E-2</v>
      </c>
      <c r="P450" s="1">
        <v>6</v>
      </c>
      <c r="Q450" s="24">
        <v>20.579999999999984</v>
      </c>
      <c r="R450" s="24">
        <v>185.22000000000003</v>
      </c>
      <c r="S450" s="21">
        <f t="shared" si="20"/>
        <v>4.4468546637745207E-3</v>
      </c>
    </row>
    <row r="451" spans="2:19" ht="11.4" customHeight="1" x14ac:dyDescent="0.2">
      <c r="B451" s="24"/>
      <c r="C451" s="4">
        <v>43268</v>
      </c>
      <c r="D451" s="18" t="s">
        <v>480</v>
      </c>
      <c r="E451" s="18" t="s">
        <v>407</v>
      </c>
      <c r="F451" s="17">
        <v>20</v>
      </c>
      <c r="G451" s="18" t="s">
        <v>23</v>
      </c>
      <c r="H451" s="17">
        <v>60.62</v>
      </c>
      <c r="I451" s="5">
        <v>64.900000000000006</v>
      </c>
      <c r="J451" s="21">
        <f t="shared" ref="J451:J514" si="21">(I451-H451)/H451</f>
        <v>7.0603761134939103E-2</v>
      </c>
      <c r="K451" s="1">
        <v>2</v>
      </c>
      <c r="L451" s="24">
        <v>3.2</v>
      </c>
      <c r="M451" s="24">
        <v>61.655000000000001</v>
      </c>
      <c r="N451" s="21">
        <f t="shared" ref="N451:N514" si="22">(M451-H451)/H451</f>
        <v>1.7073573078192076E-2</v>
      </c>
      <c r="P451" s="1">
        <v>6</v>
      </c>
      <c r="Q451" s="24">
        <v>6.490000000000002</v>
      </c>
      <c r="R451" s="24">
        <v>58.410000000000004</v>
      </c>
      <c r="S451" s="21">
        <f t="shared" ref="S451:S514" si="23">(R451-H451)/H451</f>
        <v>-3.6456614978554833E-2</v>
      </c>
    </row>
    <row r="452" spans="2:19" ht="11.4" customHeight="1" x14ac:dyDescent="0.2">
      <c r="B452" s="24"/>
      <c r="C452" s="4">
        <v>42802</v>
      </c>
      <c r="D452" s="18" t="s">
        <v>481</v>
      </c>
      <c r="E452" s="18" t="s">
        <v>407</v>
      </c>
      <c r="F452" s="17">
        <v>1</v>
      </c>
      <c r="G452" s="18" t="s">
        <v>23</v>
      </c>
      <c r="H452" s="17">
        <v>123.84</v>
      </c>
      <c r="I452" s="5">
        <v>192.6</v>
      </c>
      <c r="J452" s="21">
        <f t="shared" si="21"/>
        <v>0.55523255813953476</v>
      </c>
      <c r="K452" s="1">
        <v>2</v>
      </c>
      <c r="L452" s="24">
        <v>9.6</v>
      </c>
      <c r="M452" s="24">
        <v>182.97</v>
      </c>
      <c r="N452" s="21">
        <f t="shared" si="22"/>
        <v>0.4774709302325581</v>
      </c>
      <c r="P452" s="1">
        <v>6</v>
      </c>
      <c r="Q452" s="24">
        <v>19.259999999999991</v>
      </c>
      <c r="R452" s="24">
        <v>173.34</v>
      </c>
      <c r="S452" s="21">
        <f t="shared" si="23"/>
        <v>0.39970930232558138</v>
      </c>
    </row>
    <row r="453" spans="2:19" ht="11.4" customHeight="1" x14ac:dyDescent="0.2">
      <c r="B453" s="24"/>
      <c r="C453" s="4">
        <v>42803</v>
      </c>
      <c r="D453" s="18" t="s">
        <v>482</v>
      </c>
      <c r="E453" s="18" t="s">
        <v>407</v>
      </c>
      <c r="F453" s="17">
        <v>10</v>
      </c>
      <c r="G453" s="18" t="s">
        <v>23</v>
      </c>
      <c r="H453" s="17">
        <v>144.54</v>
      </c>
      <c r="I453" s="5">
        <v>227.6</v>
      </c>
      <c r="J453" s="21">
        <f t="shared" si="21"/>
        <v>0.57465061574650622</v>
      </c>
      <c r="K453" s="1">
        <v>2</v>
      </c>
      <c r="L453" s="24">
        <v>11.3</v>
      </c>
      <c r="M453" s="24">
        <v>216.21999999999997</v>
      </c>
      <c r="N453" s="21">
        <f t="shared" si="22"/>
        <v>0.49591808495918072</v>
      </c>
      <c r="P453" s="1">
        <v>6</v>
      </c>
      <c r="Q453" s="24">
        <v>22.759999999999991</v>
      </c>
      <c r="R453" s="24">
        <v>204.84</v>
      </c>
      <c r="S453" s="21">
        <f t="shared" si="23"/>
        <v>0.41718555417185565</v>
      </c>
    </row>
    <row r="454" spans="2:19" ht="11.4" customHeight="1" x14ac:dyDescent="0.2">
      <c r="B454" s="24"/>
      <c r="C454" s="4">
        <v>23854</v>
      </c>
      <c r="D454" s="18" t="s">
        <v>483</v>
      </c>
      <c r="E454" s="18" t="s">
        <v>407</v>
      </c>
      <c r="F454" s="17">
        <v>1</v>
      </c>
      <c r="G454" s="18" t="s">
        <v>23</v>
      </c>
      <c r="H454" s="17">
        <v>286.8</v>
      </c>
      <c r="I454" s="5">
        <v>259.89999999999998</v>
      </c>
      <c r="J454" s="21">
        <f t="shared" si="21"/>
        <v>-9.3793584379358558E-2</v>
      </c>
      <c r="K454" s="1">
        <v>2</v>
      </c>
      <c r="L454" s="24">
        <v>12.9</v>
      </c>
      <c r="M454" s="24">
        <v>246.90499999999997</v>
      </c>
      <c r="N454" s="21">
        <f t="shared" si="22"/>
        <v>-0.13910390516039065</v>
      </c>
      <c r="P454" s="1">
        <v>6</v>
      </c>
      <c r="Q454" s="24">
        <v>25.989999999999981</v>
      </c>
      <c r="R454" s="24">
        <v>233.91</v>
      </c>
      <c r="S454" s="21">
        <f t="shared" si="23"/>
        <v>-0.18441422594142265</v>
      </c>
    </row>
    <row r="455" spans="2:19" ht="11.4" customHeight="1" x14ac:dyDescent="0.2">
      <c r="B455" s="24"/>
      <c r="C455" s="4">
        <v>3277</v>
      </c>
      <c r="D455" s="18" t="s">
        <v>484</v>
      </c>
      <c r="E455" s="18" t="s">
        <v>407</v>
      </c>
      <c r="F455" s="17">
        <v>1</v>
      </c>
      <c r="G455" s="18" t="s">
        <v>23</v>
      </c>
      <c r="H455" s="17">
        <v>94.9</v>
      </c>
      <c r="I455" s="5">
        <v>106.9</v>
      </c>
      <c r="J455" s="21">
        <f t="shared" si="21"/>
        <v>0.12644889357218123</v>
      </c>
      <c r="K455" s="1">
        <v>2</v>
      </c>
      <c r="L455" s="24">
        <v>5.3</v>
      </c>
      <c r="M455" s="24">
        <v>101.55500000000001</v>
      </c>
      <c r="N455" s="21">
        <f t="shared" si="22"/>
        <v>7.0126448893572182E-2</v>
      </c>
      <c r="P455" s="1">
        <v>6</v>
      </c>
      <c r="Q455" s="24">
        <v>10.689999999999998</v>
      </c>
      <c r="R455" s="24">
        <v>96.210000000000008</v>
      </c>
      <c r="S455" s="21">
        <f t="shared" si="23"/>
        <v>1.3804004214963143E-2</v>
      </c>
    </row>
    <row r="456" spans="2:19" ht="11.4" customHeight="1" x14ac:dyDescent="0.2">
      <c r="B456" s="24"/>
      <c r="C456" s="4">
        <v>3280</v>
      </c>
      <c r="D456" s="18" t="s">
        <v>485</v>
      </c>
      <c r="E456" s="18" t="s">
        <v>407</v>
      </c>
      <c r="F456" s="17">
        <v>1</v>
      </c>
      <c r="G456" s="18" t="s">
        <v>23</v>
      </c>
      <c r="H456" s="17">
        <v>146.9</v>
      </c>
      <c r="I456" s="5">
        <v>153.6</v>
      </c>
      <c r="J456" s="21">
        <f t="shared" si="21"/>
        <v>4.560925799863845E-2</v>
      </c>
      <c r="K456" s="1">
        <v>2</v>
      </c>
      <c r="L456" s="24">
        <v>7.6</v>
      </c>
      <c r="M456" s="24">
        <v>145.91999999999999</v>
      </c>
      <c r="N456" s="21">
        <f t="shared" si="22"/>
        <v>-6.6712049012935207E-3</v>
      </c>
      <c r="P456" s="1">
        <v>6</v>
      </c>
      <c r="Q456" s="24">
        <v>15.359999999999985</v>
      </c>
      <c r="R456" s="24">
        <v>138.24</v>
      </c>
      <c r="S456" s="21">
        <f t="shared" si="23"/>
        <v>-5.8951667801225301E-2</v>
      </c>
    </row>
    <row r="457" spans="2:19" ht="11.4" customHeight="1" x14ac:dyDescent="0.2">
      <c r="B457" s="24"/>
      <c r="C457" s="4">
        <v>3279</v>
      </c>
      <c r="D457" s="18" t="s">
        <v>486</v>
      </c>
      <c r="E457" s="18" t="s">
        <v>407</v>
      </c>
      <c r="F457" s="17">
        <v>1</v>
      </c>
      <c r="G457" s="18" t="s">
        <v>23</v>
      </c>
      <c r="H457" s="17">
        <v>114.5</v>
      </c>
      <c r="I457" s="5">
        <v>123.8</v>
      </c>
      <c r="J457" s="21">
        <f t="shared" si="21"/>
        <v>8.1222707423580759E-2</v>
      </c>
      <c r="K457" s="1">
        <v>2</v>
      </c>
      <c r="L457" s="24">
        <v>6.1</v>
      </c>
      <c r="M457" s="24">
        <v>117.60999999999999</v>
      </c>
      <c r="N457" s="21">
        <f t="shared" si="22"/>
        <v>2.7161572052401616E-2</v>
      </c>
      <c r="P457" s="1">
        <v>6</v>
      </c>
      <c r="Q457" s="24">
        <v>12.379999999999995</v>
      </c>
      <c r="R457" s="24">
        <v>111.42</v>
      </c>
      <c r="S457" s="21">
        <f t="shared" si="23"/>
        <v>-2.6899563318777277E-2</v>
      </c>
    </row>
    <row r="458" spans="2:19" ht="11.4" customHeight="1" x14ac:dyDescent="0.2">
      <c r="B458" s="24"/>
      <c r="C458" s="4">
        <v>22437</v>
      </c>
      <c r="D458" s="18" t="s">
        <v>487</v>
      </c>
      <c r="E458" s="18" t="s">
        <v>407</v>
      </c>
      <c r="F458" s="17">
        <v>30</v>
      </c>
      <c r="G458" s="18" t="s">
        <v>23</v>
      </c>
      <c r="H458" s="17">
        <v>84.42</v>
      </c>
      <c r="I458" s="5">
        <v>125.5</v>
      </c>
      <c r="J458" s="21">
        <f t="shared" si="21"/>
        <v>0.48661454631603884</v>
      </c>
      <c r="K458" s="1">
        <v>2</v>
      </c>
      <c r="L458" s="24">
        <v>6.2</v>
      </c>
      <c r="M458" s="24">
        <v>119.22499999999999</v>
      </c>
      <c r="N458" s="21">
        <f t="shared" si="22"/>
        <v>0.41228381900023681</v>
      </c>
      <c r="P458" s="1">
        <v>6</v>
      </c>
      <c r="Q458" s="24">
        <v>12.549999999999997</v>
      </c>
      <c r="R458" s="24">
        <v>112.95</v>
      </c>
      <c r="S458" s="21">
        <f t="shared" si="23"/>
        <v>0.33795309168443499</v>
      </c>
    </row>
    <row r="459" spans="2:19" ht="11.4" customHeight="1" x14ac:dyDescent="0.2">
      <c r="B459" s="24"/>
      <c r="C459" s="4">
        <v>15673</v>
      </c>
      <c r="D459" s="18" t="s">
        <v>488</v>
      </c>
      <c r="E459" s="18" t="s">
        <v>407</v>
      </c>
      <c r="F459" s="17">
        <v>20</v>
      </c>
      <c r="G459" s="18" t="s">
        <v>23</v>
      </c>
      <c r="H459" s="17">
        <v>147.9</v>
      </c>
      <c r="I459" s="5">
        <v>192.6</v>
      </c>
      <c r="J459" s="21">
        <f t="shared" si="21"/>
        <v>0.30223123732251511</v>
      </c>
      <c r="K459" s="1">
        <v>2</v>
      </c>
      <c r="L459" s="24">
        <v>9.6</v>
      </c>
      <c r="M459" s="24">
        <v>182.97</v>
      </c>
      <c r="N459" s="21">
        <f t="shared" si="22"/>
        <v>0.2371196754563894</v>
      </c>
      <c r="P459" s="1">
        <v>6</v>
      </c>
      <c r="Q459" s="24">
        <v>19.259999999999991</v>
      </c>
      <c r="R459" s="24">
        <v>173.34</v>
      </c>
      <c r="S459" s="21">
        <f t="shared" si="23"/>
        <v>0.17200811359026366</v>
      </c>
    </row>
    <row r="460" spans="2:19" ht="11.4" customHeight="1" x14ac:dyDescent="0.2">
      <c r="B460" s="24"/>
      <c r="C460" s="4">
        <v>22423</v>
      </c>
      <c r="D460" s="18" t="s">
        <v>489</v>
      </c>
      <c r="E460" s="18" t="s">
        <v>407</v>
      </c>
      <c r="F460" s="17">
        <v>20</v>
      </c>
      <c r="G460" s="18" t="s">
        <v>23</v>
      </c>
      <c r="H460" s="17">
        <v>160.26</v>
      </c>
      <c r="I460" s="5">
        <v>227.6</v>
      </c>
      <c r="J460" s="21">
        <f t="shared" si="21"/>
        <v>0.42019218769499567</v>
      </c>
      <c r="K460" s="1">
        <v>2</v>
      </c>
      <c r="L460" s="24">
        <v>11.3</v>
      </c>
      <c r="M460" s="24">
        <v>216.21999999999997</v>
      </c>
      <c r="N460" s="21">
        <f t="shared" si="22"/>
        <v>0.34918257831024574</v>
      </c>
      <c r="P460" s="1">
        <v>6</v>
      </c>
      <c r="Q460" s="24">
        <v>22.759999999999991</v>
      </c>
      <c r="R460" s="24">
        <v>204.84</v>
      </c>
      <c r="S460" s="21">
        <f t="shared" si="23"/>
        <v>0.27817296892549614</v>
      </c>
    </row>
    <row r="461" spans="2:19" ht="11.4" customHeight="1" x14ac:dyDescent="0.2">
      <c r="B461" s="24"/>
      <c r="C461" s="4">
        <v>42406</v>
      </c>
      <c r="D461" s="18" t="s">
        <v>490</v>
      </c>
      <c r="E461" s="18" t="s">
        <v>407</v>
      </c>
      <c r="F461" s="17">
        <v>12</v>
      </c>
      <c r="G461" s="18" t="s">
        <v>23</v>
      </c>
      <c r="H461" s="17">
        <v>118.98</v>
      </c>
      <c r="I461" s="5">
        <v>166.6</v>
      </c>
      <c r="J461" s="21">
        <f t="shared" si="21"/>
        <v>0.40023533366952418</v>
      </c>
      <c r="K461" s="1">
        <v>2</v>
      </c>
      <c r="L461" s="24">
        <v>8.3000000000000007</v>
      </c>
      <c r="M461" s="24">
        <v>158.26999999999998</v>
      </c>
      <c r="N461" s="21">
        <f t="shared" si="22"/>
        <v>0.33022356698604788</v>
      </c>
      <c r="P461" s="1">
        <v>6</v>
      </c>
      <c r="Q461" s="24">
        <v>16.659999999999997</v>
      </c>
      <c r="R461" s="24">
        <v>149.94</v>
      </c>
      <c r="S461" s="21">
        <f t="shared" si="23"/>
        <v>0.26021180030257179</v>
      </c>
    </row>
    <row r="462" spans="2:19" ht="11.4" customHeight="1" x14ac:dyDescent="0.2">
      <c r="B462" s="24"/>
      <c r="C462" s="4">
        <v>42035</v>
      </c>
      <c r="D462" s="18" t="s">
        <v>491</v>
      </c>
      <c r="E462" s="18" t="s">
        <v>407</v>
      </c>
      <c r="F462" s="17">
        <v>25</v>
      </c>
      <c r="G462" s="18" t="s">
        <v>23</v>
      </c>
      <c r="H462" s="17">
        <v>39.06</v>
      </c>
      <c r="I462" s="5">
        <v>45.9</v>
      </c>
      <c r="J462" s="21">
        <f t="shared" si="21"/>
        <v>0.1751152073732718</v>
      </c>
      <c r="K462" s="1">
        <v>2</v>
      </c>
      <c r="L462" s="24">
        <v>2.2000000000000002</v>
      </c>
      <c r="M462" s="24">
        <v>43.604999999999997</v>
      </c>
      <c r="N462" s="21">
        <f t="shared" si="22"/>
        <v>0.11635944700460815</v>
      </c>
      <c r="P462" s="1">
        <v>6</v>
      </c>
      <c r="Q462" s="24">
        <v>4.5899999999999963</v>
      </c>
      <c r="R462" s="24">
        <v>41.31</v>
      </c>
      <c r="S462" s="21">
        <f t="shared" si="23"/>
        <v>5.7603686635944694E-2</v>
      </c>
    </row>
    <row r="463" spans="2:19" ht="11.4" customHeight="1" x14ac:dyDescent="0.2">
      <c r="B463" s="24"/>
      <c r="C463" s="4">
        <v>41589</v>
      </c>
      <c r="D463" s="18" t="s">
        <v>492</v>
      </c>
      <c r="E463" s="18" t="s">
        <v>407</v>
      </c>
      <c r="F463" s="17">
        <v>24</v>
      </c>
      <c r="G463" s="18" t="s">
        <v>23</v>
      </c>
      <c r="H463" s="17">
        <v>76.56</v>
      </c>
      <c r="I463" s="5">
        <v>93.4</v>
      </c>
      <c r="J463" s="21">
        <f t="shared" si="21"/>
        <v>0.21995820271682345</v>
      </c>
      <c r="K463" s="1">
        <v>2</v>
      </c>
      <c r="L463" s="24">
        <v>4.5999999999999996</v>
      </c>
      <c r="M463" s="24">
        <v>88.73</v>
      </c>
      <c r="N463" s="21">
        <f t="shared" si="22"/>
        <v>0.15896029258098227</v>
      </c>
      <c r="P463" s="1">
        <v>6</v>
      </c>
      <c r="Q463" s="24">
        <v>9.3400000000000034</v>
      </c>
      <c r="R463" s="24">
        <v>84.06</v>
      </c>
      <c r="S463" s="21">
        <f t="shared" si="23"/>
        <v>9.7962382445141064E-2</v>
      </c>
    </row>
    <row r="464" spans="2:19" ht="11.4" customHeight="1" x14ac:dyDescent="0.2">
      <c r="B464" s="24"/>
      <c r="C464" s="4">
        <v>39157</v>
      </c>
      <c r="D464" s="18" t="s">
        <v>493</v>
      </c>
      <c r="E464" s="18" t="s">
        <v>407</v>
      </c>
      <c r="F464" s="17">
        <v>6</v>
      </c>
      <c r="G464" s="18" t="s">
        <v>23</v>
      </c>
      <c r="H464" s="17">
        <v>157.5</v>
      </c>
      <c r="I464" s="5">
        <v>166.6</v>
      </c>
      <c r="J464" s="21">
        <f t="shared" si="21"/>
        <v>5.777777777777774E-2</v>
      </c>
      <c r="K464" s="1">
        <v>2</v>
      </c>
      <c r="L464" s="24">
        <v>8.3000000000000007</v>
      </c>
      <c r="M464" s="24">
        <v>158.26999999999998</v>
      </c>
      <c r="N464" s="21">
        <f t="shared" si="22"/>
        <v>4.8888888888887734E-3</v>
      </c>
      <c r="P464" s="1">
        <v>6</v>
      </c>
      <c r="Q464" s="24">
        <v>16.659999999999997</v>
      </c>
      <c r="R464" s="24">
        <v>149.94</v>
      </c>
      <c r="S464" s="21">
        <f t="shared" si="23"/>
        <v>-4.8000000000000015E-2</v>
      </c>
    </row>
    <row r="465" spans="2:19" ht="11.4" customHeight="1" x14ac:dyDescent="0.2">
      <c r="B465" s="24"/>
      <c r="C465" s="4">
        <v>42036</v>
      </c>
      <c r="D465" s="18" t="s">
        <v>494</v>
      </c>
      <c r="E465" s="18" t="s">
        <v>407</v>
      </c>
      <c r="F465" s="17">
        <v>25</v>
      </c>
      <c r="G465" s="18" t="s">
        <v>23</v>
      </c>
      <c r="H465" s="17">
        <v>39.06</v>
      </c>
      <c r="I465" s="5">
        <v>45.9</v>
      </c>
      <c r="J465" s="21">
        <f t="shared" si="21"/>
        <v>0.1751152073732718</v>
      </c>
      <c r="K465" s="1">
        <v>2</v>
      </c>
      <c r="L465" s="24">
        <v>2.2000000000000002</v>
      </c>
      <c r="M465" s="24">
        <v>43.604999999999997</v>
      </c>
      <c r="N465" s="21">
        <f t="shared" si="22"/>
        <v>0.11635944700460815</v>
      </c>
      <c r="P465" s="1">
        <v>6</v>
      </c>
      <c r="Q465" s="24">
        <v>4.5899999999999963</v>
      </c>
      <c r="R465" s="24">
        <v>41.31</v>
      </c>
      <c r="S465" s="21">
        <f t="shared" si="23"/>
        <v>5.7603686635944694E-2</v>
      </c>
    </row>
    <row r="466" spans="2:19" ht="11.4" customHeight="1" x14ac:dyDescent="0.2">
      <c r="B466" s="24"/>
      <c r="C466" s="4">
        <v>41590</v>
      </c>
      <c r="D466" s="18" t="s">
        <v>495</v>
      </c>
      <c r="E466" s="18" t="s">
        <v>407</v>
      </c>
      <c r="F466" s="17">
        <v>24</v>
      </c>
      <c r="G466" s="18" t="s">
        <v>23</v>
      </c>
      <c r="H466" s="17">
        <v>76.56</v>
      </c>
      <c r="I466" s="5">
        <v>95.7</v>
      </c>
      <c r="J466" s="21">
        <f t="shared" si="21"/>
        <v>0.25</v>
      </c>
      <c r="K466" s="1">
        <v>2</v>
      </c>
      <c r="L466" s="24">
        <v>4.7</v>
      </c>
      <c r="M466" s="24">
        <v>90.914999999999992</v>
      </c>
      <c r="N466" s="21">
        <f t="shared" si="22"/>
        <v>0.18749999999999986</v>
      </c>
      <c r="P466" s="1">
        <v>6</v>
      </c>
      <c r="Q466" s="24">
        <v>9.5699999999999932</v>
      </c>
      <c r="R466" s="24">
        <v>86.13000000000001</v>
      </c>
      <c r="S466" s="21">
        <f t="shared" si="23"/>
        <v>0.12500000000000008</v>
      </c>
    </row>
    <row r="467" spans="2:19" ht="11.4" customHeight="1" x14ac:dyDescent="0.2">
      <c r="B467" s="24"/>
      <c r="C467" s="4">
        <v>39158</v>
      </c>
      <c r="D467" s="18" t="s">
        <v>496</v>
      </c>
      <c r="E467" s="18" t="s">
        <v>407</v>
      </c>
      <c r="F467" s="17">
        <v>6</v>
      </c>
      <c r="G467" s="18" t="s">
        <v>23</v>
      </c>
      <c r="H467" s="17">
        <v>157.5</v>
      </c>
      <c r="I467" s="5">
        <v>166.6</v>
      </c>
      <c r="J467" s="21">
        <f t="shared" si="21"/>
        <v>5.777777777777774E-2</v>
      </c>
      <c r="K467" s="1">
        <v>2</v>
      </c>
      <c r="L467" s="24">
        <v>8.3000000000000007</v>
      </c>
      <c r="M467" s="24">
        <v>158.26999999999998</v>
      </c>
      <c r="N467" s="21">
        <f t="shared" si="22"/>
        <v>4.8888888888887734E-3</v>
      </c>
      <c r="P467" s="1">
        <v>6</v>
      </c>
      <c r="Q467" s="24">
        <v>16.659999999999997</v>
      </c>
      <c r="R467" s="24">
        <v>149.94</v>
      </c>
      <c r="S467" s="21">
        <f t="shared" si="23"/>
        <v>-4.8000000000000015E-2</v>
      </c>
    </row>
    <row r="468" spans="2:19" ht="11.4" customHeight="1" x14ac:dyDescent="0.2">
      <c r="B468" s="24"/>
      <c r="C468" s="4">
        <v>42407</v>
      </c>
      <c r="D468" s="18" t="s">
        <v>497</v>
      </c>
      <c r="E468" s="18" t="s">
        <v>407</v>
      </c>
      <c r="F468" s="17">
        <v>12</v>
      </c>
      <c r="G468" s="18" t="s">
        <v>23</v>
      </c>
      <c r="H468" s="17">
        <v>111.18</v>
      </c>
      <c r="I468" s="5">
        <v>166.6</v>
      </c>
      <c r="J468" s="21">
        <f t="shared" si="21"/>
        <v>0.4984709480122323</v>
      </c>
      <c r="K468" s="1">
        <v>2</v>
      </c>
      <c r="L468" s="24">
        <v>8.3000000000000007</v>
      </c>
      <c r="M468" s="24">
        <v>158.26999999999998</v>
      </c>
      <c r="N468" s="21">
        <f t="shared" si="22"/>
        <v>0.42354740061162055</v>
      </c>
      <c r="P468" s="1">
        <v>6</v>
      </c>
      <c r="Q468" s="24">
        <v>16.659999999999997</v>
      </c>
      <c r="R468" s="24">
        <v>149.94</v>
      </c>
      <c r="S468" s="21">
        <f t="shared" si="23"/>
        <v>0.34862385321100908</v>
      </c>
    </row>
    <row r="469" spans="2:19" ht="11.4" customHeight="1" x14ac:dyDescent="0.2">
      <c r="B469" s="24"/>
      <c r="C469" s="4">
        <v>47461</v>
      </c>
      <c r="D469" s="18" t="s">
        <v>498</v>
      </c>
      <c r="E469" s="18" t="s">
        <v>407</v>
      </c>
      <c r="F469" s="17">
        <v>12</v>
      </c>
      <c r="G469" s="18" t="s">
        <v>23</v>
      </c>
      <c r="H469" s="17">
        <v>130.08000000000001</v>
      </c>
      <c r="I469" s="5">
        <v>179.9</v>
      </c>
      <c r="J469" s="21">
        <f t="shared" si="21"/>
        <v>0.3829950799507994</v>
      </c>
      <c r="K469" s="1">
        <v>2</v>
      </c>
      <c r="L469" s="24">
        <v>8.9</v>
      </c>
      <c r="M469" s="24">
        <v>170.905</v>
      </c>
      <c r="N469" s="21">
        <f t="shared" si="22"/>
        <v>0.31384532595325942</v>
      </c>
      <c r="P469" s="1">
        <v>6</v>
      </c>
      <c r="Q469" s="24">
        <v>17.990000000000009</v>
      </c>
      <c r="R469" s="24">
        <v>161.91</v>
      </c>
      <c r="S469" s="21">
        <f t="shared" si="23"/>
        <v>0.24469557195571942</v>
      </c>
    </row>
    <row r="470" spans="2:19" ht="11.4" customHeight="1" x14ac:dyDescent="0.2">
      <c r="B470" s="24"/>
      <c r="C470" s="4">
        <v>47459</v>
      </c>
      <c r="D470" s="18" t="s">
        <v>499</v>
      </c>
      <c r="E470" s="18" t="s">
        <v>407</v>
      </c>
      <c r="F470" s="17">
        <v>12</v>
      </c>
      <c r="G470" s="18" t="s">
        <v>23</v>
      </c>
      <c r="H470" s="17">
        <v>130.08000000000001</v>
      </c>
      <c r="I470" s="5">
        <v>179.9</v>
      </c>
      <c r="J470" s="21">
        <f t="shared" si="21"/>
        <v>0.3829950799507994</v>
      </c>
      <c r="K470" s="1">
        <v>2</v>
      </c>
      <c r="L470" s="24">
        <v>8.9</v>
      </c>
      <c r="M470" s="24">
        <v>170.905</v>
      </c>
      <c r="N470" s="21">
        <f t="shared" si="22"/>
        <v>0.31384532595325942</v>
      </c>
      <c r="P470" s="1">
        <v>6</v>
      </c>
      <c r="Q470" s="24">
        <v>17.990000000000009</v>
      </c>
      <c r="R470" s="24">
        <v>161.91</v>
      </c>
      <c r="S470" s="21">
        <f t="shared" si="23"/>
        <v>0.24469557195571942</v>
      </c>
    </row>
    <row r="471" spans="2:19" ht="11.4" customHeight="1" x14ac:dyDescent="0.2">
      <c r="B471" s="24"/>
      <c r="C471" s="4">
        <v>47460</v>
      </c>
      <c r="D471" s="18" t="s">
        <v>500</v>
      </c>
      <c r="E471" s="18" t="s">
        <v>407</v>
      </c>
      <c r="F471" s="17">
        <v>12</v>
      </c>
      <c r="G471" s="18" t="s">
        <v>23</v>
      </c>
      <c r="H471" s="17">
        <v>130.08000000000001</v>
      </c>
      <c r="I471" s="5">
        <v>179.9</v>
      </c>
      <c r="J471" s="21">
        <f t="shared" si="21"/>
        <v>0.3829950799507994</v>
      </c>
      <c r="K471" s="1">
        <v>2</v>
      </c>
      <c r="L471" s="24">
        <v>8.9</v>
      </c>
      <c r="M471" s="24">
        <v>170.905</v>
      </c>
      <c r="N471" s="21">
        <f t="shared" si="22"/>
        <v>0.31384532595325942</v>
      </c>
      <c r="P471" s="1">
        <v>6</v>
      </c>
      <c r="Q471" s="24">
        <v>17.990000000000009</v>
      </c>
      <c r="R471" s="24">
        <v>161.91</v>
      </c>
      <c r="S471" s="21">
        <f t="shared" si="23"/>
        <v>0.24469557195571942</v>
      </c>
    </row>
    <row r="472" spans="2:19" ht="11.4" customHeight="1" x14ac:dyDescent="0.2">
      <c r="B472" s="24"/>
      <c r="C472" s="4">
        <v>43266</v>
      </c>
      <c r="D472" s="18" t="s">
        <v>501</v>
      </c>
      <c r="E472" s="18" t="s">
        <v>407</v>
      </c>
      <c r="F472" s="17">
        <v>20</v>
      </c>
      <c r="G472" s="18" t="s">
        <v>23</v>
      </c>
      <c r="H472" s="17">
        <v>51.96</v>
      </c>
      <c r="I472" s="5">
        <v>64.900000000000006</v>
      </c>
      <c r="J472" s="21">
        <f t="shared" si="21"/>
        <v>0.24903772132409555</v>
      </c>
      <c r="K472" s="1">
        <v>2</v>
      </c>
      <c r="L472" s="24">
        <v>3.2</v>
      </c>
      <c r="M472" s="24">
        <v>61.655000000000001</v>
      </c>
      <c r="N472" s="21">
        <f t="shared" si="22"/>
        <v>0.18658583525789069</v>
      </c>
      <c r="P472" s="1">
        <v>6</v>
      </c>
      <c r="Q472" s="24">
        <v>6.490000000000002</v>
      </c>
      <c r="R472" s="24">
        <v>58.410000000000004</v>
      </c>
      <c r="S472" s="21">
        <f t="shared" si="23"/>
        <v>0.12413394919168597</v>
      </c>
    </row>
    <row r="473" spans="2:19" ht="11.4" customHeight="1" x14ac:dyDescent="0.2">
      <c r="B473" s="24"/>
      <c r="C473" s="4">
        <v>39736</v>
      </c>
      <c r="D473" s="18" t="s">
        <v>502</v>
      </c>
      <c r="E473" s="18" t="s">
        <v>391</v>
      </c>
      <c r="F473" s="17">
        <v>1</v>
      </c>
      <c r="G473" s="18" t="s">
        <v>23</v>
      </c>
      <c r="H473" s="17">
        <v>601.86</v>
      </c>
      <c r="I473" s="5">
        <v>782.5</v>
      </c>
      <c r="J473" s="21">
        <f t="shared" si="21"/>
        <v>0.3001362443093078</v>
      </c>
      <c r="K473" s="1">
        <v>2</v>
      </c>
      <c r="L473" s="24">
        <v>39.1</v>
      </c>
      <c r="M473" s="24">
        <v>743.375</v>
      </c>
      <c r="N473" s="21">
        <f t="shared" si="22"/>
        <v>0.23512943209384241</v>
      </c>
      <c r="P473" s="1">
        <v>6</v>
      </c>
      <c r="Q473" s="24">
        <v>78.25</v>
      </c>
      <c r="R473" s="24">
        <v>704.25</v>
      </c>
      <c r="S473" s="21">
        <f t="shared" si="23"/>
        <v>0.17012261987837701</v>
      </c>
    </row>
    <row r="474" spans="2:19" ht="11.4" customHeight="1" x14ac:dyDescent="0.2">
      <c r="B474" s="24"/>
      <c r="C474" s="4">
        <v>44534</v>
      </c>
      <c r="D474" s="18" t="s">
        <v>503</v>
      </c>
      <c r="E474" s="18" t="s">
        <v>391</v>
      </c>
      <c r="F474" s="17">
        <v>15</v>
      </c>
      <c r="G474" s="18" t="s">
        <v>23</v>
      </c>
      <c r="H474" s="17">
        <v>127.26</v>
      </c>
      <c r="I474" s="5">
        <v>189.9</v>
      </c>
      <c r="J474" s="21">
        <f t="shared" si="21"/>
        <v>0.49222065063649223</v>
      </c>
      <c r="K474" s="1">
        <v>2</v>
      </c>
      <c r="L474" s="24">
        <v>9.4</v>
      </c>
      <c r="M474" s="24">
        <v>180.405</v>
      </c>
      <c r="N474" s="21">
        <f t="shared" si="22"/>
        <v>0.41760961810466757</v>
      </c>
      <c r="P474" s="1">
        <v>6</v>
      </c>
      <c r="Q474" s="24">
        <v>18.990000000000009</v>
      </c>
      <c r="R474" s="24">
        <v>170.91</v>
      </c>
      <c r="S474" s="21">
        <f t="shared" si="23"/>
        <v>0.34299858557284291</v>
      </c>
    </row>
    <row r="475" spans="2:19" ht="11.4" customHeight="1" x14ac:dyDescent="0.2">
      <c r="B475" s="24"/>
      <c r="C475" s="4">
        <v>42024</v>
      </c>
      <c r="D475" s="18" t="s">
        <v>504</v>
      </c>
      <c r="E475" s="18" t="s">
        <v>391</v>
      </c>
      <c r="F475" s="18"/>
      <c r="G475" s="18" t="s">
        <v>23</v>
      </c>
      <c r="H475" s="17">
        <v>125.88</v>
      </c>
      <c r="I475" s="5">
        <v>169.9</v>
      </c>
      <c r="J475" s="21">
        <f t="shared" si="21"/>
        <v>0.34969812519860194</v>
      </c>
      <c r="K475" s="1">
        <v>2</v>
      </c>
      <c r="L475" s="24">
        <v>8.4</v>
      </c>
      <c r="M475" s="24">
        <v>161.405</v>
      </c>
      <c r="N475" s="21">
        <f t="shared" si="22"/>
        <v>0.28221321893867179</v>
      </c>
      <c r="P475" s="1">
        <v>6</v>
      </c>
      <c r="Q475" s="24">
        <v>16.990000000000009</v>
      </c>
      <c r="R475" s="24">
        <v>152.91</v>
      </c>
      <c r="S475" s="21">
        <f t="shared" si="23"/>
        <v>0.21472831267874168</v>
      </c>
    </row>
    <row r="476" spans="2:19" ht="11.4" customHeight="1" x14ac:dyDescent="0.2">
      <c r="B476" s="24"/>
      <c r="C476" s="4">
        <v>44533</v>
      </c>
      <c r="D476" s="18" t="s">
        <v>505</v>
      </c>
      <c r="E476" s="18" t="s">
        <v>391</v>
      </c>
      <c r="F476" s="17">
        <v>15</v>
      </c>
      <c r="G476" s="18" t="s">
        <v>23</v>
      </c>
      <c r="H476" s="17">
        <v>121.26</v>
      </c>
      <c r="I476" s="5">
        <v>189.9</v>
      </c>
      <c r="J476" s="21">
        <f t="shared" si="21"/>
        <v>0.56605640771895105</v>
      </c>
      <c r="K476" s="1">
        <v>2</v>
      </c>
      <c r="L476" s="24">
        <v>9.4</v>
      </c>
      <c r="M476" s="24">
        <v>180.405</v>
      </c>
      <c r="N476" s="21">
        <f t="shared" si="22"/>
        <v>0.48775358733300339</v>
      </c>
      <c r="P476" s="1">
        <v>6</v>
      </c>
      <c r="Q476" s="24">
        <v>18.990000000000009</v>
      </c>
      <c r="R476" s="24">
        <v>170.91</v>
      </c>
      <c r="S476" s="21">
        <f t="shared" si="23"/>
        <v>0.40945076694705584</v>
      </c>
    </row>
    <row r="477" spans="2:19" ht="11.4" customHeight="1" x14ac:dyDescent="0.2">
      <c r="B477" s="24"/>
      <c r="C477" s="4">
        <v>42792</v>
      </c>
      <c r="D477" s="18" t="s">
        <v>506</v>
      </c>
      <c r="E477" s="18" t="s">
        <v>407</v>
      </c>
      <c r="F477" s="17">
        <v>16</v>
      </c>
      <c r="G477" s="18" t="s">
        <v>23</v>
      </c>
      <c r="H477" s="17">
        <v>85.62</v>
      </c>
      <c r="I477" s="5">
        <v>227.6</v>
      </c>
      <c r="J477" s="21">
        <f t="shared" si="21"/>
        <v>1.6582574164914738</v>
      </c>
      <c r="K477" s="1">
        <v>2</v>
      </c>
      <c r="L477" s="24">
        <v>11.3</v>
      </c>
      <c r="M477" s="24">
        <v>216.21999999999997</v>
      </c>
      <c r="N477" s="21">
        <f t="shared" si="22"/>
        <v>1.5253445456668997</v>
      </c>
      <c r="P477" s="1">
        <v>6</v>
      </c>
      <c r="Q477" s="24">
        <v>22.759999999999991</v>
      </c>
      <c r="R477" s="24">
        <v>204.84</v>
      </c>
      <c r="S477" s="21">
        <f t="shared" si="23"/>
        <v>1.3924316748423264</v>
      </c>
    </row>
    <row r="478" spans="2:19" ht="11.4" customHeight="1" x14ac:dyDescent="0.2">
      <c r="B478" s="24"/>
      <c r="C478" s="4">
        <v>11310</v>
      </c>
      <c r="D478" s="18" t="s">
        <v>507</v>
      </c>
      <c r="E478" s="18" t="s">
        <v>407</v>
      </c>
      <c r="F478" s="18"/>
      <c r="G478" s="18" t="s">
        <v>23</v>
      </c>
      <c r="H478" s="17">
        <v>68.94</v>
      </c>
      <c r="I478" s="5">
        <v>97.5</v>
      </c>
      <c r="J478" s="21">
        <f t="shared" si="21"/>
        <v>0.41427328111401224</v>
      </c>
      <c r="K478" s="1">
        <v>2</v>
      </c>
      <c r="L478" s="24">
        <v>4.8</v>
      </c>
      <c r="M478" s="24">
        <v>92.625</v>
      </c>
      <c r="N478" s="21">
        <f t="shared" si="22"/>
        <v>0.34355961705831162</v>
      </c>
      <c r="P478" s="1">
        <v>6</v>
      </c>
      <c r="Q478" s="24">
        <v>9.75</v>
      </c>
      <c r="R478" s="24">
        <v>87.75</v>
      </c>
      <c r="S478" s="21">
        <f t="shared" si="23"/>
        <v>0.272845953002611</v>
      </c>
    </row>
    <row r="479" spans="2:19" ht="11.4" customHeight="1" x14ac:dyDescent="0.2">
      <c r="B479" s="24"/>
      <c r="C479" s="4">
        <v>11323</v>
      </c>
      <c r="D479" s="18" t="s">
        <v>508</v>
      </c>
      <c r="E479" s="18" t="s">
        <v>407</v>
      </c>
      <c r="F479" s="18"/>
      <c r="G479" s="18" t="s">
        <v>23</v>
      </c>
      <c r="H479" s="17">
        <v>155.69999999999999</v>
      </c>
      <c r="I479" s="5">
        <v>177.9</v>
      </c>
      <c r="J479" s="21">
        <f t="shared" si="21"/>
        <v>0.14258188824662826</v>
      </c>
      <c r="K479" s="1">
        <v>2</v>
      </c>
      <c r="L479" s="24">
        <v>8.8000000000000007</v>
      </c>
      <c r="M479" s="24">
        <v>169.005</v>
      </c>
      <c r="N479" s="21">
        <f t="shared" si="22"/>
        <v>8.545279383429677E-2</v>
      </c>
      <c r="P479" s="1">
        <v>6</v>
      </c>
      <c r="Q479" s="24">
        <v>17.789999999999992</v>
      </c>
      <c r="R479" s="24">
        <v>160.11000000000001</v>
      </c>
      <c r="S479" s="21">
        <f t="shared" si="23"/>
        <v>2.8323699421965481E-2</v>
      </c>
    </row>
    <row r="480" spans="2:19" ht="11.4" customHeight="1" x14ac:dyDescent="0.2">
      <c r="B480" s="24"/>
      <c r="C480" s="4">
        <v>37294</v>
      </c>
      <c r="D480" s="18" t="s">
        <v>509</v>
      </c>
      <c r="E480" s="18" t="s">
        <v>346</v>
      </c>
      <c r="F480" s="17">
        <v>1</v>
      </c>
      <c r="G480" s="18" t="s">
        <v>23</v>
      </c>
      <c r="H480" s="17">
        <v>582.67999999999995</v>
      </c>
      <c r="I480" s="5">
        <v>649.29999999999995</v>
      </c>
      <c r="J480" s="21">
        <f t="shared" si="21"/>
        <v>0.11433376810599302</v>
      </c>
      <c r="K480" s="1">
        <v>2</v>
      </c>
      <c r="L480" s="24">
        <v>32.4</v>
      </c>
      <c r="M480" s="24">
        <v>616.83499999999992</v>
      </c>
      <c r="N480" s="21">
        <f t="shared" si="22"/>
        <v>5.8617079700693304E-2</v>
      </c>
      <c r="P480" s="1">
        <v>6</v>
      </c>
      <c r="Q480" s="24">
        <v>64.92999999999995</v>
      </c>
      <c r="R480" s="24">
        <v>584.37</v>
      </c>
      <c r="S480" s="21">
        <f t="shared" si="23"/>
        <v>2.9003912953937919E-3</v>
      </c>
    </row>
    <row r="481" spans="2:19" ht="11.4" customHeight="1" x14ac:dyDescent="0.2">
      <c r="B481" s="24"/>
      <c r="C481" s="4">
        <v>37293</v>
      </c>
      <c r="D481" s="18" t="s">
        <v>510</v>
      </c>
      <c r="E481" s="18" t="s">
        <v>346</v>
      </c>
      <c r="F481" s="17">
        <v>1</v>
      </c>
      <c r="G481" s="18" t="s">
        <v>23</v>
      </c>
      <c r="H481" s="17">
        <v>440</v>
      </c>
      <c r="I481" s="5">
        <v>510.5</v>
      </c>
      <c r="J481" s="21">
        <f t="shared" si="21"/>
        <v>0.16022727272727272</v>
      </c>
      <c r="K481" s="1">
        <v>2</v>
      </c>
      <c r="L481" s="24">
        <v>25.5</v>
      </c>
      <c r="M481" s="24">
        <v>484.97499999999997</v>
      </c>
      <c r="N481" s="21">
        <f t="shared" si="22"/>
        <v>0.10221590909090901</v>
      </c>
      <c r="P481" s="1">
        <v>6</v>
      </c>
      <c r="Q481" s="24">
        <v>51.050000000000011</v>
      </c>
      <c r="R481" s="24">
        <v>459.45</v>
      </c>
      <c r="S481" s="21">
        <f t="shared" si="23"/>
        <v>4.4204545454545427E-2</v>
      </c>
    </row>
    <row r="482" spans="2:19" ht="11.4" customHeight="1" x14ac:dyDescent="0.2">
      <c r="B482" s="24"/>
      <c r="C482" s="4">
        <v>35997</v>
      </c>
      <c r="D482" s="18" t="s">
        <v>511</v>
      </c>
      <c r="E482" s="18" t="s">
        <v>346</v>
      </c>
      <c r="F482" s="17">
        <v>1</v>
      </c>
      <c r="G482" s="18" t="s">
        <v>23</v>
      </c>
      <c r="H482" s="17">
        <v>224.9</v>
      </c>
      <c r="I482" s="5">
        <v>279.89999999999998</v>
      </c>
      <c r="J482" s="21">
        <f t="shared" si="21"/>
        <v>0.244553134726545</v>
      </c>
      <c r="K482" s="1">
        <v>2</v>
      </c>
      <c r="L482" s="24">
        <v>13.9</v>
      </c>
      <c r="M482" s="24">
        <v>265.90499999999997</v>
      </c>
      <c r="N482" s="21">
        <f t="shared" si="22"/>
        <v>0.18232547799021773</v>
      </c>
      <c r="P482" s="1">
        <v>6</v>
      </c>
      <c r="Q482" s="24">
        <v>27.989999999999981</v>
      </c>
      <c r="R482" s="24">
        <v>251.91</v>
      </c>
      <c r="S482" s="21">
        <f t="shared" si="23"/>
        <v>0.12009782125389057</v>
      </c>
    </row>
    <row r="483" spans="2:19" ht="11.4" customHeight="1" x14ac:dyDescent="0.2">
      <c r="B483" s="24"/>
      <c r="C483" s="4">
        <v>47777</v>
      </c>
      <c r="D483" s="18" t="s">
        <v>512</v>
      </c>
      <c r="E483" s="18" t="s">
        <v>346</v>
      </c>
      <c r="F483" s="17">
        <v>6</v>
      </c>
      <c r="G483" s="18" t="s">
        <v>23</v>
      </c>
      <c r="H483" s="19">
        <v>2124.1799999999998</v>
      </c>
      <c r="I483" s="6">
        <v>3999</v>
      </c>
      <c r="J483" s="21">
        <f t="shared" si="21"/>
        <v>0.88260881846171246</v>
      </c>
      <c r="K483" s="1">
        <v>2</v>
      </c>
      <c r="L483" s="24">
        <v>199.9</v>
      </c>
      <c r="M483" s="24">
        <v>3799.0499999999997</v>
      </c>
      <c r="N483" s="21">
        <f t="shared" si="22"/>
        <v>0.78847837753862671</v>
      </c>
      <c r="P483" s="1">
        <v>6</v>
      </c>
      <c r="Q483" s="24">
        <v>399.90000000000009</v>
      </c>
      <c r="R483" s="24">
        <v>3599.1</v>
      </c>
      <c r="S483" s="21">
        <f t="shared" si="23"/>
        <v>0.69434793661554117</v>
      </c>
    </row>
    <row r="484" spans="2:19" ht="11.4" customHeight="1" x14ac:dyDescent="0.2">
      <c r="B484" s="24"/>
      <c r="C484" s="4">
        <v>4316</v>
      </c>
      <c r="D484" s="18" t="s">
        <v>513</v>
      </c>
      <c r="E484" s="18" t="s">
        <v>346</v>
      </c>
      <c r="F484" s="17">
        <v>1</v>
      </c>
      <c r="G484" s="18" t="s">
        <v>23</v>
      </c>
      <c r="H484" s="17">
        <v>338.2</v>
      </c>
      <c r="I484" s="5">
        <v>397.5</v>
      </c>
      <c r="J484" s="21">
        <f t="shared" si="21"/>
        <v>0.17534003548196336</v>
      </c>
      <c r="K484" s="1">
        <v>2</v>
      </c>
      <c r="L484" s="24">
        <v>19.8</v>
      </c>
      <c r="M484" s="24">
        <v>377.625</v>
      </c>
      <c r="N484" s="21">
        <f t="shared" si="22"/>
        <v>0.1165730337078652</v>
      </c>
      <c r="P484" s="1">
        <v>6</v>
      </c>
      <c r="Q484" s="24">
        <v>39.75</v>
      </c>
      <c r="R484" s="24">
        <v>357.75</v>
      </c>
      <c r="S484" s="21">
        <f t="shared" si="23"/>
        <v>5.7806031933767037E-2</v>
      </c>
    </row>
    <row r="485" spans="2:19" ht="11.4" customHeight="1" x14ac:dyDescent="0.2">
      <c r="B485" s="24"/>
      <c r="C485" s="4">
        <v>47776</v>
      </c>
      <c r="D485" s="18" t="s">
        <v>514</v>
      </c>
      <c r="E485" s="18" t="s">
        <v>346</v>
      </c>
      <c r="F485" s="17">
        <v>6</v>
      </c>
      <c r="G485" s="18" t="s">
        <v>23</v>
      </c>
      <c r="H485" s="19">
        <v>1555.2</v>
      </c>
      <c r="I485" s="6">
        <v>1899</v>
      </c>
      <c r="J485" s="21">
        <f t="shared" si="21"/>
        <v>0.22106481481481477</v>
      </c>
      <c r="K485" s="1">
        <v>2</v>
      </c>
      <c r="L485" s="24">
        <v>94.9</v>
      </c>
      <c r="M485" s="24">
        <v>1804.05</v>
      </c>
      <c r="N485" s="21">
        <f t="shared" si="22"/>
        <v>0.16001157407407401</v>
      </c>
      <c r="P485" s="1">
        <v>6</v>
      </c>
      <c r="Q485" s="24">
        <v>189.89999999999986</v>
      </c>
      <c r="R485" s="24">
        <v>1709.1000000000001</v>
      </c>
      <c r="S485" s="21">
        <f t="shared" si="23"/>
        <v>9.8958333333333384E-2</v>
      </c>
    </row>
    <row r="486" spans="2:19" ht="11.4" customHeight="1" x14ac:dyDescent="0.2">
      <c r="B486" s="24"/>
      <c r="C486" s="4">
        <v>47781</v>
      </c>
      <c r="D486" s="18" t="s">
        <v>515</v>
      </c>
      <c r="E486" s="18" t="s">
        <v>346</v>
      </c>
      <c r="F486" s="17">
        <v>6</v>
      </c>
      <c r="G486" s="18" t="s">
        <v>23</v>
      </c>
      <c r="H486" s="19">
        <v>1678.14</v>
      </c>
      <c r="I486" s="6">
        <v>2159</v>
      </c>
      <c r="J486" s="21">
        <f t="shared" si="21"/>
        <v>0.28654343499350465</v>
      </c>
      <c r="K486" s="1">
        <v>2</v>
      </c>
      <c r="L486" s="24">
        <v>107.9</v>
      </c>
      <c r="M486" s="24">
        <v>2051.0499999999997</v>
      </c>
      <c r="N486" s="21">
        <f t="shared" si="22"/>
        <v>0.22221626324382923</v>
      </c>
      <c r="P486" s="1">
        <v>6</v>
      </c>
      <c r="Q486" s="24">
        <v>215.89999999999986</v>
      </c>
      <c r="R486" s="24">
        <v>1943.1000000000001</v>
      </c>
      <c r="S486" s="21">
        <f t="shared" si="23"/>
        <v>0.15788909149415425</v>
      </c>
    </row>
    <row r="487" spans="2:19" ht="11.4" customHeight="1" x14ac:dyDescent="0.2">
      <c r="B487" s="24"/>
      <c r="C487" s="4">
        <v>39352</v>
      </c>
      <c r="D487" s="18" t="s">
        <v>516</v>
      </c>
      <c r="E487" s="18" t="s">
        <v>346</v>
      </c>
      <c r="F487" s="17">
        <v>1</v>
      </c>
      <c r="G487" s="18" t="s">
        <v>23</v>
      </c>
      <c r="H487" s="17">
        <v>673.9</v>
      </c>
      <c r="I487" s="5">
        <v>765.5</v>
      </c>
      <c r="J487" s="21">
        <f t="shared" si="21"/>
        <v>0.13592521145570563</v>
      </c>
      <c r="K487" s="1">
        <v>2</v>
      </c>
      <c r="L487" s="24">
        <v>38.200000000000003</v>
      </c>
      <c r="M487" s="24">
        <v>727.22500000000002</v>
      </c>
      <c r="N487" s="21">
        <f t="shared" si="22"/>
        <v>7.9128950882920379E-2</v>
      </c>
      <c r="P487" s="1">
        <v>6</v>
      </c>
      <c r="Q487" s="24">
        <v>76.549999999999955</v>
      </c>
      <c r="R487" s="24">
        <v>688.95</v>
      </c>
      <c r="S487" s="21">
        <f t="shared" si="23"/>
        <v>2.2332690310135135E-2</v>
      </c>
    </row>
    <row r="488" spans="2:19" ht="11.4" customHeight="1" x14ac:dyDescent="0.2">
      <c r="B488" s="24"/>
      <c r="C488" s="4">
        <v>43313</v>
      </c>
      <c r="D488" s="18" t="s">
        <v>517</v>
      </c>
      <c r="E488" s="18" t="s">
        <v>346</v>
      </c>
      <c r="F488" s="17">
        <v>6</v>
      </c>
      <c r="G488" s="18" t="s">
        <v>23</v>
      </c>
      <c r="H488" s="19">
        <v>1306.1400000000001</v>
      </c>
      <c r="I488" s="6">
        <v>1899</v>
      </c>
      <c r="J488" s="21">
        <f t="shared" si="21"/>
        <v>0.4539023381873305</v>
      </c>
      <c r="K488" s="1">
        <v>2</v>
      </c>
      <c r="L488" s="24">
        <v>94.9</v>
      </c>
      <c r="M488" s="24">
        <v>1804.05</v>
      </c>
      <c r="N488" s="21">
        <f t="shared" si="22"/>
        <v>0.38120722127796391</v>
      </c>
      <c r="P488" s="1">
        <v>6</v>
      </c>
      <c r="Q488" s="24">
        <v>189.89999999999986</v>
      </c>
      <c r="R488" s="24">
        <v>1709.1000000000001</v>
      </c>
      <c r="S488" s="21">
        <f t="shared" si="23"/>
        <v>0.30851210436859755</v>
      </c>
    </row>
    <row r="489" spans="2:19" ht="11.4" customHeight="1" x14ac:dyDescent="0.2">
      <c r="B489" s="24"/>
      <c r="C489" s="4">
        <v>3297</v>
      </c>
      <c r="D489" s="18" t="s">
        <v>518</v>
      </c>
      <c r="E489" s="18" t="s">
        <v>346</v>
      </c>
      <c r="F489" s="17">
        <v>1</v>
      </c>
      <c r="G489" s="18" t="s">
        <v>23</v>
      </c>
      <c r="H489" s="17">
        <v>676.4</v>
      </c>
      <c r="I489" s="5">
        <v>669</v>
      </c>
      <c r="J489" s="21">
        <f t="shared" si="21"/>
        <v>-1.0940272028385538E-2</v>
      </c>
      <c r="K489" s="1">
        <v>2</v>
      </c>
      <c r="L489" s="24">
        <v>33.4</v>
      </c>
      <c r="M489" s="24">
        <v>635.54999999999995</v>
      </c>
      <c r="N489" s="21">
        <f t="shared" si="22"/>
        <v>-6.0393258426966329E-2</v>
      </c>
      <c r="P489" s="1">
        <v>6</v>
      </c>
      <c r="Q489" s="24">
        <v>66.899999999999977</v>
      </c>
      <c r="R489" s="24">
        <v>602.1</v>
      </c>
      <c r="S489" s="21">
        <f t="shared" si="23"/>
        <v>-0.10984624482554695</v>
      </c>
    </row>
    <row r="490" spans="2:19" ht="11.4" customHeight="1" x14ac:dyDescent="0.2">
      <c r="B490" s="24"/>
      <c r="C490" s="4">
        <v>13248</v>
      </c>
      <c r="D490" s="18" t="s">
        <v>519</v>
      </c>
      <c r="E490" s="18" t="s">
        <v>346</v>
      </c>
      <c r="F490" s="17">
        <v>1</v>
      </c>
      <c r="G490" s="18" t="s">
        <v>23</v>
      </c>
      <c r="H490" s="17">
        <v>907.3</v>
      </c>
      <c r="I490" s="5">
        <v>929</v>
      </c>
      <c r="J490" s="21">
        <f t="shared" si="21"/>
        <v>2.391711671993833E-2</v>
      </c>
      <c r="K490" s="1">
        <v>2</v>
      </c>
      <c r="L490" s="24">
        <v>46.4</v>
      </c>
      <c r="M490" s="24">
        <v>882.55</v>
      </c>
      <c r="N490" s="21">
        <f t="shared" si="22"/>
        <v>-2.7278739116058638E-2</v>
      </c>
      <c r="P490" s="1">
        <v>6</v>
      </c>
      <c r="Q490" s="24">
        <v>92.899999999999977</v>
      </c>
      <c r="R490" s="24">
        <v>836.1</v>
      </c>
      <c r="S490" s="21">
        <f t="shared" si="23"/>
        <v>-7.8474594952055485E-2</v>
      </c>
    </row>
    <row r="491" spans="2:19" ht="11.4" customHeight="1" x14ac:dyDescent="0.2">
      <c r="B491" s="24"/>
      <c r="C491" s="4">
        <v>3808</v>
      </c>
      <c r="D491" s="18" t="s">
        <v>520</v>
      </c>
      <c r="E491" s="18" t="s">
        <v>346</v>
      </c>
      <c r="F491" s="17">
        <v>1</v>
      </c>
      <c r="G491" s="18" t="s">
        <v>23</v>
      </c>
      <c r="H491" s="17">
        <v>492.5</v>
      </c>
      <c r="I491" s="5">
        <v>584.5</v>
      </c>
      <c r="J491" s="21">
        <f t="shared" si="21"/>
        <v>0.18680203045685279</v>
      </c>
      <c r="K491" s="1">
        <v>2</v>
      </c>
      <c r="L491" s="24">
        <v>29.2</v>
      </c>
      <c r="M491" s="24">
        <v>555.27499999999998</v>
      </c>
      <c r="N491" s="21">
        <f t="shared" si="22"/>
        <v>0.12746192893401009</v>
      </c>
      <c r="P491" s="1">
        <v>6</v>
      </c>
      <c r="Q491" s="24">
        <v>58.449999999999932</v>
      </c>
      <c r="R491" s="24">
        <v>526.05000000000007</v>
      </c>
      <c r="S491" s="21">
        <f t="shared" si="23"/>
        <v>6.8121827411167651E-2</v>
      </c>
    </row>
    <row r="492" spans="2:19" ht="11.4" customHeight="1" x14ac:dyDescent="0.2">
      <c r="B492" s="24"/>
      <c r="C492" s="4">
        <v>13249</v>
      </c>
      <c r="D492" s="18" t="s">
        <v>521</v>
      </c>
      <c r="E492" s="18" t="s">
        <v>346</v>
      </c>
      <c r="F492" s="17">
        <v>1</v>
      </c>
      <c r="G492" s="18" t="s">
        <v>23</v>
      </c>
      <c r="H492" s="17">
        <v>115.8</v>
      </c>
      <c r="I492" s="5">
        <v>134</v>
      </c>
      <c r="J492" s="21">
        <f t="shared" si="21"/>
        <v>0.15716753022452506</v>
      </c>
      <c r="K492" s="1">
        <v>2</v>
      </c>
      <c r="L492" s="24">
        <v>6.7</v>
      </c>
      <c r="M492" s="24">
        <v>127.3</v>
      </c>
      <c r="N492" s="21">
        <f t="shared" si="22"/>
        <v>9.9309153713298792E-2</v>
      </c>
      <c r="P492" s="1">
        <v>6</v>
      </c>
      <c r="Q492" s="24">
        <v>13.399999999999991</v>
      </c>
      <c r="R492" s="24">
        <v>120.60000000000001</v>
      </c>
      <c r="S492" s="21">
        <f t="shared" si="23"/>
        <v>4.1450777202072638E-2</v>
      </c>
    </row>
    <row r="493" spans="2:19" ht="11.4" customHeight="1" x14ac:dyDescent="0.2">
      <c r="B493" s="24"/>
      <c r="C493" s="4">
        <v>3298</v>
      </c>
      <c r="D493" s="18" t="s">
        <v>522</v>
      </c>
      <c r="E493" s="18" t="s">
        <v>346</v>
      </c>
      <c r="F493" s="17">
        <v>1</v>
      </c>
      <c r="G493" s="18" t="s">
        <v>23</v>
      </c>
      <c r="H493" s="19">
        <v>1101.2</v>
      </c>
      <c r="I493" s="6">
        <v>1099</v>
      </c>
      <c r="J493" s="21">
        <f t="shared" si="21"/>
        <v>-1.9978205593897979E-3</v>
      </c>
      <c r="K493" s="1">
        <v>2</v>
      </c>
      <c r="L493" s="24">
        <v>54.9</v>
      </c>
      <c r="M493" s="24">
        <v>1044.05</v>
      </c>
      <c r="N493" s="21">
        <f t="shared" si="22"/>
        <v>-5.1897929531420348E-2</v>
      </c>
      <c r="P493" s="1">
        <v>6</v>
      </c>
      <c r="Q493" s="24">
        <v>109.89999999999998</v>
      </c>
      <c r="R493" s="24">
        <v>989.1</v>
      </c>
      <c r="S493" s="21">
        <f t="shared" si="23"/>
        <v>-0.1017980385034508</v>
      </c>
    </row>
    <row r="494" spans="2:19" ht="11.4" customHeight="1" x14ac:dyDescent="0.2">
      <c r="B494" s="24"/>
      <c r="C494" s="4">
        <v>3299</v>
      </c>
      <c r="D494" s="18" t="s">
        <v>523</v>
      </c>
      <c r="E494" s="18" t="s">
        <v>346</v>
      </c>
      <c r="F494" s="17">
        <v>1</v>
      </c>
      <c r="G494" s="18" t="s">
        <v>23</v>
      </c>
      <c r="H494" s="19">
        <v>1522.5</v>
      </c>
      <c r="I494" s="6">
        <v>1599</v>
      </c>
      <c r="J494" s="21">
        <f t="shared" si="21"/>
        <v>5.024630541871921E-2</v>
      </c>
      <c r="K494" s="1">
        <v>2</v>
      </c>
      <c r="L494" s="24">
        <v>79.900000000000006</v>
      </c>
      <c r="M494" s="24">
        <v>1519.05</v>
      </c>
      <c r="N494" s="21">
        <f t="shared" si="22"/>
        <v>-2.2660098522167787E-3</v>
      </c>
      <c r="P494" s="1">
        <v>6</v>
      </c>
      <c r="Q494" s="24">
        <v>159.89999999999986</v>
      </c>
      <c r="R494" s="24">
        <v>1439.1000000000001</v>
      </c>
      <c r="S494" s="21">
        <f t="shared" si="23"/>
        <v>-5.4778325123152623E-2</v>
      </c>
    </row>
    <row r="495" spans="2:19" ht="11.4" customHeight="1" x14ac:dyDescent="0.2">
      <c r="B495" s="24"/>
      <c r="C495" s="4">
        <v>39754</v>
      </c>
      <c r="D495" s="18" t="s">
        <v>524</v>
      </c>
      <c r="E495" s="18" t="s">
        <v>346</v>
      </c>
      <c r="F495" s="17">
        <v>1</v>
      </c>
      <c r="G495" s="18" t="s">
        <v>23</v>
      </c>
      <c r="H495" s="19">
        <v>2311.5</v>
      </c>
      <c r="I495" s="6">
        <v>2499</v>
      </c>
      <c r="J495" s="21">
        <f t="shared" si="21"/>
        <v>8.1116158338741071E-2</v>
      </c>
      <c r="K495" s="1">
        <v>2</v>
      </c>
      <c r="L495" s="24">
        <v>124.9</v>
      </c>
      <c r="M495" s="24">
        <v>2374.0499999999997</v>
      </c>
      <c r="N495" s="21">
        <f t="shared" si="22"/>
        <v>2.7060350421803905E-2</v>
      </c>
      <c r="P495" s="1">
        <v>6</v>
      </c>
      <c r="Q495" s="24">
        <v>249.90000000000009</v>
      </c>
      <c r="R495" s="24">
        <v>2249.1</v>
      </c>
      <c r="S495" s="21">
        <f t="shared" si="23"/>
        <v>-2.699545749513307E-2</v>
      </c>
    </row>
    <row r="496" spans="2:19" ht="11.4" customHeight="1" x14ac:dyDescent="0.2">
      <c r="B496" s="24"/>
      <c r="C496" s="4">
        <v>39755</v>
      </c>
      <c r="D496" s="18" t="s">
        <v>525</v>
      </c>
      <c r="E496" s="18" t="s">
        <v>346</v>
      </c>
      <c r="F496" s="17">
        <v>1</v>
      </c>
      <c r="G496" s="18" t="s">
        <v>23</v>
      </c>
      <c r="H496" s="19">
        <v>3129.9</v>
      </c>
      <c r="I496" s="6">
        <v>3099</v>
      </c>
      <c r="J496" s="21">
        <f t="shared" si="21"/>
        <v>-9.8725198888143673E-3</v>
      </c>
      <c r="K496" s="1">
        <v>2</v>
      </c>
      <c r="L496" s="24">
        <v>154.9</v>
      </c>
      <c r="M496" s="24">
        <v>2944.0499999999997</v>
      </c>
      <c r="N496" s="21">
        <f t="shared" si="22"/>
        <v>-5.9378893894373737E-2</v>
      </c>
      <c r="P496" s="1">
        <v>6</v>
      </c>
      <c r="Q496" s="24">
        <v>309.90000000000009</v>
      </c>
      <c r="R496" s="24">
        <v>2789.1</v>
      </c>
      <c r="S496" s="21">
        <f t="shared" si="23"/>
        <v>-0.10888526789993296</v>
      </c>
    </row>
    <row r="497" spans="2:19" ht="11.4" customHeight="1" x14ac:dyDescent="0.2">
      <c r="B497" s="24"/>
      <c r="C497" s="4">
        <v>39753</v>
      </c>
      <c r="D497" s="18" t="s">
        <v>526</v>
      </c>
      <c r="E497" s="18" t="s">
        <v>346</v>
      </c>
      <c r="F497" s="17">
        <v>1</v>
      </c>
      <c r="G497" s="18" t="s">
        <v>23</v>
      </c>
      <c r="H497" s="19">
        <v>1699.9</v>
      </c>
      <c r="I497" s="6">
        <v>1999</v>
      </c>
      <c r="J497" s="21">
        <f t="shared" si="21"/>
        <v>0.17595152656038585</v>
      </c>
      <c r="K497" s="1">
        <v>2</v>
      </c>
      <c r="L497" s="24">
        <v>99.9</v>
      </c>
      <c r="M497" s="24">
        <v>1899.05</v>
      </c>
      <c r="N497" s="21">
        <f t="shared" si="22"/>
        <v>0.11715395023236652</v>
      </c>
      <c r="P497" s="1">
        <v>6</v>
      </c>
      <c r="Q497" s="24">
        <v>199.89999999999986</v>
      </c>
      <c r="R497" s="24">
        <v>1799.1000000000001</v>
      </c>
      <c r="S497" s="21">
        <f t="shared" si="23"/>
        <v>5.8356373904347336E-2</v>
      </c>
    </row>
    <row r="498" spans="2:19" ht="11.4" customHeight="1" x14ac:dyDescent="0.2">
      <c r="B498" s="24"/>
      <c r="C498" s="4">
        <v>42394</v>
      </c>
      <c r="D498" s="18" t="s">
        <v>527</v>
      </c>
      <c r="E498" s="18" t="s">
        <v>386</v>
      </c>
      <c r="F498" s="18"/>
      <c r="G498" s="18" t="s">
        <v>23</v>
      </c>
      <c r="H498" s="17">
        <v>148.32</v>
      </c>
      <c r="I498" s="5">
        <v>195.9</v>
      </c>
      <c r="J498" s="21">
        <f t="shared" si="21"/>
        <v>0.32079288025889979</v>
      </c>
      <c r="K498" s="1">
        <v>2</v>
      </c>
      <c r="L498" s="24">
        <v>9.6999999999999993</v>
      </c>
      <c r="M498" s="24">
        <v>186.10499999999999</v>
      </c>
      <c r="N498" s="21">
        <f t="shared" si="22"/>
        <v>0.2547532362459547</v>
      </c>
      <c r="P498" s="1">
        <v>6</v>
      </c>
      <c r="Q498" s="24">
        <v>19.590000000000003</v>
      </c>
      <c r="R498" s="24">
        <v>176.31</v>
      </c>
      <c r="S498" s="21">
        <f t="shared" si="23"/>
        <v>0.18871359223300979</v>
      </c>
    </row>
    <row r="499" spans="2:19" ht="11.4" customHeight="1" x14ac:dyDescent="0.2">
      <c r="B499" s="24"/>
      <c r="C499" s="4">
        <v>41399</v>
      </c>
      <c r="D499" s="18" t="s">
        <v>528</v>
      </c>
      <c r="E499" s="18" t="s">
        <v>386</v>
      </c>
      <c r="F499" s="17">
        <v>1</v>
      </c>
      <c r="G499" s="18" t="s">
        <v>23</v>
      </c>
      <c r="H499" s="17">
        <v>247.19</v>
      </c>
      <c r="I499" s="5">
        <v>335.9</v>
      </c>
      <c r="J499" s="21">
        <f t="shared" si="21"/>
        <v>0.35887374084712159</v>
      </c>
      <c r="K499" s="1">
        <v>2</v>
      </c>
      <c r="L499" s="24">
        <v>16.7</v>
      </c>
      <c r="M499" s="24">
        <v>319.10499999999996</v>
      </c>
      <c r="N499" s="21">
        <f t="shared" si="22"/>
        <v>0.29093005380476544</v>
      </c>
      <c r="P499" s="1">
        <v>6</v>
      </c>
      <c r="Q499" s="24">
        <v>33.589999999999975</v>
      </c>
      <c r="R499" s="24">
        <v>302.31</v>
      </c>
      <c r="S499" s="21">
        <f t="shared" si="23"/>
        <v>0.22298636676240952</v>
      </c>
    </row>
    <row r="500" spans="2:19" ht="11.4" customHeight="1" x14ac:dyDescent="0.2">
      <c r="B500" s="24"/>
      <c r="C500" s="4">
        <v>39608</v>
      </c>
      <c r="D500" s="18" t="s">
        <v>529</v>
      </c>
      <c r="E500" s="18" t="s">
        <v>386</v>
      </c>
      <c r="F500" s="17">
        <v>1</v>
      </c>
      <c r="G500" s="18" t="s">
        <v>23</v>
      </c>
      <c r="H500" s="17">
        <v>857.5</v>
      </c>
      <c r="I500" s="6">
        <v>1146.9000000000001</v>
      </c>
      <c r="J500" s="21">
        <f t="shared" si="21"/>
        <v>0.33749271137026249</v>
      </c>
      <c r="K500" s="1">
        <v>2</v>
      </c>
      <c r="L500" s="24">
        <v>57.3</v>
      </c>
      <c r="M500" s="24">
        <v>1089.5550000000001</v>
      </c>
      <c r="N500" s="21">
        <f t="shared" si="22"/>
        <v>0.27061807580174935</v>
      </c>
      <c r="P500" s="1">
        <v>6</v>
      </c>
      <c r="Q500" s="24">
        <v>114.69000000000005</v>
      </c>
      <c r="R500" s="24">
        <v>1032.21</v>
      </c>
      <c r="S500" s="21">
        <f t="shared" si="23"/>
        <v>0.20374344023323621</v>
      </c>
    </row>
    <row r="501" spans="2:19" ht="11.4" customHeight="1" x14ac:dyDescent="0.2">
      <c r="B501" s="24"/>
      <c r="C501" s="4">
        <v>47774</v>
      </c>
      <c r="D501" s="18" t="s">
        <v>530</v>
      </c>
      <c r="E501" s="18" t="s">
        <v>346</v>
      </c>
      <c r="F501" s="17">
        <v>6</v>
      </c>
      <c r="G501" s="18" t="s">
        <v>23</v>
      </c>
      <c r="H501" s="17">
        <v>613.67999999999995</v>
      </c>
      <c r="I501" s="5">
        <v>859</v>
      </c>
      <c r="J501" s="21">
        <f t="shared" si="21"/>
        <v>0.39975231390952953</v>
      </c>
      <c r="K501" s="1">
        <v>2</v>
      </c>
      <c r="L501" s="24">
        <v>42.9</v>
      </c>
      <c r="M501" s="24">
        <v>816.05</v>
      </c>
      <c r="N501" s="21">
        <f t="shared" si="22"/>
        <v>0.32976469821405296</v>
      </c>
      <c r="P501" s="1">
        <v>6</v>
      </c>
      <c r="Q501" s="24">
        <v>85.899999999999977</v>
      </c>
      <c r="R501" s="24">
        <v>773.1</v>
      </c>
      <c r="S501" s="21">
        <f t="shared" si="23"/>
        <v>0.25977708251857662</v>
      </c>
    </row>
    <row r="502" spans="2:19" ht="11.4" customHeight="1" x14ac:dyDescent="0.2">
      <c r="B502" s="24"/>
      <c r="C502" s="4">
        <v>4202</v>
      </c>
      <c r="D502" s="18" t="s">
        <v>531</v>
      </c>
      <c r="E502" s="18" t="s">
        <v>346</v>
      </c>
      <c r="F502" s="17">
        <v>1</v>
      </c>
      <c r="G502" s="18" t="s">
        <v>23</v>
      </c>
      <c r="H502" s="17">
        <v>613.67999999999995</v>
      </c>
      <c r="I502" s="5">
        <v>789</v>
      </c>
      <c r="J502" s="21">
        <f t="shared" si="21"/>
        <v>0.28568635119280417</v>
      </c>
      <c r="K502" s="1">
        <v>2</v>
      </c>
      <c r="L502" s="24">
        <v>39.4</v>
      </c>
      <c r="M502" s="24">
        <v>749.55</v>
      </c>
      <c r="N502" s="21">
        <f t="shared" si="22"/>
        <v>0.22140203363316388</v>
      </c>
      <c r="P502" s="1">
        <v>6</v>
      </c>
      <c r="Q502" s="24">
        <v>78.899999999999977</v>
      </c>
      <c r="R502" s="24">
        <v>710.1</v>
      </c>
      <c r="S502" s="21">
        <f t="shared" si="23"/>
        <v>0.15711771607352379</v>
      </c>
    </row>
    <row r="503" spans="2:19" ht="11.4" customHeight="1" x14ac:dyDescent="0.2">
      <c r="B503" s="24"/>
      <c r="C503" s="4">
        <v>43308</v>
      </c>
      <c r="D503" s="18" t="s">
        <v>532</v>
      </c>
      <c r="E503" s="18" t="s">
        <v>346</v>
      </c>
      <c r="F503" s="17">
        <v>6</v>
      </c>
      <c r="G503" s="18" t="s">
        <v>23</v>
      </c>
      <c r="H503" s="17">
        <v>526.86</v>
      </c>
      <c r="I503" s="5">
        <v>755</v>
      </c>
      <c r="J503" s="21">
        <f t="shared" si="21"/>
        <v>0.4330182591200698</v>
      </c>
      <c r="K503" s="1">
        <v>2</v>
      </c>
      <c r="L503" s="24">
        <v>37.700000000000003</v>
      </c>
      <c r="M503" s="24">
        <v>717.25</v>
      </c>
      <c r="N503" s="21">
        <f t="shared" si="22"/>
        <v>0.36136734616406629</v>
      </c>
      <c r="P503" s="1">
        <v>6</v>
      </c>
      <c r="Q503" s="24">
        <v>75.5</v>
      </c>
      <c r="R503" s="24">
        <v>679.5</v>
      </c>
      <c r="S503" s="21">
        <f t="shared" si="23"/>
        <v>0.28971643320806284</v>
      </c>
    </row>
    <row r="504" spans="2:19" ht="11.4" customHeight="1" x14ac:dyDescent="0.2">
      <c r="B504" s="24"/>
      <c r="C504" s="4">
        <v>35331</v>
      </c>
      <c r="D504" s="18" t="s">
        <v>533</v>
      </c>
      <c r="E504" s="18" t="s">
        <v>402</v>
      </c>
      <c r="F504" s="17">
        <v>1</v>
      </c>
      <c r="G504" s="18" t="s">
        <v>23</v>
      </c>
      <c r="H504" s="17">
        <v>593.1</v>
      </c>
      <c r="I504" s="5">
        <v>590</v>
      </c>
      <c r="J504" s="21">
        <f t="shared" si="21"/>
        <v>-5.2267745742708184E-3</v>
      </c>
      <c r="K504" s="1">
        <v>2</v>
      </c>
      <c r="L504" s="24">
        <v>29.5</v>
      </c>
      <c r="M504" s="24">
        <v>560.5</v>
      </c>
      <c r="N504" s="21">
        <f t="shared" si="22"/>
        <v>-5.4965435845557277E-2</v>
      </c>
      <c r="P504" s="1">
        <v>6</v>
      </c>
      <c r="Q504" s="24">
        <v>59</v>
      </c>
      <c r="R504" s="24">
        <v>531</v>
      </c>
      <c r="S504" s="21">
        <f t="shared" si="23"/>
        <v>-0.10470409711684374</v>
      </c>
    </row>
    <row r="505" spans="2:19" ht="11.4" customHeight="1" x14ac:dyDescent="0.2">
      <c r="B505" s="24"/>
      <c r="C505" s="4">
        <v>37296</v>
      </c>
      <c r="D505" s="18" t="s">
        <v>534</v>
      </c>
      <c r="E505" s="18" t="s">
        <v>402</v>
      </c>
      <c r="F505" s="17">
        <v>1</v>
      </c>
      <c r="G505" s="18" t="s">
        <v>23</v>
      </c>
      <c r="H505" s="17">
        <v>756.7</v>
      </c>
      <c r="I505" s="5">
        <v>737.9</v>
      </c>
      <c r="J505" s="21">
        <f t="shared" si="21"/>
        <v>-2.4844720496894498E-2</v>
      </c>
      <c r="K505" s="1">
        <v>2</v>
      </c>
      <c r="L505" s="24">
        <v>36.799999999999997</v>
      </c>
      <c r="M505" s="24">
        <v>701.005</v>
      </c>
      <c r="N505" s="21">
        <f t="shared" si="22"/>
        <v>-7.3602484472049756E-2</v>
      </c>
      <c r="P505" s="1">
        <v>6</v>
      </c>
      <c r="Q505" s="24">
        <v>73.789999999999964</v>
      </c>
      <c r="R505" s="24">
        <v>664.11</v>
      </c>
      <c r="S505" s="21">
        <f t="shared" si="23"/>
        <v>-0.122360248447205</v>
      </c>
    </row>
    <row r="506" spans="2:19" ht="11.4" customHeight="1" x14ac:dyDescent="0.2">
      <c r="B506" s="24"/>
      <c r="C506" s="4">
        <v>5173</v>
      </c>
      <c r="D506" s="18" t="s">
        <v>535</v>
      </c>
      <c r="E506" s="18" t="s">
        <v>402</v>
      </c>
      <c r="F506" s="17">
        <v>1</v>
      </c>
      <c r="G506" s="18" t="s">
        <v>23</v>
      </c>
      <c r="H506" s="17">
        <v>564.5</v>
      </c>
      <c r="I506" s="5">
        <v>580</v>
      </c>
      <c r="J506" s="21">
        <f t="shared" si="21"/>
        <v>2.7457927369353409E-2</v>
      </c>
      <c r="K506" s="1">
        <v>2</v>
      </c>
      <c r="L506" s="24">
        <v>29</v>
      </c>
      <c r="M506" s="24">
        <v>551</v>
      </c>
      <c r="N506" s="21">
        <f t="shared" si="22"/>
        <v>-2.3914968999114262E-2</v>
      </c>
      <c r="P506" s="1">
        <v>6</v>
      </c>
      <c r="Q506" s="24">
        <v>58</v>
      </c>
      <c r="R506" s="24">
        <v>522</v>
      </c>
      <c r="S506" s="21">
        <f t="shared" si="23"/>
        <v>-7.5287865367581933E-2</v>
      </c>
    </row>
    <row r="507" spans="2:19" ht="11.4" customHeight="1" x14ac:dyDescent="0.2">
      <c r="B507" s="24"/>
      <c r="C507" s="4">
        <v>5176</v>
      </c>
      <c r="D507" s="18" t="s">
        <v>536</v>
      </c>
      <c r="E507" s="18" t="s">
        <v>402</v>
      </c>
      <c r="F507" s="17">
        <v>1</v>
      </c>
      <c r="G507" s="18" t="s">
        <v>23</v>
      </c>
      <c r="H507" s="17">
        <v>693.18</v>
      </c>
      <c r="I507" s="5">
        <v>786</v>
      </c>
      <c r="J507" s="21">
        <f t="shared" si="21"/>
        <v>0.13390461352029784</v>
      </c>
      <c r="K507" s="1">
        <v>2</v>
      </c>
      <c r="L507" s="24">
        <v>39.299999999999997</v>
      </c>
      <c r="M507" s="24">
        <v>746.69999999999993</v>
      </c>
      <c r="N507" s="21">
        <f t="shared" si="22"/>
        <v>7.7209382844282845E-2</v>
      </c>
      <c r="P507" s="1">
        <v>6</v>
      </c>
      <c r="Q507" s="24">
        <v>78.600000000000023</v>
      </c>
      <c r="R507" s="24">
        <v>707.4</v>
      </c>
      <c r="S507" s="21">
        <f t="shared" si="23"/>
        <v>2.0514152168268022E-2</v>
      </c>
    </row>
    <row r="508" spans="2:19" ht="11.4" customHeight="1" x14ac:dyDescent="0.2">
      <c r="B508" s="24"/>
      <c r="C508" s="4">
        <v>37295</v>
      </c>
      <c r="D508" s="18" t="s">
        <v>537</v>
      </c>
      <c r="E508" s="18" t="s">
        <v>402</v>
      </c>
      <c r="F508" s="17">
        <v>1</v>
      </c>
      <c r="G508" s="18" t="s">
        <v>23</v>
      </c>
      <c r="H508" s="17">
        <v>722.7</v>
      </c>
      <c r="I508" s="5">
        <v>702.5</v>
      </c>
      <c r="J508" s="21">
        <f t="shared" si="21"/>
        <v>-2.7950740279507464E-2</v>
      </c>
      <c r="K508" s="1">
        <v>2</v>
      </c>
      <c r="L508" s="24">
        <v>35.1</v>
      </c>
      <c r="M508" s="24">
        <v>667.375</v>
      </c>
      <c r="N508" s="21">
        <f t="shared" si="22"/>
        <v>-7.6553203265532097E-2</v>
      </c>
      <c r="P508" s="1">
        <v>6</v>
      </c>
      <c r="Q508" s="24">
        <v>70.25</v>
      </c>
      <c r="R508" s="24">
        <v>632.25</v>
      </c>
      <c r="S508" s="21">
        <f t="shared" si="23"/>
        <v>-0.12515566625155672</v>
      </c>
    </row>
    <row r="509" spans="2:19" ht="11.4" customHeight="1" x14ac:dyDescent="0.2">
      <c r="B509" s="24"/>
      <c r="C509" s="4">
        <v>35463</v>
      </c>
      <c r="D509" s="18" t="s">
        <v>538</v>
      </c>
      <c r="E509" s="18" t="s">
        <v>391</v>
      </c>
      <c r="F509" s="17">
        <v>1</v>
      </c>
      <c r="G509" s="18" t="s">
        <v>23</v>
      </c>
      <c r="H509" s="17">
        <v>498.8</v>
      </c>
      <c r="I509" s="5">
        <v>498.9</v>
      </c>
      <c r="J509" s="21">
        <f t="shared" si="21"/>
        <v>2.0048115477138309E-4</v>
      </c>
      <c r="K509" s="1">
        <v>2</v>
      </c>
      <c r="L509" s="24">
        <v>24.9</v>
      </c>
      <c r="M509" s="24">
        <v>473.95499999999998</v>
      </c>
      <c r="N509" s="21">
        <f t="shared" si="22"/>
        <v>-4.9809542902967172E-2</v>
      </c>
      <c r="P509" s="1">
        <v>6</v>
      </c>
      <c r="Q509" s="24">
        <v>49.889999999999986</v>
      </c>
      <c r="R509" s="24">
        <v>449.01</v>
      </c>
      <c r="S509" s="21">
        <f t="shared" si="23"/>
        <v>-9.9819566960705736E-2</v>
      </c>
    </row>
    <row r="510" spans="2:19" ht="11.4" customHeight="1" x14ac:dyDescent="0.2">
      <c r="B510" s="24"/>
      <c r="C510" s="4">
        <v>22503</v>
      </c>
      <c r="D510" s="18" t="s">
        <v>539</v>
      </c>
      <c r="E510" s="18" t="s">
        <v>391</v>
      </c>
      <c r="F510" s="17">
        <v>1</v>
      </c>
      <c r="G510" s="18" t="s">
        <v>23</v>
      </c>
      <c r="H510" s="17">
        <v>797.5</v>
      </c>
      <c r="I510" s="5">
        <v>939</v>
      </c>
      <c r="J510" s="21">
        <f t="shared" si="21"/>
        <v>0.1774294670846395</v>
      </c>
      <c r="K510" s="1">
        <v>2</v>
      </c>
      <c r="L510" s="24">
        <v>46.9</v>
      </c>
      <c r="M510" s="24">
        <v>892.05</v>
      </c>
      <c r="N510" s="21">
        <f t="shared" si="22"/>
        <v>0.11855799373040747</v>
      </c>
      <c r="P510" s="1">
        <v>6</v>
      </c>
      <c r="Q510" s="24">
        <v>93.899999999999977</v>
      </c>
      <c r="R510" s="24">
        <v>845.1</v>
      </c>
      <c r="S510" s="21">
        <f t="shared" si="23"/>
        <v>5.9686520376175577E-2</v>
      </c>
    </row>
    <row r="511" spans="2:19" ht="11.4" customHeight="1" x14ac:dyDescent="0.2">
      <c r="B511" s="24"/>
      <c r="C511" s="4">
        <v>41599</v>
      </c>
      <c r="D511" s="18" t="s">
        <v>540</v>
      </c>
      <c r="E511" s="18" t="s">
        <v>391</v>
      </c>
      <c r="F511" s="17">
        <v>30</v>
      </c>
      <c r="G511" s="18" t="s">
        <v>23</v>
      </c>
      <c r="H511" s="17">
        <v>42.78</v>
      </c>
      <c r="I511" s="5">
        <v>65.900000000000006</v>
      </c>
      <c r="J511" s="21">
        <f t="shared" si="21"/>
        <v>0.54043945769050972</v>
      </c>
      <c r="K511" s="1">
        <v>2</v>
      </c>
      <c r="L511" s="24">
        <v>3.2</v>
      </c>
      <c r="M511" s="24">
        <v>62.605000000000004</v>
      </c>
      <c r="N511" s="21">
        <f t="shared" si="22"/>
        <v>0.46341748480598416</v>
      </c>
      <c r="P511" s="1">
        <v>6</v>
      </c>
      <c r="Q511" s="24">
        <v>6.5899999999999963</v>
      </c>
      <c r="R511" s="24">
        <v>59.310000000000009</v>
      </c>
      <c r="S511" s="21">
        <f t="shared" si="23"/>
        <v>0.38639551192145882</v>
      </c>
    </row>
    <row r="512" spans="2:19" ht="11.4" customHeight="1" x14ac:dyDescent="0.2">
      <c r="B512" s="24"/>
      <c r="C512" s="4">
        <v>41600</v>
      </c>
      <c r="D512" s="18" t="s">
        <v>541</v>
      </c>
      <c r="E512" s="18" t="s">
        <v>391</v>
      </c>
      <c r="F512" s="17">
        <v>20</v>
      </c>
      <c r="G512" s="18" t="s">
        <v>23</v>
      </c>
      <c r="H512" s="17">
        <v>87.3</v>
      </c>
      <c r="I512" s="5">
        <v>122.9</v>
      </c>
      <c r="J512" s="21">
        <f t="shared" si="21"/>
        <v>0.40778923253150068</v>
      </c>
      <c r="K512" s="1">
        <v>2</v>
      </c>
      <c r="L512" s="24">
        <v>6.1</v>
      </c>
      <c r="M512" s="24">
        <v>116.755</v>
      </c>
      <c r="N512" s="21">
        <f t="shared" si="22"/>
        <v>0.33739977090492551</v>
      </c>
      <c r="P512" s="1">
        <v>6</v>
      </c>
      <c r="Q512" s="24">
        <v>12.289999999999992</v>
      </c>
      <c r="R512" s="24">
        <v>110.61000000000001</v>
      </c>
      <c r="S512" s="21">
        <f t="shared" si="23"/>
        <v>0.26701030927835073</v>
      </c>
    </row>
    <row r="513" spans="2:19" ht="11.4" customHeight="1" x14ac:dyDescent="0.2">
      <c r="B513" s="24"/>
      <c r="C513" s="4">
        <v>5745</v>
      </c>
      <c r="D513" s="18" t="s">
        <v>542</v>
      </c>
      <c r="E513" s="18" t="s">
        <v>391</v>
      </c>
      <c r="F513" s="17">
        <v>1</v>
      </c>
      <c r="G513" s="18" t="s">
        <v>23</v>
      </c>
      <c r="H513" s="17">
        <v>157.9</v>
      </c>
      <c r="I513" s="5">
        <v>163.9</v>
      </c>
      <c r="J513" s="21">
        <f t="shared" si="21"/>
        <v>3.799873337555415E-2</v>
      </c>
      <c r="K513" s="1">
        <v>2</v>
      </c>
      <c r="L513" s="24">
        <v>8.1</v>
      </c>
      <c r="M513" s="24">
        <v>155.70499999999998</v>
      </c>
      <c r="N513" s="21">
        <f t="shared" si="22"/>
        <v>-1.3901203293223696E-2</v>
      </c>
      <c r="P513" s="1">
        <v>6</v>
      </c>
      <c r="Q513" s="24">
        <v>16.389999999999986</v>
      </c>
      <c r="R513" s="24">
        <v>147.51000000000002</v>
      </c>
      <c r="S513" s="21">
        <f t="shared" si="23"/>
        <v>-6.5801139962001182E-2</v>
      </c>
    </row>
    <row r="514" spans="2:19" ht="11.4" customHeight="1" x14ac:dyDescent="0.2">
      <c r="B514" s="24"/>
      <c r="C514" s="4">
        <v>17408</v>
      </c>
      <c r="D514" s="18" t="s">
        <v>543</v>
      </c>
      <c r="E514" s="18" t="s">
        <v>391</v>
      </c>
      <c r="F514" s="17">
        <v>1</v>
      </c>
      <c r="G514" s="18" t="s">
        <v>23</v>
      </c>
      <c r="H514" s="17">
        <v>136.30000000000001</v>
      </c>
      <c r="I514" s="5">
        <v>149.9</v>
      </c>
      <c r="J514" s="21">
        <f t="shared" si="21"/>
        <v>9.9779897285399807E-2</v>
      </c>
      <c r="K514" s="1">
        <v>2</v>
      </c>
      <c r="L514" s="24">
        <v>7.4</v>
      </c>
      <c r="M514" s="24">
        <v>142.405</v>
      </c>
      <c r="N514" s="21">
        <f t="shared" si="22"/>
        <v>4.4790902421129784E-2</v>
      </c>
      <c r="P514" s="1">
        <v>6</v>
      </c>
      <c r="Q514" s="24">
        <v>14.990000000000009</v>
      </c>
      <c r="R514" s="24">
        <v>134.91</v>
      </c>
      <c r="S514" s="21">
        <f t="shared" si="23"/>
        <v>-1.019809244314024E-2</v>
      </c>
    </row>
    <row r="515" spans="2:19" ht="11.4" customHeight="1" x14ac:dyDescent="0.2">
      <c r="B515" s="24"/>
      <c r="C515" s="4">
        <v>3269</v>
      </c>
      <c r="D515" s="18" t="s">
        <v>544</v>
      </c>
      <c r="E515" s="18" t="s">
        <v>391</v>
      </c>
      <c r="F515" s="17">
        <v>1</v>
      </c>
      <c r="G515" s="18" t="s">
        <v>23</v>
      </c>
      <c r="H515" s="17">
        <v>103.5</v>
      </c>
      <c r="I515" s="5">
        <v>119.9</v>
      </c>
      <c r="J515" s="21">
        <f t="shared" ref="J515:J578" si="24">(I515-H515)/H515</f>
        <v>0.1584541062801933</v>
      </c>
      <c r="K515" s="1">
        <v>2</v>
      </c>
      <c r="L515" s="24">
        <v>5.9</v>
      </c>
      <c r="M515" s="24">
        <v>113.905</v>
      </c>
      <c r="N515" s="21">
        <f t="shared" ref="N515:N578" si="25">(M515-H515)/H515</f>
        <v>0.10053140096618358</v>
      </c>
      <c r="P515" s="1">
        <v>6</v>
      </c>
      <c r="Q515" s="24">
        <v>11.989999999999995</v>
      </c>
      <c r="R515" s="24">
        <v>107.91000000000001</v>
      </c>
      <c r="S515" s="21">
        <f t="shared" ref="S515:S578" si="26">(R515-H515)/H515</f>
        <v>4.2608695652174018E-2</v>
      </c>
    </row>
    <row r="516" spans="2:19" ht="11.4" customHeight="1" x14ac:dyDescent="0.2">
      <c r="B516" s="24"/>
      <c r="C516" s="4">
        <v>3270</v>
      </c>
      <c r="D516" s="18" t="s">
        <v>545</v>
      </c>
      <c r="E516" s="18" t="s">
        <v>391</v>
      </c>
      <c r="F516" s="17">
        <v>1</v>
      </c>
      <c r="G516" s="18" t="s">
        <v>23</v>
      </c>
      <c r="H516" s="17">
        <v>130.69999999999999</v>
      </c>
      <c r="I516" s="5">
        <v>150.4</v>
      </c>
      <c r="J516" s="21">
        <f t="shared" si="24"/>
        <v>0.15072685539403227</v>
      </c>
      <c r="K516" s="1">
        <v>2</v>
      </c>
      <c r="L516" s="24">
        <v>7.5</v>
      </c>
      <c r="M516" s="24">
        <v>142.88</v>
      </c>
      <c r="N516" s="21">
        <f t="shared" si="25"/>
        <v>9.319051262433059E-2</v>
      </c>
      <c r="P516" s="1">
        <v>6</v>
      </c>
      <c r="Q516" s="24">
        <v>15.039999999999992</v>
      </c>
      <c r="R516" s="24">
        <v>135.36000000000001</v>
      </c>
      <c r="S516" s="21">
        <f t="shared" si="26"/>
        <v>3.5654169854629117E-2</v>
      </c>
    </row>
    <row r="517" spans="2:19" ht="11.4" customHeight="1" x14ac:dyDescent="0.2">
      <c r="B517" s="24"/>
      <c r="C517" s="4">
        <v>3271</v>
      </c>
      <c r="D517" s="18" t="s">
        <v>546</v>
      </c>
      <c r="E517" s="18" t="s">
        <v>391</v>
      </c>
      <c r="F517" s="17">
        <v>1</v>
      </c>
      <c r="G517" s="18" t="s">
        <v>23</v>
      </c>
      <c r="H517" s="17">
        <v>177.5</v>
      </c>
      <c r="I517" s="5">
        <v>204.9</v>
      </c>
      <c r="J517" s="21">
        <f t="shared" si="24"/>
        <v>0.15436619718309863</v>
      </c>
      <c r="K517" s="1">
        <v>2</v>
      </c>
      <c r="L517" s="24">
        <v>10.199999999999999</v>
      </c>
      <c r="M517" s="24">
        <v>194.655</v>
      </c>
      <c r="N517" s="21">
        <f t="shared" si="25"/>
        <v>9.6647887323943665E-2</v>
      </c>
      <c r="P517" s="1">
        <v>6</v>
      </c>
      <c r="Q517" s="24">
        <v>20.490000000000009</v>
      </c>
      <c r="R517" s="24">
        <v>184.41</v>
      </c>
      <c r="S517" s="21">
        <f t="shared" si="26"/>
        <v>3.8929577464788714E-2</v>
      </c>
    </row>
    <row r="518" spans="2:19" ht="11.4" customHeight="1" x14ac:dyDescent="0.2">
      <c r="B518" s="24"/>
      <c r="C518" s="4">
        <v>39756</v>
      </c>
      <c r="D518" s="18" t="s">
        <v>547</v>
      </c>
      <c r="E518" s="18" t="s">
        <v>391</v>
      </c>
      <c r="F518" s="17">
        <v>1</v>
      </c>
      <c r="G518" s="18" t="s">
        <v>23</v>
      </c>
      <c r="H518" s="17">
        <v>424.5</v>
      </c>
      <c r="I518" s="5">
        <v>433.5</v>
      </c>
      <c r="J518" s="21">
        <f t="shared" si="24"/>
        <v>2.1201413427561839E-2</v>
      </c>
      <c r="K518" s="1">
        <v>2</v>
      </c>
      <c r="L518" s="24">
        <v>21.6</v>
      </c>
      <c r="M518" s="24">
        <v>411.82499999999999</v>
      </c>
      <c r="N518" s="21">
        <f t="shared" si="25"/>
        <v>-2.985865724381628E-2</v>
      </c>
      <c r="P518" s="1">
        <v>6</v>
      </c>
      <c r="Q518" s="24">
        <v>43.349999999999966</v>
      </c>
      <c r="R518" s="24">
        <v>390.15000000000003</v>
      </c>
      <c r="S518" s="21">
        <f t="shared" si="26"/>
        <v>-8.0918727915194263E-2</v>
      </c>
    </row>
    <row r="519" spans="2:19" ht="11.4" customHeight="1" x14ac:dyDescent="0.2">
      <c r="B519" s="24"/>
      <c r="C519" s="4">
        <v>39577</v>
      </c>
      <c r="D519" s="18" t="s">
        <v>548</v>
      </c>
      <c r="E519" s="18" t="s">
        <v>391</v>
      </c>
      <c r="F519" s="17">
        <v>1</v>
      </c>
      <c r="G519" s="18" t="s">
        <v>23</v>
      </c>
      <c r="H519" s="17">
        <v>34.9</v>
      </c>
      <c r="I519" s="5">
        <v>36.299999999999997</v>
      </c>
      <c r="J519" s="21">
        <f t="shared" si="24"/>
        <v>4.0114613180515721E-2</v>
      </c>
      <c r="K519" s="1">
        <v>2</v>
      </c>
      <c r="L519" s="24">
        <v>1.8</v>
      </c>
      <c r="M519" s="24">
        <v>34.484999999999992</v>
      </c>
      <c r="N519" s="21">
        <f t="shared" si="25"/>
        <v>-1.1891117478510209E-2</v>
      </c>
      <c r="P519" s="1">
        <v>6</v>
      </c>
      <c r="Q519" s="24">
        <v>3.6299999999999955</v>
      </c>
      <c r="R519" s="24">
        <v>32.67</v>
      </c>
      <c r="S519" s="21">
        <f t="shared" si="26"/>
        <v>-6.3896848137535725E-2</v>
      </c>
    </row>
    <row r="520" spans="2:19" ht="11.4" customHeight="1" x14ac:dyDescent="0.2">
      <c r="B520" s="24"/>
      <c r="C520" s="4">
        <v>6259</v>
      </c>
      <c r="D520" s="18" t="s">
        <v>549</v>
      </c>
      <c r="E520" s="18" t="s">
        <v>391</v>
      </c>
      <c r="F520" s="17">
        <v>1</v>
      </c>
      <c r="G520" s="18" t="s">
        <v>23</v>
      </c>
      <c r="H520" s="17">
        <v>116.9</v>
      </c>
      <c r="I520" s="5">
        <v>134.4</v>
      </c>
      <c r="J520" s="21">
        <f t="shared" si="24"/>
        <v>0.1497005988023952</v>
      </c>
      <c r="K520" s="1">
        <v>2</v>
      </c>
      <c r="L520" s="24">
        <v>6.7</v>
      </c>
      <c r="M520" s="24">
        <v>127.67999999999999</v>
      </c>
      <c r="N520" s="21">
        <f t="shared" si="25"/>
        <v>9.2215568862275332E-2</v>
      </c>
      <c r="P520" s="1">
        <v>6</v>
      </c>
      <c r="Q520" s="24">
        <v>13.439999999999998</v>
      </c>
      <c r="R520" s="24">
        <v>120.96000000000001</v>
      </c>
      <c r="S520" s="21">
        <f t="shared" si="26"/>
        <v>3.4730538922155704E-2</v>
      </c>
    </row>
    <row r="521" spans="2:19" ht="11.4" customHeight="1" x14ac:dyDescent="0.2">
      <c r="B521" s="24"/>
      <c r="C521" s="4">
        <v>31852</v>
      </c>
      <c r="D521" s="18" t="s">
        <v>550</v>
      </c>
      <c r="E521" s="18" t="s">
        <v>391</v>
      </c>
      <c r="F521" s="17">
        <v>2</v>
      </c>
      <c r="G521" s="18" t="s">
        <v>23</v>
      </c>
      <c r="H521" s="17">
        <v>84.6</v>
      </c>
      <c r="I521" s="5">
        <v>70.5</v>
      </c>
      <c r="J521" s="21">
        <f t="shared" si="24"/>
        <v>-0.1666666666666666</v>
      </c>
      <c r="K521" s="1">
        <v>2</v>
      </c>
      <c r="L521" s="24">
        <v>3.5</v>
      </c>
      <c r="M521" s="24">
        <v>66.974999999999994</v>
      </c>
      <c r="N521" s="21">
        <f t="shared" si="25"/>
        <v>-0.20833333333333334</v>
      </c>
      <c r="P521" s="1">
        <v>6</v>
      </c>
      <c r="Q521" s="24">
        <v>7.0499999999999972</v>
      </c>
      <c r="R521" s="24">
        <v>63.45</v>
      </c>
      <c r="S521" s="21">
        <f t="shared" si="26"/>
        <v>-0.24999999999999992</v>
      </c>
    </row>
    <row r="522" spans="2:19" ht="11.4" customHeight="1" x14ac:dyDescent="0.2">
      <c r="B522" s="24"/>
      <c r="C522" s="4">
        <v>46133</v>
      </c>
      <c r="D522" s="18" t="s">
        <v>551</v>
      </c>
      <c r="E522" s="18" t="s">
        <v>391</v>
      </c>
      <c r="F522" s="17">
        <v>12</v>
      </c>
      <c r="G522" s="18" t="s">
        <v>23</v>
      </c>
      <c r="H522" s="17">
        <v>209.87</v>
      </c>
      <c r="I522" s="5">
        <v>319</v>
      </c>
      <c r="J522" s="21">
        <f t="shared" si="24"/>
        <v>0.51998856434935914</v>
      </c>
      <c r="K522" s="1">
        <v>2</v>
      </c>
      <c r="L522" s="24">
        <v>15.9</v>
      </c>
      <c r="M522" s="24">
        <v>303.05</v>
      </c>
      <c r="N522" s="21">
        <f t="shared" si="25"/>
        <v>0.44398913613189117</v>
      </c>
      <c r="P522" s="1">
        <v>6</v>
      </c>
      <c r="Q522" s="24">
        <v>31.899999999999977</v>
      </c>
      <c r="R522" s="24">
        <v>287.10000000000002</v>
      </c>
      <c r="S522" s="21">
        <f t="shared" si="26"/>
        <v>0.36798970791442331</v>
      </c>
    </row>
    <row r="523" spans="2:19" ht="11.4" customHeight="1" x14ac:dyDescent="0.2">
      <c r="B523" s="24"/>
      <c r="C523" s="4">
        <v>44171</v>
      </c>
      <c r="D523" s="18" t="s">
        <v>552</v>
      </c>
      <c r="E523" s="18" t="s">
        <v>391</v>
      </c>
      <c r="F523" s="17">
        <v>15</v>
      </c>
      <c r="G523" s="18" t="s">
        <v>23</v>
      </c>
      <c r="H523" s="17">
        <v>105.68</v>
      </c>
      <c r="I523" s="5">
        <v>134.4</v>
      </c>
      <c r="J523" s="21">
        <f t="shared" si="24"/>
        <v>0.27176381529144583</v>
      </c>
      <c r="K523" s="1">
        <v>2</v>
      </c>
      <c r="L523" s="24">
        <v>6.7</v>
      </c>
      <c r="M523" s="24">
        <v>127.67999999999999</v>
      </c>
      <c r="N523" s="21">
        <f t="shared" si="25"/>
        <v>0.20817562452687344</v>
      </c>
      <c r="P523" s="1">
        <v>6</v>
      </c>
      <c r="Q523" s="24">
        <v>13.439999999999998</v>
      </c>
      <c r="R523" s="24">
        <v>120.96000000000001</v>
      </c>
      <c r="S523" s="21">
        <f t="shared" si="26"/>
        <v>0.14458743376230129</v>
      </c>
    </row>
    <row r="524" spans="2:19" ht="11.4" customHeight="1" x14ac:dyDescent="0.2">
      <c r="B524" s="24"/>
      <c r="C524" s="4">
        <v>4065</v>
      </c>
      <c r="D524" s="18" t="s">
        <v>553</v>
      </c>
      <c r="E524" s="18" t="s">
        <v>554</v>
      </c>
      <c r="F524" s="17">
        <v>10</v>
      </c>
      <c r="G524" s="18" t="s">
        <v>23</v>
      </c>
      <c r="H524" s="17">
        <v>51.2</v>
      </c>
      <c r="I524" s="5">
        <v>57.2</v>
      </c>
      <c r="J524" s="21">
        <f t="shared" si="24"/>
        <v>0.1171875</v>
      </c>
      <c r="K524" s="1">
        <v>2</v>
      </c>
      <c r="L524" s="24">
        <v>2.8</v>
      </c>
      <c r="M524" s="24">
        <v>54.34</v>
      </c>
      <c r="N524" s="21">
        <f t="shared" si="25"/>
        <v>6.1328125000000011E-2</v>
      </c>
      <c r="P524" s="1">
        <v>6</v>
      </c>
      <c r="Q524" s="24">
        <v>5.7199999999999989</v>
      </c>
      <c r="R524" s="24">
        <v>51.480000000000004</v>
      </c>
      <c r="S524" s="21">
        <f t="shared" si="26"/>
        <v>5.4687500000000222E-3</v>
      </c>
    </row>
    <row r="525" spans="2:19" ht="11.4" customHeight="1" x14ac:dyDescent="0.2">
      <c r="B525" s="24"/>
      <c r="C525" s="4">
        <v>33524</v>
      </c>
      <c r="D525" s="18" t="s">
        <v>555</v>
      </c>
      <c r="E525" s="18" t="s">
        <v>554</v>
      </c>
      <c r="F525" s="17">
        <v>12</v>
      </c>
      <c r="G525" s="18" t="s">
        <v>23</v>
      </c>
      <c r="H525" s="17">
        <v>87</v>
      </c>
      <c r="I525" s="5">
        <v>89.9</v>
      </c>
      <c r="J525" s="21">
        <f t="shared" si="24"/>
        <v>3.3333333333333395E-2</v>
      </c>
      <c r="K525" s="1">
        <v>2</v>
      </c>
      <c r="L525" s="24">
        <v>4.4000000000000004</v>
      </c>
      <c r="M525" s="24">
        <v>85.405000000000001</v>
      </c>
      <c r="N525" s="21">
        <f t="shared" si="25"/>
        <v>-1.833333333333332E-2</v>
      </c>
      <c r="P525" s="1">
        <v>6</v>
      </c>
      <c r="Q525" s="24">
        <v>8.9899999999999949</v>
      </c>
      <c r="R525" s="24">
        <v>80.910000000000011</v>
      </c>
      <c r="S525" s="21">
        <f t="shared" si="26"/>
        <v>-6.9999999999999882E-2</v>
      </c>
    </row>
    <row r="526" spans="2:19" ht="11.4" customHeight="1" x14ac:dyDescent="0.2">
      <c r="B526" s="24"/>
      <c r="C526" s="4">
        <v>39665</v>
      </c>
      <c r="D526" s="18" t="s">
        <v>556</v>
      </c>
      <c r="E526" s="18" t="s">
        <v>554</v>
      </c>
      <c r="F526" s="17">
        <v>10</v>
      </c>
      <c r="G526" s="18" t="s">
        <v>23</v>
      </c>
      <c r="H526" s="17">
        <v>58.92</v>
      </c>
      <c r="I526" s="5">
        <v>73.7</v>
      </c>
      <c r="J526" s="21">
        <f t="shared" si="24"/>
        <v>0.25084860828241684</v>
      </c>
      <c r="K526" s="1">
        <v>2</v>
      </c>
      <c r="L526" s="24">
        <v>3.6</v>
      </c>
      <c r="M526" s="24">
        <v>70.015000000000001</v>
      </c>
      <c r="N526" s="21">
        <f t="shared" si="25"/>
        <v>0.18830617786829598</v>
      </c>
      <c r="P526" s="1">
        <v>6</v>
      </c>
      <c r="Q526" s="24">
        <v>7.3700000000000045</v>
      </c>
      <c r="R526" s="24">
        <v>66.33</v>
      </c>
      <c r="S526" s="21">
        <f t="shared" si="26"/>
        <v>0.1257637474541751</v>
      </c>
    </row>
    <row r="527" spans="2:19" ht="11.4" customHeight="1" x14ac:dyDescent="0.2">
      <c r="B527" s="24"/>
      <c r="C527" s="4">
        <v>42020</v>
      </c>
      <c r="D527" s="18" t="s">
        <v>557</v>
      </c>
      <c r="E527" s="18" t="s">
        <v>554</v>
      </c>
      <c r="F527" s="17">
        <v>8</v>
      </c>
      <c r="G527" s="18" t="s">
        <v>23</v>
      </c>
      <c r="H527" s="17">
        <v>30.53</v>
      </c>
      <c r="I527" s="5">
        <v>45.9</v>
      </c>
      <c r="J527" s="21">
        <f t="shared" si="24"/>
        <v>0.50343924009171293</v>
      </c>
      <c r="K527" s="1">
        <v>2</v>
      </c>
      <c r="L527" s="24">
        <v>2.2000000000000002</v>
      </c>
      <c r="M527" s="24">
        <v>43.604999999999997</v>
      </c>
      <c r="N527" s="21">
        <f t="shared" si="25"/>
        <v>0.42826727808712728</v>
      </c>
      <c r="P527" s="1">
        <v>6</v>
      </c>
      <c r="Q527" s="24">
        <v>4.5899999999999963</v>
      </c>
      <c r="R527" s="24">
        <v>41.31</v>
      </c>
      <c r="S527" s="21">
        <f t="shared" si="26"/>
        <v>0.3530953160825418</v>
      </c>
    </row>
    <row r="528" spans="2:19" ht="11.4" customHeight="1" x14ac:dyDescent="0.2">
      <c r="B528" s="24"/>
      <c r="C528" s="4">
        <v>40855</v>
      </c>
      <c r="D528" s="18" t="s">
        <v>558</v>
      </c>
      <c r="E528" s="18" t="s">
        <v>554</v>
      </c>
      <c r="F528" s="17">
        <v>12</v>
      </c>
      <c r="G528" s="18" t="s">
        <v>23</v>
      </c>
      <c r="H528" s="17">
        <v>27.73</v>
      </c>
      <c r="I528" s="5">
        <v>35.200000000000003</v>
      </c>
      <c r="J528" s="21">
        <f t="shared" si="24"/>
        <v>0.2693833393436712</v>
      </c>
      <c r="K528" s="1">
        <v>2</v>
      </c>
      <c r="L528" s="24">
        <v>1.7</v>
      </c>
      <c r="M528" s="24">
        <v>33.44</v>
      </c>
      <c r="N528" s="21">
        <f t="shared" si="25"/>
        <v>0.20591417237648746</v>
      </c>
      <c r="P528" s="1">
        <v>6</v>
      </c>
      <c r="Q528" s="24">
        <v>3.5199999999999996</v>
      </c>
      <c r="R528" s="24">
        <v>31.680000000000003</v>
      </c>
      <c r="S528" s="21">
        <f t="shared" si="26"/>
        <v>0.1424450054093041</v>
      </c>
    </row>
    <row r="529" spans="2:19" ht="11.4" customHeight="1" x14ac:dyDescent="0.2">
      <c r="B529" s="24"/>
      <c r="C529" s="4">
        <v>33528</v>
      </c>
      <c r="D529" s="18" t="s">
        <v>559</v>
      </c>
      <c r="E529" s="18" t="s">
        <v>554</v>
      </c>
      <c r="F529" s="17">
        <v>12</v>
      </c>
      <c r="G529" s="18" t="s">
        <v>23</v>
      </c>
      <c r="H529" s="17">
        <v>75</v>
      </c>
      <c r="I529" s="5">
        <v>73</v>
      </c>
      <c r="J529" s="21">
        <f t="shared" si="24"/>
        <v>-2.6666666666666668E-2</v>
      </c>
      <c r="K529" s="1">
        <v>2</v>
      </c>
      <c r="L529" s="24">
        <v>3.6</v>
      </c>
      <c r="M529" s="24">
        <v>69.349999999999994</v>
      </c>
      <c r="N529" s="21">
        <f t="shared" si="25"/>
        <v>-7.5333333333333405E-2</v>
      </c>
      <c r="P529" s="1">
        <v>6</v>
      </c>
      <c r="Q529" s="24">
        <v>7.2999999999999972</v>
      </c>
      <c r="R529" s="24">
        <v>65.7</v>
      </c>
      <c r="S529" s="21">
        <f t="shared" si="26"/>
        <v>-0.12399999999999996</v>
      </c>
    </row>
    <row r="530" spans="2:19" ht="11.4" customHeight="1" x14ac:dyDescent="0.2">
      <c r="B530" s="24"/>
      <c r="C530" s="4">
        <v>33876</v>
      </c>
      <c r="D530" s="18" t="s">
        <v>560</v>
      </c>
      <c r="E530" s="18" t="s">
        <v>554</v>
      </c>
      <c r="F530" s="18"/>
      <c r="G530" s="18" t="s">
        <v>23</v>
      </c>
      <c r="H530" s="17">
        <v>52</v>
      </c>
      <c r="I530" s="5">
        <v>55.5</v>
      </c>
      <c r="J530" s="21">
        <f t="shared" si="24"/>
        <v>6.7307692307692304E-2</v>
      </c>
      <c r="K530" s="1">
        <v>2</v>
      </c>
      <c r="L530" s="24">
        <v>2.7</v>
      </c>
      <c r="M530" s="24">
        <v>52.724999999999994</v>
      </c>
      <c r="N530" s="21">
        <f t="shared" si="25"/>
        <v>1.3942307692307584E-2</v>
      </c>
      <c r="P530" s="1">
        <v>6</v>
      </c>
      <c r="Q530" s="24">
        <v>5.5499999999999972</v>
      </c>
      <c r="R530" s="24">
        <v>49.95</v>
      </c>
      <c r="S530" s="21">
        <f t="shared" si="26"/>
        <v>-3.9423076923076866E-2</v>
      </c>
    </row>
    <row r="531" spans="2:19" ht="11.4" customHeight="1" x14ac:dyDescent="0.2">
      <c r="B531" s="24"/>
      <c r="C531" s="4">
        <v>34550</v>
      </c>
      <c r="D531" s="18" t="s">
        <v>561</v>
      </c>
      <c r="E531" s="18" t="s">
        <v>554</v>
      </c>
      <c r="F531" s="17">
        <v>8</v>
      </c>
      <c r="G531" s="18" t="s">
        <v>23</v>
      </c>
      <c r="H531" s="17">
        <v>34.9</v>
      </c>
      <c r="I531" s="5">
        <v>35.9</v>
      </c>
      <c r="J531" s="21">
        <f t="shared" si="24"/>
        <v>2.865329512893983E-2</v>
      </c>
      <c r="K531" s="1">
        <v>2</v>
      </c>
      <c r="L531" s="24">
        <v>1.7</v>
      </c>
      <c r="M531" s="24">
        <v>34.104999999999997</v>
      </c>
      <c r="N531" s="21">
        <f t="shared" si="25"/>
        <v>-2.2779369627507214E-2</v>
      </c>
      <c r="P531" s="1">
        <v>6</v>
      </c>
      <c r="Q531" s="24">
        <v>3.5899999999999963</v>
      </c>
      <c r="R531" s="24">
        <v>32.31</v>
      </c>
      <c r="S531" s="21">
        <f t="shared" si="26"/>
        <v>-7.4212034383954045E-2</v>
      </c>
    </row>
    <row r="532" spans="2:19" ht="11.4" customHeight="1" x14ac:dyDescent="0.2">
      <c r="B532" s="24"/>
      <c r="C532" s="4">
        <v>47789</v>
      </c>
      <c r="D532" s="18" t="s">
        <v>562</v>
      </c>
      <c r="E532" s="18" t="s">
        <v>554</v>
      </c>
      <c r="F532" s="17">
        <v>24</v>
      </c>
      <c r="G532" s="18" t="s">
        <v>23</v>
      </c>
      <c r="H532" s="18"/>
      <c r="I532" s="5">
        <v>38.9</v>
      </c>
      <c r="J532" s="21" t="e">
        <f t="shared" si="24"/>
        <v>#DIV/0!</v>
      </c>
      <c r="K532" s="1">
        <v>2</v>
      </c>
      <c r="L532" s="24">
        <v>1.9</v>
      </c>
      <c r="M532" s="24">
        <v>36.954999999999998</v>
      </c>
      <c r="N532" s="21" t="e">
        <f t="shared" si="25"/>
        <v>#DIV/0!</v>
      </c>
      <c r="P532" s="1">
        <v>6</v>
      </c>
      <c r="Q532" s="24">
        <v>3.8900000000000006</v>
      </c>
      <c r="R532" s="24">
        <v>35.01</v>
      </c>
      <c r="S532" s="21" t="e">
        <f t="shared" si="26"/>
        <v>#DIV/0!</v>
      </c>
    </row>
    <row r="533" spans="2:19" ht="11.4" customHeight="1" x14ac:dyDescent="0.2">
      <c r="B533" s="24"/>
      <c r="C533" s="4">
        <v>25437</v>
      </c>
      <c r="D533" s="18" t="s">
        <v>563</v>
      </c>
      <c r="E533" s="18" t="s">
        <v>554</v>
      </c>
      <c r="F533" s="17">
        <v>24</v>
      </c>
      <c r="G533" s="18" t="s">
        <v>23</v>
      </c>
      <c r="H533" s="17">
        <v>50.6</v>
      </c>
      <c r="I533" s="5">
        <v>57.5</v>
      </c>
      <c r="J533" s="21">
        <f t="shared" si="24"/>
        <v>0.13636363636363633</v>
      </c>
      <c r="K533" s="1">
        <v>2</v>
      </c>
      <c r="L533" s="24">
        <v>2.8</v>
      </c>
      <c r="M533" s="24">
        <v>54.625</v>
      </c>
      <c r="N533" s="21">
        <f t="shared" si="25"/>
        <v>7.9545454545454516E-2</v>
      </c>
      <c r="P533" s="1">
        <v>6</v>
      </c>
      <c r="Q533" s="24">
        <v>5.75</v>
      </c>
      <c r="R533" s="24">
        <v>51.75</v>
      </c>
      <c r="S533" s="21">
        <f t="shared" si="26"/>
        <v>2.27272727272727E-2</v>
      </c>
    </row>
    <row r="534" spans="2:19" ht="11.4" customHeight="1" x14ac:dyDescent="0.2">
      <c r="B534" s="24"/>
      <c r="C534" s="4">
        <v>15840</v>
      </c>
      <c r="D534" s="18" t="s">
        <v>564</v>
      </c>
      <c r="E534" s="18" t="s">
        <v>554</v>
      </c>
      <c r="F534" s="17">
        <v>4</v>
      </c>
      <c r="G534" s="18" t="s">
        <v>23</v>
      </c>
      <c r="H534" s="17">
        <v>34.5</v>
      </c>
      <c r="I534" s="5">
        <v>37.9</v>
      </c>
      <c r="J534" s="21">
        <f t="shared" si="24"/>
        <v>9.8550724637681122E-2</v>
      </c>
      <c r="K534" s="1">
        <v>2</v>
      </c>
      <c r="L534" s="24">
        <v>1.8</v>
      </c>
      <c r="M534" s="24">
        <v>36.004999999999995</v>
      </c>
      <c r="N534" s="21">
        <f t="shared" si="25"/>
        <v>4.3623188405796973E-2</v>
      </c>
      <c r="P534" s="1">
        <v>6</v>
      </c>
      <c r="Q534" s="24">
        <v>3.7899999999999991</v>
      </c>
      <c r="R534" s="24">
        <v>34.11</v>
      </c>
      <c r="S534" s="21">
        <f t="shared" si="26"/>
        <v>-1.1304347826086972E-2</v>
      </c>
    </row>
    <row r="535" spans="2:19" ht="11.4" customHeight="1" x14ac:dyDescent="0.2">
      <c r="B535" s="24"/>
      <c r="C535" s="4">
        <v>5968</v>
      </c>
      <c r="D535" s="18" t="s">
        <v>565</v>
      </c>
      <c r="E535" s="18" t="s">
        <v>554</v>
      </c>
      <c r="F535" s="17">
        <v>12</v>
      </c>
      <c r="G535" s="18" t="s">
        <v>23</v>
      </c>
      <c r="H535" s="17">
        <v>43.61</v>
      </c>
      <c r="I535" s="5">
        <v>44.5</v>
      </c>
      <c r="J535" s="21">
        <f t="shared" si="24"/>
        <v>2.0408163265306135E-2</v>
      </c>
      <c r="K535" s="1">
        <v>2</v>
      </c>
      <c r="L535" s="24">
        <v>2.2000000000000002</v>
      </c>
      <c r="M535" s="24">
        <v>42.274999999999999</v>
      </c>
      <c r="N535" s="21">
        <f t="shared" si="25"/>
        <v>-3.0612244897959204E-2</v>
      </c>
      <c r="P535" s="1">
        <v>6</v>
      </c>
      <c r="Q535" s="24">
        <v>4.4499999999999957</v>
      </c>
      <c r="R535" s="24">
        <v>40.050000000000004</v>
      </c>
      <c r="S535" s="21">
        <f t="shared" si="26"/>
        <v>-8.1632653061224386E-2</v>
      </c>
    </row>
    <row r="536" spans="2:19" ht="11.4" customHeight="1" x14ac:dyDescent="0.2">
      <c r="B536" s="24"/>
      <c r="C536" s="4">
        <v>5756</v>
      </c>
      <c r="D536" s="18" t="s">
        <v>566</v>
      </c>
      <c r="E536" s="18" t="s">
        <v>554</v>
      </c>
      <c r="F536" s="17">
        <v>10</v>
      </c>
      <c r="G536" s="18" t="s">
        <v>23</v>
      </c>
      <c r="H536" s="17">
        <v>42.4</v>
      </c>
      <c r="I536" s="5">
        <v>44.9</v>
      </c>
      <c r="J536" s="21">
        <f t="shared" si="24"/>
        <v>5.8962264150943397E-2</v>
      </c>
      <c r="K536" s="1">
        <v>2</v>
      </c>
      <c r="L536" s="24">
        <v>2.2000000000000002</v>
      </c>
      <c r="M536" s="24">
        <v>42.654999999999994</v>
      </c>
      <c r="N536" s="21">
        <f t="shared" si="25"/>
        <v>6.0141509433961193E-3</v>
      </c>
      <c r="P536" s="1">
        <v>6</v>
      </c>
      <c r="Q536" s="24">
        <v>4.490000000000002</v>
      </c>
      <c r="R536" s="24">
        <v>40.409999999999997</v>
      </c>
      <c r="S536" s="21">
        <f t="shared" si="26"/>
        <v>-4.6933962264150988E-2</v>
      </c>
    </row>
    <row r="537" spans="2:19" ht="11.4" customHeight="1" x14ac:dyDescent="0.2">
      <c r="B537" s="24"/>
      <c r="C537" s="4">
        <v>42017</v>
      </c>
      <c r="D537" s="18" t="s">
        <v>567</v>
      </c>
      <c r="E537" s="18" t="s">
        <v>554</v>
      </c>
      <c r="F537" s="17">
        <v>8</v>
      </c>
      <c r="G537" s="18" t="s">
        <v>23</v>
      </c>
      <c r="H537" s="17">
        <v>29.09</v>
      </c>
      <c r="I537" s="5">
        <v>45.9</v>
      </c>
      <c r="J537" s="21">
        <f t="shared" si="24"/>
        <v>0.57786180818150568</v>
      </c>
      <c r="K537" s="1">
        <v>2</v>
      </c>
      <c r="L537" s="24">
        <v>2.2000000000000002</v>
      </c>
      <c r="M537" s="24">
        <v>43.604999999999997</v>
      </c>
      <c r="N537" s="21">
        <f t="shared" si="25"/>
        <v>0.49896871777243029</v>
      </c>
      <c r="P537" s="1">
        <v>6</v>
      </c>
      <c r="Q537" s="24">
        <v>4.5899999999999963</v>
      </c>
      <c r="R537" s="24">
        <v>41.31</v>
      </c>
      <c r="S537" s="21">
        <f t="shared" si="26"/>
        <v>0.42007562736335519</v>
      </c>
    </row>
    <row r="538" spans="2:19" ht="11.4" customHeight="1" x14ac:dyDescent="0.2">
      <c r="B538" s="24"/>
      <c r="C538" s="4">
        <v>42018</v>
      </c>
      <c r="D538" s="18" t="s">
        <v>568</v>
      </c>
      <c r="E538" s="18" t="s">
        <v>554</v>
      </c>
      <c r="F538" s="17">
        <v>6</v>
      </c>
      <c r="G538" s="18" t="s">
        <v>23</v>
      </c>
      <c r="H538" s="17">
        <v>47.33</v>
      </c>
      <c r="I538" s="5">
        <v>67.5</v>
      </c>
      <c r="J538" s="21">
        <f t="shared" si="24"/>
        <v>0.42615677160363413</v>
      </c>
      <c r="K538" s="1">
        <v>2</v>
      </c>
      <c r="L538" s="24">
        <v>3.3</v>
      </c>
      <c r="M538" s="24">
        <v>64.125</v>
      </c>
      <c r="N538" s="21">
        <f t="shared" si="25"/>
        <v>0.35484893302345238</v>
      </c>
      <c r="P538" s="1">
        <v>6</v>
      </c>
      <c r="Q538" s="24">
        <v>6.75</v>
      </c>
      <c r="R538" s="24">
        <v>60.75</v>
      </c>
      <c r="S538" s="21">
        <f t="shared" si="26"/>
        <v>0.28354109444327069</v>
      </c>
    </row>
    <row r="539" spans="2:19" ht="11.4" customHeight="1" x14ac:dyDescent="0.2">
      <c r="B539" s="24"/>
      <c r="C539" s="4">
        <v>14394</v>
      </c>
      <c r="D539" s="18" t="s">
        <v>569</v>
      </c>
      <c r="E539" s="18" t="s">
        <v>554</v>
      </c>
      <c r="F539" s="17">
        <v>4</v>
      </c>
      <c r="G539" s="18" t="s">
        <v>23</v>
      </c>
      <c r="H539" s="17">
        <v>34.5</v>
      </c>
      <c r="I539" s="5">
        <v>38.9</v>
      </c>
      <c r="J539" s="21">
        <f t="shared" si="24"/>
        <v>0.12753623188405794</v>
      </c>
      <c r="K539" s="1">
        <v>2</v>
      </c>
      <c r="L539" s="24">
        <v>1.9</v>
      </c>
      <c r="M539" s="24">
        <v>36.954999999999998</v>
      </c>
      <c r="N539" s="21">
        <f t="shared" si="25"/>
        <v>7.115942028985503E-2</v>
      </c>
      <c r="P539" s="1">
        <v>6</v>
      </c>
      <c r="Q539" s="24">
        <v>3.8900000000000006</v>
      </c>
      <c r="R539" s="24">
        <v>35.01</v>
      </c>
      <c r="S539" s="21">
        <f t="shared" si="26"/>
        <v>1.4782608695652117E-2</v>
      </c>
    </row>
    <row r="540" spans="2:19" ht="11.4" customHeight="1" x14ac:dyDescent="0.2">
      <c r="B540" s="24"/>
      <c r="C540" s="4">
        <v>40819</v>
      </c>
      <c r="D540" s="18" t="s">
        <v>570</v>
      </c>
      <c r="E540" s="18" t="s">
        <v>554</v>
      </c>
      <c r="F540" s="17">
        <v>4</v>
      </c>
      <c r="G540" s="18" t="s">
        <v>23</v>
      </c>
      <c r="H540" s="17">
        <v>22.32</v>
      </c>
      <c r="I540" s="5">
        <v>41.3</v>
      </c>
      <c r="J540" s="21">
        <f t="shared" si="24"/>
        <v>0.85035842293906794</v>
      </c>
      <c r="K540" s="1">
        <v>2</v>
      </c>
      <c r="L540" s="24">
        <v>2</v>
      </c>
      <c r="M540" s="24">
        <v>39.234999999999992</v>
      </c>
      <c r="N540" s="21">
        <f t="shared" si="25"/>
        <v>0.75784050179211437</v>
      </c>
      <c r="P540" s="1">
        <v>6</v>
      </c>
      <c r="Q540" s="24">
        <v>4.1299999999999955</v>
      </c>
      <c r="R540" s="24">
        <v>37.17</v>
      </c>
      <c r="S540" s="21">
        <f t="shared" si="26"/>
        <v>0.66532258064516137</v>
      </c>
    </row>
    <row r="541" spans="2:19" ht="11.4" customHeight="1" x14ac:dyDescent="0.2">
      <c r="B541" s="24"/>
      <c r="C541" s="4">
        <v>35190</v>
      </c>
      <c r="D541" s="18" t="s">
        <v>571</v>
      </c>
      <c r="E541" s="18" t="s">
        <v>554</v>
      </c>
      <c r="F541" s="17">
        <v>10</v>
      </c>
      <c r="G541" s="18" t="s">
        <v>23</v>
      </c>
      <c r="H541" s="17">
        <v>42.4</v>
      </c>
      <c r="I541" s="5">
        <v>47.7</v>
      </c>
      <c r="J541" s="21">
        <f t="shared" si="24"/>
        <v>0.12500000000000011</v>
      </c>
      <c r="K541" s="1">
        <v>2</v>
      </c>
      <c r="L541" s="24">
        <v>2.2999999999999998</v>
      </c>
      <c r="M541" s="24">
        <v>45.314999999999998</v>
      </c>
      <c r="N541" s="21">
        <f t="shared" si="25"/>
        <v>6.8749999999999978E-2</v>
      </c>
      <c r="P541" s="1">
        <v>6</v>
      </c>
      <c r="Q541" s="24">
        <v>4.769999999999996</v>
      </c>
      <c r="R541" s="24">
        <v>42.930000000000007</v>
      </c>
      <c r="S541" s="21">
        <f t="shared" si="26"/>
        <v>1.2500000000000195E-2</v>
      </c>
    </row>
    <row r="542" spans="2:19" ht="11.4" customHeight="1" x14ac:dyDescent="0.2">
      <c r="B542" s="24"/>
      <c r="C542" s="4">
        <v>31921</v>
      </c>
      <c r="D542" s="18" t="s">
        <v>572</v>
      </c>
      <c r="E542" s="18" t="s">
        <v>554</v>
      </c>
      <c r="F542" s="17">
        <v>30</v>
      </c>
      <c r="G542" s="18" t="s">
        <v>23</v>
      </c>
      <c r="H542" s="17">
        <v>51.9</v>
      </c>
      <c r="I542" s="5">
        <v>52.5</v>
      </c>
      <c r="J542" s="21">
        <f t="shared" si="24"/>
        <v>1.1560693641618524E-2</v>
      </c>
      <c r="K542" s="1">
        <v>2</v>
      </c>
      <c r="L542" s="24">
        <v>2.6</v>
      </c>
      <c r="M542" s="24">
        <v>49.875</v>
      </c>
      <c r="N542" s="21">
        <f t="shared" si="25"/>
        <v>-3.9017341040462401E-2</v>
      </c>
      <c r="P542" s="1">
        <v>6</v>
      </c>
      <c r="Q542" s="24">
        <v>5.25</v>
      </c>
      <c r="R542" s="24">
        <v>47.25</v>
      </c>
      <c r="S542" s="21">
        <f t="shared" si="26"/>
        <v>-8.9595375722543322E-2</v>
      </c>
    </row>
    <row r="543" spans="2:19" ht="11.4" customHeight="1" x14ac:dyDescent="0.2">
      <c r="B543" s="24"/>
      <c r="C543" s="4">
        <v>36402</v>
      </c>
      <c r="D543" s="18" t="s">
        <v>573</v>
      </c>
      <c r="E543" s="18" t="s">
        <v>554</v>
      </c>
      <c r="F543" s="17">
        <v>3</v>
      </c>
      <c r="G543" s="18" t="s">
        <v>23</v>
      </c>
      <c r="H543" s="17">
        <v>41.1</v>
      </c>
      <c r="I543" s="5">
        <v>45.5</v>
      </c>
      <c r="J543" s="21">
        <f t="shared" si="24"/>
        <v>0.10705596107055958</v>
      </c>
      <c r="K543" s="1">
        <v>2</v>
      </c>
      <c r="L543" s="24">
        <v>2.2000000000000002</v>
      </c>
      <c r="M543" s="24">
        <v>43.225000000000001</v>
      </c>
      <c r="N543" s="21">
        <f t="shared" si="25"/>
        <v>5.1703163017031629E-2</v>
      </c>
      <c r="P543" s="1">
        <v>6</v>
      </c>
      <c r="Q543" s="24">
        <v>4.5499999999999972</v>
      </c>
      <c r="R543" s="24">
        <v>40.950000000000003</v>
      </c>
      <c r="S543" s="21">
        <f t="shared" si="26"/>
        <v>-3.6496350364963156E-3</v>
      </c>
    </row>
    <row r="544" spans="2:19" ht="11.4" customHeight="1" x14ac:dyDescent="0.2">
      <c r="B544" s="24"/>
      <c r="C544" s="4">
        <v>35727</v>
      </c>
      <c r="D544" s="18" t="s">
        <v>574</v>
      </c>
      <c r="E544" s="18" t="s">
        <v>554</v>
      </c>
      <c r="F544" s="17">
        <v>24</v>
      </c>
      <c r="G544" s="18" t="s">
        <v>23</v>
      </c>
      <c r="H544" s="17">
        <v>49.3</v>
      </c>
      <c r="I544" s="5">
        <v>58.7</v>
      </c>
      <c r="J544" s="21">
        <f t="shared" si="24"/>
        <v>0.1906693711967547</v>
      </c>
      <c r="K544" s="1">
        <v>2</v>
      </c>
      <c r="L544" s="24">
        <v>2.9</v>
      </c>
      <c r="M544" s="24">
        <v>55.765000000000001</v>
      </c>
      <c r="N544" s="21">
        <f t="shared" si="25"/>
        <v>0.13113590263691691</v>
      </c>
      <c r="P544" s="1">
        <v>6</v>
      </c>
      <c r="Q544" s="24">
        <v>5.8699999999999974</v>
      </c>
      <c r="R544" s="24">
        <v>52.830000000000005</v>
      </c>
      <c r="S544" s="21">
        <f t="shared" si="26"/>
        <v>7.160243407707928E-2</v>
      </c>
    </row>
    <row r="545" spans="2:19" ht="11.4" customHeight="1" x14ac:dyDescent="0.2">
      <c r="B545" s="24"/>
      <c r="C545" s="4">
        <v>46355</v>
      </c>
      <c r="D545" s="18" t="s">
        <v>575</v>
      </c>
      <c r="E545" s="18" t="s">
        <v>554</v>
      </c>
      <c r="F545" s="17">
        <v>20</v>
      </c>
      <c r="G545" s="18" t="s">
        <v>23</v>
      </c>
      <c r="H545" s="17">
        <v>32.64</v>
      </c>
      <c r="I545" s="5">
        <v>42.9</v>
      </c>
      <c r="J545" s="21">
        <f t="shared" si="24"/>
        <v>0.31433823529411759</v>
      </c>
      <c r="K545" s="1">
        <v>2</v>
      </c>
      <c r="L545" s="24">
        <v>2.1</v>
      </c>
      <c r="M545" s="24">
        <v>40.754999999999995</v>
      </c>
      <c r="N545" s="21">
        <f t="shared" si="25"/>
        <v>0.2486213235294116</v>
      </c>
      <c r="P545" s="1">
        <v>6</v>
      </c>
      <c r="Q545" s="24">
        <v>4.2899999999999991</v>
      </c>
      <c r="R545" s="24">
        <v>38.61</v>
      </c>
      <c r="S545" s="21">
        <f t="shared" si="26"/>
        <v>0.18290441176470584</v>
      </c>
    </row>
    <row r="546" spans="2:19" ht="11.4" customHeight="1" x14ac:dyDescent="0.2">
      <c r="B546" s="24"/>
      <c r="C546" s="4">
        <v>45342</v>
      </c>
      <c r="D546" s="18" t="s">
        <v>576</v>
      </c>
      <c r="E546" s="18" t="s">
        <v>554</v>
      </c>
      <c r="F546" s="17">
        <v>6</v>
      </c>
      <c r="G546" s="18" t="s">
        <v>23</v>
      </c>
      <c r="H546" s="17">
        <v>54.96</v>
      </c>
      <c r="I546" s="5">
        <v>74.2</v>
      </c>
      <c r="J546" s="21">
        <f t="shared" si="24"/>
        <v>0.35007278020378463</v>
      </c>
      <c r="K546" s="1">
        <v>2</v>
      </c>
      <c r="L546" s="24">
        <v>3.7</v>
      </c>
      <c r="M546" s="24">
        <v>70.489999999999995</v>
      </c>
      <c r="N546" s="21">
        <f t="shared" si="25"/>
        <v>0.28256914119359522</v>
      </c>
      <c r="P546" s="1">
        <v>6</v>
      </c>
      <c r="Q546" s="24">
        <v>7.4200000000000017</v>
      </c>
      <c r="R546" s="24">
        <v>66.78</v>
      </c>
      <c r="S546" s="21">
        <f t="shared" si="26"/>
        <v>0.21506550218340612</v>
      </c>
    </row>
    <row r="547" spans="2:19" ht="11.4" customHeight="1" x14ac:dyDescent="0.2">
      <c r="B547" s="24"/>
      <c r="C547" s="4">
        <v>41480</v>
      </c>
      <c r="D547" s="18" t="s">
        <v>577</v>
      </c>
      <c r="E547" s="18" t="s">
        <v>554</v>
      </c>
      <c r="F547" s="17">
        <v>6</v>
      </c>
      <c r="G547" s="18" t="s">
        <v>23</v>
      </c>
      <c r="H547" s="17">
        <v>57.72</v>
      </c>
      <c r="I547" s="5">
        <v>76.3</v>
      </c>
      <c r="J547" s="21">
        <f t="shared" si="24"/>
        <v>0.32189882189882185</v>
      </c>
      <c r="K547" s="1">
        <v>2</v>
      </c>
      <c r="L547" s="24">
        <v>3.8</v>
      </c>
      <c r="M547" s="24">
        <v>72.484999999999999</v>
      </c>
      <c r="N547" s="21">
        <f t="shared" si="25"/>
        <v>0.25580388080388083</v>
      </c>
      <c r="P547" s="1">
        <v>6</v>
      </c>
      <c r="Q547" s="24">
        <v>7.6299999999999955</v>
      </c>
      <c r="R547" s="24">
        <v>68.67</v>
      </c>
      <c r="S547" s="21">
        <f t="shared" si="26"/>
        <v>0.18970893970893976</v>
      </c>
    </row>
    <row r="548" spans="2:19" ht="11.4" customHeight="1" x14ac:dyDescent="0.2">
      <c r="B548" s="24"/>
      <c r="C548" s="4">
        <v>46426</v>
      </c>
      <c r="D548" s="18" t="s">
        <v>578</v>
      </c>
      <c r="E548" s="18" t="s">
        <v>554</v>
      </c>
      <c r="F548" s="17">
        <v>24</v>
      </c>
      <c r="G548" s="18" t="s">
        <v>23</v>
      </c>
      <c r="H548" s="17">
        <v>25.87</v>
      </c>
      <c r="I548" s="5">
        <v>37.700000000000003</v>
      </c>
      <c r="J548" s="21">
        <f t="shared" si="24"/>
        <v>0.45728643216080406</v>
      </c>
      <c r="K548" s="1">
        <v>2</v>
      </c>
      <c r="L548" s="24">
        <v>1.8</v>
      </c>
      <c r="M548" s="24">
        <v>35.814999999999998</v>
      </c>
      <c r="N548" s="21">
        <f t="shared" si="25"/>
        <v>0.38442211055276365</v>
      </c>
      <c r="P548" s="1">
        <v>6</v>
      </c>
      <c r="Q548" s="24">
        <v>3.769999999999996</v>
      </c>
      <c r="R548" s="24">
        <v>33.930000000000007</v>
      </c>
      <c r="S548" s="21">
        <f t="shared" si="26"/>
        <v>0.31155778894472386</v>
      </c>
    </row>
    <row r="549" spans="2:19" ht="11.4" customHeight="1" x14ac:dyDescent="0.2">
      <c r="B549" s="24"/>
      <c r="C549" s="4">
        <v>47787</v>
      </c>
      <c r="D549" s="18" t="s">
        <v>579</v>
      </c>
      <c r="E549" s="18" t="s">
        <v>554</v>
      </c>
      <c r="F549" s="17">
        <v>24</v>
      </c>
      <c r="G549" s="18" t="s">
        <v>23</v>
      </c>
      <c r="H549" s="18"/>
      <c r="I549" s="5">
        <v>39.799999999999997</v>
      </c>
      <c r="J549" s="21" t="e">
        <f t="shared" si="24"/>
        <v>#DIV/0!</v>
      </c>
      <c r="K549" s="1">
        <v>2</v>
      </c>
      <c r="L549" s="24">
        <v>1.9</v>
      </c>
      <c r="M549" s="24">
        <v>37.809999999999995</v>
      </c>
      <c r="N549" s="21" t="e">
        <f t="shared" si="25"/>
        <v>#DIV/0!</v>
      </c>
      <c r="P549" s="1">
        <v>6</v>
      </c>
      <c r="Q549" s="24">
        <v>3.9799999999999969</v>
      </c>
      <c r="R549" s="24">
        <v>35.82</v>
      </c>
      <c r="S549" s="21" t="e">
        <f t="shared" si="26"/>
        <v>#DIV/0!</v>
      </c>
    </row>
    <row r="550" spans="2:19" ht="11.4" customHeight="1" x14ac:dyDescent="0.2">
      <c r="B550" s="24"/>
      <c r="C550" s="4">
        <v>25454</v>
      </c>
      <c r="D550" s="18" t="s">
        <v>580</v>
      </c>
      <c r="E550" s="18" t="s">
        <v>554</v>
      </c>
      <c r="F550" s="17">
        <v>10</v>
      </c>
      <c r="G550" s="18" t="s">
        <v>23</v>
      </c>
      <c r="H550" s="17">
        <v>88.8</v>
      </c>
      <c r="I550" s="5">
        <v>109</v>
      </c>
      <c r="J550" s="21">
        <f t="shared" si="24"/>
        <v>0.22747747747747751</v>
      </c>
      <c r="K550" s="1">
        <v>2</v>
      </c>
      <c r="L550" s="24">
        <v>5.4</v>
      </c>
      <c r="M550" s="24">
        <v>103.55</v>
      </c>
      <c r="N550" s="21">
        <f t="shared" si="25"/>
        <v>0.1661036036036036</v>
      </c>
      <c r="P550" s="1">
        <v>6</v>
      </c>
      <c r="Q550" s="24">
        <v>10.899999999999991</v>
      </c>
      <c r="R550" s="24">
        <v>98.100000000000009</v>
      </c>
      <c r="S550" s="21">
        <f t="shared" si="26"/>
        <v>0.10472972972972987</v>
      </c>
    </row>
    <row r="551" spans="2:19" ht="11.4" customHeight="1" x14ac:dyDescent="0.2">
      <c r="B551" s="24"/>
      <c r="C551" s="4">
        <v>31725</v>
      </c>
      <c r="D551" s="18" t="s">
        <v>581</v>
      </c>
      <c r="E551" s="18" t="s">
        <v>554</v>
      </c>
      <c r="F551" s="17">
        <v>30</v>
      </c>
      <c r="G551" s="18" t="s">
        <v>23</v>
      </c>
      <c r="H551" s="17">
        <v>48.9</v>
      </c>
      <c r="I551" s="5">
        <v>42.9</v>
      </c>
      <c r="J551" s="21">
        <f t="shared" si="24"/>
        <v>-0.12269938650306748</v>
      </c>
      <c r="K551" s="1">
        <v>2</v>
      </c>
      <c r="L551" s="24">
        <v>2.1</v>
      </c>
      <c r="M551" s="24">
        <v>40.754999999999995</v>
      </c>
      <c r="N551" s="21">
        <f t="shared" si="25"/>
        <v>-0.16656441717791418</v>
      </c>
      <c r="P551" s="1">
        <v>6</v>
      </c>
      <c r="Q551" s="24">
        <v>4.2899999999999991</v>
      </c>
      <c r="R551" s="24">
        <v>38.61</v>
      </c>
      <c r="S551" s="21">
        <f t="shared" si="26"/>
        <v>-0.21042944785276071</v>
      </c>
    </row>
    <row r="552" spans="2:19" ht="11.4" customHeight="1" x14ac:dyDescent="0.2">
      <c r="B552" s="24"/>
      <c r="C552" s="4">
        <v>43840</v>
      </c>
      <c r="D552" s="18" t="s">
        <v>582</v>
      </c>
      <c r="E552" s="18" t="s">
        <v>554</v>
      </c>
      <c r="F552" s="17">
        <v>24</v>
      </c>
      <c r="G552" s="18" t="s">
        <v>23</v>
      </c>
      <c r="H552" s="17">
        <v>29.05</v>
      </c>
      <c r="I552" s="5">
        <v>38.9</v>
      </c>
      <c r="J552" s="21">
        <f t="shared" si="24"/>
        <v>0.33907056798623053</v>
      </c>
      <c r="K552" s="1">
        <v>2</v>
      </c>
      <c r="L552" s="24">
        <v>1.9</v>
      </c>
      <c r="M552" s="24">
        <v>36.954999999999998</v>
      </c>
      <c r="N552" s="21">
        <f t="shared" si="25"/>
        <v>0.27211703958691902</v>
      </c>
      <c r="P552" s="1">
        <v>6</v>
      </c>
      <c r="Q552" s="24">
        <v>3.8900000000000006</v>
      </c>
      <c r="R552" s="24">
        <v>35.01</v>
      </c>
      <c r="S552" s="21">
        <f t="shared" si="26"/>
        <v>0.20516351118760748</v>
      </c>
    </row>
    <row r="553" spans="2:19" ht="11.4" customHeight="1" x14ac:dyDescent="0.2">
      <c r="B553" s="24"/>
      <c r="C553" s="4">
        <v>33091</v>
      </c>
      <c r="D553" s="18" t="s">
        <v>583</v>
      </c>
      <c r="E553" s="18" t="s">
        <v>554</v>
      </c>
      <c r="F553" s="17">
        <v>12</v>
      </c>
      <c r="G553" s="18" t="s">
        <v>23</v>
      </c>
      <c r="H553" s="17">
        <v>30.3</v>
      </c>
      <c r="I553" s="5">
        <v>35.6</v>
      </c>
      <c r="J553" s="21">
        <f t="shared" si="24"/>
        <v>0.17491749174917492</v>
      </c>
      <c r="K553" s="1">
        <v>2</v>
      </c>
      <c r="L553" s="24">
        <v>1.7</v>
      </c>
      <c r="M553" s="24">
        <v>33.82</v>
      </c>
      <c r="N553" s="21">
        <f t="shared" si="25"/>
        <v>0.11617161716171616</v>
      </c>
      <c r="P553" s="1">
        <v>6</v>
      </c>
      <c r="Q553" s="24">
        <v>3.5600000000000023</v>
      </c>
      <c r="R553" s="24">
        <v>32.04</v>
      </c>
      <c r="S553" s="21">
        <f t="shared" si="26"/>
        <v>5.7425742574257373E-2</v>
      </c>
    </row>
    <row r="554" spans="2:19" ht="11.4" customHeight="1" x14ac:dyDescent="0.2">
      <c r="B554" s="24"/>
      <c r="C554" s="4">
        <v>46241</v>
      </c>
      <c r="D554" s="18" t="s">
        <v>584</v>
      </c>
      <c r="E554" s="18" t="s">
        <v>554</v>
      </c>
      <c r="F554" s="17">
        <v>24</v>
      </c>
      <c r="G554" s="18" t="s">
        <v>23</v>
      </c>
      <c r="H554" s="17">
        <v>30.48</v>
      </c>
      <c r="I554" s="5">
        <v>45.8</v>
      </c>
      <c r="J554" s="21">
        <f t="shared" si="24"/>
        <v>0.50262467191601035</v>
      </c>
      <c r="K554" s="1">
        <v>2</v>
      </c>
      <c r="L554" s="24">
        <v>2.2000000000000002</v>
      </c>
      <c r="M554" s="24">
        <v>43.51</v>
      </c>
      <c r="N554" s="21">
        <f t="shared" si="25"/>
        <v>0.42749343832020986</v>
      </c>
      <c r="P554" s="1">
        <v>6</v>
      </c>
      <c r="Q554" s="24">
        <v>4.5799999999999983</v>
      </c>
      <c r="R554" s="24">
        <v>41.22</v>
      </c>
      <c r="S554" s="21">
        <f t="shared" si="26"/>
        <v>0.35236220472440938</v>
      </c>
    </row>
    <row r="555" spans="2:19" ht="11.4" customHeight="1" x14ac:dyDescent="0.2">
      <c r="B555" s="24"/>
      <c r="C555" s="4">
        <v>25438</v>
      </c>
      <c r="D555" s="18" t="s">
        <v>585</v>
      </c>
      <c r="E555" s="18" t="s">
        <v>554</v>
      </c>
      <c r="F555" s="17">
        <v>24</v>
      </c>
      <c r="G555" s="18" t="s">
        <v>23</v>
      </c>
      <c r="H555" s="17">
        <v>55.6</v>
      </c>
      <c r="I555" s="5">
        <v>65.900000000000006</v>
      </c>
      <c r="J555" s="21">
        <f t="shared" si="24"/>
        <v>0.18525179856115115</v>
      </c>
      <c r="K555" s="1">
        <v>2</v>
      </c>
      <c r="L555" s="24">
        <v>3.2</v>
      </c>
      <c r="M555" s="24">
        <v>62.605000000000004</v>
      </c>
      <c r="N555" s="21">
        <f t="shared" si="25"/>
        <v>0.12598920863309357</v>
      </c>
      <c r="P555" s="1">
        <v>6</v>
      </c>
      <c r="Q555" s="24">
        <v>6.5899999999999963</v>
      </c>
      <c r="R555" s="24">
        <v>59.310000000000009</v>
      </c>
      <c r="S555" s="21">
        <f t="shared" si="26"/>
        <v>6.6726618705036114E-2</v>
      </c>
    </row>
    <row r="556" spans="2:19" ht="11.4" customHeight="1" x14ac:dyDescent="0.2">
      <c r="B556" s="24"/>
      <c r="C556" s="4">
        <v>24291</v>
      </c>
      <c r="D556" s="18" t="s">
        <v>586</v>
      </c>
      <c r="E556" s="18" t="s">
        <v>554</v>
      </c>
      <c r="F556" s="17">
        <v>24</v>
      </c>
      <c r="G556" s="18" t="s">
        <v>23</v>
      </c>
      <c r="H556" s="17">
        <v>50.6</v>
      </c>
      <c r="I556" s="5">
        <v>57.5</v>
      </c>
      <c r="J556" s="21">
        <f t="shared" si="24"/>
        <v>0.13636363636363633</v>
      </c>
      <c r="K556" s="1">
        <v>2</v>
      </c>
      <c r="L556" s="24">
        <v>2.8</v>
      </c>
      <c r="M556" s="24">
        <v>54.625</v>
      </c>
      <c r="N556" s="21">
        <f t="shared" si="25"/>
        <v>7.9545454545454516E-2</v>
      </c>
      <c r="P556" s="1">
        <v>6</v>
      </c>
      <c r="Q556" s="24">
        <v>5.75</v>
      </c>
      <c r="R556" s="24">
        <v>51.75</v>
      </c>
      <c r="S556" s="21">
        <f t="shared" si="26"/>
        <v>2.27272727272727E-2</v>
      </c>
    </row>
    <row r="557" spans="2:19" ht="11.4" customHeight="1" x14ac:dyDescent="0.2">
      <c r="B557" s="24"/>
      <c r="C557" s="4">
        <v>14456</v>
      </c>
      <c r="D557" s="18" t="s">
        <v>587</v>
      </c>
      <c r="E557" s="18" t="s">
        <v>554</v>
      </c>
      <c r="F557" s="17">
        <v>6</v>
      </c>
      <c r="G557" s="18" t="s">
        <v>23</v>
      </c>
      <c r="H557" s="17">
        <v>20.9</v>
      </c>
      <c r="I557" s="5">
        <v>23.1</v>
      </c>
      <c r="J557" s="21">
        <f t="shared" si="24"/>
        <v>0.10526315789473699</v>
      </c>
      <c r="K557" s="1">
        <v>2</v>
      </c>
      <c r="L557" s="24">
        <v>1.1000000000000001</v>
      </c>
      <c r="M557" s="24">
        <v>21.945</v>
      </c>
      <c r="N557" s="21">
        <f t="shared" si="25"/>
        <v>5.0000000000000086E-2</v>
      </c>
      <c r="P557" s="1">
        <v>6</v>
      </c>
      <c r="Q557" s="24">
        <v>2.3099999999999987</v>
      </c>
      <c r="R557" s="24">
        <v>20.790000000000003</v>
      </c>
      <c r="S557" s="21">
        <f t="shared" si="26"/>
        <v>-5.2631578947366451E-3</v>
      </c>
    </row>
    <row r="558" spans="2:19" ht="11.4" customHeight="1" x14ac:dyDescent="0.2">
      <c r="B558" s="24"/>
      <c r="C558" s="4">
        <v>41149</v>
      </c>
      <c r="D558" s="18" t="s">
        <v>588</v>
      </c>
      <c r="E558" s="18" t="s">
        <v>554</v>
      </c>
      <c r="F558" s="17">
        <v>2</v>
      </c>
      <c r="G558" s="18" t="s">
        <v>23</v>
      </c>
      <c r="H558" s="17">
        <v>567.54</v>
      </c>
      <c r="I558" s="5">
        <v>849</v>
      </c>
      <c r="J558" s="21">
        <f t="shared" si="24"/>
        <v>0.49592980230468348</v>
      </c>
      <c r="K558" s="1">
        <v>2</v>
      </c>
      <c r="L558" s="24">
        <v>42.4</v>
      </c>
      <c r="M558" s="24">
        <v>806.55</v>
      </c>
      <c r="N558" s="21">
        <f t="shared" si="25"/>
        <v>0.42113331218944922</v>
      </c>
      <c r="P558" s="1">
        <v>6</v>
      </c>
      <c r="Q558" s="24">
        <v>84.899999999999977</v>
      </c>
      <c r="R558" s="24">
        <v>764.1</v>
      </c>
      <c r="S558" s="21">
        <f t="shared" si="26"/>
        <v>0.34633682207421518</v>
      </c>
    </row>
    <row r="559" spans="2:19" ht="11.4" customHeight="1" x14ac:dyDescent="0.2">
      <c r="B559" s="24"/>
      <c r="C559" s="4">
        <v>40630</v>
      </c>
      <c r="D559" s="18" t="s">
        <v>589</v>
      </c>
      <c r="E559" s="18" t="s">
        <v>554</v>
      </c>
      <c r="F559" s="17">
        <v>24</v>
      </c>
      <c r="G559" s="18" t="s">
        <v>23</v>
      </c>
      <c r="H559" s="17">
        <v>37.92</v>
      </c>
      <c r="I559" s="5">
        <v>54.9</v>
      </c>
      <c r="J559" s="21">
        <f t="shared" si="24"/>
        <v>0.44778481012658217</v>
      </c>
      <c r="K559" s="1">
        <v>2</v>
      </c>
      <c r="L559" s="24">
        <v>2.7</v>
      </c>
      <c r="M559" s="24">
        <v>52.154999999999994</v>
      </c>
      <c r="N559" s="21">
        <f t="shared" si="25"/>
        <v>0.37539556962025294</v>
      </c>
      <c r="P559" s="1">
        <v>6</v>
      </c>
      <c r="Q559" s="24">
        <v>5.490000000000002</v>
      </c>
      <c r="R559" s="24">
        <v>49.41</v>
      </c>
      <c r="S559" s="21">
        <f t="shared" si="26"/>
        <v>0.30300632911392389</v>
      </c>
    </row>
    <row r="560" spans="2:19" ht="11.4" customHeight="1" x14ac:dyDescent="0.2">
      <c r="B560" s="24"/>
      <c r="C560" s="4">
        <v>40631</v>
      </c>
      <c r="D560" s="18" t="s">
        <v>590</v>
      </c>
      <c r="E560" s="18" t="s">
        <v>554</v>
      </c>
      <c r="F560" s="17">
        <v>24</v>
      </c>
      <c r="G560" s="18" t="s">
        <v>23</v>
      </c>
      <c r="H560" s="17">
        <v>43.26</v>
      </c>
      <c r="I560" s="5">
        <v>62.9</v>
      </c>
      <c r="J560" s="21">
        <f t="shared" si="24"/>
        <v>0.4539990753582987</v>
      </c>
      <c r="K560" s="1">
        <v>2</v>
      </c>
      <c r="L560" s="24">
        <v>3.1</v>
      </c>
      <c r="M560" s="24">
        <v>59.754999999999995</v>
      </c>
      <c r="N560" s="21">
        <f t="shared" si="25"/>
        <v>0.38129912159038371</v>
      </c>
      <c r="P560" s="1">
        <v>6</v>
      </c>
      <c r="Q560" s="24">
        <v>6.2899999999999991</v>
      </c>
      <c r="R560" s="24">
        <v>56.61</v>
      </c>
      <c r="S560" s="21">
        <f t="shared" si="26"/>
        <v>0.30859916782246882</v>
      </c>
    </row>
    <row r="561" spans="2:19" ht="11.4" customHeight="1" x14ac:dyDescent="0.2">
      <c r="B561" s="24"/>
      <c r="C561" s="4">
        <v>40626</v>
      </c>
      <c r="D561" s="18" t="s">
        <v>591</v>
      </c>
      <c r="E561" s="18" t="s">
        <v>554</v>
      </c>
      <c r="F561" s="17">
        <v>24</v>
      </c>
      <c r="G561" s="18" t="s">
        <v>23</v>
      </c>
      <c r="H561" s="17">
        <v>38.04</v>
      </c>
      <c r="I561" s="5">
        <v>55.3</v>
      </c>
      <c r="J561" s="21">
        <f t="shared" si="24"/>
        <v>0.45373291272344896</v>
      </c>
      <c r="K561" s="1">
        <v>2</v>
      </c>
      <c r="L561" s="24">
        <v>2.7</v>
      </c>
      <c r="M561" s="24">
        <v>52.534999999999997</v>
      </c>
      <c r="N561" s="21">
        <f t="shared" si="25"/>
        <v>0.38104626708727651</v>
      </c>
      <c r="P561" s="1">
        <v>6</v>
      </c>
      <c r="Q561" s="24">
        <v>5.5300000000000011</v>
      </c>
      <c r="R561" s="24">
        <v>49.769999999999996</v>
      </c>
      <c r="S561" s="21">
        <f t="shared" si="26"/>
        <v>0.30835962145110402</v>
      </c>
    </row>
    <row r="562" spans="2:19" ht="11.4" customHeight="1" x14ac:dyDescent="0.2">
      <c r="B562" s="24"/>
      <c r="C562" s="4">
        <v>33273</v>
      </c>
      <c r="D562" s="18" t="s">
        <v>592</v>
      </c>
      <c r="E562" s="18" t="s">
        <v>554</v>
      </c>
      <c r="F562" s="17">
        <v>12</v>
      </c>
      <c r="G562" s="18" t="s">
        <v>23</v>
      </c>
      <c r="H562" s="17">
        <v>28.9</v>
      </c>
      <c r="I562" s="5">
        <v>33.9</v>
      </c>
      <c r="J562" s="21">
        <f t="shared" si="24"/>
        <v>0.17301038062283738</v>
      </c>
      <c r="K562" s="1">
        <v>2</v>
      </c>
      <c r="L562" s="24">
        <v>1.6</v>
      </c>
      <c r="M562" s="24">
        <v>32.204999999999998</v>
      </c>
      <c r="N562" s="21">
        <f t="shared" si="25"/>
        <v>0.11435986159169549</v>
      </c>
      <c r="P562" s="1">
        <v>6</v>
      </c>
      <c r="Q562" s="24">
        <v>3.3900000000000006</v>
      </c>
      <c r="R562" s="24">
        <v>30.509999999999998</v>
      </c>
      <c r="S562" s="21">
        <f t="shared" si="26"/>
        <v>5.5709342560553619E-2</v>
      </c>
    </row>
    <row r="563" spans="2:19" ht="11.4" customHeight="1" x14ac:dyDescent="0.2">
      <c r="B563" s="24"/>
      <c r="C563" s="4">
        <v>32996</v>
      </c>
      <c r="D563" s="18" t="s">
        <v>593</v>
      </c>
      <c r="E563" s="18" t="s">
        <v>554</v>
      </c>
      <c r="F563" s="17">
        <v>12</v>
      </c>
      <c r="G563" s="18" t="s">
        <v>23</v>
      </c>
      <c r="H563" s="17">
        <v>86</v>
      </c>
      <c r="I563" s="5">
        <v>95.8</v>
      </c>
      <c r="J563" s="21">
        <f t="shared" si="24"/>
        <v>0.11395348837209299</v>
      </c>
      <c r="K563" s="1">
        <v>2</v>
      </c>
      <c r="L563" s="24">
        <v>4.7</v>
      </c>
      <c r="M563" s="24">
        <v>91.009999999999991</v>
      </c>
      <c r="N563" s="21">
        <f t="shared" si="25"/>
        <v>5.8255813953488264E-2</v>
      </c>
      <c r="P563" s="1">
        <v>6</v>
      </c>
      <c r="Q563" s="24">
        <v>9.5799999999999983</v>
      </c>
      <c r="R563" s="24">
        <v>86.22</v>
      </c>
      <c r="S563" s="21">
        <f t="shared" si="26"/>
        <v>2.5581395348837077E-3</v>
      </c>
    </row>
    <row r="564" spans="2:19" ht="11.4" customHeight="1" x14ac:dyDescent="0.2">
      <c r="B564" s="24"/>
      <c r="C564" s="4">
        <v>4055</v>
      </c>
      <c r="D564" s="18" t="s">
        <v>594</v>
      </c>
      <c r="E564" s="18" t="s">
        <v>554</v>
      </c>
      <c r="F564" s="17">
        <v>10</v>
      </c>
      <c r="G564" s="18" t="s">
        <v>23</v>
      </c>
      <c r="H564" s="17">
        <v>32.700000000000003</v>
      </c>
      <c r="I564" s="5">
        <v>39</v>
      </c>
      <c r="J564" s="21">
        <f t="shared" si="24"/>
        <v>0.1926605504587155</v>
      </c>
      <c r="K564" s="1">
        <v>2</v>
      </c>
      <c r="L564" s="24">
        <v>1.9</v>
      </c>
      <c r="M564" s="24">
        <v>37.049999999999997</v>
      </c>
      <c r="N564" s="21">
        <f t="shared" si="25"/>
        <v>0.13302752293577963</v>
      </c>
      <c r="P564" s="1">
        <v>6</v>
      </c>
      <c r="Q564" s="24">
        <v>3.8999999999999986</v>
      </c>
      <c r="R564" s="24">
        <v>35.1</v>
      </c>
      <c r="S564" s="21">
        <f t="shared" si="26"/>
        <v>7.3394495412843985E-2</v>
      </c>
    </row>
    <row r="565" spans="2:19" ht="11.4" customHeight="1" x14ac:dyDescent="0.2">
      <c r="B565" s="24"/>
      <c r="C565" s="4">
        <v>45466</v>
      </c>
      <c r="D565" s="18" t="s">
        <v>595</v>
      </c>
      <c r="E565" s="18" t="s">
        <v>554</v>
      </c>
      <c r="F565" s="17">
        <v>6</v>
      </c>
      <c r="G565" s="18" t="s">
        <v>23</v>
      </c>
      <c r="H565" s="17">
        <v>47.76</v>
      </c>
      <c r="I565" s="5">
        <v>76.5</v>
      </c>
      <c r="J565" s="21">
        <f t="shared" si="24"/>
        <v>0.60175879396984933</v>
      </c>
      <c r="K565" s="1">
        <v>2</v>
      </c>
      <c r="L565" s="24">
        <v>3.8</v>
      </c>
      <c r="M565" s="24">
        <v>72.674999999999997</v>
      </c>
      <c r="N565" s="21">
        <f t="shared" si="25"/>
        <v>0.52167085427135684</v>
      </c>
      <c r="P565" s="1">
        <v>6</v>
      </c>
      <c r="Q565" s="24">
        <v>7.6499999999999915</v>
      </c>
      <c r="R565" s="24">
        <v>68.850000000000009</v>
      </c>
      <c r="S565" s="21">
        <f t="shared" si="26"/>
        <v>0.44158291457286458</v>
      </c>
    </row>
    <row r="566" spans="2:19" ht="11.4" customHeight="1" x14ac:dyDescent="0.2">
      <c r="B566" s="24"/>
      <c r="C566" s="4">
        <v>29778</v>
      </c>
      <c r="D566" s="18" t="s">
        <v>596</v>
      </c>
      <c r="E566" s="18" t="s">
        <v>554</v>
      </c>
      <c r="F566" s="17">
        <v>6</v>
      </c>
      <c r="G566" s="18" t="s">
        <v>23</v>
      </c>
      <c r="H566" s="17">
        <v>51.4</v>
      </c>
      <c r="I566" s="5">
        <v>55.9</v>
      </c>
      <c r="J566" s="21">
        <f t="shared" si="24"/>
        <v>8.7548638132295728E-2</v>
      </c>
      <c r="K566" s="1">
        <v>2</v>
      </c>
      <c r="L566" s="24">
        <v>2.7</v>
      </c>
      <c r="M566" s="24">
        <v>53.104999999999997</v>
      </c>
      <c r="N566" s="21">
        <f t="shared" si="25"/>
        <v>3.3171206225680899E-2</v>
      </c>
      <c r="P566" s="1">
        <v>6</v>
      </c>
      <c r="Q566" s="24">
        <v>5.5899999999999963</v>
      </c>
      <c r="R566" s="24">
        <v>50.31</v>
      </c>
      <c r="S566" s="21">
        <f t="shared" si="26"/>
        <v>-2.120622568093378E-2</v>
      </c>
    </row>
    <row r="567" spans="2:19" ht="11.4" customHeight="1" x14ac:dyDescent="0.2">
      <c r="B567" s="24"/>
      <c r="C567" s="4">
        <v>45464</v>
      </c>
      <c r="D567" s="18" t="s">
        <v>597</v>
      </c>
      <c r="E567" s="18" t="s">
        <v>554</v>
      </c>
      <c r="F567" s="17">
        <v>6</v>
      </c>
      <c r="G567" s="18" t="s">
        <v>23</v>
      </c>
      <c r="H567" s="17">
        <v>45.86</v>
      </c>
      <c r="I567" s="5">
        <v>64.5</v>
      </c>
      <c r="J567" s="21">
        <f t="shared" si="24"/>
        <v>0.40645442651548191</v>
      </c>
      <c r="K567" s="1">
        <v>2</v>
      </c>
      <c r="L567" s="24">
        <v>3.2</v>
      </c>
      <c r="M567" s="24">
        <v>61.274999999999999</v>
      </c>
      <c r="N567" s="21">
        <f t="shared" si="25"/>
        <v>0.33613170518970781</v>
      </c>
      <c r="P567" s="1">
        <v>6</v>
      </c>
      <c r="Q567" s="24">
        <v>6.4499999999999957</v>
      </c>
      <c r="R567" s="24">
        <v>58.050000000000004</v>
      </c>
      <c r="S567" s="21">
        <f t="shared" si="26"/>
        <v>0.26580898386393381</v>
      </c>
    </row>
    <row r="568" spans="2:19" ht="11.4" customHeight="1" x14ac:dyDescent="0.2">
      <c r="B568" s="24"/>
      <c r="C568" s="4">
        <v>39995</v>
      </c>
      <c r="D568" s="18" t="s">
        <v>598</v>
      </c>
      <c r="E568" s="18" t="s">
        <v>554</v>
      </c>
      <c r="F568" s="17">
        <v>6</v>
      </c>
      <c r="G568" s="18" t="s">
        <v>23</v>
      </c>
      <c r="H568" s="17">
        <v>35.9</v>
      </c>
      <c r="I568" s="5">
        <v>34.9</v>
      </c>
      <c r="J568" s="21">
        <f t="shared" si="24"/>
        <v>-2.7855153203342621E-2</v>
      </c>
      <c r="K568" s="1">
        <v>2</v>
      </c>
      <c r="L568" s="24">
        <v>1.7</v>
      </c>
      <c r="M568" s="24">
        <v>33.154999999999994</v>
      </c>
      <c r="N568" s="21">
        <f t="shared" si="25"/>
        <v>-7.6462395543175618E-2</v>
      </c>
      <c r="P568" s="1">
        <v>6</v>
      </c>
      <c r="Q568" s="24">
        <v>3.4899999999999984</v>
      </c>
      <c r="R568" s="24">
        <v>31.41</v>
      </c>
      <c r="S568" s="21">
        <f t="shared" si="26"/>
        <v>-0.12506963788300832</v>
      </c>
    </row>
    <row r="569" spans="2:19" ht="11.4" customHeight="1" x14ac:dyDescent="0.2">
      <c r="B569" s="24"/>
      <c r="C569" s="4">
        <v>39996</v>
      </c>
      <c r="D569" s="18" t="s">
        <v>599</v>
      </c>
      <c r="E569" s="18" t="s">
        <v>554</v>
      </c>
      <c r="F569" s="17">
        <v>6</v>
      </c>
      <c r="G569" s="18" t="s">
        <v>23</v>
      </c>
      <c r="H569" s="17">
        <v>93.2</v>
      </c>
      <c r="I569" s="5">
        <v>93.6</v>
      </c>
      <c r="J569" s="21">
        <f t="shared" si="24"/>
        <v>4.2918454935621398E-3</v>
      </c>
      <c r="K569" s="1">
        <v>2</v>
      </c>
      <c r="L569" s="24">
        <v>4.5999999999999996</v>
      </c>
      <c r="M569" s="24">
        <v>88.919999999999987</v>
      </c>
      <c r="N569" s="21">
        <f t="shared" si="25"/>
        <v>-4.592274678111604E-2</v>
      </c>
      <c r="P569" s="1">
        <v>6</v>
      </c>
      <c r="Q569" s="24">
        <v>9.36</v>
      </c>
      <c r="R569" s="24">
        <v>84.24</v>
      </c>
      <c r="S569" s="21">
        <f t="shared" si="26"/>
        <v>-9.613733905579408E-2</v>
      </c>
    </row>
    <row r="570" spans="2:19" ht="11.4" customHeight="1" x14ac:dyDescent="0.2">
      <c r="B570" s="24"/>
      <c r="C570" s="4">
        <v>39994</v>
      </c>
      <c r="D570" s="18" t="s">
        <v>600</v>
      </c>
      <c r="E570" s="18" t="s">
        <v>554</v>
      </c>
      <c r="F570" s="17">
        <v>5</v>
      </c>
      <c r="G570" s="18" t="s">
        <v>23</v>
      </c>
      <c r="H570" s="17">
        <v>35.9</v>
      </c>
      <c r="I570" s="5">
        <v>36.5</v>
      </c>
      <c r="J570" s="21">
        <f t="shared" si="24"/>
        <v>1.671309192200561E-2</v>
      </c>
      <c r="K570" s="1">
        <v>2</v>
      </c>
      <c r="L570" s="24">
        <v>1.8</v>
      </c>
      <c r="M570" s="24">
        <v>34.674999999999997</v>
      </c>
      <c r="N570" s="21">
        <f t="shared" si="25"/>
        <v>-3.4122562674094747E-2</v>
      </c>
      <c r="P570" s="1">
        <v>6</v>
      </c>
      <c r="Q570" s="24">
        <v>3.6499999999999986</v>
      </c>
      <c r="R570" s="24">
        <v>32.85</v>
      </c>
      <c r="S570" s="21">
        <f t="shared" si="26"/>
        <v>-8.4958217270194911E-2</v>
      </c>
    </row>
    <row r="571" spans="2:19" ht="11.4" customHeight="1" x14ac:dyDescent="0.2">
      <c r="B571" s="24"/>
      <c r="C571" s="4">
        <v>47556</v>
      </c>
      <c r="D571" s="18" t="s">
        <v>601</v>
      </c>
      <c r="E571" s="18" t="s">
        <v>554</v>
      </c>
      <c r="F571" s="18"/>
      <c r="G571" s="18" t="s">
        <v>23</v>
      </c>
      <c r="H571" s="17">
        <v>373.46</v>
      </c>
      <c r="I571" s="5">
        <v>499</v>
      </c>
      <c r="J571" s="21">
        <f t="shared" si="24"/>
        <v>0.33615380495903185</v>
      </c>
      <c r="K571" s="1">
        <v>2</v>
      </c>
      <c r="L571" s="24">
        <v>24.9</v>
      </c>
      <c r="M571" s="24">
        <v>474.04999999999995</v>
      </c>
      <c r="N571" s="21">
        <f t="shared" si="25"/>
        <v>0.26934611471108011</v>
      </c>
      <c r="P571" s="1">
        <v>6</v>
      </c>
      <c r="Q571" s="24">
        <v>49.899999999999977</v>
      </c>
      <c r="R571" s="24">
        <v>449.1</v>
      </c>
      <c r="S571" s="21">
        <f t="shared" si="26"/>
        <v>0.2025384244631287</v>
      </c>
    </row>
    <row r="572" spans="2:19" ht="11.4" customHeight="1" x14ac:dyDescent="0.2">
      <c r="B572" s="24"/>
      <c r="C572" s="4">
        <v>34329</v>
      </c>
      <c r="D572" s="18" t="s">
        <v>602</v>
      </c>
      <c r="E572" s="18" t="s">
        <v>554</v>
      </c>
      <c r="F572" s="17">
        <v>50</v>
      </c>
      <c r="G572" s="18" t="s">
        <v>23</v>
      </c>
      <c r="H572" s="17">
        <v>36.5</v>
      </c>
      <c r="I572" s="5">
        <v>46.9</v>
      </c>
      <c r="J572" s="21">
        <f t="shared" si="24"/>
        <v>0.28493150684931501</v>
      </c>
      <c r="K572" s="1">
        <v>2</v>
      </c>
      <c r="L572" s="24">
        <v>2.2999999999999998</v>
      </c>
      <c r="M572" s="24">
        <v>44.555</v>
      </c>
      <c r="N572" s="21">
        <f t="shared" si="25"/>
        <v>0.22068493150684931</v>
      </c>
      <c r="P572" s="1">
        <v>6</v>
      </c>
      <c r="Q572" s="24">
        <v>4.6899999999999977</v>
      </c>
      <c r="R572" s="24">
        <v>42.21</v>
      </c>
      <c r="S572" s="21">
        <f t="shared" si="26"/>
        <v>0.15643835616438359</v>
      </c>
    </row>
    <row r="573" spans="2:19" ht="11.4" customHeight="1" x14ac:dyDescent="0.2">
      <c r="B573" s="24"/>
      <c r="C573" s="4">
        <v>14652</v>
      </c>
      <c r="D573" s="18" t="s">
        <v>603</v>
      </c>
      <c r="E573" s="18" t="s">
        <v>554</v>
      </c>
      <c r="F573" s="17">
        <v>6</v>
      </c>
      <c r="G573" s="18" t="s">
        <v>23</v>
      </c>
      <c r="H573" s="17">
        <v>36.9</v>
      </c>
      <c r="I573" s="5">
        <v>43.9</v>
      </c>
      <c r="J573" s="21">
        <f t="shared" si="24"/>
        <v>0.18970189701897019</v>
      </c>
      <c r="K573" s="1">
        <v>2</v>
      </c>
      <c r="L573" s="24">
        <v>2.1</v>
      </c>
      <c r="M573" s="24">
        <v>41.704999999999998</v>
      </c>
      <c r="N573" s="21">
        <f t="shared" si="25"/>
        <v>0.13021680216802167</v>
      </c>
      <c r="P573" s="1">
        <v>6</v>
      </c>
      <c r="Q573" s="24">
        <v>4.3900000000000006</v>
      </c>
      <c r="R573" s="24">
        <v>39.51</v>
      </c>
      <c r="S573" s="21">
        <f t="shared" si="26"/>
        <v>7.0731707317073164E-2</v>
      </c>
    </row>
    <row r="574" spans="2:19" ht="11.4" customHeight="1" x14ac:dyDescent="0.2">
      <c r="B574" s="24"/>
      <c r="C574" s="4">
        <v>14651</v>
      </c>
      <c r="D574" s="18" t="s">
        <v>604</v>
      </c>
      <c r="E574" s="18" t="s">
        <v>554</v>
      </c>
      <c r="F574" s="17">
        <v>5</v>
      </c>
      <c r="G574" s="18" t="s">
        <v>23</v>
      </c>
      <c r="H574" s="17">
        <v>39.06</v>
      </c>
      <c r="I574" s="5">
        <v>43.9</v>
      </c>
      <c r="J574" s="21">
        <f t="shared" si="24"/>
        <v>0.12391193036354317</v>
      </c>
      <c r="K574" s="1">
        <v>2</v>
      </c>
      <c r="L574" s="24">
        <v>2.1</v>
      </c>
      <c r="M574" s="24">
        <v>41.704999999999998</v>
      </c>
      <c r="N574" s="21">
        <f t="shared" si="25"/>
        <v>6.7716333845366003E-2</v>
      </c>
      <c r="P574" s="1">
        <v>6</v>
      </c>
      <c r="Q574" s="24">
        <v>4.3900000000000006</v>
      </c>
      <c r="R574" s="24">
        <v>39.51</v>
      </c>
      <c r="S574" s="21">
        <f t="shared" si="26"/>
        <v>1.1520737327188829E-2</v>
      </c>
    </row>
    <row r="575" spans="2:19" ht="11.4" customHeight="1" x14ac:dyDescent="0.2">
      <c r="B575" s="24"/>
      <c r="C575" s="4">
        <v>15575</v>
      </c>
      <c r="D575" s="18" t="s">
        <v>605</v>
      </c>
      <c r="E575" s="18" t="s">
        <v>554</v>
      </c>
      <c r="F575" s="17">
        <v>24</v>
      </c>
      <c r="G575" s="18" t="s">
        <v>23</v>
      </c>
      <c r="H575" s="17">
        <v>52.4</v>
      </c>
      <c r="I575" s="5">
        <v>62.4</v>
      </c>
      <c r="J575" s="21">
        <f t="shared" si="24"/>
        <v>0.19083969465648856</v>
      </c>
      <c r="K575" s="1">
        <v>2</v>
      </c>
      <c r="L575" s="24">
        <v>3.1</v>
      </c>
      <c r="M575" s="24">
        <v>59.279999999999994</v>
      </c>
      <c r="N575" s="21">
        <f t="shared" si="25"/>
        <v>0.13129770992366405</v>
      </c>
      <c r="P575" s="1">
        <v>6</v>
      </c>
      <c r="Q575" s="24">
        <v>6.240000000000002</v>
      </c>
      <c r="R575" s="24">
        <v>56.16</v>
      </c>
      <c r="S575" s="21">
        <f t="shared" si="26"/>
        <v>7.1755725190839656E-2</v>
      </c>
    </row>
    <row r="576" spans="2:19" ht="11.4" customHeight="1" x14ac:dyDescent="0.2">
      <c r="B576" s="24"/>
      <c r="C576" s="4">
        <v>25434</v>
      </c>
      <c r="D576" s="18" t="s">
        <v>606</v>
      </c>
      <c r="E576" s="18" t="s">
        <v>554</v>
      </c>
      <c r="F576" s="17">
        <v>24</v>
      </c>
      <c r="G576" s="18" t="s">
        <v>23</v>
      </c>
      <c r="H576" s="17">
        <v>37.6</v>
      </c>
      <c r="I576" s="5">
        <v>44.6</v>
      </c>
      <c r="J576" s="21">
        <f t="shared" si="24"/>
        <v>0.18617021276595744</v>
      </c>
      <c r="K576" s="1">
        <v>2</v>
      </c>
      <c r="L576" s="24">
        <v>2.2000000000000002</v>
      </c>
      <c r="M576" s="24">
        <v>42.37</v>
      </c>
      <c r="N576" s="21">
        <f t="shared" si="25"/>
        <v>0.12686170212765946</v>
      </c>
      <c r="P576" s="1">
        <v>6</v>
      </c>
      <c r="Q576" s="24">
        <v>4.4600000000000009</v>
      </c>
      <c r="R576" s="24">
        <v>40.14</v>
      </c>
      <c r="S576" s="21">
        <f t="shared" si="26"/>
        <v>6.7553191489361675E-2</v>
      </c>
    </row>
    <row r="577" spans="2:19" ht="11.4" customHeight="1" x14ac:dyDescent="0.2">
      <c r="B577" s="24"/>
      <c r="C577" s="4">
        <v>40635</v>
      </c>
      <c r="D577" s="18" t="s">
        <v>607</v>
      </c>
      <c r="E577" s="18" t="s">
        <v>554</v>
      </c>
      <c r="F577" s="17">
        <v>15</v>
      </c>
      <c r="G577" s="18" t="s">
        <v>23</v>
      </c>
      <c r="H577" s="17">
        <v>46.26</v>
      </c>
      <c r="I577" s="5">
        <v>66.900000000000006</v>
      </c>
      <c r="J577" s="21">
        <f t="shared" si="24"/>
        <v>0.44617380025940356</v>
      </c>
      <c r="K577" s="1">
        <v>2</v>
      </c>
      <c r="L577" s="24">
        <v>3.3</v>
      </c>
      <c r="M577" s="24">
        <v>63.555</v>
      </c>
      <c r="N577" s="21">
        <f t="shared" si="25"/>
        <v>0.37386511024643326</v>
      </c>
      <c r="P577" s="1">
        <v>6</v>
      </c>
      <c r="Q577" s="24">
        <v>6.6899999999999977</v>
      </c>
      <c r="R577" s="24">
        <v>60.210000000000008</v>
      </c>
      <c r="S577" s="21">
        <f t="shared" si="26"/>
        <v>0.30155642023346324</v>
      </c>
    </row>
    <row r="578" spans="2:19" ht="11.4" customHeight="1" x14ac:dyDescent="0.2">
      <c r="B578" s="24"/>
      <c r="C578" s="4">
        <v>45340</v>
      </c>
      <c r="D578" s="18" t="s">
        <v>608</v>
      </c>
      <c r="E578" s="18" t="s">
        <v>554</v>
      </c>
      <c r="F578" s="17">
        <v>6</v>
      </c>
      <c r="G578" s="18" t="s">
        <v>23</v>
      </c>
      <c r="H578" s="17">
        <v>48.72</v>
      </c>
      <c r="I578" s="5">
        <v>65.8</v>
      </c>
      <c r="J578" s="21">
        <f t="shared" si="24"/>
        <v>0.35057471264367812</v>
      </c>
      <c r="K578" s="1">
        <v>2</v>
      </c>
      <c r="L578" s="24">
        <v>3.2</v>
      </c>
      <c r="M578" s="24">
        <v>62.509999999999991</v>
      </c>
      <c r="N578" s="21">
        <f t="shared" si="25"/>
        <v>0.28304597701149409</v>
      </c>
      <c r="P578" s="1">
        <v>6</v>
      </c>
      <c r="Q578" s="24">
        <v>6.5799999999999983</v>
      </c>
      <c r="R578" s="24">
        <v>59.22</v>
      </c>
      <c r="S578" s="21">
        <f t="shared" si="26"/>
        <v>0.21551724137931036</v>
      </c>
    </row>
    <row r="579" spans="2:19" ht="11.4" customHeight="1" x14ac:dyDescent="0.2">
      <c r="B579" s="24"/>
      <c r="C579" s="4">
        <v>45341</v>
      </c>
      <c r="D579" s="18" t="s">
        <v>609</v>
      </c>
      <c r="E579" s="18" t="s">
        <v>554</v>
      </c>
      <c r="F579" s="17">
        <v>6</v>
      </c>
      <c r="G579" s="18" t="s">
        <v>23</v>
      </c>
      <c r="H579" s="17">
        <v>52.2</v>
      </c>
      <c r="I579" s="5">
        <v>69.599999999999994</v>
      </c>
      <c r="J579" s="21">
        <f t="shared" ref="J579:J642" si="27">(I579-H579)/H579</f>
        <v>0.33333333333333315</v>
      </c>
      <c r="K579" s="1">
        <v>2</v>
      </c>
      <c r="L579" s="24">
        <v>3.4</v>
      </c>
      <c r="M579" s="24">
        <v>66.11999999999999</v>
      </c>
      <c r="N579" s="21">
        <f t="shared" ref="N579:N642" si="28">(M579-H579)/H579</f>
        <v>0.26666666666666639</v>
      </c>
      <c r="P579" s="1">
        <v>6</v>
      </c>
      <c r="Q579" s="24">
        <v>6.9600000000000009</v>
      </c>
      <c r="R579" s="24">
        <v>62.639999999999993</v>
      </c>
      <c r="S579" s="21">
        <f t="shared" ref="S579:S642" si="29">(R579-H579)/H579</f>
        <v>0.19999999999999982</v>
      </c>
    </row>
    <row r="580" spans="2:19" ht="11.4" customHeight="1" x14ac:dyDescent="0.2">
      <c r="B580" s="24"/>
      <c r="C580" s="4">
        <v>45343</v>
      </c>
      <c r="D580" s="18" t="s">
        <v>610</v>
      </c>
      <c r="E580" s="18" t="s">
        <v>554</v>
      </c>
      <c r="F580" s="17">
        <v>6</v>
      </c>
      <c r="G580" s="18" t="s">
        <v>23</v>
      </c>
      <c r="H580" s="17">
        <v>55.14</v>
      </c>
      <c r="I580" s="5">
        <v>74.400000000000006</v>
      </c>
      <c r="J580" s="21">
        <f t="shared" si="27"/>
        <v>0.34929270946681185</v>
      </c>
      <c r="K580" s="1">
        <v>2</v>
      </c>
      <c r="L580" s="24">
        <v>3.7</v>
      </c>
      <c r="M580" s="24">
        <v>70.680000000000007</v>
      </c>
      <c r="N580" s="21">
        <f t="shared" si="28"/>
        <v>0.28182807399347126</v>
      </c>
      <c r="P580" s="1">
        <v>6</v>
      </c>
      <c r="Q580" s="24">
        <v>7.4399999999999977</v>
      </c>
      <c r="R580" s="24">
        <v>66.960000000000008</v>
      </c>
      <c r="S580" s="21">
        <f t="shared" si="29"/>
        <v>0.21436343852013071</v>
      </c>
    </row>
    <row r="581" spans="2:19" ht="11.4" customHeight="1" x14ac:dyDescent="0.2">
      <c r="B581" s="24"/>
      <c r="C581" s="4">
        <v>24628</v>
      </c>
      <c r="D581" s="18" t="s">
        <v>611</v>
      </c>
      <c r="E581" s="18" t="s">
        <v>554</v>
      </c>
      <c r="F581" s="17">
        <v>6</v>
      </c>
      <c r="G581" s="18" t="s">
        <v>23</v>
      </c>
      <c r="H581" s="17">
        <v>62.3</v>
      </c>
      <c r="I581" s="5">
        <v>67.900000000000006</v>
      </c>
      <c r="J581" s="21">
        <f t="shared" si="27"/>
        <v>8.9887640449438339E-2</v>
      </c>
      <c r="K581" s="1">
        <v>2</v>
      </c>
      <c r="L581" s="24">
        <v>3.3</v>
      </c>
      <c r="M581" s="24">
        <v>64.504999999999995</v>
      </c>
      <c r="N581" s="21">
        <f t="shared" si="28"/>
        <v>3.5393258426966265E-2</v>
      </c>
      <c r="P581" s="1">
        <v>6</v>
      </c>
      <c r="Q581" s="24">
        <v>6.7899999999999991</v>
      </c>
      <c r="R581" s="24">
        <v>61.110000000000007</v>
      </c>
      <c r="S581" s="21">
        <f t="shared" si="29"/>
        <v>-1.9101123595505469E-2</v>
      </c>
    </row>
    <row r="582" spans="2:19" ht="11.4" customHeight="1" x14ac:dyDescent="0.2">
      <c r="B582" s="24"/>
      <c r="C582" s="4">
        <v>47555</v>
      </c>
      <c r="D582" s="18" t="s">
        <v>612</v>
      </c>
      <c r="E582" s="18" t="s">
        <v>554</v>
      </c>
      <c r="F582" s="17">
        <v>6</v>
      </c>
      <c r="G582" s="18" t="s">
        <v>23</v>
      </c>
      <c r="H582" s="17">
        <v>45.11</v>
      </c>
      <c r="I582" s="5">
        <v>69.900000000000006</v>
      </c>
      <c r="J582" s="21">
        <f t="shared" si="27"/>
        <v>0.5495455553092442</v>
      </c>
      <c r="K582" s="1">
        <v>2</v>
      </c>
      <c r="L582" s="24">
        <v>3.4</v>
      </c>
      <c r="M582" s="24">
        <v>66.405000000000001</v>
      </c>
      <c r="N582" s="21">
        <f t="shared" si="28"/>
        <v>0.47206827754378189</v>
      </c>
      <c r="P582" s="1">
        <v>6</v>
      </c>
      <c r="Q582" s="24">
        <v>6.990000000000002</v>
      </c>
      <c r="R582" s="24">
        <v>62.910000000000004</v>
      </c>
      <c r="S582" s="21">
        <f t="shared" si="29"/>
        <v>0.39459099977831974</v>
      </c>
    </row>
    <row r="583" spans="2:19" ht="11.4" customHeight="1" x14ac:dyDescent="0.2">
      <c r="B583" s="24"/>
      <c r="C583" s="4">
        <v>46346</v>
      </c>
      <c r="D583" s="18" t="s">
        <v>613</v>
      </c>
      <c r="E583" s="18" t="s">
        <v>554</v>
      </c>
      <c r="F583" s="17">
        <v>24</v>
      </c>
      <c r="G583" s="18" t="s">
        <v>23</v>
      </c>
      <c r="H583" s="17">
        <v>55.02</v>
      </c>
      <c r="I583" s="5">
        <v>71.900000000000006</v>
      </c>
      <c r="J583" s="21">
        <f t="shared" si="27"/>
        <v>0.30679752817157402</v>
      </c>
      <c r="K583" s="1">
        <v>2</v>
      </c>
      <c r="L583" s="24">
        <v>3.5</v>
      </c>
      <c r="M583" s="24">
        <v>68.305000000000007</v>
      </c>
      <c r="N583" s="21">
        <f t="shared" si="28"/>
        <v>0.24145765176299533</v>
      </c>
      <c r="P583" s="1">
        <v>6</v>
      </c>
      <c r="Q583" s="24">
        <v>7.1899999999999977</v>
      </c>
      <c r="R583" s="24">
        <v>64.710000000000008</v>
      </c>
      <c r="S583" s="21">
        <f t="shared" si="29"/>
        <v>0.17611777535441667</v>
      </c>
    </row>
    <row r="584" spans="2:19" ht="11.4" customHeight="1" x14ac:dyDescent="0.2">
      <c r="B584" s="24"/>
      <c r="C584" s="4">
        <v>23467</v>
      </c>
      <c r="D584" s="18" t="s">
        <v>614</v>
      </c>
      <c r="E584" s="18" t="s">
        <v>554</v>
      </c>
      <c r="F584" s="17">
        <v>8</v>
      </c>
      <c r="G584" s="18" t="s">
        <v>23</v>
      </c>
      <c r="H584" s="17">
        <v>83.2</v>
      </c>
      <c r="I584" s="5">
        <v>93.8</v>
      </c>
      <c r="J584" s="21">
        <f t="shared" si="27"/>
        <v>0.12740384615384609</v>
      </c>
      <c r="K584" s="1">
        <v>2</v>
      </c>
      <c r="L584" s="24">
        <v>4.5999999999999996</v>
      </c>
      <c r="M584" s="24">
        <v>89.11</v>
      </c>
      <c r="N584" s="21">
        <f t="shared" si="28"/>
        <v>7.1033653846153802E-2</v>
      </c>
      <c r="P584" s="1">
        <v>6</v>
      </c>
      <c r="Q584" s="24">
        <v>9.3799999999999955</v>
      </c>
      <c r="R584" s="24">
        <v>84.42</v>
      </c>
      <c r="S584" s="21">
        <f t="shared" si="29"/>
        <v>1.4663461538461525E-2</v>
      </c>
    </row>
    <row r="585" spans="2:19" ht="11.4" customHeight="1" x14ac:dyDescent="0.2">
      <c r="B585" s="24"/>
      <c r="C585" s="4">
        <v>15838</v>
      </c>
      <c r="D585" s="18" t="s">
        <v>615</v>
      </c>
      <c r="E585" s="18" t="s">
        <v>554</v>
      </c>
      <c r="F585" s="17">
        <v>10</v>
      </c>
      <c r="G585" s="18" t="s">
        <v>23</v>
      </c>
      <c r="H585" s="17">
        <v>66.599999999999994</v>
      </c>
      <c r="I585" s="5">
        <v>72.599999999999994</v>
      </c>
      <c r="J585" s="21">
        <f t="shared" si="27"/>
        <v>9.00900900900901E-2</v>
      </c>
      <c r="K585" s="1">
        <v>2</v>
      </c>
      <c r="L585" s="24">
        <v>3.6</v>
      </c>
      <c r="M585" s="24">
        <v>68.969999999999985</v>
      </c>
      <c r="N585" s="21">
        <f t="shared" si="28"/>
        <v>3.5585585585585444E-2</v>
      </c>
      <c r="P585" s="1">
        <v>6</v>
      </c>
      <c r="Q585" s="24">
        <v>7.2599999999999909</v>
      </c>
      <c r="R585" s="24">
        <v>65.34</v>
      </c>
      <c r="S585" s="21">
        <f t="shared" si="29"/>
        <v>-1.8918918918918785E-2</v>
      </c>
    </row>
    <row r="586" spans="2:19" ht="11.4" customHeight="1" x14ac:dyDescent="0.2">
      <c r="B586" s="24"/>
      <c r="C586" s="4">
        <v>35724</v>
      </c>
      <c r="D586" s="18" t="s">
        <v>616</v>
      </c>
      <c r="E586" s="18" t="s">
        <v>554</v>
      </c>
      <c r="F586" s="17">
        <v>24</v>
      </c>
      <c r="G586" s="18" t="s">
        <v>23</v>
      </c>
      <c r="H586" s="17">
        <v>45.7</v>
      </c>
      <c r="I586" s="5">
        <v>53.6</v>
      </c>
      <c r="J586" s="21">
        <f t="shared" si="27"/>
        <v>0.17286652078774614</v>
      </c>
      <c r="K586" s="1">
        <v>2</v>
      </c>
      <c r="L586" s="24">
        <v>2.6</v>
      </c>
      <c r="M586" s="24">
        <v>50.92</v>
      </c>
      <c r="N586" s="21">
        <f t="shared" si="28"/>
        <v>0.11422319474835883</v>
      </c>
      <c r="P586" s="1">
        <v>6</v>
      </c>
      <c r="Q586" s="24">
        <v>5.3599999999999994</v>
      </c>
      <c r="R586" s="24">
        <v>48.24</v>
      </c>
      <c r="S586" s="21">
        <f t="shared" si="29"/>
        <v>5.5579868708971532E-2</v>
      </c>
    </row>
    <row r="587" spans="2:19" ht="11.4" customHeight="1" x14ac:dyDescent="0.2">
      <c r="B587" s="24"/>
      <c r="C587" s="4">
        <v>24391</v>
      </c>
      <c r="D587" s="18" t="s">
        <v>617</v>
      </c>
      <c r="E587" s="18" t="s">
        <v>554</v>
      </c>
      <c r="F587" s="17">
        <v>24</v>
      </c>
      <c r="G587" s="18" t="s">
        <v>23</v>
      </c>
      <c r="H587" s="17">
        <v>40.799999999999997</v>
      </c>
      <c r="I587" s="5">
        <v>48.6</v>
      </c>
      <c r="J587" s="21">
        <f t="shared" si="27"/>
        <v>0.19117647058823542</v>
      </c>
      <c r="K587" s="1">
        <v>2</v>
      </c>
      <c r="L587" s="24">
        <v>2.4</v>
      </c>
      <c r="M587" s="24">
        <v>46.17</v>
      </c>
      <c r="N587" s="21">
        <f t="shared" si="28"/>
        <v>0.13161764705882364</v>
      </c>
      <c r="P587" s="1">
        <v>6</v>
      </c>
      <c r="Q587" s="24">
        <v>4.8599999999999994</v>
      </c>
      <c r="R587" s="24">
        <v>43.74</v>
      </c>
      <c r="S587" s="21">
        <f t="shared" si="29"/>
        <v>7.2058823529411883E-2</v>
      </c>
    </row>
    <row r="588" spans="2:19" ht="11.4" customHeight="1" x14ac:dyDescent="0.2">
      <c r="B588" s="24"/>
      <c r="C588" s="4">
        <v>14615</v>
      </c>
      <c r="D588" s="18" t="s">
        <v>618</v>
      </c>
      <c r="E588" s="18" t="s">
        <v>554</v>
      </c>
      <c r="F588" s="17">
        <v>6</v>
      </c>
      <c r="G588" s="18" t="s">
        <v>23</v>
      </c>
      <c r="H588" s="17">
        <v>31.2</v>
      </c>
      <c r="I588" s="5">
        <v>35.299999999999997</v>
      </c>
      <c r="J588" s="21">
        <f t="shared" si="27"/>
        <v>0.13141025641025633</v>
      </c>
      <c r="K588" s="1">
        <v>2</v>
      </c>
      <c r="L588" s="24">
        <v>1.7</v>
      </c>
      <c r="M588" s="24">
        <v>33.534999999999997</v>
      </c>
      <c r="N588" s="21">
        <f t="shared" si="28"/>
        <v>7.4839743589743504E-2</v>
      </c>
      <c r="P588" s="1">
        <v>6</v>
      </c>
      <c r="Q588" s="24">
        <v>3.5299999999999976</v>
      </c>
      <c r="R588" s="24">
        <v>31.77</v>
      </c>
      <c r="S588" s="21">
        <f t="shared" si="29"/>
        <v>1.8269230769230777E-2</v>
      </c>
    </row>
    <row r="589" spans="2:19" ht="11.4" customHeight="1" x14ac:dyDescent="0.2">
      <c r="B589" s="24"/>
      <c r="C589" s="4">
        <v>14617</v>
      </c>
      <c r="D589" s="18" t="s">
        <v>619</v>
      </c>
      <c r="E589" s="18" t="s">
        <v>554</v>
      </c>
      <c r="F589" s="17">
        <v>6</v>
      </c>
      <c r="G589" s="18" t="s">
        <v>23</v>
      </c>
      <c r="H589" s="17">
        <v>86.4</v>
      </c>
      <c r="I589" s="5">
        <v>99</v>
      </c>
      <c r="J589" s="21">
        <f t="shared" si="27"/>
        <v>0.14583333333333326</v>
      </c>
      <c r="K589" s="1">
        <v>2</v>
      </c>
      <c r="L589" s="24">
        <v>4.9000000000000004</v>
      </c>
      <c r="M589" s="24">
        <v>94.05</v>
      </c>
      <c r="N589" s="21">
        <f t="shared" si="28"/>
        <v>8.854166666666656E-2</v>
      </c>
      <c r="P589" s="1">
        <v>6</v>
      </c>
      <c r="Q589" s="24">
        <v>9.8999999999999915</v>
      </c>
      <c r="R589" s="24">
        <v>89.100000000000009</v>
      </c>
      <c r="S589" s="21">
        <f t="shared" si="29"/>
        <v>3.1250000000000028E-2</v>
      </c>
    </row>
    <row r="590" spans="2:19" ht="11.4" customHeight="1" x14ac:dyDescent="0.2">
      <c r="B590" s="24"/>
      <c r="C590" s="4">
        <v>14614</v>
      </c>
      <c r="D590" s="18" t="s">
        <v>620</v>
      </c>
      <c r="E590" s="18" t="s">
        <v>554</v>
      </c>
      <c r="F590" s="17">
        <v>5</v>
      </c>
      <c r="G590" s="18" t="s">
        <v>23</v>
      </c>
      <c r="H590" s="17">
        <v>34.020000000000003</v>
      </c>
      <c r="I590" s="5">
        <v>37.9</v>
      </c>
      <c r="J590" s="21">
        <f t="shared" si="27"/>
        <v>0.1140505584950028</v>
      </c>
      <c r="K590" s="1">
        <v>2</v>
      </c>
      <c r="L590" s="24">
        <v>1.8</v>
      </c>
      <c r="M590" s="24">
        <v>36.004999999999995</v>
      </c>
      <c r="N590" s="21">
        <f t="shared" si="28"/>
        <v>5.8348030570252563E-2</v>
      </c>
      <c r="P590" s="1">
        <v>8</v>
      </c>
      <c r="Q590" s="24">
        <v>3.7899999999999991</v>
      </c>
      <c r="R590" s="24">
        <v>34.11</v>
      </c>
      <c r="S590" s="21">
        <f t="shared" si="29"/>
        <v>2.6455026455025365E-3</v>
      </c>
    </row>
    <row r="591" spans="2:19" ht="11.4" customHeight="1" x14ac:dyDescent="0.2">
      <c r="B591" s="24"/>
      <c r="C591" s="4">
        <v>14675</v>
      </c>
      <c r="D591" s="18" t="s">
        <v>621</v>
      </c>
      <c r="E591" s="18" t="s">
        <v>554</v>
      </c>
      <c r="F591" s="17">
        <v>6</v>
      </c>
      <c r="G591" s="18" t="s">
        <v>23</v>
      </c>
      <c r="H591" s="17">
        <v>58.73</v>
      </c>
      <c r="I591" s="5">
        <v>69.8</v>
      </c>
      <c r="J591" s="21">
        <f t="shared" si="27"/>
        <v>0.18848969862080711</v>
      </c>
      <c r="K591" s="1">
        <v>2</v>
      </c>
      <c r="L591" s="24">
        <v>3.4</v>
      </c>
      <c r="M591" s="24">
        <v>66.309999999999988</v>
      </c>
      <c r="N591" s="21">
        <f t="shared" si="28"/>
        <v>0.12906521368976659</v>
      </c>
      <c r="P591" s="1">
        <v>8</v>
      </c>
      <c r="Q591" s="24">
        <v>6.9799999999999969</v>
      </c>
      <c r="R591" s="24">
        <v>62.82</v>
      </c>
      <c r="S591" s="21">
        <f t="shared" si="29"/>
        <v>6.9640728758726442E-2</v>
      </c>
    </row>
    <row r="592" spans="2:19" ht="11.4" customHeight="1" x14ac:dyDescent="0.2">
      <c r="B592" s="24"/>
      <c r="C592" s="4">
        <v>41148</v>
      </c>
      <c r="D592" s="18" t="s">
        <v>622</v>
      </c>
      <c r="E592" s="18" t="s">
        <v>554</v>
      </c>
      <c r="F592" s="17">
        <v>2</v>
      </c>
      <c r="G592" s="18" t="s">
        <v>23</v>
      </c>
      <c r="H592" s="17">
        <v>540.48</v>
      </c>
      <c r="I592" s="5">
        <v>810</v>
      </c>
      <c r="J592" s="21">
        <f t="shared" si="27"/>
        <v>0.49866785079928949</v>
      </c>
      <c r="K592" s="1">
        <v>2</v>
      </c>
      <c r="L592" s="24">
        <v>40.5</v>
      </c>
      <c r="M592" s="24">
        <v>769.5</v>
      </c>
      <c r="N592" s="21">
        <f t="shared" si="28"/>
        <v>0.42373445825932499</v>
      </c>
      <c r="P592" s="1">
        <v>8</v>
      </c>
      <c r="Q592" s="24">
        <v>81</v>
      </c>
      <c r="R592" s="24">
        <v>729</v>
      </c>
      <c r="S592" s="21">
        <f t="shared" si="29"/>
        <v>0.34880106571936054</v>
      </c>
    </row>
    <row r="593" spans="2:19" ht="11.4" customHeight="1" x14ac:dyDescent="0.2">
      <c r="B593" s="24"/>
      <c r="C593" s="4">
        <v>24277</v>
      </c>
      <c r="D593" s="18" t="s">
        <v>623</v>
      </c>
      <c r="E593" s="18" t="s">
        <v>554</v>
      </c>
      <c r="F593" s="17">
        <v>24</v>
      </c>
      <c r="G593" s="18" t="s">
        <v>23</v>
      </c>
      <c r="H593" s="17">
        <v>46.5</v>
      </c>
      <c r="I593" s="5">
        <v>52.9</v>
      </c>
      <c r="J593" s="21">
        <f t="shared" si="27"/>
        <v>0.13763440860215051</v>
      </c>
      <c r="K593" s="1">
        <v>2</v>
      </c>
      <c r="L593" s="24">
        <v>2.6</v>
      </c>
      <c r="M593" s="24">
        <v>50.254999999999995</v>
      </c>
      <c r="N593" s="21">
        <f t="shared" si="28"/>
        <v>8.0752688172042911E-2</v>
      </c>
      <c r="P593" s="1">
        <v>8</v>
      </c>
      <c r="Q593" s="24">
        <v>5.2899999999999991</v>
      </c>
      <c r="R593" s="24">
        <v>47.61</v>
      </c>
      <c r="S593" s="21">
        <f t="shared" si="29"/>
        <v>2.3870967741935471E-2</v>
      </c>
    </row>
    <row r="594" spans="2:19" ht="11.4" customHeight="1" x14ac:dyDescent="0.2">
      <c r="B594" s="24"/>
      <c r="C594" s="4">
        <v>40619</v>
      </c>
      <c r="D594" s="18" t="s">
        <v>624</v>
      </c>
      <c r="E594" s="18" t="s">
        <v>554</v>
      </c>
      <c r="F594" s="17">
        <v>20</v>
      </c>
      <c r="G594" s="18" t="s">
        <v>23</v>
      </c>
      <c r="H594" s="17">
        <v>58.08</v>
      </c>
      <c r="I594" s="5">
        <v>84.9</v>
      </c>
      <c r="J594" s="21">
        <f t="shared" si="27"/>
        <v>0.46177685950413239</v>
      </c>
      <c r="K594" s="1">
        <v>2</v>
      </c>
      <c r="L594" s="24">
        <v>4.2</v>
      </c>
      <c r="M594" s="24">
        <v>80.655000000000001</v>
      </c>
      <c r="N594" s="21">
        <f t="shared" si="28"/>
        <v>0.38868801652892571</v>
      </c>
      <c r="P594" s="1">
        <v>8</v>
      </c>
      <c r="Q594" s="24">
        <v>8.4899999999999949</v>
      </c>
      <c r="R594" s="24">
        <v>76.410000000000011</v>
      </c>
      <c r="S594" s="21">
        <f t="shared" si="29"/>
        <v>0.31559917355371925</v>
      </c>
    </row>
    <row r="595" spans="2:19" ht="11.4" customHeight="1" x14ac:dyDescent="0.2">
      <c r="B595" s="24"/>
      <c r="C595" s="4">
        <v>13912</v>
      </c>
      <c r="D595" s="18" t="s">
        <v>625</v>
      </c>
      <c r="E595" s="18" t="s">
        <v>554</v>
      </c>
      <c r="F595" s="17">
        <v>3</v>
      </c>
      <c r="G595" s="18" t="s">
        <v>23</v>
      </c>
      <c r="H595" s="17">
        <v>54.2</v>
      </c>
      <c r="I595" s="5">
        <v>60.1</v>
      </c>
      <c r="J595" s="21">
        <f t="shared" si="27"/>
        <v>0.10885608856088558</v>
      </c>
      <c r="K595" s="1">
        <v>2</v>
      </c>
      <c r="L595" s="24">
        <v>3</v>
      </c>
      <c r="M595" s="24">
        <v>57.094999999999999</v>
      </c>
      <c r="N595" s="21">
        <f t="shared" si="28"/>
        <v>5.341328413284125E-2</v>
      </c>
      <c r="P595" s="1">
        <v>8</v>
      </c>
      <c r="Q595" s="24">
        <v>6.009999999999998</v>
      </c>
      <c r="R595" s="24">
        <v>54.09</v>
      </c>
      <c r="S595" s="21">
        <f t="shared" si="29"/>
        <v>-2.0295202952029415E-3</v>
      </c>
    </row>
    <row r="596" spans="2:19" ht="11.4" customHeight="1" x14ac:dyDescent="0.2">
      <c r="B596" s="24"/>
      <c r="C596" s="4">
        <v>20721</v>
      </c>
      <c r="D596" s="18" t="s">
        <v>626</v>
      </c>
      <c r="E596" s="18" t="s">
        <v>554</v>
      </c>
      <c r="F596" s="17">
        <v>8</v>
      </c>
      <c r="G596" s="18" t="s">
        <v>23</v>
      </c>
      <c r="H596" s="17">
        <v>39.5</v>
      </c>
      <c r="I596" s="5">
        <v>40.9</v>
      </c>
      <c r="J596" s="21">
        <f t="shared" si="27"/>
        <v>3.5443037974683511E-2</v>
      </c>
      <c r="K596" s="1">
        <v>2</v>
      </c>
      <c r="L596" s="24">
        <v>2</v>
      </c>
      <c r="M596" s="24">
        <v>38.854999999999997</v>
      </c>
      <c r="N596" s="21">
        <f t="shared" si="28"/>
        <v>-1.6329113924050714E-2</v>
      </c>
      <c r="P596" s="1">
        <v>8</v>
      </c>
      <c r="Q596" s="24">
        <v>4.0899999999999963</v>
      </c>
      <c r="R596" s="24">
        <v>36.81</v>
      </c>
      <c r="S596" s="21">
        <f t="shared" si="29"/>
        <v>-6.8101265822784751E-2</v>
      </c>
    </row>
    <row r="597" spans="2:19" ht="11.4" customHeight="1" x14ac:dyDescent="0.2">
      <c r="B597" s="24"/>
      <c r="C597" s="4">
        <v>34613</v>
      </c>
      <c r="D597" s="18" t="s">
        <v>627</v>
      </c>
      <c r="E597" s="18" t="s">
        <v>554</v>
      </c>
      <c r="F597" s="17">
        <v>4</v>
      </c>
      <c r="G597" s="18" t="s">
        <v>23</v>
      </c>
      <c r="H597" s="17">
        <v>31.04</v>
      </c>
      <c r="I597" s="5">
        <v>38.799999999999997</v>
      </c>
      <c r="J597" s="21">
        <f t="shared" si="27"/>
        <v>0.24999999999999994</v>
      </c>
      <c r="K597" s="1">
        <v>2</v>
      </c>
      <c r="L597" s="24">
        <v>1.9</v>
      </c>
      <c r="M597" s="24">
        <v>36.859999999999992</v>
      </c>
      <c r="N597" s="21">
        <f t="shared" si="28"/>
        <v>0.18749999999999978</v>
      </c>
      <c r="P597" s="1">
        <v>8</v>
      </c>
      <c r="Q597" s="24">
        <v>3.8799999999999955</v>
      </c>
      <c r="R597" s="24">
        <v>34.92</v>
      </c>
      <c r="S597" s="21">
        <f t="shared" si="29"/>
        <v>0.12500000000000008</v>
      </c>
    </row>
    <row r="598" spans="2:19" ht="11.4" customHeight="1" x14ac:dyDescent="0.2">
      <c r="B598" s="24"/>
      <c r="C598" s="4">
        <v>40820</v>
      </c>
      <c r="D598" s="18" t="s">
        <v>628</v>
      </c>
      <c r="E598" s="18" t="s">
        <v>554</v>
      </c>
      <c r="F598" s="17">
        <v>6</v>
      </c>
      <c r="G598" s="18" t="s">
        <v>23</v>
      </c>
      <c r="H598" s="17">
        <v>49.39</v>
      </c>
      <c r="I598" s="5">
        <v>62.8</v>
      </c>
      <c r="J598" s="21">
        <f t="shared" si="27"/>
        <v>0.27151245191334272</v>
      </c>
      <c r="K598" s="1">
        <v>2</v>
      </c>
      <c r="L598" s="24">
        <v>3.1</v>
      </c>
      <c r="M598" s="24">
        <v>59.66</v>
      </c>
      <c r="N598" s="21">
        <f t="shared" si="28"/>
        <v>0.20793682931767557</v>
      </c>
      <c r="P598" s="1">
        <v>8</v>
      </c>
      <c r="Q598" s="24">
        <v>6.2800000000000011</v>
      </c>
      <c r="R598" s="24">
        <v>56.519999999999996</v>
      </c>
      <c r="S598" s="21">
        <f t="shared" si="29"/>
        <v>0.14436120672200842</v>
      </c>
    </row>
    <row r="599" spans="2:19" ht="11.4" customHeight="1" x14ac:dyDescent="0.2">
      <c r="B599" s="24"/>
      <c r="C599" s="4">
        <v>4053</v>
      </c>
      <c r="D599" s="18" t="s">
        <v>629</v>
      </c>
      <c r="E599" s="18" t="s">
        <v>554</v>
      </c>
      <c r="F599" s="17">
        <v>10</v>
      </c>
      <c r="G599" s="18" t="s">
        <v>23</v>
      </c>
      <c r="H599" s="17">
        <v>37.5</v>
      </c>
      <c r="I599" s="5">
        <v>45.2</v>
      </c>
      <c r="J599" s="21">
        <f t="shared" si="27"/>
        <v>0.2053333333333334</v>
      </c>
      <c r="K599" s="1">
        <v>2</v>
      </c>
      <c r="L599" s="24">
        <v>2.2000000000000002</v>
      </c>
      <c r="M599" s="24">
        <v>42.94</v>
      </c>
      <c r="N599" s="21">
        <f t="shared" si="28"/>
        <v>0.14506666666666659</v>
      </c>
      <c r="P599" s="1">
        <v>8</v>
      </c>
      <c r="Q599" s="24">
        <v>4.519999999999996</v>
      </c>
      <c r="R599" s="24">
        <v>40.680000000000007</v>
      </c>
      <c r="S599" s="21">
        <f t="shared" si="29"/>
        <v>8.4800000000000181E-2</v>
      </c>
    </row>
    <row r="600" spans="2:19" ht="11.4" customHeight="1" x14ac:dyDescent="0.2">
      <c r="B600" s="24"/>
      <c r="C600" s="4">
        <v>24283</v>
      </c>
      <c r="D600" s="18" t="s">
        <v>630</v>
      </c>
      <c r="E600" s="18" t="s">
        <v>554</v>
      </c>
      <c r="F600" s="17">
        <v>24</v>
      </c>
      <c r="G600" s="18" t="s">
        <v>23</v>
      </c>
      <c r="H600" s="17">
        <v>41.1</v>
      </c>
      <c r="I600" s="5">
        <v>48.3</v>
      </c>
      <c r="J600" s="21">
        <f t="shared" si="27"/>
        <v>0.17518248175182471</v>
      </c>
      <c r="K600" s="1">
        <v>2</v>
      </c>
      <c r="L600" s="24">
        <v>2.4</v>
      </c>
      <c r="M600" s="24">
        <v>45.884999999999998</v>
      </c>
      <c r="N600" s="21">
        <f t="shared" si="28"/>
        <v>0.11642335766423349</v>
      </c>
      <c r="P600" s="1">
        <v>8</v>
      </c>
      <c r="Q600" s="24">
        <v>4.8299999999999983</v>
      </c>
      <c r="R600" s="24">
        <v>43.47</v>
      </c>
      <c r="S600" s="21">
        <f t="shared" si="29"/>
        <v>5.7664233576642271E-2</v>
      </c>
    </row>
    <row r="601" spans="2:19" ht="11.4" customHeight="1" x14ac:dyDescent="0.2">
      <c r="B601" s="24"/>
      <c r="C601" s="4">
        <v>24485</v>
      </c>
      <c r="D601" s="18" t="s">
        <v>631</v>
      </c>
      <c r="E601" s="18" t="s">
        <v>554</v>
      </c>
      <c r="F601" s="17">
        <v>24</v>
      </c>
      <c r="G601" s="18" t="s">
        <v>23</v>
      </c>
      <c r="H601" s="17">
        <v>35.700000000000003</v>
      </c>
      <c r="I601" s="5">
        <v>42.5</v>
      </c>
      <c r="J601" s="21">
        <f t="shared" si="27"/>
        <v>0.19047619047619038</v>
      </c>
      <c r="K601" s="1">
        <v>2</v>
      </c>
      <c r="L601" s="24">
        <v>2.1</v>
      </c>
      <c r="M601" s="24">
        <v>40.375</v>
      </c>
      <c r="N601" s="21">
        <f t="shared" si="28"/>
        <v>0.13095238095238088</v>
      </c>
      <c r="P601" s="1">
        <v>8</v>
      </c>
      <c r="Q601" s="24">
        <v>4.25</v>
      </c>
      <c r="R601" s="24">
        <v>38.25</v>
      </c>
      <c r="S601" s="21">
        <f t="shared" si="29"/>
        <v>7.1428571428571341E-2</v>
      </c>
    </row>
    <row r="602" spans="2:19" ht="11.4" customHeight="1" x14ac:dyDescent="0.2">
      <c r="B602" s="24"/>
      <c r="C602" s="4">
        <v>35879</v>
      </c>
      <c r="D602" s="18" t="s">
        <v>632</v>
      </c>
      <c r="E602" s="18" t="s">
        <v>554</v>
      </c>
      <c r="F602" s="17">
        <v>6</v>
      </c>
      <c r="G602" s="18" t="s">
        <v>23</v>
      </c>
      <c r="H602" s="17">
        <v>84.8</v>
      </c>
      <c r="I602" s="5">
        <v>95.4</v>
      </c>
      <c r="J602" s="21">
        <f t="shared" si="27"/>
        <v>0.12500000000000011</v>
      </c>
      <c r="K602" s="1">
        <v>2</v>
      </c>
      <c r="L602" s="24">
        <v>4.7</v>
      </c>
      <c r="M602" s="24">
        <v>90.63</v>
      </c>
      <c r="N602" s="21">
        <f t="shared" si="28"/>
        <v>6.8749999999999978E-2</v>
      </c>
      <c r="P602" s="1">
        <v>8</v>
      </c>
      <c r="Q602" s="24">
        <v>9.539999999999992</v>
      </c>
      <c r="R602" s="24">
        <v>85.860000000000014</v>
      </c>
      <c r="S602" s="21">
        <f t="shared" si="29"/>
        <v>1.2500000000000195E-2</v>
      </c>
    </row>
    <row r="603" spans="2:19" ht="11.4" customHeight="1" x14ac:dyDescent="0.2">
      <c r="B603" s="24"/>
      <c r="C603" s="4">
        <v>36394</v>
      </c>
      <c r="D603" s="18" t="s">
        <v>633</v>
      </c>
      <c r="E603" s="18" t="s">
        <v>554</v>
      </c>
      <c r="F603" s="17">
        <v>3</v>
      </c>
      <c r="G603" s="18" t="s">
        <v>23</v>
      </c>
      <c r="H603" s="17">
        <v>30.5</v>
      </c>
      <c r="I603" s="5">
        <v>33.700000000000003</v>
      </c>
      <c r="J603" s="21">
        <f t="shared" si="27"/>
        <v>0.10491803278688534</v>
      </c>
      <c r="K603" s="1">
        <v>2</v>
      </c>
      <c r="L603" s="24">
        <v>1.6</v>
      </c>
      <c r="M603" s="24">
        <v>32.015000000000001</v>
      </c>
      <c r="N603" s="21">
        <f t="shared" si="28"/>
        <v>4.9672131147541002E-2</v>
      </c>
      <c r="P603" s="1">
        <v>8</v>
      </c>
      <c r="Q603" s="24">
        <v>3.370000000000001</v>
      </c>
      <c r="R603" s="24">
        <v>30.330000000000002</v>
      </c>
      <c r="S603" s="21">
        <f t="shared" si="29"/>
        <v>-5.5737704918032184E-3</v>
      </c>
    </row>
    <row r="604" spans="2:19" ht="11.4" customHeight="1" x14ac:dyDescent="0.2">
      <c r="B604" s="24"/>
      <c r="C604" s="4">
        <v>36393</v>
      </c>
      <c r="D604" s="18" t="s">
        <v>634</v>
      </c>
      <c r="E604" s="18" t="s">
        <v>554</v>
      </c>
      <c r="F604" s="17">
        <v>3</v>
      </c>
      <c r="G604" s="18" t="s">
        <v>23</v>
      </c>
      <c r="H604" s="17">
        <v>32.5</v>
      </c>
      <c r="I604" s="5">
        <v>40.200000000000003</v>
      </c>
      <c r="J604" s="21">
        <f t="shared" si="27"/>
        <v>0.23692307692307701</v>
      </c>
      <c r="K604" s="1">
        <v>2</v>
      </c>
      <c r="L604" s="24">
        <v>2</v>
      </c>
      <c r="M604" s="24">
        <v>38.19</v>
      </c>
      <c r="N604" s="21">
        <f t="shared" si="28"/>
        <v>0.17507692307692302</v>
      </c>
      <c r="P604" s="1">
        <v>8</v>
      </c>
      <c r="Q604" s="24">
        <v>4.019999999999996</v>
      </c>
      <c r="R604" s="24">
        <v>36.180000000000007</v>
      </c>
      <c r="S604" s="21">
        <f t="shared" si="29"/>
        <v>0.11323076923076944</v>
      </c>
    </row>
    <row r="605" spans="2:19" ht="11.4" customHeight="1" x14ac:dyDescent="0.2">
      <c r="B605" s="24"/>
      <c r="C605" s="4">
        <v>36396</v>
      </c>
      <c r="D605" s="18" t="s">
        <v>635</v>
      </c>
      <c r="E605" s="18" t="s">
        <v>554</v>
      </c>
      <c r="F605" s="17">
        <v>3</v>
      </c>
      <c r="G605" s="18" t="s">
        <v>23</v>
      </c>
      <c r="H605" s="17">
        <v>31.9</v>
      </c>
      <c r="I605" s="5">
        <v>35.9</v>
      </c>
      <c r="J605" s="21">
        <f t="shared" si="27"/>
        <v>0.12539184952978058</v>
      </c>
      <c r="K605" s="1">
        <v>2</v>
      </c>
      <c r="L605" s="24">
        <v>1.7</v>
      </c>
      <c r="M605" s="24">
        <v>34.104999999999997</v>
      </c>
      <c r="N605" s="21">
        <f t="shared" si="28"/>
        <v>6.9122257053291489E-2</v>
      </c>
      <c r="P605" s="1">
        <v>8</v>
      </c>
      <c r="Q605" s="24">
        <v>3.5899999999999963</v>
      </c>
      <c r="R605" s="24">
        <v>32.31</v>
      </c>
      <c r="S605" s="21">
        <f t="shared" si="29"/>
        <v>1.2852664576802625E-2</v>
      </c>
    </row>
    <row r="606" spans="2:19" ht="11.4" customHeight="1" x14ac:dyDescent="0.2">
      <c r="B606" s="24"/>
      <c r="C606" s="4">
        <v>36395</v>
      </c>
      <c r="D606" s="18" t="s">
        <v>636</v>
      </c>
      <c r="E606" s="18" t="s">
        <v>554</v>
      </c>
      <c r="F606" s="17">
        <v>3</v>
      </c>
      <c r="G606" s="18" t="s">
        <v>23</v>
      </c>
      <c r="H606" s="17">
        <v>34</v>
      </c>
      <c r="I606" s="5">
        <v>41.9</v>
      </c>
      <c r="J606" s="21">
        <f t="shared" si="27"/>
        <v>0.23235294117647054</v>
      </c>
      <c r="K606" s="1">
        <v>2</v>
      </c>
      <c r="L606" s="24">
        <v>2</v>
      </c>
      <c r="M606" s="24">
        <v>39.805</v>
      </c>
      <c r="N606" s="21">
        <f t="shared" si="28"/>
        <v>0.17073529411764704</v>
      </c>
      <c r="P606" s="1">
        <v>8</v>
      </c>
      <c r="Q606" s="24">
        <v>4.1899999999999977</v>
      </c>
      <c r="R606" s="24">
        <v>37.71</v>
      </c>
      <c r="S606" s="21">
        <f t="shared" si="29"/>
        <v>0.10911764705882356</v>
      </c>
    </row>
    <row r="607" spans="2:19" ht="11.4" customHeight="1" x14ac:dyDescent="0.2">
      <c r="B607" s="24"/>
      <c r="C607" s="4">
        <v>36398</v>
      </c>
      <c r="D607" s="18" t="s">
        <v>637</v>
      </c>
      <c r="E607" s="18" t="s">
        <v>554</v>
      </c>
      <c r="F607" s="17">
        <v>3</v>
      </c>
      <c r="G607" s="18" t="s">
        <v>23</v>
      </c>
      <c r="H607" s="17">
        <v>29.9</v>
      </c>
      <c r="I607" s="5">
        <v>37.700000000000003</v>
      </c>
      <c r="J607" s="21">
        <f t="shared" si="27"/>
        <v>0.26086956521739146</v>
      </c>
      <c r="K607" s="1">
        <v>2</v>
      </c>
      <c r="L607" s="24">
        <v>1.8</v>
      </c>
      <c r="M607" s="24">
        <v>35.814999999999998</v>
      </c>
      <c r="N607" s="21">
        <f t="shared" si="28"/>
        <v>0.19782608695652171</v>
      </c>
      <c r="P607" s="1">
        <v>8</v>
      </c>
      <c r="Q607" s="24">
        <v>3.769999999999996</v>
      </c>
      <c r="R607" s="24">
        <v>33.930000000000007</v>
      </c>
      <c r="S607" s="21">
        <f t="shared" si="29"/>
        <v>0.13478260869565245</v>
      </c>
    </row>
    <row r="608" spans="2:19" ht="11.4" customHeight="1" x14ac:dyDescent="0.2">
      <c r="B608" s="24"/>
      <c r="C608" s="4">
        <v>36397</v>
      </c>
      <c r="D608" s="18" t="s">
        <v>638</v>
      </c>
      <c r="E608" s="18" t="s">
        <v>554</v>
      </c>
      <c r="F608" s="17">
        <v>3</v>
      </c>
      <c r="G608" s="18" t="s">
        <v>23</v>
      </c>
      <c r="H608" s="17">
        <v>32</v>
      </c>
      <c r="I608" s="5">
        <v>39.5</v>
      </c>
      <c r="J608" s="21">
        <f t="shared" si="27"/>
        <v>0.234375</v>
      </c>
      <c r="K608" s="1">
        <v>2</v>
      </c>
      <c r="L608" s="24">
        <v>1.9</v>
      </c>
      <c r="M608" s="24">
        <v>37.524999999999999</v>
      </c>
      <c r="N608" s="21">
        <f t="shared" si="28"/>
        <v>0.17265624999999996</v>
      </c>
      <c r="P608" s="1">
        <v>8</v>
      </c>
      <c r="Q608" s="24">
        <v>3.9499999999999957</v>
      </c>
      <c r="R608" s="24">
        <v>35.550000000000004</v>
      </c>
      <c r="S608" s="21">
        <f t="shared" si="29"/>
        <v>0.11093750000000013</v>
      </c>
    </row>
    <row r="609" spans="2:19" ht="11.4" customHeight="1" x14ac:dyDescent="0.2">
      <c r="B609" s="24"/>
      <c r="C609" s="4">
        <v>39664</v>
      </c>
      <c r="D609" s="18" t="s">
        <v>639</v>
      </c>
      <c r="E609" s="18" t="s">
        <v>554</v>
      </c>
      <c r="F609" s="17">
        <v>8</v>
      </c>
      <c r="G609" s="18" t="s">
        <v>23</v>
      </c>
      <c r="H609" s="17">
        <v>66.2</v>
      </c>
      <c r="I609" s="5">
        <v>68.900000000000006</v>
      </c>
      <c r="J609" s="21">
        <f t="shared" si="27"/>
        <v>4.0785498489426024E-2</v>
      </c>
      <c r="K609" s="1">
        <v>2</v>
      </c>
      <c r="L609" s="24">
        <v>3.4</v>
      </c>
      <c r="M609" s="24">
        <v>65.454999999999998</v>
      </c>
      <c r="N609" s="21">
        <f t="shared" si="28"/>
        <v>-1.1253776435045385E-2</v>
      </c>
      <c r="P609" s="1">
        <v>8</v>
      </c>
      <c r="Q609" s="24">
        <v>6.8900000000000006</v>
      </c>
      <c r="R609" s="24">
        <v>62.010000000000005</v>
      </c>
      <c r="S609" s="21">
        <f t="shared" si="29"/>
        <v>-6.3293051359516586E-2</v>
      </c>
    </row>
    <row r="610" spans="2:19" ht="11.4" customHeight="1" x14ac:dyDescent="0.2">
      <c r="B610" s="24"/>
      <c r="C610" s="4">
        <v>39387</v>
      </c>
      <c r="D610" s="18" t="s">
        <v>640</v>
      </c>
      <c r="E610" s="18" t="s">
        <v>554</v>
      </c>
      <c r="F610" s="17">
        <v>12</v>
      </c>
      <c r="G610" s="18" t="s">
        <v>23</v>
      </c>
      <c r="H610" s="17">
        <v>33.6</v>
      </c>
      <c r="I610" s="5">
        <v>38.6</v>
      </c>
      <c r="J610" s="21">
        <f t="shared" si="27"/>
        <v>0.14880952380952381</v>
      </c>
      <c r="K610" s="1">
        <v>2</v>
      </c>
      <c r="L610" s="24">
        <v>1.9</v>
      </c>
      <c r="M610" s="24">
        <v>36.67</v>
      </c>
      <c r="N610" s="21">
        <f t="shared" si="28"/>
        <v>9.1369047619047628E-2</v>
      </c>
      <c r="P610" s="1">
        <v>8</v>
      </c>
      <c r="Q610" s="24">
        <v>3.8599999999999994</v>
      </c>
      <c r="R610" s="24">
        <v>34.74</v>
      </c>
      <c r="S610" s="21">
        <f t="shared" si="29"/>
        <v>3.3928571428571447E-2</v>
      </c>
    </row>
    <row r="611" spans="2:19" ht="11.4" customHeight="1" x14ac:dyDescent="0.2">
      <c r="B611" s="24"/>
      <c r="C611" s="4">
        <v>47267</v>
      </c>
      <c r="D611" s="18" t="s">
        <v>641</v>
      </c>
      <c r="E611" s="18" t="s">
        <v>554</v>
      </c>
      <c r="F611" s="17">
        <v>24</v>
      </c>
      <c r="G611" s="18" t="s">
        <v>23</v>
      </c>
      <c r="H611" s="17">
        <v>26.25</v>
      </c>
      <c r="I611" s="5">
        <v>44.9</v>
      </c>
      <c r="J611" s="21">
        <f t="shared" si="27"/>
        <v>0.71047619047619037</v>
      </c>
      <c r="K611" s="1">
        <v>2</v>
      </c>
      <c r="L611" s="24">
        <v>2.2000000000000002</v>
      </c>
      <c r="M611" s="24">
        <v>42.654999999999994</v>
      </c>
      <c r="N611" s="21">
        <f t="shared" si="28"/>
        <v>0.6249523809523807</v>
      </c>
      <c r="P611" s="1">
        <v>8</v>
      </c>
      <c r="Q611" s="24">
        <v>4.490000000000002</v>
      </c>
      <c r="R611" s="24">
        <v>40.409999999999997</v>
      </c>
      <c r="S611" s="21">
        <f t="shared" si="29"/>
        <v>0.53942857142857126</v>
      </c>
    </row>
    <row r="612" spans="2:19" ht="11.4" customHeight="1" x14ac:dyDescent="0.2">
      <c r="B612" s="24"/>
      <c r="C612" s="4">
        <v>40821</v>
      </c>
      <c r="D612" s="18" t="s">
        <v>642</v>
      </c>
      <c r="E612" s="18" t="s">
        <v>554</v>
      </c>
      <c r="F612" s="17">
        <v>4</v>
      </c>
      <c r="G612" s="18" t="s">
        <v>23</v>
      </c>
      <c r="H612" s="17">
        <v>29.74</v>
      </c>
      <c r="I612" s="5">
        <v>39</v>
      </c>
      <c r="J612" s="21">
        <f t="shared" si="27"/>
        <v>0.31136516476126436</v>
      </c>
      <c r="K612" s="1">
        <v>2</v>
      </c>
      <c r="L612" s="24">
        <v>1.9</v>
      </c>
      <c r="M612" s="24">
        <v>37.049999999999997</v>
      </c>
      <c r="N612" s="21">
        <f t="shared" si="28"/>
        <v>0.24579690652320105</v>
      </c>
      <c r="P612" s="1">
        <v>8</v>
      </c>
      <c r="Q612" s="24">
        <v>3.8999999999999986</v>
      </c>
      <c r="R612" s="24">
        <v>35.1</v>
      </c>
      <c r="S612" s="21">
        <f t="shared" si="29"/>
        <v>0.18022864828513796</v>
      </c>
    </row>
    <row r="613" spans="2:19" ht="11.4" customHeight="1" x14ac:dyDescent="0.2">
      <c r="B613" s="24"/>
      <c r="C613" s="4">
        <v>14410</v>
      </c>
      <c r="D613" s="18" t="s">
        <v>643</v>
      </c>
      <c r="E613" s="18" t="s">
        <v>554</v>
      </c>
      <c r="F613" s="17">
        <v>6</v>
      </c>
      <c r="G613" s="18" t="s">
        <v>23</v>
      </c>
      <c r="H613" s="17">
        <v>59.8</v>
      </c>
      <c r="I613" s="5">
        <v>66.900000000000006</v>
      </c>
      <c r="J613" s="21">
        <f t="shared" si="27"/>
        <v>0.1187290969899667</v>
      </c>
      <c r="K613" s="1">
        <v>2</v>
      </c>
      <c r="L613" s="24">
        <v>3.3</v>
      </c>
      <c r="M613" s="24">
        <v>63.555</v>
      </c>
      <c r="N613" s="21">
        <f t="shared" si="28"/>
        <v>6.2792642140468272E-2</v>
      </c>
      <c r="P613" s="1">
        <v>8</v>
      </c>
      <c r="Q613" s="24">
        <v>6.6899999999999977</v>
      </c>
      <c r="R613" s="24">
        <v>60.210000000000008</v>
      </c>
      <c r="S613" s="21">
        <f t="shared" si="29"/>
        <v>6.8561872909700802E-3</v>
      </c>
    </row>
    <row r="614" spans="2:19" ht="11.4" customHeight="1" x14ac:dyDescent="0.2">
      <c r="B614" s="24"/>
      <c r="C614" s="4">
        <v>34615</v>
      </c>
      <c r="D614" s="18" t="s">
        <v>644</v>
      </c>
      <c r="E614" s="18" t="s">
        <v>554</v>
      </c>
      <c r="F614" s="17">
        <v>6</v>
      </c>
      <c r="G614" s="18" t="s">
        <v>23</v>
      </c>
      <c r="H614" s="17">
        <v>73.5</v>
      </c>
      <c r="I614" s="5">
        <v>84.5</v>
      </c>
      <c r="J614" s="21">
        <f t="shared" si="27"/>
        <v>0.14965986394557823</v>
      </c>
      <c r="K614" s="1">
        <v>2</v>
      </c>
      <c r="L614" s="24">
        <v>4.2</v>
      </c>
      <c r="M614" s="24">
        <v>80.274999999999991</v>
      </c>
      <c r="N614" s="21">
        <f t="shared" si="28"/>
        <v>9.2176870748299208E-2</v>
      </c>
      <c r="P614" s="1">
        <v>8</v>
      </c>
      <c r="Q614" s="24">
        <v>8.4500000000000028</v>
      </c>
      <c r="R614" s="24">
        <v>76.05</v>
      </c>
      <c r="S614" s="21">
        <f t="shared" si="29"/>
        <v>3.4693877551020366E-2</v>
      </c>
    </row>
    <row r="615" spans="2:19" ht="11.4" customHeight="1" x14ac:dyDescent="0.2">
      <c r="B615" s="24"/>
      <c r="C615" s="4">
        <v>40823</v>
      </c>
      <c r="D615" s="18" t="s">
        <v>645</v>
      </c>
      <c r="E615" s="18" t="s">
        <v>554</v>
      </c>
      <c r="F615" s="17">
        <v>4</v>
      </c>
      <c r="G615" s="18" t="s">
        <v>23</v>
      </c>
      <c r="H615" s="17">
        <v>35.11</v>
      </c>
      <c r="I615" s="5">
        <v>45.9</v>
      </c>
      <c r="J615" s="21">
        <f t="shared" si="27"/>
        <v>0.30731985189404726</v>
      </c>
      <c r="K615" s="1">
        <v>2</v>
      </c>
      <c r="L615" s="24">
        <v>2.2000000000000002</v>
      </c>
      <c r="M615" s="24">
        <v>43.604999999999997</v>
      </c>
      <c r="N615" s="21">
        <f t="shared" si="28"/>
        <v>0.24195385929934485</v>
      </c>
      <c r="P615" s="1">
        <v>8</v>
      </c>
      <c r="Q615" s="24">
        <v>4.5899999999999963</v>
      </c>
      <c r="R615" s="24">
        <v>41.31</v>
      </c>
      <c r="S615" s="21">
        <f t="shared" si="29"/>
        <v>0.17658786670464263</v>
      </c>
    </row>
    <row r="616" spans="2:19" ht="11.4" customHeight="1" x14ac:dyDescent="0.2">
      <c r="B616" s="24"/>
      <c r="C616" s="4">
        <v>38058</v>
      </c>
      <c r="D616" s="18" t="s">
        <v>646</v>
      </c>
      <c r="E616" s="18" t="s">
        <v>554</v>
      </c>
      <c r="F616" s="17">
        <v>4</v>
      </c>
      <c r="G616" s="18" t="s">
        <v>23</v>
      </c>
      <c r="H616" s="17">
        <v>36.6</v>
      </c>
      <c r="I616" s="5">
        <v>41.9</v>
      </c>
      <c r="J616" s="21">
        <f t="shared" si="27"/>
        <v>0.14480874316939882</v>
      </c>
      <c r="K616" s="1">
        <v>2</v>
      </c>
      <c r="L616" s="24">
        <v>2</v>
      </c>
      <c r="M616" s="24">
        <v>39.805</v>
      </c>
      <c r="N616" s="21">
        <f t="shared" si="28"/>
        <v>8.7568306010928909E-2</v>
      </c>
      <c r="P616" s="1">
        <v>8</v>
      </c>
      <c r="Q616" s="24">
        <v>4.1899999999999977</v>
      </c>
      <c r="R616" s="24">
        <v>37.71</v>
      </c>
      <c r="S616" s="21">
        <f t="shared" si="29"/>
        <v>3.0327868852459E-2</v>
      </c>
    </row>
    <row r="617" spans="2:19" ht="11.4" customHeight="1" x14ac:dyDescent="0.2">
      <c r="B617" s="24"/>
      <c r="C617" s="4">
        <v>14645</v>
      </c>
      <c r="D617" s="18" t="s">
        <v>647</v>
      </c>
      <c r="E617" s="18" t="s">
        <v>554</v>
      </c>
      <c r="F617" s="17">
        <v>6</v>
      </c>
      <c r="G617" s="18" t="s">
        <v>23</v>
      </c>
      <c r="H617" s="17">
        <v>58.1</v>
      </c>
      <c r="I617" s="5">
        <v>64.400000000000006</v>
      </c>
      <c r="J617" s="21">
        <f t="shared" si="27"/>
        <v>0.10843373493975911</v>
      </c>
      <c r="K617" s="1">
        <v>2</v>
      </c>
      <c r="L617" s="24">
        <v>3.2</v>
      </c>
      <c r="M617" s="24">
        <v>61.18</v>
      </c>
      <c r="N617" s="21">
        <f t="shared" si="28"/>
        <v>5.3012048192771055E-2</v>
      </c>
      <c r="P617" s="1">
        <v>8</v>
      </c>
      <c r="Q617" s="24">
        <v>6.4399999999999977</v>
      </c>
      <c r="R617" s="24">
        <v>57.960000000000008</v>
      </c>
      <c r="S617" s="21">
        <f t="shared" si="29"/>
        <v>-2.4096385542167549E-3</v>
      </c>
    </row>
    <row r="618" spans="2:19" ht="11.4" customHeight="1" x14ac:dyDescent="0.2">
      <c r="B618" s="24"/>
      <c r="C618" s="4">
        <v>14643</v>
      </c>
      <c r="D618" s="18" t="s">
        <v>648</v>
      </c>
      <c r="E618" s="18" t="s">
        <v>554</v>
      </c>
      <c r="F618" s="17">
        <v>5</v>
      </c>
      <c r="G618" s="18" t="s">
        <v>23</v>
      </c>
      <c r="H618" s="17">
        <v>30.4</v>
      </c>
      <c r="I618" s="5">
        <v>36</v>
      </c>
      <c r="J618" s="21">
        <f t="shared" si="27"/>
        <v>0.18421052631578952</v>
      </c>
      <c r="K618" s="1">
        <v>2</v>
      </c>
      <c r="L618" s="24">
        <v>1.8</v>
      </c>
      <c r="M618" s="24">
        <v>34.199999999999996</v>
      </c>
      <c r="N618" s="21">
        <f t="shared" si="28"/>
        <v>0.12499999999999992</v>
      </c>
      <c r="P618" s="1">
        <v>8</v>
      </c>
      <c r="Q618" s="24">
        <v>3.6000000000000014</v>
      </c>
      <c r="R618" s="24">
        <v>32.4</v>
      </c>
      <c r="S618" s="21">
        <f t="shared" si="29"/>
        <v>6.5789473684210523E-2</v>
      </c>
    </row>
    <row r="619" spans="2:19" ht="11.4" customHeight="1" x14ac:dyDescent="0.2">
      <c r="B619" s="24"/>
      <c r="C619" s="4">
        <v>23738</v>
      </c>
      <c r="D619" s="18" t="s">
        <v>649</v>
      </c>
      <c r="E619" s="18" t="s">
        <v>554</v>
      </c>
      <c r="F619" s="17">
        <v>6</v>
      </c>
      <c r="G619" s="18" t="s">
        <v>23</v>
      </c>
      <c r="H619" s="17">
        <v>80.3</v>
      </c>
      <c r="I619" s="5">
        <v>94.9</v>
      </c>
      <c r="J619" s="21">
        <f t="shared" si="27"/>
        <v>0.18181818181818193</v>
      </c>
      <c r="K619" s="1">
        <v>2</v>
      </c>
      <c r="L619" s="24">
        <v>4.7</v>
      </c>
      <c r="M619" s="24">
        <v>90.155000000000001</v>
      </c>
      <c r="N619" s="21">
        <f t="shared" si="28"/>
        <v>0.12272727272727278</v>
      </c>
      <c r="P619" s="1">
        <v>8</v>
      </c>
      <c r="Q619" s="24">
        <v>9.4899999999999949</v>
      </c>
      <c r="R619" s="24">
        <v>85.410000000000011</v>
      </c>
      <c r="S619" s="21">
        <f t="shared" si="29"/>
        <v>6.363636363636381E-2</v>
      </c>
    </row>
    <row r="620" spans="2:19" ht="11.4" customHeight="1" x14ac:dyDescent="0.2">
      <c r="B620" s="24"/>
      <c r="C620" s="4">
        <v>14437</v>
      </c>
      <c r="D620" s="18" t="s">
        <v>650</v>
      </c>
      <c r="E620" s="18" t="s">
        <v>554</v>
      </c>
      <c r="F620" s="17">
        <v>4</v>
      </c>
      <c r="G620" s="18" t="s">
        <v>23</v>
      </c>
      <c r="H620" s="17">
        <v>29.4</v>
      </c>
      <c r="I620" s="5">
        <v>35.799999999999997</v>
      </c>
      <c r="J620" s="21">
        <f t="shared" si="27"/>
        <v>0.21768707482993194</v>
      </c>
      <c r="K620" s="1">
        <v>2</v>
      </c>
      <c r="L620" s="24">
        <v>1.7</v>
      </c>
      <c r="M620" s="24">
        <v>34.01</v>
      </c>
      <c r="N620" s="21">
        <f t="shared" si="28"/>
        <v>0.15680272108843538</v>
      </c>
      <c r="P620" s="1">
        <v>8</v>
      </c>
      <c r="Q620" s="24">
        <v>3.5799999999999983</v>
      </c>
      <c r="R620" s="24">
        <v>32.22</v>
      </c>
      <c r="S620" s="21">
        <f t="shared" si="29"/>
        <v>9.5918367346938788E-2</v>
      </c>
    </row>
    <row r="621" spans="2:19" ht="11.4" customHeight="1" x14ac:dyDescent="0.2">
      <c r="B621" s="24"/>
      <c r="C621" s="4">
        <v>38060</v>
      </c>
      <c r="D621" s="18" t="s">
        <v>651</v>
      </c>
      <c r="E621" s="18" t="s">
        <v>554</v>
      </c>
      <c r="F621" s="17">
        <v>6</v>
      </c>
      <c r="G621" s="18" t="s">
        <v>23</v>
      </c>
      <c r="H621" s="17">
        <v>69.400000000000006</v>
      </c>
      <c r="I621" s="5">
        <v>92.8</v>
      </c>
      <c r="J621" s="21">
        <f t="shared" si="27"/>
        <v>0.33717579250720447</v>
      </c>
      <c r="K621" s="1">
        <v>2</v>
      </c>
      <c r="L621" s="24">
        <v>4.5999999999999996</v>
      </c>
      <c r="M621" s="24">
        <v>88.16</v>
      </c>
      <c r="N621" s="21">
        <f t="shared" si="28"/>
        <v>0.27031700288184424</v>
      </c>
      <c r="P621" s="1">
        <v>8</v>
      </c>
      <c r="Q621" s="24">
        <v>9.2800000000000011</v>
      </c>
      <c r="R621" s="24">
        <v>83.52</v>
      </c>
      <c r="S621" s="21">
        <f t="shared" si="29"/>
        <v>0.203458213256484</v>
      </c>
    </row>
    <row r="622" spans="2:19" ht="11.4" customHeight="1" x14ac:dyDescent="0.2">
      <c r="B622" s="24"/>
      <c r="C622" s="4">
        <v>38059</v>
      </c>
      <c r="D622" s="18" t="s">
        <v>652</v>
      </c>
      <c r="E622" s="18" t="s">
        <v>554</v>
      </c>
      <c r="F622" s="17">
        <v>4</v>
      </c>
      <c r="G622" s="18" t="s">
        <v>23</v>
      </c>
      <c r="H622" s="17">
        <v>31.3</v>
      </c>
      <c r="I622" s="5">
        <v>39</v>
      </c>
      <c r="J622" s="21">
        <f t="shared" si="27"/>
        <v>0.2460063897763578</v>
      </c>
      <c r="K622" s="1">
        <v>2</v>
      </c>
      <c r="L622" s="24">
        <v>1.9</v>
      </c>
      <c r="M622" s="24">
        <v>37.049999999999997</v>
      </c>
      <c r="N622" s="21">
        <f t="shared" si="28"/>
        <v>0.18370607028753982</v>
      </c>
      <c r="P622" s="1">
        <v>8</v>
      </c>
      <c r="Q622" s="24">
        <v>3.8999999999999986</v>
      </c>
      <c r="R622" s="24">
        <v>35.1</v>
      </c>
      <c r="S622" s="21">
        <f t="shared" si="29"/>
        <v>0.12140575079872207</v>
      </c>
    </row>
    <row r="623" spans="2:19" ht="11.4" customHeight="1" x14ac:dyDescent="0.2">
      <c r="B623" s="24"/>
      <c r="C623" s="4">
        <v>43833</v>
      </c>
      <c r="D623" s="18" t="s">
        <v>653</v>
      </c>
      <c r="E623" s="18" t="s">
        <v>554</v>
      </c>
      <c r="F623" s="17">
        <v>12</v>
      </c>
      <c r="G623" s="18" t="s">
        <v>23</v>
      </c>
      <c r="H623" s="17">
        <v>51.79</v>
      </c>
      <c r="I623" s="5">
        <v>64.7</v>
      </c>
      <c r="J623" s="21">
        <f t="shared" si="27"/>
        <v>0.24927592199266274</v>
      </c>
      <c r="K623" s="1">
        <v>2</v>
      </c>
      <c r="L623" s="24">
        <v>3.2</v>
      </c>
      <c r="M623" s="24">
        <v>61.464999999999996</v>
      </c>
      <c r="N623" s="21">
        <f t="shared" si="28"/>
        <v>0.18681212589302948</v>
      </c>
      <c r="P623" s="1">
        <v>8</v>
      </c>
      <c r="Q623" s="24">
        <v>6.4699999999999989</v>
      </c>
      <c r="R623" s="24">
        <v>58.230000000000004</v>
      </c>
      <c r="S623" s="21">
        <f t="shared" si="29"/>
        <v>0.12434832979339651</v>
      </c>
    </row>
    <row r="624" spans="2:19" ht="11.4" customHeight="1" x14ac:dyDescent="0.2">
      <c r="B624" s="24"/>
      <c r="C624" s="4">
        <v>43831</v>
      </c>
      <c r="D624" s="18" t="s">
        <v>654</v>
      </c>
      <c r="E624" s="18" t="s">
        <v>554</v>
      </c>
      <c r="F624" s="17">
        <v>20</v>
      </c>
      <c r="G624" s="18" t="s">
        <v>23</v>
      </c>
      <c r="H624" s="17">
        <v>31.78</v>
      </c>
      <c r="I624" s="5">
        <v>39.9</v>
      </c>
      <c r="J624" s="21">
        <f t="shared" si="27"/>
        <v>0.25550660792951535</v>
      </c>
      <c r="K624" s="1">
        <v>2</v>
      </c>
      <c r="L624" s="24">
        <v>1.9</v>
      </c>
      <c r="M624" s="24">
        <v>37.904999999999994</v>
      </c>
      <c r="N624" s="21">
        <f t="shared" si="28"/>
        <v>0.19273127753303942</v>
      </c>
      <c r="P624" s="1">
        <v>8</v>
      </c>
      <c r="Q624" s="24">
        <v>3.990000000000002</v>
      </c>
      <c r="R624" s="24">
        <v>35.909999999999997</v>
      </c>
      <c r="S624" s="21">
        <f t="shared" si="29"/>
        <v>0.12995594713656372</v>
      </c>
    </row>
    <row r="625" spans="2:19" ht="11.4" customHeight="1" x14ac:dyDescent="0.2">
      <c r="B625" s="24"/>
      <c r="C625" s="4">
        <v>40625</v>
      </c>
      <c r="D625" s="18" t="s">
        <v>655</v>
      </c>
      <c r="E625" s="18" t="s">
        <v>554</v>
      </c>
      <c r="F625" s="17">
        <v>24</v>
      </c>
      <c r="G625" s="18" t="s">
        <v>23</v>
      </c>
      <c r="H625" s="17">
        <v>34.200000000000003</v>
      </c>
      <c r="I625" s="5">
        <v>49.6</v>
      </c>
      <c r="J625" s="21">
        <f t="shared" si="27"/>
        <v>0.45029239766081863</v>
      </c>
      <c r="K625" s="1">
        <v>2</v>
      </c>
      <c r="L625" s="24">
        <v>2.4</v>
      </c>
      <c r="M625" s="24">
        <v>47.12</v>
      </c>
      <c r="N625" s="21">
        <f t="shared" si="28"/>
        <v>0.3777777777777776</v>
      </c>
      <c r="P625" s="1">
        <v>8</v>
      </c>
      <c r="Q625" s="24">
        <v>4.9600000000000009</v>
      </c>
      <c r="R625" s="24">
        <v>44.64</v>
      </c>
      <c r="S625" s="21">
        <f t="shared" si="29"/>
        <v>0.30526315789473674</v>
      </c>
    </row>
    <row r="626" spans="2:19" ht="11.4" customHeight="1" x14ac:dyDescent="0.2">
      <c r="B626" s="24"/>
      <c r="C626" s="4">
        <v>46342</v>
      </c>
      <c r="D626" s="18" t="s">
        <v>656</v>
      </c>
      <c r="E626" s="18" t="s">
        <v>554</v>
      </c>
      <c r="F626" s="17">
        <v>24</v>
      </c>
      <c r="G626" s="18" t="s">
        <v>23</v>
      </c>
      <c r="H626" s="17">
        <v>81.96</v>
      </c>
      <c r="I626" s="5">
        <v>106.5</v>
      </c>
      <c r="J626" s="21">
        <f t="shared" si="27"/>
        <v>0.29941434846266479</v>
      </c>
      <c r="K626" s="1">
        <v>2</v>
      </c>
      <c r="L626" s="24">
        <v>5.3</v>
      </c>
      <c r="M626" s="24">
        <v>101.175</v>
      </c>
      <c r="N626" s="21">
        <f t="shared" si="28"/>
        <v>0.23444363103953153</v>
      </c>
      <c r="P626" s="1">
        <v>8</v>
      </c>
      <c r="Q626" s="24">
        <v>10.649999999999991</v>
      </c>
      <c r="R626" s="24">
        <v>95.850000000000009</v>
      </c>
      <c r="S626" s="21">
        <f t="shared" si="29"/>
        <v>0.16947291361639844</v>
      </c>
    </row>
    <row r="627" spans="2:19" ht="11.4" customHeight="1" x14ac:dyDescent="0.2">
      <c r="B627" s="24"/>
      <c r="C627" s="4">
        <v>40623</v>
      </c>
      <c r="D627" s="18" t="s">
        <v>657</v>
      </c>
      <c r="E627" s="18" t="s">
        <v>554</v>
      </c>
      <c r="F627" s="17">
        <v>24</v>
      </c>
      <c r="G627" s="18" t="s">
        <v>23</v>
      </c>
      <c r="H627" s="17">
        <v>33</v>
      </c>
      <c r="I627" s="5">
        <v>45.6</v>
      </c>
      <c r="J627" s="21">
        <f t="shared" si="27"/>
        <v>0.38181818181818183</v>
      </c>
      <c r="K627" s="1">
        <v>2</v>
      </c>
      <c r="L627" s="24">
        <v>2.2000000000000002</v>
      </c>
      <c r="M627" s="24">
        <v>43.32</v>
      </c>
      <c r="N627" s="21">
        <f t="shared" si="28"/>
        <v>0.31272727272727274</v>
      </c>
      <c r="P627" s="1">
        <v>8</v>
      </c>
      <c r="Q627" s="24">
        <v>4.5600000000000023</v>
      </c>
      <c r="R627" s="24">
        <v>41.04</v>
      </c>
      <c r="S627" s="21">
        <f t="shared" si="29"/>
        <v>0.24363636363636362</v>
      </c>
    </row>
    <row r="628" spans="2:19" ht="11.4" customHeight="1" x14ac:dyDescent="0.2">
      <c r="B628" s="24"/>
      <c r="C628" s="4">
        <v>4953</v>
      </c>
      <c r="D628" s="18" t="s">
        <v>658</v>
      </c>
      <c r="E628" s="18" t="s">
        <v>554</v>
      </c>
      <c r="F628" s="17">
        <v>12</v>
      </c>
      <c r="G628" s="18" t="s">
        <v>23</v>
      </c>
      <c r="H628" s="17">
        <v>37.4</v>
      </c>
      <c r="I628" s="5">
        <v>45.9</v>
      </c>
      <c r="J628" s="21">
        <f t="shared" si="27"/>
        <v>0.22727272727272729</v>
      </c>
      <c r="K628" s="1">
        <v>2</v>
      </c>
      <c r="L628" s="24">
        <v>2.2000000000000002</v>
      </c>
      <c r="M628" s="24">
        <v>43.604999999999997</v>
      </c>
      <c r="N628" s="21">
        <f t="shared" si="28"/>
        <v>0.16590909090909087</v>
      </c>
      <c r="P628" s="1">
        <v>8</v>
      </c>
      <c r="Q628" s="24">
        <v>4.5899999999999963</v>
      </c>
      <c r="R628" s="24">
        <v>41.31</v>
      </c>
      <c r="S628" s="21">
        <f t="shared" si="29"/>
        <v>0.10454545454545465</v>
      </c>
    </row>
    <row r="629" spans="2:19" ht="11.4" customHeight="1" x14ac:dyDescent="0.2">
      <c r="B629" s="24"/>
      <c r="C629" s="4">
        <v>24513</v>
      </c>
      <c r="D629" s="18" t="s">
        <v>659</v>
      </c>
      <c r="E629" s="18" t="s">
        <v>554</v>
      </c>
      <c r="F629" s="17">
        <v>30</v>
      </c>
      <c r="G629" s="18" t="s">
        <v>23</v>
      </c>
      <c r="H629" s="17">
        <v>78</v>
      </c>
      <c r="I629" s="5">
        <v>81</v>
      </c>
      <c r="J629" s="21">
        <f t="shared" si="27"/>
        <v>3.8461538461538464E-2</v>
      </c>
      <c r="K629" s="1">
        <v>2</v>
      </c>
      <c r="L629" s="24">
        <v>4</v>
      </c>
      <c r="M629" s="24">
        <v>76.95</v>
      </c>
      <c r="N629" s="21">
        <f t="shared" si="28"/>
        <v>-1.3461538461538426E-2</v>
      </c>
      <c r="P629" s="1">
        <v>8</v>
      </c>
      <c r="Q629" s="24">
        <v>8.0999999999999943</v>
      </c>
      <c r="R629" s="24">
        <v>72.900000000000006</v>
      </c>
      <c r="S629" s="21">
        <f t="shared" si="29"/>
        <v>-6.5384615384615305E-2</v>
      </c>
    </row>
    <row r="630" spans="2:19" ht="11.4" customHeight="1" x14ac:dyDescent="0.2">
      <c r="B630" s="24"/>
      <c r="C630" s="4">
        <v>33819</v>
      </c>
      <c r="D630" s="18" t="s">
        <v>660</v>
      </c>
      <c r="E630" s="18" t="s">
        <v>554</v>
      </c>
      <c r="F630" s="17">
        <v>10</v>
      </c>
      <c r="G630" s="18" t="s">
        <v>23</v>
      </c>
      <c r="H630" s="17">
        <v>41.2</v>
      </c>
      <c r="I630" s="5">
        <v>43.9</v>
      </c>
      <c r="J630" s="21">
        <f t="shared" si="27"/>
        <v>6.5533980582524159E-2</v>
      </c>
      <c r="K630" s="1">
        <v>2</v>
      </c>
      <c r="L630" s="24">
        <v>2.1</v>
      </c>
      <c r="M630" s="24">
        <v>41.704999999999998</v>
      </c>
      <c r="N630" s="21">
        <f t="shared" si="28"/>
        <v>1.2257281553397947E-2</v>
      </c>
      <c r="P630" s="1">
        <v>8</v>
      </c>
      <c r="Q630" s="24">
        <v>4.3900000000000006</v>
      </c>
      <c r="R630" s="24">
        <v>39.51</v>
      </c>
      <c r="S630" s="21">
        <f t="shared" si="29"/>
        <v>-4.1019417475728272E-2</v>
      </c>
    </row>
    <row r="631" spans="2:19" ht="11.4" customHeight="1" x14ac:dyDescent="0.2">
      <c r="B631" s="24"/>
      <c r="C631" s="4">
        <v>45253</v>
      </c>
      <c r="D631" s="18" t="s">
        <v>661</v>
      </c>
      <c r="E631" s="18" t="s">
        <v>554</v>
      </c>
      <c r="F631" s="17">
        <v>24</v>
      </c>
      <c r="G631" s="18" t="s">
        <v>23</v>
      </c>
      <c r="H631" s="17">
        <v>26.14</v>
      </c>
      <c r="I631" s="5">
        <v>31.2</v>
      </c>
      <c r="J631" s="21">
        <f t="shared" si="27"/>
        <v>0.19357306809487371</v>
      </c>
      <c r="K631" s="1">
        <v>2</v>
      </c>
      <c r="L631" s="24">
        <v>1.5</v>
      </c>
      <c r="M631" s="24">
        <v>29.639999999999997</v>
      </c>
      <c r="N631" s="21">
        <f t="shared" si="28"/>
        <v>0.13389441469012994</v>
      </c>
      <c r="P631" s="1">
        <v>8</v>
      </c>
      <c r="Q631" s="24">
        <v>3.120000000000001</v>
      </c>
      <c r="R631" s="24">
        <v>28.08</v>
      </c>
      <c r="S631" s="21">
        <f t="shared" si="29"/>
        <v>7.4215761285386289E-2</v>
      </c>
    </row>
    <row r="632" spans="2:19" ht="11.4" customHeight="1" x14ac:dyDescent="0.2">
      <c r="B632" s="24"/>
      <c r="C632" s="4">
        <v>45748</v>
      </c>
      <c r="D632" s="18" t="s">
        <v>662</v>
      </c>
      <c r="E632" s="18" t="s">
        <v>554</v>
      </c>
      <c r="F632" s="17">
        <v>24</v>
      </c>
      <c r="G632" s="18" t="s">
        <v>23</v>
      </c>
      <c r="H632" s="17">
        <v>20.68</v>
      </c>
      <c r="I632" s="5">
        <v>34.9</v>
      </c>
      <c r="J632" s="21">
        <f t="shared" si="27"/>
        <v>0.68762088974854929</v>
      </c>
      <c r="K632" s="1">
        <v>2</v>
      </c>
      <c r="L632" s="24">
        <v>1.7</v>
      </c>
      <c r="M632" s="24">
        <v>33.154999999999994</v>
      </c>
      <c r="N632" s="21">
        <f t="shared" si="28"/>
        <v>0.60323984526112162</v>
      </c>
      <c r="P632" s="1">
        <v>8</v>
      </c>
      <c r="Q632" s="24">
        <v>3.4899999999999984</v>
      </c>
      <c r="R632" s="24">
        <v>31.41</v>
      </c>
      <c r="S632" s="21">
        <f t="shared" si="29"/>
        <v>0.5188588007736944</v>
      </c>
    </row>
    <row r="633" spans="2:19" ht="11.4" customHeight="1" x14ac:dyDescent="0.2">
      <c r="B633" s="24"/>
      <c r="C633" s="4">
        <v>33226</v>
      </c>
      <c r="D633" s="18" t="s">
        <v>663</v>
      </c>
      <c r="E633" s="18" t="s">
        <v>554</v>
      </c>
      <c r="F633" s="17">
        <v>12</v>
      </c>
      <c r="G633" s="18" t="s">
        <v>23</v>
      </c>
      <c r="H633" s="17">
        <v>65.400000000000006</v>
      </c>
      <c r="I633" s="5">
        <v>73.2</v>
      </c>
      <c r="J633" s="21">
        <f t="shared" si="27"/>
        <v>0.11926605504587151</v>
      </c>
      <c r="K633" s="1">
        <v>2</v>
      </c>
      <c r="L633" s="24">
        <v>3.6</v>
      </c>
      <c r="M633" s="24">
        <v>69.540000000000006</v>
      </c>
      <c r="N633" s="21">
        <f t="shared" si="28"/>
        <v>6.3302752293577985E-2</v>
      </c>
      <c r="P633" s="1">
        <v>8</v>
      </c>
      <c r="Q633" s="24">
        <v>7.3199999999999932</v>
      </c>
      <c r="R633" s="24">
        <v>65.88000000000001</v>
      </c>
      <c r="S633" s="21">
        <f t="shared" si="29"/>
        <v>7.3394495412844639E-3</v>
      </c>
    </row>
    <row r="634" spans="2:19" ht="11.4" customHeight="1" x14ac:dyDescent="0.2">
      <c r="B634" s="24"/>
      <c r="C634" s="4">
        <v>10911</v>
      </c>
      <c r="D634" s="18" t="s">
        <v>664</v>
      </c>
      <c r="E634" s="18" t="s">
        <v>554</v>
      </c>
      <c r="F634" s="17">
        <v>12</v>
      </c>
      <c r="G634" s="18" t="s">
        <v>23</v>
      </c>
      <c r="H634" s="17">
        <v>28.5</v>
      </c>
      <c r="I634" s="5">
        <v>34.6</v>
      </c>
      <c r="J634" s="21">
        <f t="shared" si="27"/>
        <v>0.2140350877192983</v>
      </c>
      <c r="K634" s="1">
        <v>2</v>
      </c>
      <c r="L634" s="24">
        <v>1.7</v>
      </c>
      <c r="M634" s="24">
        <v>32.869999999999997</v>
      </c>
      <c r="N634" s="21">
        <f t="shared" si="28"/>
        <v>0.15333333333333324</v>
      </c>
      <c r="P634" s="1">
        <v>8</v>
      </c>
      <c r="Q634" s="24">
        <v>3.4600000000000009</v>
      </c>
      <c r="R634" s="24">
        <v>31.14</v>
      </c>
      <c r="S634" s="21">
        <f t="shared" si="29"/>
        <v>9.263157894736844E-2</v>
      </c>
    </row>
    <row r="635" spans="2:19" ht="11.4" customHeight="1" x14ac:dyDescent="0.2">
      <c r="B635" s="24"/>
      <c r="C635" s="4">
        <v>7537</v>
      </c>
      <c r="D635" s="18" t="s">
        <v>665</v>
      </c>
      <c r="E635" s="18" t="s">
        <v>554</v>
      </c>
      <c r="F635" s="17">
        <v>3</v>
      </c>
      <c r="G635" s="18" t="s">
        <v>23</v>
      </c>
      <c r="H635" s="17">
        <v>53.3</v>
      </c>
      <c r="I635" s="5">
        <v>54.9</v>
      </c>
      <c r="J635" s="21">
        <f t="shared" si="27"/>
        <v>3.0018761726078827E-2</v>
      </c>
      <c r="K635" s="1">
        <v>2</v>
      </c>
      <c r="L635" s="24">
        <v>2.7</v>
      </c>
      <c r="M635" s="24">
        <v>52.154999999999994</v>
      </c>
      <c r="N635" s="21">
        <f t="shared" si="28"/>
        <v>-2.1482176360225199E-2</v>
      </c>
      <c r="P635" s="1">
        <v>8</v>
      </c>
      <c r="Q635" s="24">
        <v>5.490000000000002</v>
      </c>
      <c r="R635" s="24">
        <v>49.41</v>
      </c>
      <c r="S635" s="21">
        <f t="shared" si="29"/>
        <v>-7.2983114446529093E-2</v>
      </c>
    </row>
    <row r="636" spans="2:19" ht="11.4" customHeight="1" x14ac:dyDescent="0.2">
      <c r="B636" s="24"/>
      <c r="C636" s="4">
        <v>9408</v>
      </c>
      <c r="D636" s="18" t="s">
        <v>666</v>
      </c>
      <c r="E636" s="18" t="s">
        <v>554</v>
      </c>
      <c r="F636" s="17">
        <v>3</v>
      </c>
      <c r="G636" s="18" t="s">
        <v>23</v>
      </c>
      <c r="H636" s="17">
        <v>30.3</v>
      </c>
      <c r="I636" s="5">
        <v>35.200000000000003</v>
      </c>
      <c r="J636" s="21">
        <f t="shared" si="27"/>
        <v>0.16171617161716179</v>
      </c>
      <c r="K636" s="1">
        <v>2</v>
      </c>
      <c r="L636" s="24">
        <v>1.7</v>
      </c>
      <c r="M636" s="24">
        <v>33.44</v>
      </c>
      <c r="N636" s="21">
        <f t="shared" si="28"/>
        <v>0.10363036303630353</v>
      </c>
      <c r="P636" s="1">
        <v>8</v>
      </c>
      <c r="Q636" s="24">
        <v>3.5199999999999996</v>
      </c>
      <c r="R636" s="24">
        <v>31.680000000000003</v>
      </c>
      <c r="S636" s="21">
        <f t="shared" si="29"/>
        <v>4.5544554455445627E-2</v>
      </c>
    </row>
    <row r="637" spans="2:19" ht="11.4" customHeight="1" x14ac:dyDescent="0.2">
      <c r="B637" s="24"/>
      <c r="C637" s="4">
        <v>23456</v>
      </c>
      <c r="D637" s="18" t="s">
        <v>667</v>
      </c>
      <c r="E637" s="18" t="s">
        <v>554</v>
      </c>
      <c r="F637" s="17">
        <v>10</v>
      </c>
      <c r="G637" s="18" t="s">
        <v>23</v>
      </c>
      <c r="H637" s="17">
        <v>66.5</v>
      </c>
      <c r="I637" s="5">
        <v>71.5</v>
      </c>
      <c r="J637" s="21">
        <f t="shared" si="27"/>
        <v>7.5187969924812026E-2</v>
      </c>
      <c r="K637" s="1">
        <v>2</v>
      </c>
      <c r="L637" s="24">
        <v>3.5</v>
      </c>
      <c r="M637" s="24">
        <v>67.924999999999997</v>
      </c>
      <c r="N637" s="21">
        <f t="shared" si="28"/>
        <v>2.1428571428571387E-2</v>
      </c>
      <c r="P637" s="1">
        <v>8</v>
      </c>
      <c r="Q637" s="24">
        <v>7.1499999999999915</v>
      </c>
      <c r="R637" s="24">
        <v>64.350000000000009</v>
      </c>
      <c r="S637" s="21">
        <f t="shared" si="29"/>
        <v>-3.2330827067669043E-2</v>
      </c>
    </row>
    <row r="638" spans="2:19" ht="11.4" customHeight="1" x14ac:dyDescent="0.2">
      <c r="B638" s="24"/>
      <c r="C638" s="4">
        <v>41150</v>
      </c>
      <c r="D638" s="18" t="s">
        <v>668</v>
      </c>
      <c r="E638" s="18" t="s">
        <v>554</v>
      </c>
      <c r="F638" s="17">
        <v>2</v>
      </c>
      <c r="G638" s="18" t="s">
        <v>23</v>
      </c>
      <c r="H638" s="17">
        <v>530.22</v>
      </c>
      <c r="I638" s="5">
        <v>768</v>
      </c>
      <c r="J638" s="21">
        <f t="shared" si="27"/>
        <v>0.44845535815321935</v>
      </c>
      <c r="K638" s="1">
        <v>2</v>
      </c>
      <c r="L638" s="24">
        <v>38.4</v>
      </c>
      <c r="M638" s="24">
        <v>729.59999999999991</v>
      </c>
      <c r="N638" s="21">
        <f t="shared" si="28"/>
        <v>0.37603259024555818</v>
      </c>
      <c r="P638" s="1">
        <v>8</v>
      </c>
      <c r="Q638" s="24">
        <v>76.799999999999955</v>
      </c>
      <c r="R638" s="24">
        <v>691.2</v>
      </c>
      <c r="S638" s="21">
        <f t="shared" si="29"/>
        <v>0.30360982233789752</v>
      </c>
    </row>
    <row r="639" spans="2:19" ht="11.4" customHeight="1" x14ac:dyDescent="0.2">
      <c r="B639" s="24"/>
      <c r="C639" s="4">
        <v>40633</v>
      </c>
      <c r="D639" s="18" t="s">
        <v>669</v>
      </c>
      <c r="E639" s="18" t="s">
        <v>554</v>
      </c>
      <c r="F639" s="17">
        <v>20</v>
      </c>
      <c r="G639" s="18" t="s">
        <v>23</v>
      </c>
      <c r="H639" s="17">
        <v>55.44</v>
      </c>
      <c r="I639" s="5">
        <v>79.900000000000006</v>
      </c>
      <c r="J639" s="21">
        <f t="shared" si="27"/>
        <v>0.44119769119769137</v>
      </c>
      <c r="K639" s="1">
        <v>2</v>
      </c>
      <c r="L639" s="24">
        <v>3.9</v>
      </c>
      <c r="M639" s="24">
        <v>75.905000000000001</v>
      </c>
      <c r="N639" s="21">
        <f t="shared" si="28"/>
        <v>0.36913780663780671</v>
      </c>
      <c r="P639" s="1">
        <v>8</v>
      </c>
      <c r="Q639" s="24">
        <v>7.9899999999999949</v>
      </c>
      <c r="R639" s="24">
        <v>71.910000000000011</v>
      </c>
      <c r="S639" s="21">
        <f t="shared" si="29"/>
        <v>0.29707792207792233</v>
      </c>
    </row>
    <row r="640" spans="2:19" ht="11.4" customHeight="1" x14ac:dyDescent="0.2">
      <c r="B640" s="24"/>
      <c r="C640" s="4">
        <v>14661</v>
      </c>
      <c r="D640" s="18" t="s">
        <v>670</v>
      </c>
      <c r="E640" s="18" t="s">
        <v>554</v>
      </c>
      <c r="F640" s="17">
        <v>6</v>
      </c>
      <c r="G640" s="18" t="s">
        <v>23</v>
      </c>
      <c r="H640" s="17">
        <v>33.6</v>
      </c>
      <c r="I640" s="5">
        <v>42.4</v>
      </c>
      <c r="J640" s="21">
        <f t="shared" si="27"/>
        <v>0.26190476190476181</v>
      </c>
      <c r="K640" s="1">
        <v>2</v>
      </c>
      <c r="L640" s="24">
        <v>2.1</v>
      </c>
      <c r="M640" s="24">
        <v>40.279999999999994</v>
      </c>
      <c r="N640" s="21">
        <f t="shared" si="28"/>
        <v>0.19880952380952358</v>
      </c>
      <c r="P640" s="1">
        <v>8</v>
      </c>
      <c r="Q640" s="24">
        <v>4.240000000000002</v>
      </c>
      <c r="R640" s="24">
        <v>38.159999999999997</v>
      </c>
      <c r="S640" s="21">
        <f t="shared" si="29"/>
        <v>0.13571428571428557</v>
      </c>
    </row>
    <row r="641" spans="2:19" ht="11.4" customHeight="1" x14ac:dyDescent="0.2">
      <c r="B641" s="24"/>
      <c r="C641" s="4">
        <v>14659</v>
      </c>
      <c r="D641" s="18" t="s">
        <v>671</v>
      </c>
      <c r="E641" s="18" t="s">
        <v>554</v>
      </c>
      <c r="F641" s="17">
        <v>5</v>
      </c>
      <c r="G641" s="18" t="s">
        <v>23</v>
      </c>
      <c r="H641" s="17">
        <v>39</v>
      </c>
      <c r="I641" s="5">
        <v>43.5</v>
      </c>
      <c r="J641" s="21">
        <f t="shared" si="27"/>
        <v>0.11538461538461539</v>
      </c>
      <c r="K641" s="1">
        <v>2</v>
      </c>
      <c r="L641" s="24">
        <v>2.1</v>
      </c>
      <c r="M641" s="24">
        <v>41.324999999999996</v>
      </c>
      <c r="N641" s="21">
        <f t="shared" si="28"/>
        <v>5.9615384615384508E-2</v>
      </c>
      <c r="P641" s="1">
        <v>8</v>
      </c>
      <c r="Q641" s="24">
        <v>4.3500000000000014</v>
      </c>
      <c r="R641" s="24">
        <v>39.15</v>
      </c>
      <c r="S641" s="21">
        <f t="shared" si="29"/>
        <v>3.8461538461538095E-3</v>
      </c>
    </row>
    <row r="642" spans="2:19" ht="11.4" customHeight="1" x14ac:dyDescent="0.2">
      <c r="B642" s="24"/>
      <c r="C642" s="4">
        <v>43838</v>
      </c>
      <c r="D642" s="18" t="s">
        <v>672</v>
      </c>
      <c r="E642" s="18" t="s">
        <v>554</v>
      </c>
      <c r="F642" s="17">
        <v>20</v>
      </c>
      <c r="G642" s="18" t="s">
        <v>23</v>
      </c>
      <c r="H642" s="17">
        <v>35.11</v>
      </c>
      <c r="I642" s="5">
        <v>43.9</v>
      </c>
      <c r="J642" s="21">
        <f t="shared" si="27"/>
        <v>0.25035602392480771</v>
      </c>
      <c r="K642" s="1">
        <v>2</v>
      </c>
      <c r="L642" s="24">
        <v>2.1</v>
      </c>
      <c r="M642" s="24">
        <v>41.704999999999998</v>
      </c>
      <c r="N642" s="21">
        <f t="shared" si="28"/>
        <v>0.18783822272856732</v>
      </c>
      <c r="P642" s="1">
        <v>8</v>
      </c>
      <c r="Q642" s="24">
        <v>4.3900000000000006</v>
      </c>
      <c r="R642" s="24">
        <v>39.51</v>
      </c>
      <c r="S642" s="21">
        <f t="shared" si="29"/>
        <v>0.12532042153232695</v>
      </c>
    </row>
    <row r="643" spans="2:19" ht="11.4" customHeight="1" x14ac:dyDescent="0.2">
      <c r="B643" s="24"/>
      <c r="C643" s="4">
        <v>31817</v>
      </c>
      <c r="D643" s="18" t="s">
        <v>673</v>
      </c>
      <c r="E643" s="18" t="s">
        <v>554</v>
      </c>
      <c r="F643" s="17">
        <v>4</v>
      </c>
      <c r="G643" s="18" t="s">
        <v>23</v>
      </c>
      <c r="H643" s="17">
        <v>33.6</v>
      </c>
      <c r="I643" s="5">
        <v>39.799999999999997</v>
      </c>
      <c r="J643" s="21">
        <f t="shared" ref="J643:J706" si="30">(I643-H643)/H643</f>
        <v>0.1845238095238094</v>
      </c>
      <c r="K643" s="1">
        <v>2</v>
      </c>
      <c r="L643" s="24">
        <v>1.9</v>
      </c>
      <c r="M643" s="24">
        <v>37.809999999999995</v>
      </c>
      <c r="N643" s="21">
        <f t="shared" ref="N643:N706" si="31">(M643-H643)/H643</f>
        <v>0.12529761904761885</v>
      </c>
      <c r="P643" s="1">
        <v>8</v>
      </c>
      <c r="Q643" s="24">
        <v>3.9799999999999969</v>
      </c>
      <c r="R643" s="24">
        <v>35.82</v>
      </c>
      <c r="S643" s="21">
        <f t="shared" ref="S643:S706" si="32">(R643-H643)/H643</f>
        <v>6.6071428571428531E-2</v>
      </c>
    </row>
    <row r="644" spans="2:19" ht="11.4" customHeight="1" x14ac:dyDescent="0.2">
      <c r="B644" s="24"/>
      <c r="C644" s="4">
        <v>35548</v>
      </c>
      <c r="D644" s="18" t="s">
        <v>674</v>
      </c>
      <c r="E644" s="18" t="s">
        <v>554</v>
      </c>
      <c r="F644" s="17">
        <v>12</v>
      </c>
      <c r="G644" s="18" t="s">
        <v>23</v>
      </c>
      <c r="H644" s="17">
        <v>28.9</v>
      </c>
      <c r="I644" s="5">
        <v>33.9</v>
      </c>
      <c r="J644" s="21">
        <f t="shared" si="30"/>
        <v>0.17301038062283738</v>
      </c>
      <c r="K644" s="1">
        <v>2</v>
      </c>
      <c r="L644" s="24">
        <v>1.6</v>
      </c>
      <c r="M644" s="24">
        <v>32.204999999999998</v>
      </c>
      <c r="N644" s="21">
        <f t="shared" si="31"/>
        <v>0.11435986159169549</v>
      </c>
      <c r="P644" s="1">
        <v>8</v>
      </c>
      <c r="Q644" s="24">
        <v>3.3900000000000006</v>
      </c>
      <c r="R644" s="24">
        <v>30.509999999999998</v>
      </c>
      <c r="S644" s="21">
        <f t="shared" si="32"/>
        <v>5.5709342560553619E-2</v>
      </c>
    </row>
    <row r="645" spans="2:19" ht="11.4" customHeight="1" x14ac:dyDescent="0.2">
      <c r="B645" s="24"/>
      <c r="C645" s="4">
        <v>35549</v>
      </c>
      <c r="D645" s="18" t="s">
        <v>675</v>
      </c>
      <c r="E645" s="18" t="s">
        <v>554</v>
      </c>
      <c r="F645" s="17">
        <v>12</v>
      </c>
      <c r="G645" s="18" t="s">
        <v>23</v>
      </c>
      <c r="H645" s="17">
        <v>44.8</v>
      </c>
      <c r="I645" s="5">
        <v>46.3</v>
      </c>
      <c r="J645" s="21">
        <f t="shared" si="30"/>
        <v>3.3482142857142856E-2</v>
      </c>
      <c r="K645" s="1">
        <v>2</v>
      </c>
      <c r="L645" s="24">
        <v>2.2999999999999998</v>
      </c>
      <c r="M645" s="24">
        <v>43.984999999999992</v>
      </c>
      <c r="N645" s="21">
        <f t="shared" si="31"/>
        <v>-1.8191964285714395E-2</v>
      </c>
      <c r="P645" s="1">
        <v>8</v>
      </c>
      <c r="Q645" s="24">
        <v>4.6299999999999955</v>
      </c>
      <c r="R645" s="24">
        <v>41.67</v>
      </c>
      <c r="S645" s="21">
        <f t="shared" si="32"/>
        <v>-6.9866071428571333E-2</v>
      </c>
    </row>
    <row r="646" spans="2:19" ht="11.4" customHeight="1" x14ac:dyDescent="0.2">
      <c r="B646" s="24"/>
      <c r="C646" s="4">
        <v>37593</v>
      </c>
      <c r="D646" s="18" t="s">
        <v>676</v>
      </c>
      <c r="E646" s="18" t="s">
        <v>554</v>
      </c>
      <c r="F646" s="17">
        <v>12</v>
      </c>
      <c r="G646" s="18" t="s">
        <v>23</v>
      </c>
      <c r="H646" s="17">
        <v>77.3</v>
      </c>
      <c r="I646" s="5">
        <v>84.9</v>
      </c>
      <c r="J646" s="21">
        <f t="shared" si="30"/>
        <v>9.8318240620957426E-2</v>
      </c>
      <c r="K646" s="1">
        <v>2</v>
      </c>
      <c r="L646" s="24">
        <v>4.2</v>
      </c>
      <c r="M646" s="24">
        <v>80.655000000000001</v>
      </c>
      <c r="N646" s="21">
        <f t="shared" si="31"/>
        <v>4.34023285899095E-2</v>
      </c>
      <c r="P646" s="1">
        <v>8</v>
      </c>
      <c r="Q646" s="24">
        <v>8.4899999999999949</v>
      </c>
      <c r="R646" s="24">
        <v>76.410000000000011</v>
      </c>
      <c r="S646" s="21">
        <f t="shared" si="32"/>
        <v>-1.1513583441138245E-2</v>
      </c>
    </row>
    <row r="647" spans="2:19" ht="11.4" customHeight="1" x14ac:dyDescent="0.2">
      <c r="B647" s="24"/>
      <c r="C647" s="4">
        <v>35188</v>
      </c>
      <c r="D647" s="18" t="s">
        <v>677</v>
      </c>
      <c r="E647" s="18" t="s">
        <v>554</v>
      </c>
      <c r="F647" s="17">
        <v>12</v>
      </c>
      <c r="G647" s="18" t="s">
        <v>23</v>
      </c>
      <c r="H647" s="17">
        <v>33.5</v>
      </c>
      <c r="I647" s="5">
        <v>37.799999999999997</v>
      </c>
      <c r="J647" s="21">
        <f t="shared" si="30"/>
        <v>0.12835820895522379</v>
      </c>
      <c r="K647" s="1">
        <v>2</v>
      </c>
      <c r="L647" s="24">
        <v>1.8</v>
      </c>
      <c r="M647" s="24">
        <v>35.909999999999997</v>
      </c>
      <c r="N647" s="21">
        <f t="shared" si="31"/>
        <v>7.1940298507462586E-2</v>
      </c>
      <c r="P647" s="1">
        <v>8</v>
      </c>
      <c r="Q647" s="24">
        <v>3.7800000000000011</v>
      </c>
      <c r="R647" s="24">
        <v>34.019999999999996</v>
      </c>
      <c r="S647" s="21">
        <f t="shared" si="32"/>
        <v>1.5522388059701374E-2</v>
      </c>
    </row>
    <row r="648" spans="2:19" ht="11.4" customHeight="1" x14ac:dyDescent="0.2">
      <c r="B648" s="24"/>
      <c r="C648" s="4">
        <v>33152</v>
      </c>
      <c r="D648" s="18" t="s">
        <v>678</v>
      </c>
      <c r="E648" s="18" t="s">
        <v>554</v>
      </c>
      <c r="F648" s="17">
        <v>12</v>
      </c>
      <c r="G648" s="18" t="s">
        <v>23</v>
      </c>
      <c r="H648" s="17">
        <v>27.8</v>
      </c>
      <c r="I648" s="5">
        <v>32.9</v>
      </c>
      <c r="J648" s="21">
        <f t="shared" si="30"/>
        <v>0.18345323741007186</v>
      </c>
      <c r="K648" s="1">
        <v>2</v>
      </c>
      <c r="L648" s="24">
        <v>1.6</v>
      </c>
      <c r="M648" s="24">
        <v>31.254999999999995</v>
      </c>
      <c r="N648" s="21">
        <f t="shared" si="31"/>
        <v>0.12428057553956816</v>
      </c>
      <c r="P648" s="1">
        <v>8</v>
      </c>
      <c r="Q648" s="24">
        <v>3.2899999999999991</v>
      </c>
      <c r="R648" s="24">
        <v>29.61</v>
      </c>
      <c r="S648" s="21">
        <f t="shared" si="32"/>
        <v>6.5107913669064696E-2</v>
      </c>
    </row>
    <row r="649" spans="2:19" ht="11.4" customHeight="1" x14ac:dyDescent="0.2">
      <c r="B649" s="24"/>
      <c r="C649" s="4">
        <v>33151</v>
      </c>
      <c r="D649" s="18" t="s">
        <v>679</v>
      </c>
      <c r="E649" s="18" t="s">
        <v>554</v>
      </c>
      <c r="F649" s="17">
        <v>6</v>
      </c>
      <c r="G649" s="18" t="s">
        <v>23</v>
      </c>
      <c r="H649" s="17">
        <v>57.8</v>
      </c>
      <c r="I649" s="5">
        <v>72.7</v>
      </c>
      <c r="J649" s="21">
        <f t="shared" si="30"/>
        <v>0.2577854671280278</v>
      </c>
      <c r="K649" s="1">
        <v>2</v>
      </c>
      <c r="L649" s="24">
        <v>3.6</v>
      </c>
      <c r="M649" s="24">
        <v>69.064999999999998</v>
      </c>
      <c r="N649" s="21">
        <f t="shared" si="31"/>
        <v>0.19489619377162631</v>
      </c>
      <c r="P649" s="1">
        <v>8</v>
      </c>
      <c r="Q649" s="24">
        <v>7.269999999999996</v>
      </c>
      <c r="R649" s="24">
        <v>65.430000000000007</v>
      </c>
      <c r="S649" s="21">
        <f t="shared" si="32"/>
        <v>0.13200692041522508</v>
      </c>
    </row>
    <row r="650" spans="2:19" ht="11.4" customHeight="1" x14ac:dyDescent="0.2">
      <c r="B650" s="24"/>
      <c r="C650" s="4">
        <v>33811</v>
      </c>
      <c r="D650" s="18" t="s">
        <v>680</v>
      </c>
      <c r="E650" s="18" t="s">
        <v>554</v>
      </c>
      <c r="F650" s="17">
        <v>12</v>
      </c>
      <c r="G650" s="18" t="s">
        <v>23</v>
      </c>
      <c r="H650" s="17">
        <v>28.42</v>
      </c>
      <c r="I650" s="5">
        <v>32.9</v>
      </c>
      <c r="J650" s="21">
        <f t="shared" si="30"/>
        <v>0.15763546798029546</v>
      </c>
      <c r="K650" s="1">
        <v>2</v>
      </c>
      <c r="L650" s="24">
        <v>1.6</v>
      </c>
      <c r="M650" s="24">
        <v>31.254999999999995</v>
      </c>
      <c r="N650" s="21">
        <f t="shared" si="31"/>
        <v>9.9753694581280555E-2</v>
      </c>
      <c r="P650" s="1">
        <v>8</v>
      </c>
      <c r="Q650" s="24">
        <v>3.2899999999999991</v>
      </c>
      <c r="R650" s="24">
        <v>29.61</v>
      </c>
      <c r="S650" s="21">
        <f t="shared" si="32"/>
        <v>4.1871921182265924E-2</v>
      </c>
    </row>
    <row r="651" spans="2:19" ht="11.4" customHeight="1" x14ac:dyDescent="0.2">
      <c r="B651" s="24"/>
      <c r="C651" s="4">
        <v>33536</v>
      </c>
      <c r="D651" s="18" t="s">
        <v>681</v>
      </c>
      <c r="E651" s="18" t="s">
        <v>554</v>
      </c>
      <c r="F651" s="17">
        <v>12</v>
      </c>
      <c r="G651" s="18" t="s">
        <v>23</v>
      </c>
      <c r="H651" s="17">
        <v>55</v>
      </c>
      <c r="I651" s="5">
        <v>57</v>
      </c>
      <c r="J651" s="21">
        <f t="shared" si="30"/>
        <v>3.6363636363636362E-2</v>
      </c>
      <c r="K651" s="1">
        <v>2</v>
      </c>
      <c r="L651" s="24">
        <v>2.8</v>
      </c>
      <c r="M651" s="24">
        <v>54.15</v>
      </c>
      <c r="N651" s="21">
        <f t="shared" si="31"/>
        <v>-1.5454545454545481E-2</v>
      </c>
      <c r="P651" s="1">
        <v>8</v>
      </c>
      <c r="Q651" s="24">
        <v>5.6999999999999957</v>
      </c>
      <c r="R651" s="24">
        <v>51.300000000000004</v>
      </c>
      <c r="S651" s="21">
        <f t="shared" si="32"/>
        <v>-6.7272727272727192E-2</v>
      </c>
    </row>
    <row r="652" spans="2:19" ht="11.4" customHeight="1" x14ac:dyDescent="0.2">
      <c r="B652" s="24"/>
      <c r="C652" s="4">
        <v>33274</v>
      </c>
      <c r="D652" s="18" t="s">
        <v>682</v>
      </c>
      <c r="E652" s="18" t="s">
        <v>554</v>
      </c>
      <c r="F652" s="17">
        <v>12</v>
      </c>
      <c r="G652" s="18" t="s">
        <v>23</v>
      </c>
      <c r="H652" s="17">
        <v>51.6</v>
      </c>
      <c r="I652" s="5">
        <v>50.7</v>
      </c>
      <c r="J652" s="21">
        <f t="shared" si="30"/>
        <v>-1.7441860465116251E-2</v>
      </c>
      <c r="K652" s="1">
        <v>2</v>
      </c>
      <c r="L652" s="24">
        <v>2.5</v>
      </c>
      <c r="M652" s="24">
        <v>48.164999999999999</v>
      </c>
      <c r="N652" s="21">
        <f t="shared" si="31"/>
        <v>-6.6569767441860508E-2</v>
      </c>
      <c r="P652" s="1">
        <v>8</v>
      </c>
      <c r="Q652" s="24">
        <v>5.07</v>
      </c>
      <c r="R652" s="24">
        <v>45.63</v>
      </c>
      <c r="S652" s="21">
        <f t="shared" si="32"/>
        <v>-0.11569767441860462</v>
      </c>
    </row>
    <row r="653" spans="2:19" ht="11.4" customHeight="1" x14ac:dyDescent="0.2">
      <c r="B653" s="24"/>
      <c r="C653" s="4">
        <v>33222</v>
      </c>
      <c r="D653" s="18" t="s">
        <v>683</v>
      </c>
      <c r="E653" s="18" t="s">
        <v>554</v>
      </c>
      <c r="F653" s="17">
        <v>12</v>
      </c>
      <c r="G653" s="18" t="s">
        <v>23</v>
      </c>
      <c r="H653" s="17">
        <v>81.599999999999994</v>
      </c>
      <c r="I653" s="5">
        <v>92.8</v>
      </c>
      <c r="J653" s="21">
        <f t="shared" si="30"/>
        <v>0.13725490196078435</v>
      </c>
      <c r="K653" s="1">
        <v>2</v>
      </c>
      <c r="L653" s="24">
        <v>4.5999999999999996</v>
      </c>
      <c r="M653" s="24">
        <v>88.16</v>
      </c>
      <c r="N653" s="21">
        <f t="shared" si="31"/>
        <v>8.0392156862745132E-2</v>
      </c>
      <c r="P653" s="1">
        <v>8</v>
      </c>
      <c r="Q653" s="24">
        <v>9.2800000000000011</v>
      </c>
      <c r="R653" s="24">
        <v>83.52</v>
      </c>
      <c r="S653" s="21">
        <f t="shared" si="32"/>
        <v>2.3529411764705906E-2</v>
      </c>
    </row>
    <row r="654" spans="2:19" ht="11.4" customHeight="1" x14ac:dyDescent="0.2">
      <c r="B654" s="24"/>
      <c r="C654" s="4">
        <v>15186</v>
      </c>
      <c r="D654" s="18" t="s">
        <v>684</v>
      </c>
      <c r="E654" s="18" t="s">
        <v>554</v>
      </c>
      <c r="F654" s="17">
        <v>10</v>
      </c>
      <c r="G654" s="18" t="s">
        <v>23</v>
      </c>
      <c r="H654" s="17">
        <v>30.2</v>
      </c>
      <c r="I654" s="5">
        <v>35.9</v>
      </c>
      <c r="J654" s="21">
        <f t="shared" si="30"/>
        <v>0.18874172185430463</v>
      </c>
      <c r="K654" s="1">
        <v>2</v>
      </c>
      <c r="L654" s="24">
        <v>1.7</v>
      </c>
      <c r="M654" s="24">
        <v>34.104999999999997</v>
      </c>
      <c r="N654" s="21">
        <f t="shared" si="31"/>
        <v>0.12930463576158932</v>
      </c>
      <c r="P654" s="1">
        <v>8</v>
      </c>
      <c r="Q654" s="24">
        <v>3.5899999999999963</v>
      </c>
      <c r="R654" s="24">
        <v>32.31</v>
      </c>
      <c r="S654" s="21">
        <f t="shared" si="32"/>
        <v>6.9867549668874276E-2</v>
      </c>
    </row>
    <row r="655" spans="2:19" ht="11.4" customHeight="1" x14ac:dyDescent="0.2">
      <c r="B655" s="24"/>
      <c r="C655" s="4">
        <v>46344</v>
      </c>
      <c r="D655" s="18" t="s">
        <v>685</v>
      </c>
      <c r="E655" s="18" t="s">
        <v>554</v>
      </c>
      <c r="F655" s="17">
        <v>24</v>
      </c>
      <c r="G655" s="18" t="s">
        <v>23</v>
      </c>
      <c r="H655" s="17">
        <v>55.14</v>
      </c>
      <c r="I655" s="5">
        <v>71.900000000000006</v>
      </c>
      <c r="J655" s="21">
        <f t="shared" si="30"/>
        <v>0.30395357272397544</v>
      </c>
      <c r="K655" s="1">
        <v>2</v>
      </c>
      <c r="L655" s="24">
        <v>3.5</v>
      </c>
      <c r="M655" s="24">
        <v>68.305000000000007</v>
      </c>
      <c r="N655" s="21">
        <f t="shared" si="31"/>
        <v>0.23875589408777667</v>
      </c>
      <c r="P655" s="1">
        <v>8</v>
      </c>
      <c r="Q655" s="24">
        <v>7.1899999999999977</v>
      </c>
      <c r="R655" s="24">
        <v>64.710000000000008</v>
      </c>
      <c r="S655" s="21">
        <f t="shared" si="32"/>
        <v>0.17355821545157793</v>
      </c>
    </row>
    <row r="656" spans="2:19" ht="11.4" customHeight="1" x14ac:dyDescent="0.2">
      <c r="B656" s="24"/>
      <c r="C656" s="4">
        <v>36401</v>
      </c>
      <c r="D656" s="18" t="s">
        <v>686</v>
      </c>
      <c r="E656" s="18" t="s">
        <v>554</v>
      </c>
      <c r="F656" s="17">
        <v>3</v>
      </c>
      <c r="G656" s="18" t="s">
        <v>23</v>
      </c>
      <c r="H656" s="17">
        <v>43.6</v>
      </c>
      <c r="I656" s="5">
        <v>51.7</v>
      </c>
      <c r="J656" s="21">
        <f t="shared" si="30"/>
        <v>0.18577981651376149</v>
      </c>
      <c r="K656" s="1">
        <v>2</v>
      </c>
      <c r="L656" s="24">
        <v>2.5</v>
      </c>
      <c r="M656" s="24">
        <v>49.115000000000002</v>
      </c>
      <c r="N656" s="21">
        <f t="shared" si="31"/>
        <v>0.1264908256880734</v>
      </c>
      <c r="P656" s="1">
        <v>8</v>
      </c>
      <c r="Q656" s="24">
        <v>5.1700000000000017</v>
      </c>
      <c r="R656" s="24">
        <v>46.53</v>
      </c>
      <c r="S656" s="21">
        <f t="shared" si="32"/>
        <v>6.7201834862385318E-2</v>
      </c>
    </row>
    <row r="657" spans="2:19" ht="11.4" customHeight="1" x14ac:dyDescent="0.2">
      <c r="B657" s="24"/>
      <c r="C657" s="4">
        <v>36400</v>
      </c>
      <c r="D657" s="18" t="s">
        <v>687</v>
      </c>
      <c r="E657" s="18" t="s">
        <v>554</v>
      </c>
      <c r="F657" s="17">
        <v>3</v>
      </c>
      <c r="G657" s="18" t="s">
        <v>23</v>
      </c>
      <c r="H657" s="17">
        <v>30.6</v>
      </c>
      <c r="I657" s="5">
        <v>34.5</v>
      </c>
      <c r="J657" s="21">
        <f t="shared" si="30"/>
        <v>0.1274509803921568</v>
      </c>
      <c r="K657" s="1">
        <v>2</v>
      </c>
      <c r="L657" s="24">
        <v>1.7</v>
      </c>
      <c r="M657" s="24">
        <v>32.774999999999999</v>
      </c>
      <c r="N657" s="21">
        <f t="shared" si="31"/>
        <v>7.107843137254892E-2</v>
      </c>
      <c r="P657" s="1">
        <v>8</v>
      </c>
      <c r="Q657" s="24">
        <v>3.4499999999999993</v>
      </c>
      <c r="R657" s="24">
        <v>31.05</v>
      </c>
      <c r="S657" s="21">
        <f t="shared" si="32"/>
        <v>1.4705882352941152E-2</v>
      </c>
    </row>
    <row r="658" spans="2:19" ht="11.4" customHeight="1" x14ac:dyDescent="0.2">
      <c r="B658" s="24"/>
      <c r="C658" s="4">
        <v>36793</v>
      </c>
      <c r="D658" s="18" t="s">
        <v>688</v>
      </c>
      <c r="E658" s="18" t="s">
        <v>554</v>
      </c>
      <c r="F658" s="17">
        <v>12</v>
      </c>
      <c r="G658" s="18" t="s">
        <v>23</v>
      </c>
      <c r="H658" s="17">
        <v>40.9</v>
      </c>
      <c r="I658" s="5">
        <v>47.8</v>
      </c>
      <c r="J658" s="21">
        <f t="shared" si="30"/>
        <v>0.16870415647921758</v>
      </c>
      <c r="K658" s="1">
        <v>2</v>
      </c>
      <c r="L658" s="24">
        <v>2.2999999999999998</v>
      </c>
      <c r="M658" s="24">
        <v>45.41</v>
      </c>
      <c r="N658" s="21">
        <f t="shared" si="31"/>
        <v>0.11026894865525667</v>
      </c>
      <c r="P658" s="1">
        <v>8</v>
      </c>
      <c r="Q658" s="24">
        <v>4.7800000000000011</v>
      </c>
      <c r="R658" s="24">
        <v>43.019999999999996</v>
      </c>
      <c r="S658" s="21">
        <f t="shared" si="32"/>
        <v>5.1833740831295785E-2</v>
      </c>
    </row>
    <row r="659" spans="2:19" ht="11.4" customHeight="1" x14ac:dyDescent="0.2">
      <c r="B659" s="24"/>
      <c r="C659" s="4">
        <v>36792</v>
      </c>
      <c r="D659" s="18" t="s">
        <v>689</v>
      </c>
      <c r="E659" s="18" t="s">
        <v>554</v>
      </c>
      <c r="F659" s="17">
        <v>10</v>
      </c>
      <c r="G659" s="18" t="s">
        <v>23</v>
      </c>
      <c r="H659" s="17">
        <v>46.1</v>
      </c>
      <c r="I659" s="5">
        <v>54.1</v>
      </c>
      <c r="J659" s="21">
        <f t="shared" si="30"/>
        <v>0.17353579175704989</v>
      </c>
      <c r="K659" s="1">
        <v>2</v>
      </c>
      <c r="L659" s="24">
        <v>2.7</v>
      </c>
      <c r="M659" s="24">
        <v>51.394999999999996</v>
      </c>
      <c r="N659" s="21">
        <f t="shared" si="31"/>
        <v>0.11485900216919728</v>
      </c>
      <c r="P659" s="1">
        <v>8</v>
      </c>
      <c r="Q659" s="24">
        <v>5.4099999999999966</v>
      </c>
      <c r="R659" s="24">
        <v>48.690000000000005</v>
      </c>
      <c r="S659" s="21">
        <f t="shared" si="32"/>
        <v>5.6182212581344974E-2</v>
      </c>
    </row>
    <row r="660" spans="2:19" ht="11.4" customHeight="1" x14ac:dyDescent="0.2">
      <c r="B660" s="24"/>
      <c r="C660" s="4">
        <v>35000</v>
      </c>
      <c r="D660" s="18" t="s">
        <v>690</v>
      </c>
      <c r="E660" s="18" t="s">
        <v>554</v>
      </c>
      <c r="F660" s="17">
        <v>12</v>
      </c>
      <c r="G660" s="18" t="s">
        <v>23</v>
      </c>
      <c r="H660" s="17">
        <v>59.8</v>
      </c>
      <c r="I660" s="5">
        <v>66.5</v>
      </c>
      <c r="J660" s="21">
        <f t="shared" si="30"/>
        <v>0.11204013377926426</v>
      </c>
      <c r="K660" s="1">
        <v>2</v>
      </c>
      <c r="L660" s="24">
        <v>3.3</v>
      </c>
      <c r="M660" s="24">
        <v>63.174999999999997</v>
      </c>
      <c r="N660" s="21">
        <f t="shared" si="31"/>
        <v>5.6438127090301007E-2</v>
      </c>
      <c r="P660" s="1">
        <v>8</v>
      </c>
      <c r="Q660" s="24">
        <v>6.6499999999999986</v>
      </c>
      <c r="R660" s="24">
        <v>59.85</v>
      </c>
      <c r="S660" s="21">
        <f t="shared" si="32"/>
        <v>8.3612040133786397E-4</v>
      </c>
    </row>
    <row r="661" spans="2:19" ht="11.4" customHeight="1" x14ac:dyDescent="0.2">
      <c r="B661" s="24"/>
      <c r="C661" s="4">
        <v>35001</v>
      </c>
      <c r="D661" s="18" t="s">
        <v>691</v>
      </c>
      <c r="E661" s="18" t="s">
        <v>554</v>
      </c>
      <c r="F661" s="17">
        <v>12</v>
      </c>
      <c r="G661" s="18" t="s">
        <v>23</v>
      </c>
      <c r="H661" s="17">
        <v>88.6</v>
      </c>
      <c r="I661" s="5">
        <v>101.4</v>
      </c>
      <c r="J661" s="21">
        <f t="shared" si="30"/>
        <v>0.14446952595936807</v>
      </c>
      <c r="K661" s="1">
        <v>2</v>
      </c>
      <c r="L661" s="24">
        <v>5</v>
      </c>
      <c r="M661" s="24">
        <v>96.33</v>
      </c>
      <c r="N661" s="21">
        <f t="shared" si="31"/>
        <v>8.7246049661399594E-2</v>
      </c>
      <c r="P661" s="1">
        <v>8</v>
      </c>
      <c r="Q661" s="24">
        <v>10.14</v>
      </c>
      <c r="R661" s="24">
        <v>91.26</v>
      </c>
      <c r="S661" s="21">
        <f t="shared" si="32"/>
        <v>3.0022573363431275E-2</v>
      </c>
    </row>
    <row r="662" spans="2:19" ht="11.4" customHeight="1" x14ac:dyDescent="0.2">
      <c r="B662" s="24"/>
      <c r="C662" s="4">
        <v>14664</v>
      </c>
      <c r="D662" s="18" t="s">
        <v>692</v>
      </c>
      <c r="E662" s="18" t="s">
        <v>554</v>
      </c>
      <c r="F662" s="17">
        <v>5</v>
      </c>
      <c r="G662" s="18" t="s">
        <v>23</v>
      </c>
      <c r="H662" s="17">
        <v>33.700000000000003</v>
      </c>
      <c r="I662" s="5">
        <v>39.5</v>
      </c>
      <c r="J662" s="21">
        <f t="shared" si="30"/>
        <v>0.17210682492581592</v>
      </c>
      <c r="K662" s="1">
        <v>2</v>
      </c>
      <c r="L662" s="24">
        <v>1.9</v>
      </c>
      <c r="M662" s="24">
        <v>37.524999999999999</v>
      </c>
      <c r="N662" s="21">
        <f t="shared" si="31"/>
        <v>0.11350148367952509</v>
      </c>
      <c r="P662" s="1">
        <v>8</v>
      </c>
      <c r="Q662" s="24">
        <v>3.9499999999999957</v>
      </c>
      <c r="R662" s="24">
        <v>35.550000000000004</v>
      </c>
      <c r="S662" s="21">
        <f t="shared" si="32"/>
        <v>5.4896142433234457E-2</v>
      </c>
    </row>
    <row r="663" spans="2:19" ht="11.4" customHeight="1" x14ac:dyDescent="0.2">
      <c r="B663" s="24"/>
      <c r="C663" s="4">
        <v>31687</v>
      </c>
      <c r="D663" s="18" t="s">
        <v>693</v>
      </c>
      <c r="E663" s="18" t="s">
        <v>554</v>
      </c>
      <c r="F663" s="17">
        <v>10</v>
      </c>
      <c r="G663" s="18" t="s">
        <v>23</v>
      </c>
      <c r="H663" s="17">
        <v>40.18</v>
      </c>
      <c r="I663" s="5">
        <v>43.1</v>
      </c>
      <c r="J663" s="21">
        <f t="shared" si="30"/>
        <v>7.2672971627675498E-2</v>
      </c>
      <c r="K663" s="1">
        <v>2</v>
      </c>
      <c r="L663" s="24">
        <v>2.1</v>
      </c>
      <c r="M663" s="24">
        <v>40.945</v>
      </c>
      <c r="N663" s="21">
        <f t="shared" si="31"/>
        <v>1.90393230462917E-2</v>
      </c>
      <c r="P663" s="1">
        <v>8</v>
      </c>
      <c r="Q663" s="24">
        <v>4.3100000000000023</v>
      </c>
      <c r="R663" s="24">
        <v>38.79</v>
      </c>
      <c r="S663" s="21">
        <f t="shared" si="32"/>
        <v>-3.4594325535092098E-2</v>
      </c>
    </row>
    <row r="664" spans="2:19" ht="11.4" customHeight="1" x14ac:dyDescent="0.2">
      <c r="B664" s="24"/>
      <c r="C664" s="4">
        <v>32650</v>
      </c>
      <c r="D664" s="18" t="s">
        <v>694</v>
      </c>
      <c r="E664" s="18" t="s">
        <v>554</v>
      </c>
      <c r="F664" s="17">
        <v>12</v>
      </c>
      <c r="G664" s="18" t="s">
        <v>23</v>
      </c>
      <c r="H664" s="17">
        <v>55.4</v>
      </c>
      <c r="I664" s="5">
        <v>56.9</v>
      </c>
      <c r="J664" s="21">
        <f t="shared" si="30"/>
        <v>2.7075812274368231E-2</v>
      </c>
      <c r="K664" s="1">
        <v>2</v>
      </c>
      <c r="L664" s="24">
        <v>2.8</v>
      </c>
      <c r="M664" s="24">
        <v>54.054999999999993</v>
      </c>
      <c r="N664" s="21">
        <f t="shared" si="31"/>
        <v>-2.427797833935029E-2</v>
      </c>
      <c r="P664" s="1">
        <v>8</v>
      </c>
      <c r="Q664" s="24">
        <v>5.6899999999999977</v>
      </c>
      <c r="R664" s="24">
        <v>51.21</v>
      </c>
      <c r="S664" s="21">
        <f t="shared" si="32"/>
        <v>-7.5631768953068557E-2</v>
      </c>
    </row>
    <row r="665" spans="2:19" ht="11.4" customHeight="1" x14ac:dyDescent="0.2">
      <c r="B665" s="24"/>
      <c r="C665" s="4">
        <v>43834</v>
      </c>
      <c r="D665" s="18" t="s">
        <v>695</v>
      </c>
      <c r="E665" s="18" t="s">
        <v>554</v>
      </c>
      <c r="F665" s="17">
        <v>20</v>
      </c>
      <c r="G665" s="18" t="s">
        <v>23</v>
      </c>
      <c r="H665" s="17">
        <v>35.11</v>
      </c>
      <c r="I665" s="5">
        <v>43.9</v>
      </c>
      <c r="J665" s="21">
        <f t="shared" si="30"/>
        <v>0.25035602392480771</v>
      </c>
      <c r="K665" s="1">
        <v>2</v>
      </c>
      <c r="L665" s="24">
        <v>2.1</v>
      </c>
      <c r="M665" s="24">
        <v>41.704999999999998</v>
      </c>
      <c r="N665" s="21">
        <f t="shared" si="31"/>
        <v>0.18783822272856732</v>
      </c>
      <c r="P665" s="1">
        <v>8</v>
      </c>
      <c r="Q665" s="24">
        <v>4.3900000000000006</v>
      </c>
      <c r="R665" s="24">
        <v>39.51</v>
      </c>
      <c r="S665" s="21">
        <f t="shared" si="32"/>
        <v>0.12532042153232695</v>
      </c>
    </row>
    <row r="666" spans="2:19" ht="11.4" customHeight="1" x14ac:dyDescent="0.2">
      <c r="B666" s="24"/>
      <c r="C666" s="4">
        <v>35726</v>
      </c>
      <c r="D666" s="18" t="s">
        <v>696</v>
      </c>
      <c r="E666" s="18" t="s">
        <v>554</v>
      </c>
      <c r="F666" s="17">
        <v>24</v>
      </c>
      <c r="G666" s="18" t="s">
        <v>23</v>
      </c>
      <c r="H666" s="17">
        <v>39.200000000000003</v>
      </c>
      <c r="I666" s="5">
        <v>56.2</v>
      </c>
      <c r="J666" s="21">
        <f t="shared" si="30"/>
        <v>0.43367346938775508</v>
      </c>
      <c r="K666" s="1">
        <v>2</v>
      </c>
      <c r="L666" s="24">
        <v>2.8</v>
      </c>
      <c r="M666" s="24">
        <v>53.39</v>
      </c>
      <c r="N666" s="21">
        <f t="shared" si="31"/>
        <v>0.36198979591836727</v>
      </c>
      <c r="P666" s="1">
        <v>8</v>
      </c>
      <c r="Q666" s="24">
        <v>5.6199999999999974</v>
      </c>
      <c r="R666" s="24">
        <v>50.580000000000005</v>
      </c>
      <c r="S666" s="21">
        <f t="shared" si="32"/>
        <v>0.29030612244897963</v>
      </c>
    </row>
    <row r="667" spans="2:19" ht="11.4" customHeight="1" x14ac:dyDescent="0.2">
      <c r="B667" s="24"/>
      <c r="C667" s="4">
        <v>8379</v>
      </c>
      <c r="D667" s="18" t="s">
        <v>697</v>
      </c>
      <c r="E667" s="18" t="s">
        <v>554</v>
      </c>
      <c r="F667" s="17">
        <v>3</v>
      </c>
      <c r="G667" s="18" t="s">
        <v>23</v>
      </c>
      <c r="H667" s="17">
        <v>56.8</v>
      </c>
      <c r="I667" s="5">
        <v>62.9</v>
      </c>
      <c r="J667" s="21">
        <f t="shared" si="30"/>
        <v>0.10739436619718312</v>
      </c>
      <c r="K667" s="1">
        <v>2</v>
      </c>
      <c r="L667" s="24">
        <v>3.1</v>
      </c>
      <c r="M667" s="24">
        <v>59.754999999999995</v>
      </c>
      <c r="N667" s="21">
        <f t="shared" si="31"/>
        <v>5.2024647887323916E-2</v>
      </c>
      <c r="P667" s="1">
        <v>8</v>
      </c>
      <c r="Q667" s="24">
        <v>6.2899999999999991</v>
      </c>
      <c r="R667" s="24">
        <v>56.61</v>
      </c>
      <c r="S667" s="21">
        <f t="shared" si="32"/>
        <v>-3.3450704225351712E-3</v>
      </c>
    </row>
    <row r="668" spans="2:19" ht="11.4" customHeight="1" x14ac:dyDescent="0.2">
      <c r="B668" s="24"/>
      <c r="C668" s="4">
        <v>7760</v>
      </c>
      <c r="D668" s="18" t="s">
        <v>698</v>
      </c>
      <c r="E668" s="18" t="s">
        <v>554</v>
      </c>
      <c r="F668" s="17">
        <v>3</v>
      </c>
      <c r="G668" s="18" t="s">
        <v>23</v>
      </c>
      <c r="H668" s="17">
        <v>38.700000000000003</v>
      </c>
      <c r="I668" s="5">
        <v>42.9</v>
      </c>
      <c r="J668" s="21">
        <f t="shared" si="30"/>
        <v>0.10852713178294562</v>
      </c>
      <c r="K668" s="1">
        <v>2</v>
      </c>
      <c r="L668" s="24">
        <v>2.1</v>
      </c>
      <c r="M668" s="24">
        <v>40.754999999999995</v>
      </c>
      <c r="N668" s="21">
        <f t="shared" si="31"/>
        <v>5.3100775193798258E-2</v>
      </c>
      <c r="P668" s="1">
        <v>8</v>
      </c>
      <c r="Q668" s="24">
        <v>4.2899999999999991</v>
      </c>
      <c r="R668" s="24">
        <v>38.61</v>
      </c>
      <c r="S668" s="21">
        <f t="shared" si="32"/>
        <v>-2.3255813953489252E-3</v>
      </c>
    </row>
    <row r="669" spans="2:19" ht="11.4" customHeight="1" x14ac:dyDescent="0.2">
      <c r="B669" s="24"/>
      <c r="C669" s="4">
        <v>10400</v>
      </c>
      <c r="D669" s="18" t="s">
        <v>699</v>
      </c>
      <c r="E669" s="18" t="s">
        <v>554</v>
      </c>
      <c r="F669" s="17">
        <v>3</v>
      </c>
      <c r="G669" s="18" t="s">
        <v>23</v>
      </c>
      <c r="H669" s="17">
        <v>32</v>
      </c>
      <c r="I669" s="5">
        <v>39.5</v>
      </c>
      <c r="J669" s="21">
        <f t="shared" si="30"/>
        <v>0.234375</v>
      </c>
      <c r="K669" s="1">
        <v>2</v>
      </c>
      <c r="L669" s="24">
        <v>1.9</v>
      </c>
      <c r="M669" s="24">
        <v>37.524999999999999</v>
      </c>
      <c r="N669" s="21">
        <f t="shared" si="31"/>
        <v>0.17265624999999996</v>
      </c>
      <c r="P669" s="1">
        <v>8</v>
      </c>
      <c r="Q669" s="24">
        <v>3.9499999999999957</v>
      </c>
      <c r="R669" s="24">
        <v>35.550000000000004</v>
      </c>
      <c r="S669" s="21">
        <f t="shared" si="32"/>
        <v>0.11093750000000013</v>
      </c>
    </row>
    <row r="670" spans="2:19" ht="11.4" customHeight="1" x14ac:dyDescent="0.2">
      <c r="B670" s="24"/>
      <c r="C670" s="4">
        <v>45744</v>
      </c>
      <c r="D670" s="18" t="s">
        <v>700</v>
      </c>
      <c r="E670" s="18" t="s">
        <v>554</v>
      </c>
      <c r="F670" s="17">
        <v>24</v>
      </c>
      <c r="G670" s="18" t="s">
        <v>23</v>
      </c>
      <c r="H670" s="17">
        <v>25.83</v>
      </c>
      <c r="I670" s="5">
        <v>47.9</v>
      </c>
      <c r="J670" s="21">
        <f t="shared" si="30"/>
        <v>0.85443283004258619</v>
      </c>
      <c r="K670" s="1">
        <v>2</v>
      </c>
      <c r="L670" s="24">
        <v>2.2999999999999998</v>
      </c>
      <c r="M670" s="24">
        <v>45.504999999999995</v>
      </c>
      <c r="N670" s="21">
        <f t="shared" si="31"/>
        <v>0.76171118854045672</v>
      </c>
      <c r="P670" s="1">
        <v>8</v>
      </c>
      <c r="Q670" s="24">
        <v>4.7899999999999991</v>
      </c>
      <c r="R670" s="24">
        <v>43.11</v>
      </c>
      <c r="S670" s="21">
        <f t="shared" si="32"/>
        <v>0.66898954703832758</v>
      </c>
    </row>
    <row r="671" spans="2:19" ht="11.4" customHeight="1" x14ac:dyDescent="0.2">
      <c r="B671" s="24"/>
      <c r="C671" s="4">
        <v>31814</v>
      </c>
      <c r="D671" s="18" t="s">
        <v>701</v>
      </c>
      <c r="E671" s="18" t="s">
        <v>554</v>
      </c>
      <c r="F671" s="17">
        <v>4</v>
      </c>
      <c r="G671" s="18" t="s">
        <v>23</v>
      </c>
      <c r="H671" s="17">
        <v>36.6</v>
      </c>
      <c r="I671" s="5">
        <v>43.9</v>
      </c>
      <c r="J671" s="21">
        <f t="shared" si="30"/>
        <v>0.19945355191256822</v>
      </c>
      <c r="K671" s="1">
        <v>2</v>
      </c>
      <c r="L671" s="24">
        <v>2.1</v>
      </c>
      <c r="M671" s="24">
        <v>41.704999999999998</v>
      </c>
      <c r="N671" s="21">
        <f t="shared" si="31"/>
        <v>0.13948087431693981</v>
      </c>
      <c r="P671" s="1">
        <v>8</v>
      </c>
      <c r="Q671" s="24">
        <v>4.3900000000000006</v>
      </c>
      <c r="R671" s="24">
        <v>39.51</v>
      </c>
      <c r="S671" s="21">
        <f t="shared" si="32"/>
        <v>7.9508196721311375E-2</v>
      </c>
    </row>
    <row r="672" spans="2:19" ht="11.4" customHeight="1" x14ac:dyDescent="0.2">
      <c r="B672" s="24"/>
      <c r="C672" s="4">
        <v>7360</v>
      </c>
      <c r="D672" s="18" t="s">
        <v>702</v>
      </c>
      <c r="E672" s="18" t="s">
        <v>554</v>
      </c>
      <c r="F672" s="17">
        <v>3</v>
      </c>
      <c r="G672" s="18" t="s">
        <v>23</v>
      </c>
      <c r="H672" s="17">
        <v>36.4</v>
      </c>
      <c r="I672" s="5">
        <v>41.2</v>
      </c>
      <c r="J672" s="21">
        <f t="shared" si="30"/>
        <v>0.13186813186813198</v>
      </c>
      <c r="K672" s="1">
        <v>2</v>
      </c>
      <c r="L672" s="24">
        <v>2</v>
      </c>
      <c r="M672" s="24">
        <v>39.14</v>
      </c>
      <c r="N672" s="21">
        <f t="shared" si="31"/>
        <v>7.5274725274725326E-2</v>
      </c>
      <c r="P672" s="1">
        <v>8</v>
      </c>
      <c r="Q672" s="24">
        <v>4.1199999999999974</v>
      </c>
      <c r="R672" s="24">
        <v>37.080000000000005</v>
      </c>
      <c r="S672" s="21">
        <f t="shared" si="32"/>
        <v>1.8681318681318868E-2</v>
      </c>
    </row>
    <row r="673" spans="2:19" ht="11.4" customHeight="1" x14ac:dyDescent="0.2">
      <c r="B673" s="24"/>
      <c r="C673" s="4">
        <v>23743</v>
      </c>
      <c r="D673" s="18" t="s">
        <v>703</v>
      </c>
      <c r="E673" s="18" t="s">
        <v>554</v>
      </c>
      <c r="F673" s="17">
        <v>6</v>
      </c>
      <c r="G673" s="18" t="s">
        <v>23</v>
      </c>
      <c r="H673" s="17">
        <v>35.5</v>
      </c>
      <c r="I673" s="5">
        <v>41.5</v>
      </c>
      <c r="J673" s="21">
        <f t="shared" si="30"/>
        <v>0.16901408450704225</v>
      </c>
      <c r="K673" s="1">
        <v>2</v>
      </c>
      <c r="L673" s="24">
        <v>2</v>
      </c>
      <c r="M673" s="24">
        <v>39.424999999999997</v>
      </c>
      <c r="N673" s="21">
        <f t="shared" si="31"/>
        <v>0.11056338028169006</v>
      </c>
      <c r="P673" s="1">
        <v>8</v>
      </c>
      <c r="Q673" s="24">
        <v>4.1499999999999986</v>
      </c>
      <c r="R673" s="24">
        <v>37.35</v>
      </c>
      <c r="S673" s="21">
        <f t="shared" si="32"/>
        <v>5.211267605633807E-2</v>
      </c>
    </row>
    <row r="674" spans="2:19" ht="11.4" customHeight="1" x14ac:dyDescent="0.2">
      <c r="B674" s="24"/>
      <c r="C674" s="4">
        <v>14616</v>
      </c>
      <c r="D674" s="18" t="s">
        <v>704</v>
      </c>
      <c r="E674" s="18" t="s">
        <v>554</v>
      </c>
      <c r="F674" s="17">
        <v>6</v>
      </c>
      <c r="G674" s="18" t="s">
        <v>23</v>
      </c>
      <c r="H674" s="17">
        <v>61.1</v>
      </c>
      <c r="I674" s="5">
        <v>65.5</v>
      </c>
      <c r="J674" s="21">
        <f t="shared" si="30"/>
        <v>7.2013093289689009E-2</v>
      </c>
      <c r="K674" s="1">
        <v>2</v>
      </c>
      <c r="L674" s="24">
        <v>3.2</v>
      </c>
      <c r="M674" s="24">
        <v>62.224999999999994</v>
      </c>
      <c r="N674" s="21">
        <f t="shared" si="31"/>
        <v>1.8412438625204464E-2</v>
      </c>
      <c r="P674" s="1">
        <v>8</v>
      </c>
      <c r="Q674" s="24">
        <v>6.5499999999999972</v>
      </c>
      <c r="R674" s="24">
        <v>58.95</v>
      </c>
      <c r="S674" s="21">
        <f t="shared" si="32"/>
        <v>-3.5188216039279845E-2</v>
      </c>
    </row>
    <row r="675" spans="2:19" ht="11.4" customHeight="1" x14ac:dyDescent="0.2">
      <c r="B675" s="24"/>
      <c r="C675" s="4">
        <v>14619</v>
      </c>
      <c r="D675" s="18" t="s">
        <v>705</v>
      </c>
      <c r="E675" s="18" t="s">
        <v>554</v>
      </c>
      <c r="F675" s="17">
        <v>5</v>
      </c>
      <c r="G675" s="18" t="s">
        <v>23</v>
      </c>
      <c r="H675" s="17">
        <v>36.1</v>
      </c>
      <c r="I675" s="5">
        <v>41.5</v>
      </c>
      <c r="J675" s="21">
        <f t="shared" si="30"/>
        <v>0.149584487534626</v>
      </c>
      <c r="K675" s="1">
        <v>2</v>
      </c>
      <c r="L675" s="24">
        <v>2</v>
      </c>
      <c r="M675" s="24">
        <v>39.424999999999997</v>
      </c>
      <c r="N675" s="21">
        <f t="shared" si="31"/>
        <v>9.2105263157894621E-2</v>
      </c>
      <c r="P675" s="1">
        <v>8</v>
      </c>
      <c r="Q675" s="24">
        <v>4.1499999999999986</v>
      </c>
      <c r="R675" s="24">
        <v>37.35</v>
      </c>
      <c r="S675" s="21">
        <f t="shared" si="32"/>
        <v>3.462603878116343E-2</v>
      </c>
    </row>
    <row r="676" spans="2:19" ht="11.4" customHeight="1" x14ac:dyDescent="0.2">
      <c r="B676" s="24"/>
      <c r="C676" s="4">
        <v>40624</v>
      </c>
      <c r="D676" s="18" t="s">
        <v>706</v>
      </c>
      <c r="E676" s="18" t="s">
        <v>554</v>
      </c>
      <c r="F676" s="17">
        <v>24</v>
      </c>
      <c r="G676" s="18" t="s">
        <v>23</v>
      </c>
      <c r="H676" s="17">
        <v>33.42</v>
      </c>
      <c r="I676" s="5">
        <v>48.5</v>
      </c>
      <c r="J676" s="21">
        <f t="shared" si="30"/>
        <v>0.45122681029323752</v>
      </c>
      <c r="K676" s="1">
        <v>2</v>
      </c>
      <c r="L676" s="24">
        <v>2.4</v>
      </c>
      <c r="M676" s="24">
        <v>46.074999999999996</v>
      </c>
      <c r="N676" s="21">
        <f t="shared" si="31"/>
        <v>0.37866546977857551</v>
      </c>
      <c r="P676" s="1">
        <v>8</v>
      </c>
      <c r="Q676" s="24">
        <v>4.8500000000000014</v>
      </c>
      <c r="R676" s="24">
        <v>43.65</v>
      </c>
      <c r="S676" s="21">
        <f t="shared" si="32"/>
        <v>0.30610412926391373</v>
      </c>
    </row>
    <row r="677" spans="2:19" ht="11.4" customHeight="1" x14ac:dyDescent="0.2">
      <c r="B677" s="24"/>
      <c r="C677" s="4">
        <v>9600</v>
      </c>
      <c r="D677" s="18" t="s">
        <v>707</v>
      </c>
      <c r="E677" s="18" t="s">
        <v>554</v>
      </c>
      <c r="F677" s="17">
        <v>8</v>
      </c>
      <c r="G677" s="18" t="s">
        <v>23</v>
      </c>
      <c r="H677" s="17">
        <v>83.2</v>
      </c>
      <c r="I677" s="5">
        <v>93.8</v>
      </c>
      <c r="J677" s="21">
        <f t="shared" si="30"/>
        <v>0.12740384615384609</v>
      </c>
      <c r="K677" s="1">
        <v>2</v>
      </c>
      <c r="L677" s="24">
        <v>4.5999999999999996</v>
      </c>
      <c r="M677" s="24">
        <v>89.11</v>
      </c>
      <c r="N677" s="21">
        <f t="shared" si="31"/>
        <v>7.1033653846153802E-2</v>
      </c>
      <c r="P677" s="1">
        <v>8</v>
      </c>
      <c r="Q677" s="24">
        <v>9.3799999999999955</v>
      </c>
      <c r="R677" s="24">
        <v>84.42</v>
      </c>
      <c r="S677" s="21">
        <f t="shared" si="32"/>
        <v>1.4663461538461525E-2</v>
      </c>
    </row>
    <row r="678" spans="2:19" ht="11.4" customHeight="1" x14ac:dyDescent="0.2">
      <c r="B678" s="24"/>
      <c r="C678" s="4">
        <v>15841</v>
      </c>
      <c r="D678" s="18" t="s">
        <v>708</v>
      </c>
      <c r="E678" s="18" t="s">
        <v>554</v>
      </c>
      <c r="F678" s="17">
        <v>10</v>
      </c>
      <c r="G678" s="18" t="s">
        <v>23</v>
      </c>
      <c r="H678" s="17">
        <v>66.599999999999994</v>
      </c>
      <c r="I678" s="5">
        <v>76.2</v>
      </c>
      <c r="J678" s="21">
        <f t="shared" si="30"/>
        <v>0.14414414414414428</v>
      </c>
      <c r="K678" s="1">
        <v>2</v>
      </c>
      <c r="L678" s="24">
        <v>3.8</v>
      </c>
      <c r="M678" s="24">
        <v>72.39</v>
      </c>
      <c r="N678" s="21">
        <f t="shared" si="31"/>
        <v>8.6936936936937034E-2</v>
      </c>
      <c r="P678" s="1">
        <v>8</v>
      </c>
      <c r="Q678" s="24">
        <v>7.6200000000000045</v>
      </c>
      <c r="R678" s="24">
        <v>68.58</v>
      </c>
      <c r="S678" s="21">
        <f t="shared" si="32"/>
        <v>2.972972972972979E-2</v>
      </c>
    </row>
    <row r="679" spans="2:19" ht="11.4" customHeight="1" x14ac:dyDescent="0.2">
      <c r="B679" s="24"/>
      <c r="C679" s="4">
        <v>24484</v>
      </c>
      <c r="D679" s="18" t="s">
        <v>709</v>
      </c>
      <c r="E679" s="18" t="s">
        <v>554</v>
      </c>
      <c r="F679" s="17">
        <v>24</v>
      </c>
      <c r="G679" s="18" t="s">
        <v>23</v>
      </c>
      <c r="H679" s="17">
        <v>40.799999999999997</v>
      </c>
      <c r="I679" s="5">
        <v>48.9</v>
      </c>
      <c r="J679" s="21">
        <f t="shared" si="30"/>
        <v>0.19852941176470593</v>
      </c>
      <c r="K679" s="1">
        <v>2</v>
      </c>
      <c r="L679" s="24">
        <v>2.4</v>
      </c>
      <c r="M679" s="24">
        <v>46.454999999999998</v>
      </c>
      <c r="N679" s="21">
        <f t="shared" si="31"/>
        <v>0.13860294117647062</v>
      </c>
      <c r="P679" s="1">
        <v>8</v>
      </c>
      <c r="Q679" s="24">
        <v>4.8900000000000006</v>
      </c>
      <c r="R679" s="24">
        <v>44.01</v>
      </c>
      <c r="S679" s="21">
        <f t="shared" si="32"/>
        <v>7.867647058823532E-2</v>
      </c>
    </row>
    <row r="680" spans="2:19" ht="11.4" customHeight="1" x14ac:dyDescent="0.2">
      <c r="B680" s="24"/>
      <c r="C680" s="4">
        <v>46341</v>
      </c>
      <c r="D680" s="18" t="s">
        <v>710</v>
      </c>
      <c r="E680" s="18" t="s">
        <v>554</v>
      </c>
      <c r="F680" s="17">
        <v>24</v>
      </c>
      <c r="G680" s="18" t="s">
        <v>23</v>
      </c>
      <c r="H680" s="18"/>
      <c r="I680" s="5">
        <v>82.5</v>
      </c>
      <c r="J680" s="21" t="e">
        <f t="shared" si="30"/>
        <v>#DIV/0!</v>
      </c>
      <c r="K680" s="1">
        <v>2</v>
      </c>
      <c r="L680" s="24">
        <v>4.0999999999999996</v>
      </c>
      <c r="M680" s="24">
        <v>78.375</v>
      </c>
      <c r="N680" s="21" t="e">
        <f t="shared" si="31"/>
        <v>#DIV/0!</v>
      </c>
      <c r="P680" s="1">
        <v>8</v>
      </c>
      <c r="Q680" s="24">
        <v>8.25</v>
      </c>
      <c r="R680" s="24">
        <v>74.25</v>
      </c>
      <c r="S680" s="21" t="e">
        <f t="shared" si="32"/>
        <v>#DIV/0!</v>
      </c>
    </row>
    <row r="681" spans="2:19" ht="11.4" customHeight="1" x14ac:dyDescent="0.2">
      <c r="B681" s="24"/>
      <c r="C681" s="4">
        <v>46343</v>
      </c>
      <c r="D681" s="18" t="s">
        <v>711</v>
      </c>
      <c r="E681" s="18" t="s">
        <v>554</v>
      </c>
      <c r="F681" s="17">
        <v>24</v>
      </c>
      <c r="G681" s="18" t="s">
        <v>23</v>
      </c>
      <c r="H681" s="18"/>
      <c r="I681" s="5">
        <v>82.5</v>
      </c>
      <c r="J681" s="21" t="e">
        <f t="shared" si="30"/>
        <v>#DIV/0!</v>
      </c>
      <c r="K681" s="1">
        <v>2</v>
      </c>
      <c r="L681" s="24">
        <v>4.0999999999999996</v>
      </c>
      <c r="M681" s="24">
        <v>78.375</v>
      </c>
      <c r="N681" s="21" t="e">
        <f t="shared" si="31"/>
        <v>#DIV/0!</v>
      </c>
      <c r="P681" s="1">
        <v>8</v>
      </c>
      <c r="Q681" s="24">
        <v>8.25</v>
      </c>
      <c r="R681" s="24">
        <v>74.25</v>
      </c>
      <c r="S681" s="21" t="e">
        <f t="shared" si="32"/>
        <v>#DIV/0!</v>
      </c>
    </row>
    <row r="682" spans="2:19" ht="11.4" customHeight="1" x14ac:dyDescent="0.2">
      <c r="B682" s="24"/>
      <c r="C682" s="4">
        <v>46351</v>
      </c>
      <c r="D682" s="18" t="s">
        <v>712</v>
      </c>
      <c r="E682" s="18" t="s">
        <v>554</v>
      </c>
      <c r="F682" s="17">
        <v>24</v>
      </c>
      <c r="G682" s="18" t="s">
        <v>23</v>
      </c>
      <c r="H682" s="17">
        <v>31.98</v>
      </c>
      <c r="I682" s="5">
        <v>39.4</v>
      </c>
      <c r="J682" s="21">
        <f t="shared" si="30"/>
        <v>0.23202001250781731</v>
      </c>
      <c r="K682" s="1">
        <v>2</v>
      </c>
      <c r="L682" s="24">
        <v>1.9</v>
      </c>
      <c r="M682" s="24">
        <v>37.43</v>
      </c>
      <c r="N682" s="21">
        <f t="shared" si="31"/>
        <v>0.1704190118824265</v>
      </c>
      <c r="P682" s="1">
        <v>8</v>
      </c>
      <c r="Q682" s="24">
        <v>3.9399999999999977</v>
      </c>
      <c r="R682" s="24">
        <v>35.46</v>
      </c>
      <c r="S682" s="21">
        <f t="shared" si="32"/>
        <v>0.10881801125703566</v>
      </c>
    </row>
    <row r="683" spans="2:19" ht="11.4" customHeight="1" x14ac:dyDescent="0.2">
      <c r="B683" s="24"/>
      <c r="C683" s="4">
        <v>14482</v>
      </c>
      <c r="D683" s="18" t="s">
        <v>713</v>
      </c>
      <c r="E683" s="18" t="s">
        <v>554</v>
      </c>
      <c r="F683" s="17">
        <v>4</v>
      </c>
      <c r="G683" s="18" t="s">
        <v>23</v>
      </c>
      <c r="H683" s="17">
        <v>28.6</v>
      </c>
      <c r="I683" s="5">
        <v>33.9</v>
      </c>
      <c r="J683" s="21">
        <f t="shared" si="30"/>
        <v>0.1853146853146852</v>
      </c>
      <c r="K683" s="1">
        <v>2</v>
      </c>
      <c r="L683" s="24">
        <v>1.6</v>
      </c>
      <c r="M683" s="24">
        <v>32.204999999999998</v>
      </c>
      <c r="N683" s="21">
        <f t="shared" si="31"/>
        <v>0.12604895104895095</v>
      </c>
      <c r="P683" s="1">
        <v>8</v>
      </c>
      <c r="Q683" s="24">
        <v>3.3900000000000006</v>
      </c>
      <c r="R683" s="24">
        <v>30.509999999999998</v>
      </c>
      <c r="S683" s="21">
        <f t="shared" si="32"/>
        <v>6.6783216783216665E-2</v>
      </c>
    </row>
    <row r="684" spans="2:19" ht="11.4" customHeight="1" x14ac:dyDescent="0.2">
      <c r="B684" s="24"/>
      <c r="C684" s="4">
        <v>23736</v>
      </c>
      <c r="D684" s="18" t="s">
        <v>714</v>
      </c>
      <c r="E684" s="18" t="s">
        <v>554</v>
      </c>
      <c r="F684" s="17">
        <v>6</v>
      </c>
      <c r="G684" s="18" t="s">
        <v>23</v>
      </c>
      <c r="H684" s="17">
        <v>80.2</v>
      </c>
      <c r="I684" s="5">
        <v>94.9</v>
      </c>
      <c r="J684" s="21">
        <f t="shared" si="30"/>
        <v>0.1832917705735661</v>
      </c>
      <c r="K684" s="1">
        <v>2</v>
      </c>
      <c r="L684" s="24">
        <v>4.7</v>
      </c>
      <c r="M684" s="24">
        <v>90.155000000000001</v>
      </c>
      <c r="N684" s="21">
        <f t="shared" si="31"/>
        <v>0.12412718204488775</v>
      </c>
      <c r="P684" s="1">
        <v>8</v>
      </c>
      <c r="Q684" s="24">
        <v>9.4899999999999949</v>
      </c>
      <c r="R684" s="24">
        <v>85.410000000000011</v>
      </c>
      <c r="S684" s="21">
        <f t="shared" si="32"/>
        <v>6.4962593516209574E-2</v>
      </c>
    </row>
    <row r="685" spans="2:19" ht="11.4" customHeight="1" x14ac:dyDescent="0.2">
      <c r="B685" s="24"/>
      <c r="C685" s="4">
        <v>14483</v>
      </c>
      <c r="D685" s="18" t="s">
        <v>715</v>
      </c>
      <c r="E685" s="18" t="s">
        <v>554</v>
      </c>
      <c r="F685" s="17">
        <v>4</v>
      </c>
      <c r="G685" s="18" t="s">
        <v>23</v>
      </c>
      <c r="H685" s="17">
        <v>32</v>
      </c>
      <c r="I685" s="5">
        <v>34.4</v>
      </c>
      <c r="J685" s="21">
        <f t="shared" si="30"/>
        <v>7.4999999999999956E-2</v>
      </c>
      <c r="K685" s="1">
        <v>2</v>
      </c>
      <c r="L685" s="24">
        <v>1.7</v>
      </c>
      <c r="M685" s="24">
        <v>32.68</v>
      </c>
      <c r="N685" s="21">
        <f t="shared" si="31"/>
        <v>2.1249999999999991E-2</v>
      </c>
      <c r="P685" s="1">
        <v>8</v>
      </c>
      <c r="Q685" s="24">
        <v>3.4399999999999977</v>
      </c>
      <c r="R685" s="24">
        <v>30.96</v>
      </c>
      <c r="S685" s="21">
        <f t="shared" si="32"/>
        <v>-3.2499999999999973E-2</v>
      </c>
    </row>
    <row r="686" spans="2:19" ht="11.4" customHeight="1" x14ac:dyDescent="0.2">
      <c r="B686" s="24"/>
      <c r="C686" s="4">
        <v>46430</v>
      </c>
      <c r="D686" s="18" t="s">
        <v>716</v>
      </c>
      <c r="E686" s="18" t="s">
        <v>554</v>
      </c>
      <c r="F686" s="17">
        <v>12</v>
      </c>
      <c r="G686" s="18" t="s">
        <v>23</v>
      </c>
      <c r="H686" s="17">
        <v>42.28</v>
      </c>
      <c r="I686" s="5">
        <v>57.5</v>
      </c>
      <c r="J686" s="21">
        <f t="shared" si="30"/>
        <v>0.35998107852412486</v>
      </c>
      <c r="K686" s="1">
        <v>2</v>
      </c>
      <c r="L686" s="24">
        <v>2.8</v>
      </c>
      <c r="M686" s="24">
        <v>54.625</v>
      </c>
      <c r="N686" s="21">
        <f t="shared" si="31"/>
        <v>0.29198202459791861</v>
      </c>
      <c r="P686" s="1">
        <v>8</v>
      </c>
      <c r="Q686" s="24">
        <v>5.75</v>
      </c>
      <c r="R686" s="24">
        <v>51.75</v>
      </c>
      <c r="S686" s="21">
        <f t="shared" si="32"/>
        <v>0.22398297067171236</v>
      </c>
    </row>
    <row r="687" spans="2:19" ht="11.4" customHeight="1" x14ac:dyDescent="0.2">
      <c r="B687" s="24"/>
      <c r="C687" s="4">
        <v>23744</v>
      </c>
      <c r="D687" s="18" t="s">
        <v>717</v>
      </c>
      <c r="E687" s="18" t="s">
        <v>554</v>
      </c>
      <c r="F687" s="17">
        <v>6</v>
      </c>
      <c r="G687" s="18" t="s">
        <v>23</v>
      </c>
      <c r="H687" s="17">
        <v>29</v>
      </c>
      <c r="I687" s="5">
        <v>34.9</v>
      </c>
      <c r="J687" s="21">
        <f t="shared" si="30"/>
        <v>0.20344827586206893</v>
      </c>
      <c r="K687" s="1">
        <v>2</v>
      </c>
      <c r="L687" s="24">
        <v>1.7</v>
      </c>
      <c r="M687" s="24">
        <v>33.154999999999994</v>
      </c>
      <c r="N687" s="21">
        <f t="shared" si="31"/>
        <v>0.14327586206896531</v>
      </c>
      <c r="P687" s="1">
        <v>8</v>
      </c>
      <c r="Q687" s="24">
        <v>3.4899999999999984</v>
      </c>
      <c r="R687" s="24">
        <v>31.41</v>
      </c>
      <c r="S687" s="21">
        <f t="shared" si="32"/>
        <v>8.310344827586208E-2</v>
      </c>
    </row>
    <row r="688" spans="2:19" ht="11.4" customHeight="1" x14ac:dyDescent="0.2">
      <c r="B688" s="24"/>
      <c r="C688" s="4">
        <v>23691</v>
      </c>
      <c r="D688" s="18" t="s">
        <v>718</v>
      </c>
      <c r="E688" s="18" t="s">
        <v>554</v>
      </c>
      <c r="F688" s="17">
        <v>24</v>
      </c>
      <c r="G688" s="18" t="s">
        <v>23</v>
      </c>
      <c r="H688" s="17">
        <v>35.799999999999997</v>
      </c>
      <c r="I688" s="5">
        <v>41.9</v>
      </c>
      <c r="J688" s="21">
        <f t="shared" si="30"/>
        <v>0.17039106145251401</v>
      </c>
      <c r="K688" s="1">
        <v>2</v>
      </c>
      <c r="L688" s="24">
        <v>2</v>
      </c>
      <c r="M688" s="24">
        <v>39.805</v>
      </c>
      <c r="N688" s="21">
        <f t="shared" si="31"/>
        <v>0.11187150837988835</v>
      </c>
      <c r="P688" s="1">
        <v>8</v>
      </c>
      <c r="Q688" s="24">
        <v>4.1899999999999977</v>
      </c>
      <c r="R688" s="24">
        <v>37.71</v>
      </c>
      <c r="S688" s="21">
        <f t="shared" si="32"/>
        <v>5.335195530726268E-2</v>
      </c>
    </row>
    <row r="689" spans="2:19" ht="11.4" customHeight="1" x14ac:dyDescent="0.2">
      <c r="B689" s="24"/>
      <c r="C689" s="4">
        <v>33550</v>
      </c>
      <c r="D689" s="18" t="s">
        <v>719</v>
      </c>
      <c r="E689" s="18" t="s">
        <v>554</v>
      </c>
      <c r="F689" s="17">
        <v>10</v>
      </c>
      <c r="G689" s="18" t="s">
        <v>23</v>
      </c>
      <c r="H689" s="17">
        <v>39.299999999999997</v>
      </c>
      <c r="I689" s="5">
        <v>43.7</v>
      </c>
      <c r="J689" s="21">
        <f t="shared" si="30"/>
        <v>0.11195928753180677</v>
      </c>
      <c r="K689" s="1">
        <v>2</v>
      </c>
      <c r="L689" s="24">
        <v>2.1</v>
      </c>
      <c r="M689" s="24">
        <v>41.515000000000001</v>
      </c>
      <c r="N689" s="21">
        <f t="shared" si="31"/>
        <v>5.6361323155216379E-2</v>
      </c>
      <c r="P689" s="1">
        <v>8</v>
      </c>
      <c r="Q689" s="24">
        <v>4.3699999999999974</v>
      </c>
      <c r="R689" s="24">
        <v>39.330000000000005</v>
      </c>
      <c r="S689" s="21">
        <f t="shared" si="32"/>
        <v>7.6335877862616398E-4</v>
      </c>
    </row>
    <row r="690" spans="2:19" ht="11.4" customHeight="1" x14ac:dyDescent="0.2">
      <c r="B690" s="24"/>
      <c r="C690" s="4">
        <v>31726</v>
      </c>
      <c r="D690" s="18" t="s">
        <v>720</v>
      </c>
      <c r="E690" s="18" t="s">
        <v>554</v>
      </c>
      <c r="F690" s="17">
        <v>60</v>
      </c>
      <c r="G690" s="18" t="s">
        <v>23</v>
      </c>
      <c r="H690" s="17">
        <v>48.9</v>
      </c>
      <c r="I690" s="5">
        <v>42.9</v>
      </c>
      <c r="J690" s="21">
        <f t="shared" si="30"/>
        <v>-0.12269938650306748</v>
      </c>
      <c r="K690" s="1">
        <v>2</v>
      </c>
      <c r="L690" s="24">
        <v>2.1</v>
      </c>
      <c r="M690" s="24">
        <v>40.754999999999995</v>
      </c>
      <c r="N690" s="21">
        <f t="shared" si="31"/>
        <v>-0.16656441717791418</v>
      </c>
      <c r="P690" s="1">
        <v>8</v>
      </c>
      <c r="Q690" s="24">
        <v>4.2899999999999991</v>
      </c>
      <c r="R690" s="24">
        <v>38.61</v>
      </c>
      <c r="S690" s="21">
        <f t="shared" si="32"/>
        <v>-0.21042944785276071</v>
      </c>
    </row>
    <row r="691" spans="2:19" ht="11.4" customHeight="1" x14ac:dyDescent="0.2">
      <c r="B691" s="24"/>
      <c r="C691" s="4">
        <v>47268</v>
      </c>
      <c r="D691" s="18" t="s">
        <v>721</v>
      </c>
      <c r="E691" s="18" t="s">
        <v>554</v>
      </c>
      <c r="F691" s="17">
        <v>24</v>
      </c>
      <c r="G691" s="18" t="s">
        <v>23</v>
      </c>
      <c r="H691" s="17">
        <v>27.06</v>
      </c>
      <c r="I691" s="5">
        <v>44.9</v>
      </c>
      <c r="J691" s="21">
        <f t="shared" si="30"/>
        <v>0.65927568366592759</v>
      </c>
      <c r="K691" s="1">
        <v>2</v>
      </c>
      <c r="L691" s="24">
        <v>2.2000000000000002</v>
      </c>
      <c r="M691" s="24">
        <v>42.654999999999994</v>
      </c>
      <c r="N691" s="21">
        <f t="shared" si="31"/>
        <v>0.57631189948263106</v>
      </c>
      <c r="P691" s="1">
        <v>8</v>
      </c>
      <c r="Q691" s="24">
        <v>4.490000000000002</v>
      </c>
      <c r="R691" s="24">
        <v>40.409999999999997</v>
      </c>
      <c r="S691" s="21">
        <f t="shared" si="32"/>
        <v>0.49334811529933476</v>
      </c>
    </row>
    <row r="692" spans="2:19" ht="11.4" customHeight="1" x14ac:dyDescent="0.2">
      <c r="B692" s="24"/>
      <c r="C692" s="4">
        <v>45469</v>
      </c>
      <c r="D692" s="18" t="s">
        <v>722</v>
      </c>
      <c r="E692" s="18" t="s">
        <v>554</v>
      </c>
      <c r="F692" s="17">
        <v>24</v>
      </c>
      <c r="G692" s="18" t="s">
        <v>23</v>
      </c>
      <c r="H692" s="17">
        <v>31.02</v>
      </c>
      <c r="I692" s="5">
        <v>54.5</v>
      </c>
      <c r="J692" s="21">
        <f t="shared" si="30"/>
        <v>0.75693101225016124</v>
      </c>
      <c r="K692" s="1">
        <v>2</v>
      </c>
      <c r="L692" s="24">
        <v>2.7</v>
      </c>
      <c r="M692" s="24">
        <v>51.774999999999999</v>
      </c>
      <c r="N692" s="21">
        <f t="shared" si="31"/>
        <v>0.66908446163765312</v>
      </c>
      <c r="P692" s="1">
        <v>8</v>
      </c>
      <c r="Q692" s="24">
        <v>5.4499999999999957</v>
      </c>
      <c r="R692" s="24">
        <v>49.050000000000004</v>
      </c>
      <c r="S692" s="21">
        <f t="shared" si="32"/>
        <v>0.58123791102514522</v>
      </c>
    </row>
    <row r="693" spans="2:19" ht="11.4" customHeight="1" x14ac:dyDescent="0.2">
      <c r="B693" s="24"/>
      <c r="C693" s="4">
        <v>15164</v>
      </c>
      <c r="D693" s="18" t="s">
        <v>723</v>
      </c>
      <c r="E693" s="18" t="s">
        <v>554</v>
      </c>
      <c r="F693" s="17">
        <v>10</v>
      </c>
      <c r="G693" s="18" t="s">
        <v>23</v>
      </c>
      <c r="H693" s="17">
        <v>53.86</v>
      </c>
      <c r="I693" s="5">
        <v>83.1</v>
      </c>
      <c r="J693" s="21">
        <f t="shared" si="30"/>
        <v>0.54288897140735226</v>
      </c>
      <c r="K693" s="1">
        <v>2</v>
      </c>
      <c r="L693" s="24">
        <v>4.0999999999999996</v>
      </c>
      <c r="M693" s="24">
        <v>78.944999999999993</v>
      </c>
      <c r="N693" s="21">
        <f t="shared" si="31"/>
        <v>0.46574452283698464</v>
      </c>
      <c r="P693" s="1">
        <v>8</v>
      </c>
      <c r="Q693" s="24">
        <v>8.3100000000000023</v>
      </c>
      <c r="R693" s="24">
        <v>74.789999999999992</v>
      </c>
      <c r="S693" s="21">
        <f t="shared" si="32"/>
        <v>0.38860007426661702</v>
      </c>
    </row>
    <row r="694" spans="2:19" ht="11.4" customHeight="1" x14ac:dyDescent="0.2">
      <c r="B694" s="24"/>
      <c r="C694" s="4">
        <v>14505</v>
      </c>
      <c r="D694" s="18" t="s">
        <v>724</v>
      </c>
      <c r="E694" s="18" t="s">
        <v>554</v>
      </c>
      <c r="F694" s="17">
        <v>4</v>
      </c>
      <c r="G694" s="18" t="s">
        <v>23</v>
      </c>
      <c r="H694" s="17">
        <v>33.6</v>
      </c>
      <c r="I694" s="5">
        <v>39.799999999999997</v>
      </c>
      <c r="J694" s="21">
        <f t="shared" si="30"/>
        <v>0.1845238095238094</v>
      </c>
      <c r="K694" s="1">
        <v>2</v>
      </c>
      <c r="L694" s="24">
        <v>1.9</v>
      </c>
      <c r="M694" s="24">
        <v>37.809999999999995</v>
      </c>
      <c r="N694" s="21">
        <f t="shared" si="31"/>
        <v>0.12529761904761885</v>
      </c>
      <c r="P694" s="1">
        <v>8</v>
      </c>
      <c r="Q694" s="24">
        <v>3.9799999999999969</v>
      </c>
      <c r="R694" s="24">
        <v>35.82</v>
      </c>
      <c r="S694" s="21">
        <f t="shared" si="32"/>
        <v>6.6071428571428531E-2</v>
      </c>
    </row>
    <row r="695" spans="2:19" ht="11.4" customHeight="1" x14ac:dyDescent="0.2">
      <c r="B695" s="24"/>
      <c r="C695" s="4">
        <v>47264</v>
      </c>
      <c r="D695" s="18" t="s">
        <v>725</v>
      </c>
      <c r="E695" s="18" t="s">
        <v>554</v>
      </c>
      <c r="F695" s="17">
        <v>24</v>
      </c>
      <c r="G695" s="18" t="s">
        <v>23</v>
      </c>
      <c r="H695" s="17">
        <v>27.83</v>
      </c>
      <c r="I695" s="5">
        <v>47.9</v>
      </c>
      <c r="J695" s="21">
        <f t="shared" si="30"/>
        <v>0.7211642112827884</v>
      </c>
      <c r="K695" s="1">
        <v>2</v>
      </c>
      <c r="L695" s="24">
        <v>2.2999999999999998</v>
      </c>
      <c r="M695" s="24">
        <v>45.504999999999995</v>
      </c>
      <c r="N695" s="21">
        <f t="shared" si="31"/>
        <v>0.63510600071864887</v>
      </c>
      <c r="P695" s="1">
        <v>8</v>
      </c>
      <c r="Q695" s="24">
        <v>4.7899999999999991</v>
      </c>
      <c r="R695" s="24">
        <v>43.11</v>
      </c>
      <c r="S695" s="21">
        <f t="shared" si="32"/>
        <v>0.54904779015450955</v>
      </c>
    </row>
    <row r="696" spans="2:19" ht="11.4" customHeight="1" x14ac:dyDescent="0.2">
      <c r="B696" s="24"/>
      <c r="C696" s="4">
        <v>41478</v>
      </c>
      <c r="D696" s="18" t="s">
        <v>726</v>
      </c>
      <c r="E696" s="18" t="s">
        <v>554</v>
      </c>
      <c r="F696" s="17">
        <v>6</v>
      </c>
      <c r="G696" s="18" t="s">
        <v>23</v>
      </c>
      <c r="H696" s="17">
        <v>26.1</v>
      </c>
      <c r="I696" s="5">
        <v>34.5</v>
      </c>
      <c r="J696" s="21">
        <f t="shared" si="30"/>
        <v>0.32183908045977005</v>
      </c>
      <c r="K696" s="1">
        <v>2</v>
      </c>
      <c r="L696" s="24">
        <v>1.7</v>
      </c>
      <c r="M696" s="24">
        <v>32.774999999999999</v>
      </c>
      <c r="N696" s="21">
        <f t="shared" si="31"/>
        <v>0.25574712643678149</v>
      </c>
      <c r="P696" s="1">
        <v>8</v>
      </c>
      <c r="Q696" s="24">
        <v>3.4499999999999993</v>
      </c>
      <c r="R696" s="24">
        <v>31.05</v>
      </c>
      <c r="S696" s="21">
        <f t="shared" si="32"/>
        <v>0.18965517241379307</v>
      </c>
    </row>
    <row r="697" spans="2:19" ht="11.4" customHeight="1" x14ac:dyDescent="0.2">
      <c r="B697" s="24"/>
      <c r="C697" s="4">
        <v>14689</v>
      </c>
      <c r="D697" s="18" t="s">
        <v>727</v>
      </c>
      <c r="E697" s="18" t="s">
        <v>554</v>
      </c>
      <c r="F697" s="17">
        <v>6</v>
      </c>
      <c r="G697" s="18" t="s">
        <v>23</v>
      </c>
      <c r="H697" s="17">
        <v>61.5</v>
      </c>
      <c r="I697" s="5">
        <v>64.400000000000006</v>
      </c>
      <c r="J697" s="21">
        <f t="shared" si="30"/>
        <v>4.715447154471554E-2</v>
      </c>
      <c r="K697" s="1">
        <v>2</v>
      </c>
      <c r="L697" s="24">
        <v>3.2</v>
      </c>
      <c r="M697" s="24">
        <v>61.18</v>
      </c>
      <c r="N697" s="21">
        <f t="shared" si="31"/>
        <v>-5.2032520325203295E-3</v>
      </c>
      <c r="P697" s="1">
        <v>8</v>
      </c>
      <c r="Q697" s="24">
        <v>6.4399999999999977</v>
      </c>
      <c r="R697" s="24">
        <v>57.960000000000008</v>
      </c>
      <c r="S697" s="21">
        <f t="shared" si="32"/>
        <v>-5.7560975609755968E-2</v>
      </c>
    </row>
    <row r="698" spans="2:19" ht="11.4" customHeight="1" x14ac:dyDescent="0.2">
      <c r="B698" s="24"/>
      <c r="C698" s="4">
        <v>39385</v>
      </c>
      <c r="D698" s="18" t="s">
        <v>728</v>
      </c>
      <c r="E698" s="18" t="s">
        <v>554</v>
      </c>
      <c r="F698" s="17">
        <v>12</v>
      </c>
      <c r="G698" s="18" t="s">
        <v>23</v>
      </c>
      <c r="H698" s="17">
        <v>30.8</v>
      </c>
      <c r="I698" s="5">
        <v>36.9</v>
      </c>
      <c r="J698" s="21">
        <f t="shared" si="30"/>
        <v>0.19805194805194798</v>
      </c>
      <c r="K698" s="1">
        <v>2</v>
      </c>
      <c r="L698" s="24">
        <v>1.8</v>
      </c>
      <c r="M698" s="24">
        <v>35.055</v>
      </c>
      <c r="N698" s="21">
        <f t="shared" si="31"/>
        <v>0.13814935064935061</v>
      </c>
      <c r="P698" s="1">
        <v>8</v>
      </c>
      <c r="Q698" s="24">
        <v>3.6899999999999977</v>
      </c>
      <c r="R698" s="24">
        <v>33.21</v>
      </c>
      <c r="S698" s="21">
        <f t="shared" si="32"/>
        <v>7.8246753246753245E-2</v>
      </c>
    </row>
    <row r="699" spans="2:19" ht="11.4" customHeight="1" x14ac:dyDescent="0.2">
      <c r="B699" s="24"/>
      <c r="C699" s="4">
        <v>35878</v>
      </c>
      <c r="D699" s="18" t="s">
        <v>729</v>
      </c>
      <c r="E699" s="18" t="s">
        <v>554</v>
      </c>
      <c r="F699" s="17">
        <v>5</v>
      </c>
      <c r="G699" s="18" t="s">
        <v>23</v>
      </c>
      <c r="H699" s="17">
        <v>35.200000000000003</v>
      </c>
      <c r="I699" s="5">
        <v>41.4</v>
      </c>
      <c r="J699" s="21">
        <f t="shared" si="30"/>
        <v>0.17613636363636351</v>
      </c>
      <c r="K699" s="1">
        <v>2</v>
      </c>
      <c r="L699" s="24">
        <v>2</v>
      </c>
      <c r="M699" s="24">
        <v>39.33</v>
      </c>
      <c r="N699" s="21">
        <f t="shared" si="31"/>
        <v>0.11732954545454531</v>
      </c>
      <c r="P699" s="1">
        <v>8</v>
      </c>
      <c r="Q699" s="24">
        <v>4.1400000000000006</v>
      </c>
      <c r="R699" s="24">
        <v>37.26</v>
      </c>
      <c r="S699" s="21">
        <f t="shared" si="32"/>
        <v>5.8522727272727129E-2</v>
      </c>
    </row>
    <row r="700" spans="2:19" ht="11.4" customHeight="1" x14ac:dyDescent="0.2">
      <c r="B700" s="24"/>
      <c r="C700" s="4">
        <v>40822</v>
      </c>
      <c r="D700" s="18" t="s">
        <v>730</v>
      </c>
      <c r="E700" s="18" t="s">
        <v>554</v>
      </c>
      <c r="F700" s="17">
        <v>4</v>
      </c>
      <c r="G700" s="18" t="s">
        <v>23</v>
      </c>
      <c r="H700" s="17">
        <v>46.51</v>
      </c>
      <c r="I700" s="5">
        <v>55.9</v>
      </c>
      <c r="J700" s="21">
        <f t="shared" si="30"/>
        <v>0.20189206622231781</v>
      </c>
      <c r="K700" s="1">
        <v>2</v>
      </c>
      <c r="L700" s="24">
        <v>2.7</v>
      </c>
      <c r="M700" s="24">
        <v>53.104999999999997</v>
      </c>
      <c r="N700" s="21">
        <f t="shared" si="31"/>
        <v>0.14179746291120188</v>
      </c>
      <c r="P700" s="1">
        <v>8</v>
      </c>
      <c r="Q700" s="24">
        <v>5.5899999999999963</v>
      </c>
      <c r="R700" s="24">
        <v>50.31</v>
      </c>
      <c r="S700" s="21">
        <f t="shared" si="32"/>
        <v>8.1702859600086095E-2</v>
      </c>
    </row>
    <row r="701" spans="2:19" ht="11.4" customHeight="1" x14ac:dyDescent="0.2">
      <c r="B701" s="24"/>
      <c r="C701" s="4">
        <v>46431</v>
      </c>
      <c r="D701" s="18" t="s">
        <v>731</v>
      </c>
      <c r="E701" s="18" t="s">
        <v>554</v>
      </c>
      <c r="F701" s="17">
        <v>12</v>
      </c>
      <c r="G701" s="18" t="s">
        <v>23</v>
      </c>
      <c r="H701" s="17">
        <v>19.34</v>
      </c>
      <c r="I701" s="5">
        <v>28.9</v>
      </c>
      <c r="J701" s="21">
        <f t="shared" si="30"/>
        <v>0.4943123061013443</v>
      </c>
      <c r="K701" s="1">
        <v>2</v>
      </c>
      <c r="L701" s="24">
        <v>1.4</v>
      </c>
      <c r="M701" s="24">
        <v>27.454999999999998</v>
      </c>
      <c r="N701" s="21">
        <f t="shared" si="31"/>
        <v>0.41959669079627709</v>
      </c>
      <c r="P701" s="1">
        <v>8</v>
      </c>
      <c r="Q701" s="24">
        <v>2.8900000000000006</v>
      </c>
      <c r="R701" s="24">
        <v>26.009999999999998</v>
      </c>
      <c r="S701" s="21">
        <f t="shared" si="32"/>
        <v>0.34488107549120983</v>
      </c>
    </row>
    <row r="702" spans="2:19" ht="11.4" customHeight="1" x14ac:dyDescent="0.2">
      <c r="B702" s="24"/>
      <c r="C702" s="4">
        <v>42015</v>
      </c>
      <c r="D702" s="18" t="s">
        <v>732</v>
      </c>
      <c r="E702" s="18" t="s">
        <v>554</v>
      </c>
      <c r="F702" s="17">
        <v>6</v>
      </c>
      <c r="G702" s="18" t="s">
        <v>23</v>
      </c>
      <c r="H702" s="17">
        <v>53.95</v>
      </c>
      <c r="I702" s="5">
        <v>70.5</v>
      </c>
      <c r="J702" s="21">
        <f t="shared" si="30"/>
        <v>0.30676552363299342</v>
      </c>
      <c r="K702" s="1">
        <v>2</v>
      </c>
      <c r="L702" s="24">
        <v>3.5</v>
      </c>
      <c r="M702" s="24">
        <v>66.974999999999994</v>
      </c>
      <c r="N702" s="21">
        <f t="shared" si="31"/>
        <v>0.24142724745134367</v>
      </c>
      <c r="P702" s="1">
        <v>8</v>
      </c>
      <c r="Q702" s="24">
        <v>7.0499999999999972</v>
      </c>
      <c r="R702" s="24">
        <v>63.45</v>
      </c>
      <c r="S702" s="21">
        <f t="shared" si="32"/>
        <v>0.17608897126969414</v>
      </c>
    </row>
    <row r="703" spans="2:19" ht="11.4" customHeight="1" x14ac:dyDescent="0.2">
      <c r="B703" s="24"/>
      <c r="C703" s="4">
        <v>41485</v>
      </c>
      <c r="D703" s="18" t="s">
        <v>733</v>
      </c>
      <c r="E703" s="18" t="s">
        <v>554</v>
      </c>
      <c r="F703" s="17">
        <v>5</v>
      </c>
      <c r="G703" s="18" t="s">
        <v>23</v>
      </c>
      <c r="H703" s="17">
        <v>59.7</v>
      </c>
      <c r="I703" s="5">
        <v>78.900000000000006</v>
      </c>
      <c r="J703" s="21">
        <f t="shared" si="30"/>
        <v>0.32160804020100503</v>
      </c>
      <c r="K703" s="1">
        <v>2</v>
      </c>
      <c r="L703" s="24">
        <v>3.9</v>
      </c>
      <c r="M703" s="24">
        <v>74.954999999999998</v>
      </c>
      <c r="N703" s="21">
        <f t="shared" si="31"/>
        <v>0.2555276381909547</v>
      </c>
      <c r="P703" s="1">
        <v>8</v>
      </c>
      <c r="Q703" s="24">
        <v>7.8900000000000006</v>
      </c>
      <c r="R703" s="24">
        <v>71.010000000000005</v>
      </c>
      <c r="S703" s="21">
        <f t="shared" si="32"/>
        <v>0.18944723618090456</v>
      </c>
    </row>
    <row r="704" spans="2:19" ht="11.4" customHeight="1" x14ac:dyDescent="0.2">
      <c r="B704" s="24"/>
      <c r="C704" s="4">
        <v>34207</v>
      </c>
      <c r="D704" s="18" t="s">
        <v>734</v>
      </c>
      <c r="E704" s="18" t="s">
        <v>554</v>
      </c>
      <c r="F704" s="17">
        <v>12</v>
      </c>
      <c r="G704" s="18" t="s">
        <v>23</v>
      </c>
      <c r="H704" s="17">
        <v>35.6</v>
      </c>
      <c r="I704" s="5">
        <v>40.9</v>
      </c>
      <c r="J704" s="21">
        <f t="shared" si="30"/>
        <v>0.14887640449438194</v>
      </c>
      <c r="K704" s="1">
        <v>2</v>
      </c>
      <c r="L704" s="24">
        <v>2</v>
      </c>
      <c r="M704" s="24">
        <v>38.854999999999997</v>
      </c>
      <c r="N704" s="21">
        <f t="shared" si="31"/>
        <v>9.1432584269662789E-2</v>
      </c>
      <c r="P704" s="1">
        <v>8</v>
      </c>
      <c r="Q704" s="24">
        <v>4.0899999999999963</v>
      </c>
      <c r="R704" s="24">
        <v>36.81</v>
      </c>
      <c r="S704" s="21">
        <f t="shared" si="32"/>
        <v>3.3988764044943845E-2</v>
      </c>
    </row>
    <row r="705" spans="2:19" ht="11.4" customHeight="1" x14ac:dyDescent="0.2">
      <c r="B705" s="24"/>
      <c r="C705" s="4">
        <v>36790</v>
      </c>
      <c r="D705" s="18" t="s">
        <v>735</v>
      </c>
      <c r="E705" s="18" t="s">
        <v>554</v>
      </c>
      <c r="F705" s="17">
        <v>10</v>
      </c>
      <c r="G705" s="18" t="s">
        <v>23</v>
      </c>
      <c r="H705" s="17">
        <v>37.86</v>
      </c>
      <c r="I705" s="5">
        <v>47.5</v>
      </c>
      <c r="J705" s="21">
        <f t="shared" si="30"/>
        <v>0.25462229265715797</v>
      </c>
      <c r="K705" s="1">
        <v>2</v>
      </c>
      <c r="L705" s="24">
        <v>2.2999999999999998</v>
      </c>
      <c r="M705" s="24">
        <v>45.125</v>
      </c>
      <c r="N705" s="21">
        <f t="shared" si="31"/>
        <v>0.19189117802430006</v>
      </c>
      <c r="P705" s="1">
        <v>8</v>
      </c>
      <c r="Q705" s="24">
        <v>4.75</v>
      </c>
      <c r="R705" s="24">
        <v>42.75</v>
      </c>
      <c r="S705" s="21">
        <f t="shared" si="32"/>
        <v>0.12916006339144218</v>
      </c>
    </row>
    <row r="706" spans="2:19" ht="11.4" customHeight="1" x14ac:dyDescent="0.2">
      <c r="B706" s="24"/>
      <c r="C706" s="4">
        <v>37594</v>
      </c>
      <c r="D706" s="18" t="s">
        <v>736</v>
      </c>
      <c r="E706" s="18" t="s">
        <v>554</v>
      </c>
      <c r="F706" s="17">
        <v>6</v>
      </c>
      <c r="G706" s="18" t="s">
        <v>23</v>
      </c>
      <c r="H706" s="17">
        <v>89.6</v>
      </c>
      <c r="I706" s="5">
        <v>93.6</v>
      </c>
      <c r="J706" s="21">
        <f t="shared" si="30"/>
        <v>4.4642857142857144E-2</v>
      </c>
      <c r="K706" s="1">
        <v>2</v>
      </c>
      <c r="L706" s="24">
        <v>4.5999999999999996</v>
      </c>
      <c r="M706" s="24">
        <v>88.919999999999987</v>
      </c>
      <c r="N706" s="21">
        <f t="shared" si="31"/>
        <v>-7.5892857142857905E-3</v>
      </c>
      <c r="P706" s="1">
        <v>8</v>
      </c>
      <c r="Q706" s="24">
        <v>9.36</v>
      </c>
      <c r="R706" s="24">
        <v>84.24</v>
      </c>
      <c r="S706" s="21">
        <f t="shared" si="32"/>
        <v>-5.9821428571428567E-2</v>
      </c>
    </row>
    <row r="707" spans="2:19" ht="11.4" customHeight="1" x14ac:dyDescent="0.2">
      <c r="B707" s="24"/>
      <c r="C707" s="4">
        <v>39987</v>
      </c>
      <c r="D707" s="18" t="s">
        <v>737</v>
      </c>
      <c r="E707" s="18" t="s">
        <v>554</v>
      </c>
      <c r="F707" s="18"/>
      <c r="G707" s="18" t="s">
        <v>23</v>
      </c>
      <c r="H707" s="17">
        <v>57.3</v>
      </c>
      <c r="I707" s="5">
        <v>70.5</v>
      </c>
      <c r="J707" s="21">
        <f t="shared" ref="J707:J770" si="33">(I707-H707)/H707</f>
        <v>0.23036649214659691</v>
      </c>
      <c r="K707" s="1">
        <v>2</v>
      </c>
      <c r="L707" s="24">
        <v>3.5</v>
      </c>
      <c r="M707" s="24">
        <v>66.974999999999994</v>
      </c>
      <c r="N707" s="21">
        <f t="shared" ref="N707:N770" si="34">(M707-H707)/H707</f>
        <v>0.16884816753926699</v>
      </c>
      <c r="P707" s="1">
        <v>8</v>
      </c>
      <c r="Q707" s="24">
        <v>7.0499999999999972</v>
      </c>
      <c r="R707" s="24">
        <v>63.45</v>
      </c>
      <c r="S707" s="21">
        <f t="shared" ref="S707:S770" si="35">(R707-H707)/H707</f>
        <v>0.10732984293193727</v>
      </c>
    </row>
    <row r="708" spans="2:19" ht="11.4" customHeight="1" x14ac:dyDescent="0.2">
      <c r="B708" s="24"/>
      <c r="C708" s="4">
        <v>22489</v>
      </c>
      <c r="D708" s="18" t="s">
        <v>738</v>
      </c>
      <c r="E708" s="18" t="s">
        <v>554</v>
      </c>
      <c r="F708" s="17">
        <v>3</v>
      </c>
      <c r="G708" s="18" t="s">
        <v>23</v>
      </c>
      <c r="H708" s="17">
        <v>34</v>
      </c>
      <c r="I708" s="5">
        <v>38.299999999999997</v>
      </c>
      <c r="J708" s="21">
        <f t="shared" si="33"/>
        <v>0.12647058823529403</v>
      </c>
      <c r="K708" s="1">
        <v>2</v>
      </c>
      <c r="L708" s="24">
        <v>1.9</v>
      </c>
      <c r="M708" s="24">
        <v>36.384999999999998</v>
      </c>
      <c r="N708" s="21">
        <f t="shared" si="34"/>
        <v>7.0147058823529354E-2</v>
      </c>
      <c r="P708" s="1">
        <v>8</v>
      </c>
      <c r="Q708" s="24">
        <v>3.8299999999999983</v>
      </c>
      <c r="R708" s="24">
        <v>34.47</v>
      </c>
      <c r="S708" s="21">
        <f t="shared" si="35"/>
        <v>1.3823529411764672E-2</v>
      </c>
    </row>
    <row r="709" spans="2:19" ht="11.4" customHeight="1" x14ac:dyDescent="0.2">
      <c r="B709" s="24"/>
      <c r="C709" s="4">
        <v>14670</v>
      </c>
      <c r="D709" s="18" t="s">
        <v>739</v>
      </c>
      <c r="E709" s="18" t="s">
        <v>554</v>
      </c>
      <c r="F709" s="17">
        <v>6</v>
      </c>
      <c r="G709" s="18" t="s">
        <v>23</v>
      </c>
      <c r="H709" s="17">
        <v>48.1</v>
      </c>
      <c r="I709" s="5">
        <v>51.5</v>
      </c>
      <c r="J709" s="21">
        <f t="shared" si="33"/>
        <v>7.0686070686070648E-2</v>
      </c>
      <c r="K709" s="1">
        <v>2</v>
      </c>
      <c r="L709" s="24">
        <v>2.5</v>
      </c>
      <c r="M709" s="24">
        <v>48.924999999999997</v>
      </c>
      <c r="N709" s="21">
        <f t="shared" si="34"/>
        <v>1.7151767151767063E-2</v>
      </c>
      <c r="P709" s="1">
        <v>8</v>
      </c>
      <c r="Q709" s="24">
        <v>5.1499999999999986</v>
      </c>
      <c r="R709" s="24">
        <v>46.35</v>
      </c>
      <c r="S709" s="21">
        <f t="shared" si="35"/>
        <v>-3.6382536382536385E-2</v>
      </c>
    </row>
    <row r="710" spans="2:19" ht="11.4" customHeight="1" x14ac:dyDescent="0.2">
      <c r="B710" s="24"/>
      <c r="C710" s="4">
        <v>14671</v>
      </c>
      <c r="D710" s="18" t="s">
        <v>740</v>
      </c>
      <c r="E710" s="18" t="s">
        <v>554</v>
      </c>
      <c r="F710" s="17">
        <v>5</v>
      </c>
      <c r="G710" s="18" t="s">
        <v>23</v>
      </c>
      <c r="H710" s="17">
        <v>48.1</v>
      </c>
      <c r="I710" s="5">
        <v>55.9</v>
      </c>
      <c r="J710" s="21">
        <f t="shared" si="33"/>
        <v>0.16216216216216209</v>
      </c>
      <c r="K710" s="1">
        <v>2</v>
      </c>
      <c r="L710" s="24">
        <v>2.7</v>
      </c>
      <c r="M710" s="24">
        <v>53.104999999999997</v>
      </c>
      <c r="N710" s="21">
        <f t="shared" si="34"/>
        <v>0.10405405405405396</v>
      </c>
      <c r="P710" s="1">
        <v>8</v>
      </c>
      <c r="Q710" s="24">
        <v>5.5899999999999963</v>
      </c>
      <c r="R710" s="24">
        <v>50.31</v>
      </c>
      <c r="S710" s="21">
        <f t="shared" si="35"/>
        <v>4.5945945945945962E-2</v>
      </c>
    </row>
    <row r="711" spans="2:19" ht="11.4" customHeight="1" x14ac:dyDescent="0.2">
      <c r="B711" s="24"/>
      <c r="C711" s="4">
        <v>45467</v>
      </c>
      <c r="D711" s="18" t="s">
        <v>741</v>
      </c>
      <c r="E711" s="18" t="s">
        <v>554</v>
      </c>
      <c r="F711" s="17">
        <v>24</v>
      </c>
      <c r="G711" s="18" t="s">
        <v>23</v>
      </c>
      <c r="H711" s="17">
        <v>31.02</v>
      </c>
      <c r="I711" s="5">
        <v>54.5</v>
      </c>
      <c r="J711" s="21">
        <f t="shared" si="33"/>
        <v>0.75693101225016124</v>
      </c>
      <c r="K711" s="1">
        <v>2</v>
      </c>
      <c r="L711" s="24">
        <v>2.7</v>
      </c>
      <c r="M711" s="24">
        <v>51.774999999999999</v>
      </c>
      <c r="N711" s="21">
        <f t="shared" si="34"/>
        <v>0.66908446163765312</v>
      </c>
      <c r="P711" s="1">
        <v>8</v>
      </c>
      <c r="Q711" s="24">
        <v>5.4499999999999957</v>
      </c>
      <c r="R711" s="24">
        <v>49.050000000000004</v>
      </c>
      <c r="S711" s="21">
        <f t="shared" si="35"/>
        <v>0.58123791102514522</v>
      </c>
    </row>
    <row r="712" spans="2:19" ht="11.4" customHeight="1" x14ac:dyDescent="0.2">
      <c r="B712" s="24"/>
      <c r="C712" s="4">
        <v>35722</v>
      </c>
      <c r="D712" s="18" t="s">
        <v>742</v>
      </c>
      <c r="E712" s="18" t="s">
        <v>554</v>
      </c>
      <c r="F712" s="17">
        <v>24</v>
      </c>
      <c r="G712" s="18" t="s">
        <v>23</v>
      </c>
      <c r="H712" s="17">
        <v>35.9</v>
      </c>
      <c r="I712" s="5">
        <v>42</v>
      </c>
      <c r="J712" s="21">
        <f t="shared" si="33"/>
        <v>0.16991643454039002</v>
      </c>
      <c r="K712" s="1">
        <v>2</v>
      </c>
      <c r="L712" s="24">
        <v>2.1</v>
      </c>
      <c r="M712" s="24">
        <v>39.9</v>
      </c>
      <c r="N712" s="21">
        <f t="shared" si="34"/>
        <v>0.11142061281337048</v>
      </c>
      <c r="P712" s="1">
        <v>8</v>
      </c>
      <c r="Q712" s="24">
        <v>4.1999999999999957</v>
      </c>
      <c r="R712" s="24">
        <v>37.800000000000004</v>
      </c>
      <c r="S712" s="21">
        <f t="shared" si="35"/>
        <v>5.2924791086351133E-2</v>
      </c>
    </row>
    <row r="713" spans="2:19" ht="11.4" customHeight="1" x14ac:dyDescent="0.2">
      <c r="B713" s="24"/>
      <c r="C713" s="4">
        <v>37803</v>
      </c>
      <c r="D713" s="18" t="s">
        <v>743</v>
      </c>
      <c r="E713" s="18" t="s">
        <v>554</v>
      </c>
      <c r="F713" s="17">
        <v>12</v>
      </c>
      <c r="G713" s="18" t="s">
        <v>23</v>
      </c>
      <c r="H713" s="17">
        <v>60.1</v>
      </c>
      <c r="I713" s="5">
        <v>63.7</v>
      </c>
      <c r="J713" s="21">
        <f t="shared" si="33"/>
        <v>5.9900166389351105E-2</v>
      </c>
      <c r="K713" s="1">
        <v>2</v>
      </c>
      <c r="L713" s="24">
        <v>3.1</v>
      </c>
      <c r="M713" s="24">
        <v>60.515000000000001</v>
      </c>
      <c r="N713" s="21">
        <f t="shared" si="34"/>
        <v>6.9051580698835128E-3</v>
      </c>
      <c r="P713" s="1">
        <v>8</v>
      </c>
      <c r="Q713" s="24">
        <v>6.3699999999999974</v>
      </c>
      <c r="R713" s="24">
        <v>57.330000000000005</v>
      </c>
      <c r="S713" s="21">
        <f t="shared" si="35"/>
        <v>-4.6089850249583959E-2</v>
      </c>
    </row>
    <row r="714" spans="2:19" ht="11.4" customHeight="1" x14ac:dyDescent="0.2">
      <c r="B714" s="24"/>
      <c r="C714" s="4">
        <v>5045</v>
      </c>
      <c r="D714" s="18" t="s">
        <v>744</v>
      </c>
      <c r="E714" s="18" t="s">
        <v>554</v>
      </c>
      <c r="F714" s="17">
        <v>12</v>
      </c>
      <c r="G714" s="18" t="s">
        <v>23</v>
      </c>
      <c r="H714" s="17">
        <v>33.200000000000003</v>
      </c>
      <c r="I714" s="5">
        <v>34.5</v>
      </c>
      <c r="J714" s="21">
        <f t="shared" si="33"/>
        <v>3.9156626506024007E-2</v>
      </c>
      <c r="K714" s="1">
        <v>2</v>
      </c>
      <c r="L714" s="24">
        <v>1.7</v>
      </c>
      <c r="M714" s="24">
        <v>32.774999999999999</v>
      </c>
      <c r="N714" s="21">
        <f t="shared" si="34"/>
        <v>-1.2801204819277236E-2</v>
      </c>
      <c r="P714" s="1">
        <v>8</v>
      </c>
      <c r="Q714" s="24">
        <v>3.4499999999999993</v>
      </c>
      <c r="R714" s="24">
        <v>31.05</v>
      </c>
      <c r="S714" s="21">
        <f t="shared" si="35"/>
        <v>-6.4759036144578369E-2</v>
      </c>
    </row>
    <row r="715" spans="2:19" ht="11.4" customHeight="1" x14ac:dyDescent="0.2">
      <c r="B715" s="24"/>
      <c r="C715" s="4">
        <v>23745</v>
      </c>
      <c r="D715" s="18" t="s">
        <v>745</v>
      </c>
      <c r="E715" s="18" t="s">
        <v>554</v>
      </c>
      <c r="F715" s="17">
        <v>5</v>
      </c>
      <c r="G715" s="18" t="s">
        <v>23</v>
      </c>
      <c r="H715" s="17">
        <v>30.2</v>
      </c>
      <c r="I715" s="5">
        <v>37</v>
      </c>
      <c r="J715" s="21">
        <f t="shared" si="33"/>
        <v>0.22516556291390732</v>
      </c>
      <c r="K715" s="1">
        <v>2</v>
      </c>
      <c r="L715" s="24">
        <v>1.8</v>
      </c>
      <c r="M715" s="24">
        <v>35.15</v>
      </c>
      <c r="N715" s="21">
        <f t="shared" si="34"/>
        <v>0.1639072847682119</v>
      </c>
      <c r="P715" s="1">
        <v>8</v>
      </c>
      <c r="Q715" s="24">
        <v>3.6999999999999957</v>
      </c>
      <c r="R715" s="24">
        <v>33.300000000000004</v>
      </c>
      <c r="S715" s="21">
        <f t="shared" si="35"/>
        <v>0.10264900662251672</v>
      </c>
    </row>
    <row r="716" spans="2:19" ht="11.4" customHeight="1" x14ac:dyDescent="0.2">
      <c r="B716" s="24"/>
      <c r="C716" s="4">
        <v>35189</v>
      </c>
      <c r="D716" s="18" t="s">
        <v>746</v>
      </c>
      <c r="E716" s="18" t="s">
        <v>554</v>
      </c>
      <c r="F716" s="17">
        <v>12</v>
      </c>
      <c r="G716" s="18" t="s">
        <v>23</v>
      </c>
      <c r="H716" s="17">
        <v>33.5</v>
      </c>
      <c r="I716" s="5">
        <v>37.799999999999997</v>
      </c>
      <c r="J716" s="21">
        <f t="shared" si="33"/>
        <v>0.12835820895522379</v>
      </c>
      <c r="K716" s="1">
        <v>2</v>
      </c>
      <c r="L716" s="24">
        <v>1.8</v>
      </c>
      <c r="M716" s="24">
        <v>35.909999999999997</v>
      </c>
      <c r="N716" s="21">
        <f t="shared" si="34"/>
        <v>7.1940298507462586E-2</v>
      </c>
      <c r="P716" s="1">
        <v>8</v>
      </c>
      <c r="Q716" s="24">
        <v>3.7800000000000011</v>
      </c>
      <c r="R716" s="24">
        <v>34.019999999999996</v>
      </c>
      <c r="S716" s="21">
        <f t="shared" si="35"/>
        <v>1.5522388059701374E-2</v>
      </c>
    </row>
    <row r="717" spans="2:19" ht="11.4" customHeight="1" x14ac:dyDescent="0.2">
      <c r="B717" s="24"/>
      <c r="C717" s="4">
        <v>47783</v>
      </c>
      <c r="D717" s="18" t="s">
        <v>747</v>
      </c>
      <c r="E717" s="18" t="s">
        <v>554</v>
      </c>
      <c r="F717" s="17">
        <v>24</v>
      </c>
      <c r="G717" s="18" t="s">
        <v>23</v>
      </c>
      <c r="H717" s="18"/>
      <c r="I717" s="5">
        <v>45.2</v>
      </c>
      <c r="J717" s="21" t="e">
        <f t="shared" si="33"/>
        <v>#DIV/0!</v>
      </c>
      <c r="K717" s="1">
        <v>2</v>
      </c>
      <c r="L717" s="24">
        <v>2.2000000000000002</v>
      </c>
      <c r="M717" s="24">
        <v>42.94</v>
      </c>
      <c r="N717" s="21" t="e">
        <f t="shared" si="34"/>
        <v>#DIV/0!</v>
      </c>
      <c r="P717" s="1">
        <v>8</v>
      </c>
      <c r="Q717" s="24">
        <v>4.519999999999996</v>
      </c>
      <c r="R717" s="24">
        <v>40.680000000000007</v>
      </c>
      <c r="S717" s="21" t="e">
        <f t="shared" si="35"/>
        <v>#DIV/0!</v>
      </c>
    </row>
    <row r="718" spans="2:19" ht="11.4" customHeight="1" x14ac:dyDescent="0.2">
      <c r="B718" s="24"/>
      <c r="C718" s="4">
        <v>47785</v>
      </c>
      <c r="D718" s="18" t="s">
        <v>748</v>
      </c>
      <c r="E718" s="18" t="s">
        <v>554</v>
      </c>
      <c r="F718" s="17">
        <v>24</v>
      </c>
      <c r="G718" s="18" t="s">
        <v>23</v>
      </c>
      <c r="H718" s="18"/>
      <c r="I718" s="5">
        <v>45.2</v>
      </c>
      <c r="J718" s="21" t="e">
        <f t="shared" si="33"/>
        <v>#DIV/0!</v>
      </c>
      <c r="K718" s="1">
        <v>2</v>
      </c>
      <c r="L718" s="24">
        <v>2.2000000000000002</v>
      </c>
      <c r="M718" s="24">
        <v>42.94</v>
      </c>
      <c r="N718" s="21" t="e">
        <f t="shared" si="34"/>
        <v>#DIV/0!</v>
      </c>
      <c r="P718" s="1">
        <v>8</v>
      </c>
      <c r="Q718" s="24">
        <v>4.519999999999996</v>
      </c>
      <c r="R718" s="24">
        <v>40.680000000000007</v>
      </c>
      <c r="S718" s="21" t="e">
        <f t="shared" si="35"/>
        <v>#DIV/0!</v>
      </c>
    </row>
    <row r="719" spans="2:19" ht="11.4" customHeight="1" x14ac:dyDescent="0.2">
      <c r="B719" s="24"/>
      <c r="C719" s="4">
        <v>47784</v>
      </c>
      <c r="D719" s="18" t="s">
        <v>749</v>
      </c>
      <c r="E719" s="18" t="s">
        <v>554</v>
      </c>
      <c r="F719" s="17">
        <v>24</v>
      </c>
      <c r="G719" s="18" t="s">
        <v>23</v>
      </c>
      <c r="H719" s="18"/>
      <c r="I719" s="5">
        <v>49</v>
      </c>
      <c r="J719" s="21" t="e">
        <f t="shared" si="33"/>
        <v>#DIV/0!</v>
      </c>
      <c r="K719" s="1">
        <v>2</v>
      </c>
      <c r="L719" s="24">
        <v>2.4</v>
      </c>
      <c r="M719" s="24">
        <v>46.55</v>
      </c>
      <c r="N719" s="21" t="e">
        <f t="shared" si="34"/>
        <v>#DIV/0!</v>
      </c>
      <c r="P719" s="1">
        <v>8</v>
      </c>
      <c r="Q719" s="24">
        <v>4.8999999999999986</v>
      </c>
      <c r="R719" s="24">
        <v>44.1</v>
      </c>
      <c r="S719" s="21" t="e">
        <f t="shared" si="35"/>
        <v>#DIV/0!</v>
      </c>
    </row>
    <row r="720" spans="2:19" ht="11.4" customHeight="1" x14ac:dyDescent="0.2">
      <c r="B720" s="24"/>
      <c r="C720" s="4">
        <v>33150</v>
      </c>
      <c r="D720" s="18" t="s">
        <v>750</v>
      </c>
      <c r="E720" s="18" t="s">
        <v>554</v>
      </c>
      <c r="F720" s="17">
        <v>12</v>
      </c>
      <c r="G720" s="18" t="s">
        <v>23</v>
      </c>
      <c r="H720" s="17">
        <v>46.5</v>
      </c>
      <c r="I720" s="5">
        <v>54.5</v>
      </c>
      <c r="J720" s="21">
        <f t="shared" si="33"/>
        <v>0.17204301075268819</v>
      </c>
      <c r="K720" s="1">
        <v>2</v>
      </c>
      <c r="L720" s="24">
        <v>2.7</v>
      </c>
      <c r="M720" s="24">
        <v>51.774999999999999</v>
      </c>
      <c r="N720" s="21">
        <f t="shared" si="34"/>
        <v>0.11344086021505373</v>
      </c>
      <c r="P720" s="1">
        <v>8</v>
      </c>
      <c r="Q720" s="24">
        <v>5.4499999999999957</v>
      </c>
      <c r="R720" s="24">
        <v>49.050000000000004</v>
      </c>
      <c r="S720" s="21">
        <f t="shared" si="35"/>
        <v>5.4838709677419446E-2</v>
      </c>
    </row>
    <row r="721" spans="2:19" ht="11.4" customHeight="1" x14ac:dyDescent="0.2">
      <c r="B721" s="24"/>
      <c r="C721" s="4">
        <v>41483</v>
      </c>
      <c r="D721" s="18" t="s">
        <v>751</v>
      </c>
      <c r="E721" s="18" t="s">
        <v>554</v>
      </c>
      <c r="F721" s="17">
        <v>5</v>
      </c>
      <c r="G721" s="18" t="s">
        <v>23</v>
      </c>
      <c r="H721" s="17">
        <v>61.38</v>
      </c>
      <c r="I721" s="5">
        <v>71.900000000000006</v>
      </c>
      <c r="J721" s="21">
        <f t="shared" si="33"/>
        <v>0.1713913326816553</v>
      </c>
      <c r="K721" s="1">
        <v>2</v>
      </c>
      <c r="L721" s="24">
        <v>3.5</v>
      </c>
      <c r="M721" s="24">
        <v>68.305000000000007</v>
      </c>
      <c r="N721" s="21">
        <f t="shared" si="34"/>
        <v>0.11282176604757256</v>
      </c>
      <c r="P721" s="1">
        <v>8</v>
      </c>
      <c r="Q721" s="24">
        <v>7.1899999999999977</v>
      </c>
      <c r="R721" s="24">
        <v>64.710000000000008</v>
      </c>
      <c r="S721" s="21">
        <f t="shared" si="35"/>
        <v>5.425219941348982E-2</v>
      </c>
    </row>
    <row r="722" spans="2:19" ht="11.4" customHeight="1" x14ac:dyDescent="0.2">
      <c r="B722" s="24"/>
      <c r="C722" s="4">
        <v>45465</v>
      </c>
      <c r="D722" s="18" t="s">
        <v>752</v>
      </c>
      <c r="E722" s="18" t="s">
        <v>554</v>
      </c>
      <c r="F722" s="17">
        <v>6</v>
      </c>
      <c r="G722" s="18" t="s">
        <v>23</v>
      </c>
      <c r="H722" s="17">
        <v>47.82</v>
      </c>
      <c r="I722" s="5">
        <v>76.5</v>
      </c>
      <c r="J722" s="21">
        <f t="shared" si="33"/>
        <v>0.59974905897114172</v>
      </c>
      <c r="K722" s="1">
        <v>2</v>
      </c>
      <c r="L722" s="24">
        <v>3.8</v>
      </c>
      <c r="M722" s="24">
        <v>72.674999999999997</v>
      </c>
      <c r="N722" s="21">
        <f t="shared" si="34"/>
        <v>0.51976160602258459</v>
      </c>
      <c r="P722" s="1">
        <v>8</v>
      </c>
      <c r="Q722" s="24">
        <v>7.6499999999999915</v>
      </c>
      <c r="R722" s="24">
        <v>68.850000000000009</v>
      </c>
      <c r="S722" s="21">
        <f t="shared" si="35"/>
        <v>0.43977415307402778</v>
      </c>
    </row>
    <row r="723" spans="2:19" ht="11.4" customHeight="1" x14ac:dyDescent="0.2">
      <c r="B723" s="24"/>
      <c r="C723" s="4">
        <v>47266</v>
      </c>
      <c r="D723" s="18" t="s">
        <v>753</v>
      </c>
      <c r="E723" s="18" t="s">
        <v>554</v>
      </c>
      <c r="F723" s="17">
        <v>24</v>
      </c>
      <c r="G723" s="18" t="s">
        <v>23</v>
      </c>
      <c r="H723" s="17">
        <v>27.84</v>
      </c>
      <c r="I723" s="5">
        <v>45.9</v>
      </c>
      <c r="J723" s="21">
        <f t="shared" si="33"/>
        <v>0.64870689655172409</v>
      </c>
      <c r="K723" s="1">
        <v>2</v>
      </c>
      <c r="L723" s="24">
        <v>2.2000000000000002</v>
      </c>
      <c r="M723" s="24">
        <v>43.604999999999997</v>
      </c>
      <c r="N723" s="21">
        <f t="shared" si="34"/>
        <v>0.56627155172413779</v>
      </c>
      <c r="P723" s="1">
        <v>8</v>
      </c>
      <c r="Q723" s="24">
        <v>4.5899999999999963</v>
      </c>
      <c r="R723" s="24">
        <v>41.31</v>
      </c>
      <c r="S723" s="21">
        <f t="shared" si="35"/>
        <v>0.48383620689655182</v>
      </c>
    </row>
    <row r="724" spans="2:19" ht="11.4" customHeight="1" x14ac:dyDescent="0.2">
      <c r="B724" s="24"/>
      <c r="C724" s="4">
        <v>24390</v>
      </c>
      <c r="D724" s="18" t="s">
        <v>754</v>
      </c>
      <c r="E724" s="18" t="s">
        <v>554</v>
      </c>
      <c r="F724" s="17">
        <v>24</v>
      </c>
      <c r="G724" s="18" t="s">
        <v>23</v>
      </c>
      <c r="H724" s="17">
        <v>40.799999999999997</v>
      </c>
      <c r="I724" s="5">
        <v>48.6</v>
      </c>
      <c r="J724" s="21">
        <f t="shared" si="33"/>
        <v>0.19117647058823542</v>
      </c>
      <c r="K724" s="1">
        <v>2</v>
      </c>
      <c r="L724" s="24">
        <v>2.4</v>
      </c>
      <c r="M724" s="24">
        <v>46.17</v>
      </c>
      <c r="N724" s="21">
        <f t="shared" si="34"/>
        <v>0.13161764705882364</v>
      </c>
      <c r="P724" s="1">
        <v>8</v>
      </c>
      <c r="Q724" s="24">
        <v>4.8599999999999994</v>
      </c>
      <c r="R724" s="24">
        <v>43.74</v>
      </c>
      <c r="S724" s="21">
        <f t="shared" si="35"/>
        <v>7.2058823529411883E-2</v>
      </c>
    </row>
    <row r="725" spans="2:19" ht="11.4" customHeight="1" x14ac:dyDescent="0.2">
      <c r="B725" s="24"/>
      <c r="C725" s="4">
        <v>41484</v>
      </c>
      <c r="D725" s="18" t="s">
        <v>755</v>
      </c>
      <c r="E725" s="18" t="s">
        <v>554</v>
      </c>
      <c r="F725" s="17">
        <v>5</v>
      </c>
      <c r="G725" s="18" t="s">
        <v>23</v>
      </c>
      <c r="H725" s="17">
        <v>67.5</v>
      </c>
      <c r="I725" s="5">
        <v>87.9</v>
      </c>
      <c r="J725" s="21">
        <f t="shared" si="33"/>
        <v>0.30222222222222228</v>
      </c>
      <c r="K725" s="1">
        <v>2</v>
      </c>
      <c r="L725" s="24">
        <v>4.3</v>
      </c>
      <c r="M725" s="24">
        <v>83.504999999999995</v>
      </c>
      <c r="N725" s="21">
        <f t="shared" si="34"/>
        <v>0.23711111111111105</v>
      </c>
      <c r="P725" s="1">
        <v>8</v>
      </c>
      <c r="Q725" s="24">
        <v>8.789999999999992</v>
      </c>
      <c r="R725" s="24">
        <v>79.110000000000014</v>
      </c>
      <c r="S725" s="21">
        <f t="shared" si="35"/>
        <v>0.17200000000000021</v>
      </c>
    </row>
    <row r="726" spans="2:19" ht="11.4" customHeight="1" x14ac:dyDescent="0.2">
      <c r="B726" s="24"/>
      <c r="C726" s="4">
        <v>23468</v>
      </c>
      <c r="D726" s="18" t="s">
        <v>756</v>
      </c>
      <c r="E726" s="18" t="s">
        <v>554</v>
      </c>
      <c r="F726" s="17">
        <v>8</v>
      </c>
      <c r="G726" s="18" t="s">
        <v>23</v>
      </c>
      <c r="H726" s="17">
        <v>83.2</v>
      </c>
      <c r="I726" s="5">
        <v>93.8</v>
      </c>
      <c r="J726" s="21">
        <f t="shared" si="33"/>
        <v>0.12740384615384609</v>
      </c>
      <c r="K726" s="1">
        <v>2</v>
      </c>
      <c r="L726" s="24">
        <v>4.5999999999999996</v>
      </c>
      <c r="M726" s="24">
        <v>89.11</v>
      </c>
      <c r="N726" s="21">
        <f t="shared" si="34"/>
        <v>7.1033653846153802E-2</v>
      </c>
      <c r="P726" s="1">
        <v>8</v>
      </c>
      <c r="Q726" s="24">
        <v>9.3799999999999955</v>
      </c>
      <c r="R726" s="24">
        <v>84.42</v>
      </c>
      <c r="S726" s="21">
        <f t="shared" si="35"/>
        <v>1.4663461538461525E-2</v>
      </c>
    </row>
    <row r="727" spans="2:19" ht="11.4" customHeight="1" x14ac:dyDescent="0.2">
      <c r="B727" s="24"/>
      <c r="C727" s="4">
        <v>15839</v>
      </c>
      <c r="D727" s="18" t="s">
        <v>757</v>
      </c>
      <c r="E727" s="18" t="s">
        <v>554</v>
      </c>
      <c r="F727" s="17">
        <v>10</v>
      </c>
      <c r="G727" s="18" t="s">
        <v>23</v>
      </c>
      <c r="H727" s="17">
        <v>66.599999999999994</v>
      </c>
      <c r="I727" s="5">
        <v>72.599999999999994</v>
      </c>
      <c r="J727" s="21">
        <f t="shared" si="33"/>
        <v>9.00900900900901E-2</v>
      </c>
      <c r="K727" s="1">
        <v>2</v>
      </c>
      <c r="L727" s="24">
        <v>3.6</v>
      </c>
      <c r="M727" s="24">
        <v>68.969999999999985</v>
      </c>
      <c r="N727" s="21">
        <f t="shared" si="34"/>
        <v>3.5585585585585444E-2</v>
      </c>
      <c r="P727" s="1">
        <v>8</v>
      </c>
      <c r="Q727" s="24">
        <v>7.2599999999999909</v>
      </c>
      <c r="R727" s="24">
        <v>65.34</v>
      </c>
      <c r="S727" s="21">
        <f t="shared" si="35"/>
        <v>-1.8918918918918785E-2</v>
      </c>
    </row>
    <row r="728" spans="2:19" ht="11.4" customHeight="1" x14ac:dyDescent="0.2">
      <c r="B728" s="24"/>
      <c r="C728" s="4">
        <v>33549</v>
      </c>
      <c r="D728" s="18" t="s">
        <v>758</v>
      </c>
      <c r="E728" s="18" t="s">
        <v>554</v>
      </c>
      <c r="F728" s="17">
        <v>4</v>
      </c>
      <c r="G728" s="18" t="s">
        <v>23</v>
      </c>
      <c r="H728" s="17">
        <v>36.6</v>
      </c>
      <c r="I728" s="5">
        <v>43.9</v>
      </c>
      <c r="J728" s="21">
        <f t="shared" si="33"/>
        <v>0.19945355191256822</v>
      </c>
      <c r="K728" s="1">
        <v>2</v>
      </c>
      <c r="L728" s="24">
        <v>2.1</v>
      </c>
      <c r="M728" s="24">
        <v>41.704999999999998</v>
      </c>
      <c r="N728" s="21">
        <f t="shared" si="34"/>
        <v>0.13948087431693981</v>
      </c>
      <c r="P728" s="1">
        <v>8</v>
      </c>
      <c r="Q728" s="24">
        <v>4.3900000000000006</v>
      </c>
      <c r="R728" s="24">
        <v>39.51</v>
      </c>
      <c r="S728" s="21">
        <f t="shared" si="35"/>
        <v>7.9508196721311375E-2</v>
      </c>
    </row>
    <row r="729" spans="2:19" ht="11.4" customHeight="1" x14ac:dyDescent="0.2">
      <c r="B729" s="24"/>
      <c r="C729" s="4">
        <v>40622</v>
      </c>
      <c r="D729" s="18" t="s">
        <v>759</v>
      </c>
      <c r="E729" s="18" t="s">
        <v>554</v>
      </c>
      <c r="F729" s="17">
        <v>24</v>
      </c>
      <c r="G729" s="18" t="s">
        <v>23</v>
      </c>
      <c r="H729" s="17">
        <v>58.08</v>
      </c>
      <c r="I729" s="5">
        <v>82.3</v>
      </c>
      <c r="J729" s="21">
        <f t="shared" si="33"/>
        <v>0.41701101928374656</v>
      </c>
      <c r="K729" s="1">
        <v>2</v>
      </c>
      <c r="L729" s="24">
        <v>4.0999999999999996</v>
      </c>
      <c r="M729" s="24">
        <v>78.184999999999988</v>
      </c>
      <c r="N729" s="21">
        <f t="shared" si="34"/>
        <v>0.34616046831955904</v>
      </c>
      <c r="P729" s="1">
        <v>8</v>
      </c>
      <c r="Q729" s="24">
        <v>8.230000000000004</v>
      </c>
      <c r="R729" s="24">
        <v>74.069999999999993</v>
      </c>
      <c r="S729" s="21">
        <f t="shared" si="35"/>
        <v>0.2753099173553718</v>
      </c>
    </row>
    <row r="730" spans="2:19" ht="11.4" customHeight="1" x14ac:dyDescent="0.2">
      <c r="B730" s="24"/>
      <c r="C730" s="4">
        <v>40620</v>
      </c>
      <c r="D730" s="18" t="s">
        <v>760</v>
      </c>
      <c r="E730" s="18" t="s">
        <v>554</v>
      </c>
      <c r="F730" s="17">
        <v>20</v>
      </c>
      <c r="G730" s="18" t="s">
        <v>23</v>
      </c>
      <c r="H730" s="17">
        <v>58.08</v>
      </c>
      <c r="I730" s="5">
        <v>84.9</v>
      </c>
      <c r="J730" s="21">
        <f t="shared" si="33"/>
        <v>0.46177685950413239</v>
      </c>
      <c r="K730" s="1">
        <v>2</v>
      </c>
      <c r="L730" s="24">
        <v>4.2</v>
      </c>
      <c r="M730" s="24">
        <v>80.655000000000001</v>
      </c>
      <c r="N730" s="21">
        <f t="shared" si="34"/>
        <v>0.38868801652892571</v>
      </c>
      <c r="P730" s="1">
        <v>8</v>
      </c>
      <c r="Q730" s="24">
        <v>8.4899999999999949</v>
      </c>
      <c r="R730" s="24">
        <v>76.410000000000011</v>
      </c>
      <c r="S730" s="21">
        <f t="shared" si="35"/>
        <v>0.31559917355371925</v>
      </c>
    </row>
    <row r="731" spans="2:19" ht="11.4" customHeight="1" x14ac:dyDescent="0.2">
      <c r="B731" s="24"/>
      <c r="C731" s="4">
        <v>20722</v>
      </c>
      <c r="D731" s="18" t="s">
        <v>761</v>
      </c>
      <c r="E731" s="18" t="s">
        <v>554</v>
      </c>
      <c r="F731" s="17">
        <v>8</v>
      </c>
      <c r="G731" s="18" t="s">
        <v>23</v>
      </c>
      <c r="H731" s="17">
        <v>39.5</v>
      </c>
      <c r="I731" s="5">
        <v>40.9</v>
      </c>
      <c r="J731" s="21">
        <f t="shared" si="33"/>
        <v>3.5443037974683511E-2</v>
      </c>
      <c r="K731" s="1">
        <v>2</v>
      </c>
      <c r="L731" s="24">
        <v>2</v>
      </c>
      <c r="M731" s="24">
        <v>38.854999999999997</v>
      </c>
      <c r="N731" s="21">
        <f t="shared" si="34"/>
        <v>-1.6329113924050714E-2</v>
      </c>
      <c r="P731" s="1">
        <v>8</v>
      </c>
      <c r="Q731" s="24">
        <v>4.0899999999999963</v>
      </c>
      <c r="R731" s="24">
        <v>36.81</v>
      </c>
      <c r="S731" s="21">
        <f t="shared" si="35"/>
        <v>-6.8101265822784751E-2</v>
      </c>
    </row>
    <row r="732" spans="2:19" ht="11.4" customHeight="1" x14ac:dyDescent="0.2">
      <c r="B732" s="24"/>
      <c r="C732" s="4">
        <v>24284</v>
      </c>
      <c r="D732" s="18" t="s">
        <v>762</v>
      </c>
      <c r="E732" s="18" t="s">
        <v>554</v>
      </c>
      <c r="F732" s="17">
        <v>24</v>
      </c>
      <c r="G732" s="18" t="s">
        <v>23</v>
      </c>
      <c r="H732" s="17">
        <v>41.1</v>
      </c>
      <c r="I732" s="5">
        <v>48.3</v>
      </c>
      <c r="J732" s="21">
        <f t="shared" si="33"/>
        <v>0.17518248175182471</v>
      </c>
      <c r="K732" s="1">
        <v>2</v>
      </c>
      <c r="L732" s="24">
        <v>2.4</v>
      </c>
      <c r="M732" s="24">
        <v>45.884999999999998</v>
      </c>
      <c r="N732" s="21">
        <f t="shared" si="34"/>
        <v>0.11642335766423349</v>
      </c>
      <c r="P732" s="1">
        <v>8</v>
      </c>
      <c r="Q732" s="24">
        <v>4.8299999999999983</v>
      </c>
      <c r="R732" s="24">
        <v>43.47</v>
      </c>
      <c r="S732" s="21">
        <f t="shared" si="35"/>
        <v>5.7664233576642271E-2</v>
      </c>
    </row>
    <row r="733" spans="2:19" ht="11.4" customHeight="1" x14ac:dyDescent="0.2">
      <c r="B733" s="24"/>
      <c r="C733" s="4">
        <v>34100</v>
      </c>
      <c r="D733" s="18" t="s">
        <v>763</v>
      </c>
      <c r="E733" s="18" t="s">
        <v>554</v>
      </c>
      <c r="F733" s="17">
        <v>6</v>
      </c>
      <c r="G733" s="18" t="s">
        <v>23</v>
      </c>
      <c r="H733" s="17">
        <v>62.9</v>
      </c>
      <c r="I733" s="5">
        <v>76.400000000000006</v>
      </c>
      <c r="J733" s="21">
        <f t="shared" si="33"/>
        <v>0.21462639109697945</v>
      </c>
      <c r="K733" s="1">
        <v>2</v>
      </c>
      <c r="L733" s="24">
        <v>3.8</v>
      </c>
      <c r="M733" s="24">
        <v>72.58</v>
      </c>
      <c r="N733" s="21">
        <f t="shared" si="34"/>
        <v>0.15389507154213036</v>
      </c>
      <c r="P733" s="1">
        <v>8</v>
      </c>
      <c r="Q733" s="24">
        <v>7.6400000000000006</v>
      </c>
      <c r="R733" s="24">
        <v>68.760000000000005</v>
      </c>
      <c r="S733" s="21">
        <f t="shared" si="35"/>
        <v>9.316375198728151E-2</v>
      </c>
    </row>
    <row r="734" spans="2:19" ht="11.4" customHeight="1" x14ac:dyDescent="0.2">
      <c r="B734" s="24"/>
      <c r="C734" s="4">
        <v>14682</v>
      </c>
      <c r="D734" s="18" t="s">
        <v>764</v>
      </c>
      <c r="E734" s="18" t="s">
        <v>554</v>
      </c>
      <c r="F734" s="17">
        <v>12</v>
      </c>
      <c r="G734" s="18" t="s">
        <v>23</v>
      </c>
      <c r="H734" s="17">
        <v>28.5</v>
      </c>
      <c r="I734" s="5">
        <v>34.700000000000003</v>
      </c>
      <c r="J734" s="21">
        <f t="shared" si="33"/>
        <v>0.2175438596491229</v>
      </c>
      <c r="K734" s="1">
        <v>2</v>
      </c>
      <c r="L734" s="24">
        <v>1.7</v>
      </c>
      <c r="M734" s="24">
        <v>32.965000000000003</v>
      </c>
      <c r="N734" s="21">
        <f t="shared" si="34"/>
        <v>0.15666666666666679</v>
      </c>
      <c r="P734" s="1">
        <v>8</v>
      </c>
      <c r="Q734" s="24">
        <v>3.4699999999999989</v>
      </c>
      <c r="R734" s="24">
        <v>31.230000000000004</v>
      </c>
      <c r="S734" s="21">
        <f t="shared" si="35"/>
        <v>9.578947368421066E-2</v>
      </c>
    </row>
    <row r="735" spans="2:19" ht="11.4" customHeight="1" x14ac:dyDescent="0.2">
      <c r="B735" s="24"/>
      <c r="C735" s="4">
        <v>40634</v>
      </c>
      <c r="D735" s="18" t="s">
        <v>765</v>
      </c>
      <c r="E735" s="18" t="s">
        <v>554</v>
      </c>
      <c r="F735" s="17">
        <v>20</v>
      </c>
      <c r="G735" s="18" t="s">
        <v>23</v>
      </c>
      <c r="H735" s="17">
        <v>41.52</v>
      </c>
      <c r="I735" s="5">
        <v>79.900000000000006</v>
      </c>
      <c r="J735" s="21">
        <f t="shared" si="33"/>
        <v>0.92437379576107903</v>
      </c>
      <c r="K735" s="1">
        <v>2</v>
      </c>
      <c r="L735" s="24">
        <v>3.9</v>
      </c>
      <c r="M735" s="24">
        <v>75.905000000000001</v>
      </c>
      <c r="N735" s="21">
        <f t="shared" si="34"/>
        <v>0.82815510597302489</v>
      </c>
      <c r="P735" s="1">
        <v>8</v>
      </c>
      <c r="Q735" s="24">
        <v>7.9899999999999949</v>
      </c>
      <c r="R735" s="24">
        <v>71.910000000000011</v>
      </c>
      <c r="S735" s="21">
        <f t="shared" si="35"/>
        <v>0.73193641618497118</v>
      </c>
    </row>
    <row r="736" spans="2:19" ht="11.4" customHeight="1" x14ac:dyDescent="0.2">
      <c r="B736" s="24"/>
      <c r="C736" s="4">
        <v>14662</v>
      </c>
      <c r="D736" s="18" t="s">
        <v>766</v>
      </c>
      <c r="E736" s="18" t="s">
        <v>554</v>
      </c>
      <c r="F736" s="17">
        <v>6</v>
      </c>
      <c r="G736" s="18" t="s">
        <v>23</v>
      </c>
      <c r="H736" s="17">
        <v>33.6</v>
      </c>
      <c r="I736" s="5">
        <v>42.4</v>
      </c>
      <c r="J736" s="21">
        <f t="shared" si="33"/>
        <v>0.26190476190476181</v>
      </c>
      <c r="K736" s="1">
        <v>2</v>
      </c>
      <c r="L736" s="24">
        <v>2.1</v>
      </c>
      <c r="M736" s="24">
        <v>40.279999999999994</v>
      </c>
      <c r="N736" s="21">
        <f t="shared" si="34"/>
        <v>0.19880952380952358</v>
      </c>
      <c r="P736" s="1">
        <v>8</v>
      </c>
      <c r="Q736" s="24">
        <v>4.240000000000002</v>
      </c>
      <c r="R736" s="24">
        <v>38.159999999999997</v>
      </c>
      <c r="S736" s="21">
        <f t="shared" si="35"/>
        <v>0.13571428571428557</v>
      </c>
    </row>
    <row r="737" spans="2:19" ht="11.4" customHeight="1" x14ac:dyDescent="0.2">
      <c r="B737" s="24"/>
      <c r="C737" s="4">
        <v>14660</v>
      </c>
      <c r="D737" s="18" t="s">
        <v>767</v>
      </c>
      <c r="E737" s="18" t="s">
        <v>554</v>
      </c>
      <c r="F737" s="17">
        <v>20</v>
      </c>
      <c r="G737" s="18" t="s">
        <v>23</v>
      </c>
      <c r="H737" s="17">
        <v>39</v>
      </c>
      <c r="I737" s="5">
        <v>43.5</v>
      </c>
      <c r="J737" s="21">
        <f t="shared" si="33"/>
        <v>0.11538461538461539</v>
      </c>
      <c r="K737" s="1">
        <v>2</v>
      </c>
      <c r="L737" s="24">
        <v>2.1</v>
      </c>
      <c r="M737" s="24">
        <v>41.324999999999996</v>
      </c>
      <c r="N737" s="21">
        <f t="shared" si="34"/>
        <v>5.9615384615384508E-2</v>
      </c>
      <c r="P737" s="1">
        <v>8</v>
      </c>
      <c r="Q737" s="24">
        <v>4.3500000000000014</v>
      </c>
      <c r="R737" s="24">
        <v>39.15</v>
      </c>
      <c r="S737" s="21">
        <f t="shared" si="35"/>
        <v>3.8461538461538095E-3</v>
      </c>
    </row>
    <row r="738" spans="2:19" ht="11.4" customHeight="1" x14ac:dyDescent="0.2">
      <c r="B738" s="24"/>
      <c r="C738" s="4">
        <v>39389</v>
      </c>
      <c r="D738" s="18" t="s">
        <v>768</v>
      </c>
      <c r="E738" s="18" t="s">
        <v>554</v>
      </c>
      <c r="F738" s="17">
        <v>12</v>
      </c>
      <c r="G738" s="18" t="s">
        <v>23</v>
      </c>
      <c r="H738" s="17">
        <v>31.5</v>
      </c>
      <c r="I738" s="5">
        <v>37.4</v>
      </c>
      <c r="J738" s="21">
        <f t="shared" si="33"/>
        <v>0.18730158730158725</v>
      </c>
      <c r="K738" s="1">
        <v>2</v>
      </c>
      <c r="L738" s="24">
        <v>1.8</v>
      </c>
      <c r="M738" s="24">
        <v>35.529999999999994</v>
      </c>
      <c r="N738" s="21">
        <f t="shared" si="34"/>
        <v>0.12793650793650774</v>
      </c>
      <c r="P738" s="1">
        <v>8</v>
      </c>
      <c r="Q738" s="24">
        <v>3.740000000000002</v>
      </c>
      <c r="R738" s="24">
        <v>33.659999999999997</v>
      </c>
      <c r="S738" s="21">
        <f t="shared" si="35"/>
        <v>6.8571428571428464E-2</v>
      </c>
    </row>
    <row r="739" spans="2:19" ht="11.4" customHeight="1" x14ac:dyDescent="0.2">
      <c r="B739" s="24"/>
      <c r="C739" s="4">
        <v>46432</v>
      </c>
      <c r="D739" s="18" t="s">
        <v>769</v>
      </c>
      <c r="E739" s="18" t="s">
        <v>554</v>
      </c>
      <c r="F739" s="17">
        <v>12</v>
      </c>
      <c r="G739" s="18" t="s">
        <v>23</v>
      </c>
      <c r="H739" s="17">
        <v>28.8</v>
      </c>
      <c r="I739" s="5">
        <v>40.9</v>
      </c>
      <c r="J739" s="21">
        <f t="shared" si="33"/>
        <v>0.42013888888888878</v>
      </c>
      <c r="K739" s="1">
        <v>2</v>
      </c>
      <c r="L739" s="24">
        <v>2</v>
      </c>
      <c r="M739" s="24">
        <v>38.854999999999997</v>
      </c>
      <c r="N739" s="21">
        <f t="shared" si="34"/>
        <v>0.34913194444444429</v>
      </c>
      <c r="P739" s="1">
        <v>8</v>
      </c>
      <c r="Q739" s="24">
        <v>4.0899999999999963</v>
      </c>
      <c r="R739" s="24">
        <v>36.81</v>
      </c>
      <c r="S739" s="21">
        <f t="shared" si="35"/>
        <v>0.27812500000000007</v>
      </c>
    </row>
    <row r="740" spans="2:19" ht="11.4" customHeight="1" x14ac:dyDescent="0.2">
      <c r="B740" s="24"/>
      <c r="C740" s="4">
        <v>37319</v>
      </c>
      <c r="D740" s="18" t="s">
        <v>770</v>
      </c>
      <c r="E740" s="18" t="s">
        <v>554</v>
      </c>
      <c r="F740" s="17">
        <v>8</v>
      </c>
      <c r="G740" s="18" t="s">
        <v>23</v>
      </c>
      <c r="H740" s="17">
        <v>31.9</v>
      </c>
      <c r="I740" s="5">
        <v>39.299999999999997</v>
      </c>
      <c r="J740" s="21">
        <f t="shared" si="33"/>
        <v>0.23197492163009401</v>
      </c>
      <c r="K740" s="1">
        <v>2</v>
      </c>
      <c r="L740" s="24">
        <v>1.9</v>
      </c>
      <c r="M740" s="24">
        <v>37.334999999999994</v>
      </c>
      <c r="N740" s="21">
        <f t="shared" si="34"/>
        <v>0.17037617554858919</v>
      </c>
      <c r="P740" s="1">
        <v>8</v>
      </c>
      <c r="Q740" s="24">
        <v>3.9299999999999997</v>
      </c>
      <c r="R740" s="24">
        <v>35.369999999999997</v>
      </c>
      <c r="S740" s="21">
        <f t="shared" si="35"/>
        <v>0.1087774294670846</v>
      </c>
    </row>
    <row r="741" spans="2:19" ht="11.4" customHeight="1" x14ac:dyDescent="0.2">
      <c r="B741" s="24"/>
      <c r="C741" s="4">
        <v>37318</v>
      </c>
      <c r="D741" s="18" t="s">
        <v>771</v>
      </c>
      <c r="E741" s="18" t="s">
        <v>554</v>
      </c>
      <c r="F741" s="17">
        <v>6</v>
      </c>
      <c r="G741" s="18" t="s">
        <v>23</v>
      </c>
      <c r="H741" s="17">
        <v>61.7</v>
      </c>
      <c r="I741" s="5">
        <v>68.5</v>
      </c>
      <c r="J741" s="21">
        <f t="shared" si="33"/>
        <v>0.11021069692058341</v>
      </c>
      <c r="K741" s="1">
        <v>2</v>
      </c>
      <c r="L741" s="24">
        <v>3.4</v>
      </c>
      <c r="M741" s="24">
        <v>65.075000000000003</v>
      </c>
      <c r="N741" s="21">
        <f t="shared" si="34"/>
        <v>5.470016207455429E-2</v>
      </c>
      <c r="P741" s="1">
        <v>8</v>
      </c>
      <c r="Q741" s="24">
        <v>6.8500000000000014</v>
      </c>
      <c r="R741" s="24">
        <v>61.65</v>
      </c>
      <c r="S741" s="21">
        <f t="shared" si="35"/>
        <v>-8.1037277147494747E-4</v>
      </c>
    </row>
    <row r="742" spans="2:19" ht="11.4" customHeight="1" x14ac:dyDescent="0.2">
      <c r="B742" s="24"/>
      <c r="C742" s="4">
        <v>6771</v>
      </c>
      <c r="D742" s="18" t="s">
        <v>772</v>
      </c>
      <c r="E742" s="18" t="s">
        <v>554</v>
      </c>
      <c r="F742" s="17">
        <v>10</v>
      </c>
      <c r="G742" s="18" t="s">
        <v>23</v>
      </c>
      <c r="H742" s="17">
        <v>36</v>
      </c>
      <c r="I742" s="5">
        <v>45.9</v>
      </c>
      <c r="J742" s="21">
        <f t="shared" si="33"/>
        <v>0.27499999999999997</v>
      </c>
      <c r="K742" s="1">
        <v>2</v>
      </c>
      <c r="L742" s="24">
        <v>2.2000000000000002</v>
      </c>
      <c r="M742" s="24">
        <v>43.604999999999997</v>
      </c>
      <c r="N742" s="21">
        <f t="shared" si="34"/>
        <v>0.21124999999999991</v>
      </c>
      <c r="P742" s="1">
        <v>8</v>
      </c>
      <c r="Q742" s="24">
        <v>4.5899999999999963</v>
      </c>
      <c r="R742" s="24">
        <v>41.31</v>
      </c>
      <c r="S742" s="21">
        <f t="shared" si="35"/>
        <v>0.14750000000000008</v>
      </c>
    </row>
    <row r="743" spans="2:19" ht="11.4" customHeight="1" x14ac:dyDescent="0.2">
      <c r="B743" s="24"/>
      <c r="C743" s="4">
        <v>33088</v>
      </c>
      <c r="D743" s="18" t="s">
        <v>773</v>
      </c>
      <c r="E743" s="18" t="s">
        <v>554</v>
      </c>
      <c r="F743" s="17">
        <v>12</v>
      </c>
      <c r="G743" s="18" t="s">
        <v>23</v>
      </c>
      <c r="H743" s="17">
        <v>62.5</v>
      </c>
      <c r="I743" s="5">
        <v>68.900000000000006</v>
      </c>
      <c r="J743" s="21">
        <f t="shared" si="33"/>
        <v>0.10240000000000009</v>
      </c>
      <c r="K743" s="1">
        <v>2</v>
      </c>
      <c r="L743" s="24">
        <v>3.4</v>
      </c>
      <c r="M743" s="24">
        <v>65.454999999999998</v>
      </c>
      <c r="N743" s="21">
        <f t="shared" si="34"/>
        <v>4.7279999999999975E-2</v>
      </c>
      <c r="P743" s="1">
        <v>8</v>
      </c>
      <c r="Q743" s="24">
        <v>6.8900000000000006</v>
      </c>
      <c r="R743" s="24">
        <v>62.010000000000005</v>
      </c>
      <c r="S743" s="21">
        <f t="shared" si="35"/>
        <v>-7.8399999999999182E-3</v>
      </c>
    </row>
    <row r="744" spans="2:19" ht="11.4" customHeight="1" x14ac:dyDescent="0.2">
      <c r="B744" s="24"/>
      <c r="C744" s="4">
        <v>39383</v>
      </c>
      <c r="D744" s="18" t="s">
        <v>774</v>
      </c>
      <c r="E744" s="18" t="s">
        <v>554</v>
      </c>
      <c r="F744" s="17">
        <v>12</v>
      </c>
      <c r="G744" s="18" t="s">
        <v>23</v>
      </c>
      <c r="H744" s="17">
        <v>42.7</v>
      </c>
      <c r="I744" s="5">
        <v>50.3</v>
      </c>
      <c r="J744" s="21">
        <f t="shared" si="33"/>
        <v>0.17798594847775162</v>
      </c>
      <c r="K744" s="1">
        <v>2</v>
      </c>
      <c r="L744" s="24">
        <v>2.5</v>
      </c>
      <c r="M744" s="24">
        <v>47.784999999999997</v>
      </c>
      <c r="N744" s="21">
        <f t="shared" si="34"/>
        <v>0.11908665105386401</v>
      </c>
      <c r="P744" s="1">
        <v>8</v>
      </c>
      <c r="Q744" s="24">
        <v>5.0300000000000011</v>
      </c>
      <c r="R744" s="24">
        <v>45.269999999999996</v>
      </c>
      <c r="S744" s="21">
        <f t="shared" si="35"/>
        <v>6.0187353629976417E-2</v>
      </c>
    </row>
    <row r="745" spans="2:19" ht="11.4" customHeight="1" x14ac:dyDescent="0.2">
      <c r="B745" s="24"/>
      <c r="C745" s="4">
        <v>40162</v>
      </c>
      <c r="D745" s="18" t="s">
        <v>775</v>
      </c>
      <c r="E745" s="18" t="s">
        <v>554</v>
      </c>
      <c r="F745" s="17">
        <v>10</v>
      </c>
      <c r="G745" s="18" t="s">
        <v>23</v>
      </c>
      <c r="H745" s="17">
        <v>42.84</v>
      </c>
      <c r="I745" s="5">
        <v>53.9</v>
      </c>
      <c r="J745" s="21">
        <f t="shared" si="33"/>
        <v>0.25816993464052274</v>
      </c>
      <c r="K745" s="1">
        <v>2</v>
      </c>
      <c r="L745" s="24">
        <v>2.6</v>
      </c>
      <c r="M745" s="24">
        <v>51.204999999999998</v>
      </c>
      <c r="N745" s="21">
        <f t="shared" si="34"/>
        <v>0.19526143790849659</v>
      </c>
      <c r="P745" s="1">
        <v>8</v>
      </c>
      <c r="Q745" s="24">
        <v>5.3900000000000006</v>
      </c>
      <c r="R745" s="24">
        <v>48.51</v>
      </c>
      <c r="S745" s="21">
        <f t="shared" si="35"/>
        <v>0.13235294117647045</v>
      </c>
    </row>
    <row r="746" spans="2:19" ht="11.4" customHeight="1" x14ac:dyDescent="0.2">
      <c r="B746" s="24"/>
      <c r="C746" s="4">
        <v>25447</v>
      </c>
      <c r="D746" s="18" t="s">
        <v>776</v>
      </c>
      <c r="E746" s="18" t="s">
        <v>554</v>
      </c>
      <c r="F746" s="18"/>
      <c r="G746" s="18" t="s">
        <v>23</v>
      </c>
      <c r="H746" s="17">
        <v>25.92</v>
      </c>
      <c r="I746" s="5">
        <v>38.9</v>
      </c>
      <c r="J746" s="21">
        <f t="shared" si="33"/>
        <v>0.50077160493827144</v>
      </c>
      <c r="K746" s="1">
        <v>2</v>
      </c>
      <c r="L746" s="24">
        <v>1.9</v>
      </c>
      <c r="M746" s="24">
        <v>36.954999999999998</v>
      </c>
      <c r="N746" s="21">
        <f t="shared" si="34"/>
        <v>0.42573302469135788</v>
      </c>
      <c r="P746" s="1">
        <v>8</v>
      </c>
      <c r="Q746" s="24">
        <v>3.8900000000000006</v>
      </c>
      <c r="R746" s="24">
        <v>35.01</v>
      </c>
      <c r="S746" s="21">
        <f t="shared" si="35"/>
        <v>0.35069444444444425</v>
      </c>
    </row>
    <row r="747" spans="2:19" ht="11.4" customHeight="1" x14ac:dyDescent="0.2">
      <c r="B747" s="24"/>
      <c r="C747" s="4">
        <v>25449</v>
      </c>
      <c r="D747" s="18" t="s">
        <v>777</v>
      </c>
      <c r="E747" s="18" t="s">
        <v>554</v>
      </c>
      <c r="F747" s="18"/>
      <c r="G747" s="18" t="s">
        <v>23</v>
      </c>
      <c r="H747" s="17">
        <v>40.270000000000003</v>
      </c>
      <c r="I747" s="5">
        <v>57.4</v>
      </c>
      <c r="J747" s="21">
        <f t="shared" si="33"/>
        <v>0.42537869381673687</v>
      </c>
      <c r="K747" s="1">
        <v>2</v>
      </c>
      <c r="L747" s="24">
        <v>2.8</v>
      </c>
      <c r="M747" s="24">
        <v>54.529999999999994</v>
      </c>
      <c r="N747" s="21">
        <f t="shared" si="34"/>
        <v>0.35410975912589993</v>
      </c>
      <c r="P747" s="1">
        <v>8</v>
      </c>
      <c r="Q747" s="24">
        <v>5.740000000000002</v>
      </c>
      <c r="R747" s="24">
        <v>51.66</v>
      </c>
      <c r="S747" s="21">
        <f t="shared" si="35"/>
        <v>0.28284082443506314</v>
      </c>
    </row>
    <row r="748" spans="2:19" ht="11.4" customHeight="1" x14ac:dyDescent="0.2">
      <c r="B748" s="24"/>
      <c r="C748" s="4">
        <v>40627</v>
      </c>
      <c r="D748" s="18" t="s">
        <v>778</v>
      </c>
      <c r="E748" s="18" t="s">
        <v>554</v>
      </c>
      <c r="F748" s="17">
        <v>24</v>
      </c>
      <c r="G748" s="18" t="s">
        <v>23</v>
      </c>
      <c r="H748" s="17">
        <v>38.04</v>
      </c>
      <c r="I748" s="5">
        <v>55.2</v>
      </c>
      <c r="J748" s="21">
        <f t="shared" si="33"/>
        <v>0.45110410094637232</v>
      </c>
      <c r="K748" s="1">
        <v>2</v>
      </c>
      <c r="L748" s="24">
        <v>2.7</v>
      </c>
      <c r="M748" s="24">
        <v>52.44</v>
      </c>
      <c r="N748" s="21">
        <f t="shared" si="34"/>
        <v>0.37854889589905361</v>
      </c>
      <c r="P748" s="1">
        <v>8</v>
      </c>
      <c r="Q748" s="24">
        <v>5.519999999999996</v>
      </c>
      <c r="R748" s="24">
        <v>49.680000000000007</v>
      </c>
      <c r="S748" s="21">
        <f t="shared" si="35"/>
        <v>0.30599369085173522</v>
      </c>
    </row>
    <row r="749" spans="2:19" ht="11.4" customHeight="1" x14ac:dyDescent="0.2">
      <c r="B749" s="24"/>
      <c r="C749" s="4">
        <v>23398</v>
      </c>
      <c r="D749" s="18" t="s">
        <v>779</v>
      </c>
      <c r="E749" s="18" t="s">
        <v>554</v>
      </c>
      <c r="F749" s="17">
        <v>12</v>
      </c>
      <c r="G749" s="18" t="s">
        <v>23</v>
      </c>
      <c r="H749" s="17">
        <v>42.6</v>
      </c>
      <c r="I749" s="5">
        <v>50.3</v>
      </c>
      <c r="J749" s="21">
        <f t="shared" si="33"/>
        <v>0.18075117370892008</v>
      </c>
      <c r="K749" s="1">
        <v>2</v>
      </c>
      <c r="L749" s="24">
        <v>2.5</v>
      </c>
      <c r="M749" s="24">
        <v>47.784999999999997</v>
      </c>
      <c r="N749" s="21">
        <f t="shared" si="34"/>
        <v>0.12171361502347407</v>
      </c>
      <c r="P749" s="1">
        <v>8</v>
      </c>
      <c r="Q749" s="24">
        <v>5.0300000000000011</v>
      </c>
      <c r="R749" s="24">
        <v>45.269999999999996</v>
      </c>
      <c r="S749" s="21">
        <f t="shared" si="35"/>
        <v>6.2676056338028044E-2</v>
      </c>
    </row>
    <row r="750" spans="2:19" ht="11.4" customHeight="1" x14ac:dyDescent="0.2">
      <c r="B750" s="24"/>
      <c r="C750" s="4">
        <v>23397</v>
      </c>
      <c r="D750" s="18" t="s">
        <v>780</v>
      </c>
      <c r="E750" s="18" t="s">
        <v>554</v>
      </c>
      <c r="F750" s="17">
        <v>10</v>
      </c>
      <c r="G750" s="18" t="s">
        <v>23</v>
      </c>
      <c r="H750" s="17">
        <v>46.9</v>
      </c>
      <c r="I750" s="5">
        <v>53.9</v>
      </c>
      <c r="J750" s="21">
        <f t="shared" si="33"/>
        <v>0.1492537313432836</v>
      </c>
      <c r="K750" s="1">
        <v>2</v>
      </c>
      <c r="L750" s="24">
        <v>2.6</v>
      </c>
      <c r="M750" s="24">
        <v>51.204999999999998</v>
      </c>
      <c r="N750" s="21">
        <f t="shared" si="34"/>
        <v>9.1791044776119393E-2</v>
      </c>
      <c r="P750" s="1">
        <v>8</v>
      </c>
      <c r="Q750" s="24">
        <v>5.3900000000000006</v>
      </c>
      <c r="R750" s="24">
        <v>48.51</v>
      </c>
      <c r="S750" s="21">
        <f t="shared" si="35"/>
        <v>3.4328358208955211E-2</v>
      </c>
    </row>
    <row r="751" spans="2:19" ht="11.4" customHeight="1" x14ac:dyDescent="0.2">
      <c r="B751" s="24"/>
      <c r="C751" s="4">
        <v>36126</v>
      </c>
      <c r="D751" s="18" t="s">
        <v>781</v>
      </c>
      <c r="E751" s="18" t="s">
        <v>554</v>
      </c>
      <c r="F751" s="18"/>
      <c r="G751" s="18" t="s">
        <v>23</v>
      </c>
      <c r="H751" s="17">
        <v>149.9</v>
      </c>
      <c r="I751" s="5">
        <v>154</v>
      </c>
      <c r="J751" s="21">
        <f t="shared" si="33"/>
        <v>2.7351567711807832E-2</v>
      </c>
      <c r="K751" s="1">
        <v>2</v>
      </c>
      <c r="L751" s="24">
        <v>7.7</v>
      </c>
      <c r="M751" s="24">
        <v>146.29999999999998</v>
      </c>
      <c r="N751" s="21">
        <f t="shared" si="34"/>
        <v>-2.4016010673782673E-2</v>
      </c>
      <c r="P751" s="1">
        <v>8</v>
      </c>
      <c r="Q751" s="24">
        <v>15.400000000000006</v>
      </c>
      <c r="R751" s="24">
        <v>138.6</v>
      </c>
      <c r="S751" s="21">
        <f t="shared" si="35"/>
        <v>-7.5383589059372993E-2</v>
      </c>
    </row>
    <row r="752" spans="2:19" ht="11.4" customHeight="1" x14ac:dyDescent="0.2">
      <c r="B752" s="24"/>
      <c r="C752" s="4">
        <v>35716</v>
      </c>
      <c r="D752" s="18" t="s">
        <v>782</v>
      </c>
      <c r="E752" s="18" t="s">
        <v>554</v>
      </c>
      <c r="F752" s="17">
        <v>24</v>
      </c>
      <c r="G752" s="18" t="s">
        <v>23</v>
      </c>
      <c r="H752" s="17">
        <v>42.6</v>
      </c>
      <c r="I752" s="5">
        <v>50.7</v>
      </c>
      <c r="J752" s="21">
        <f t="shared" si="33"/>
        <v>0.19014084507042256</v>
      </c>
      <c r="K752" s="1">
        <v>2</v>
      </c>
      <c r="L752" s="24">
        <v>2.5</v>
      </c>
      <c r="M752" s="24">
        <v>48.164999999999999</v>
      </c>
      <c r="N752" s="21">
        <f t="shared" si="34"/>
        <v>0.13063380281690135</v>
      </c>
      <c r="P752" s="1">
        <v>8</v>
      </c>
      <c r="Q752" s="24">
        <v>5.07</v>
      </c>
      <c r="R752" s="24">
        <v>45.63</v>
      </c>
      <c r="S752" s="21">
        <f t="shared" si="35"/>
        <v>7.1126760563380312E-2</v>
      </c>
    </row>
    <row r="753" spans="2:19" ht="11.4" customHeight="1" x14ac:dyDescent="0.2">
      <c r="B753" s="24"/>
      <c r="C753" s="4">
        <v>41096</v>
      </c>
      <c r="D753" s="18" t="s">
        <v>783</v>
      </c>
      <c r="E753" s="18" t="s">
        <v>784</v>
      </c>
      <c r="F753" s="17">
        <v>1</v>
      </c>
      <c r="G753" s="18" t="s">
        <v>23</v>
      </c>
      <c r="H753" s="17">
        <v>37.020000000000003</v>
      </c>
      <c r="I753" s="5">
        <v>54.5</v>
      </c>
      <c r="J753" s="21">
        <f t="shared" si="33"/>
        <v>0.47217720151269571</v>
      </c>
      <c r="K753" s="1">
        <v>2</v>
      </c>
      <c r="L753" s="24">
        <v>2.7</v>
      </c>
      <c r="M753" s="24">
        <v>51.774999999999999</v>
      </c>
      <c r="N753" s="21">
        <f t="shared" si="34"/>
        <v>0.39856834143706088</v>
      </c>
      <c r="P753" s="1">
        <v>8</v>
      </c>
      <c r="Q753" s="24">
        <v>5.4499999999999957</v>
      </c>
      <c r="R753" s="24">
        <v>49.050000000000004</v>
      </c>
      <c r="S753" s="21">
        <f t="shared" si="35"/>
        <v>0.32495948136142627</v>
      </c>
    </row>
    <row r="754" spans="2:19" ht="11.4" customHeight="1" x14ac:dyDescent="0.2">
      <c r="B754" s="24"/>
      <c r="C754" s="4">
        <v>41094</v>
      </c>
      <c r="D754" s="18" t="s">
        <v>785</v>
      </c>
      <c r="E754" s="18" t="s">
        <v>784</v>
      </c>
      <c r="F754" s="17">
        <v>1</v>
      </c>
      <c r="G754" s="18" t="s">
        <v>23</v>
      </c>
      <c r="H754" s="17">
        <v>35.340000000000003</v>
      </c>
      <c r="I754" s="5">
        <v>51.9</v>
      </c>
      <c r="J754" s="21">
        <f t="shared" si="33"/>
        <v>0.46859083191850576</v>
      </c>
      <c r="K754" s="1">
        <v>2</v>
      </c>
      <c r="L754" s="24">
        <v>2.5</v>
      </c>
      <c r="M754" s="24">
        <v>49.305</v>
      </c>
      <c r="N754" s="21">
        <f t="shared" si="34"/>
        <v>0.39516129032258052</v>
      </c>
      <c r="P754" s="1">
        <v>8</v>
      </c>
      <c r="Q754" s="24">
        <v>5.1899999999999977</v>
      </c>
      <c r="R754" s="24">
        <v>46.71</v>
      </c>
      <c r="S754" s="21">
        <f t="shared" si="35"/>
        <v>0.32173174872665522</v>
      </c>
    </row>
    <row r="755" spans="2:19" ht="11.4" customHeight="1" x14ac:dyDescent="0.2">
      <c r="B755" s="24"/>
      <c r="C755" s="4">
        <v>41097</v>
      </c>
      <c r="D755" s="18" t="s">
        <v>786</v>
      </c>
      <c r="E755" s="18" t="s">
        <v>784</v>
      </c>
      <c r="F755" s="17">
        <v>1</v>
      </c>
      <c r="G755" s="18" t="s">
        <v>23</v>
      </c>
      <c r="H755" s="17">
        <v>37.020000000000003</v>
      </c>
      <c r="I755" s="5">
        <v>54.5</v>
      </c>
      <c r="J755" s="21">
        <f t="shared" si="33"/>
        <v>0.47217720151269571</v>
      </c>
      <c r="K755" s="1">
        <v>2</v>
      </c>
      <c r="L755" s="24">
        <v>2.7</v>
      </c>
      <c r="M755" s="24">
        <v>51.774999999999999</v>
      </c>
      <c r="N755" s="21">
        <f t="shared" si="34"/>
        <v>0.39856834143706088</v>
      </c>
      <c r="P755" s="1">
        <v>8</v>
      </c>
      <c r="Q755" s="24">
        <v>5.4499999999999957</v>
      </c>
      <c r="R755" s="24">
        <v>49.050000000000004</v>
      </c>
      <c r="S755" s="21">
        <f t="shared" si="35"/>
        <v>0.32495948136142627</v>
      </c>
    </row>
    <row r="756" spans="2:19" ht="11.4" customHeight="1" x14ac:dyDescent="0.2">
      <c r="B756" s="24"/>
      <c r="C756" s="4">
        <v>41095</v>
      </c>
      <c r="D756" s="18" t="s">
        <v>787</v>
      </c>
      <c r="E756" s="18" t="s">
        <v>784</v>
      </c>
      <c r="F756" s="17">
        <v>1</v>
      </c>
      <c r="G756" s="18" t="s">
        <v>23</v>
      </c>
      <c r="H756" s="17">
        <v>35.340000000000003</v>
      </c>
      <c r="I756" s="5">
        <v>51.9</v>
      </c>
      <c r="J756" s="21">
        <f t="shared" si="33"/>
        <v>0.46859083191850576</v>
      </c>
      <c r="K756" s="1">
        <v>2</v>
      </c>
      <c r="L756" s="24">
        <v>2.5</v>
      </c>
      <c r="M756" s="24">
        <v>49.305</v>
      </c>
      <c r="N756" s="21">
        <f t="shared" si="34"/>
        <v>0.39516129032258052</v>
      </c>
      <c r="P756" s="1">
        <v>8</v>
      </c>
      <c r="Q756" s="24">
        <v>5.1899999999999977</v>
      </c>
      <c r="R756" s="24">
        <v>46.71</v>
      </c>
      <c r="S756" s="21">
        <f t="shared" si="35"/>
        <v>0.32173174872665522</v>
      </c>
    </row>
    <row r="757" spans="2:19" ht="11.4" customHeight="1" x14ac:dyDescent="0.2">
      <c r="B757" s="24"/>
      <c r="C757" s="4">
        <v>15566</v>
      </c>
      <c r="D757" s="18" t="s">
        <v>788</v>
      </c>
      <c r="E757" s="18" t="s">
        <v>784</v>
      </c>
      <c r="F757" s="17">
        <v>20</v>
      </c>
      <c r="G757" s="18" t="s">
        <v>23</v>
      </c>
      <c r="H757" s="17">
        <v>32.700000000000003</v>
      </c>
      <c r="I757" s="5">
        <v>49.9</v>
      </c>
      <c r="J757" s="21">
        <f t="shared" si="33"/>
        <v>0.5259938837920487</v>
      </c>
      <c r="K757" s="1">
        <v>2</v>
      </c>
      <c r="L757" s="24">
        <v>2.4</v>
      </c>
      <c r="M757" s="24">
        <v>47.404999999999994</v>
      </c>
      <c r="N757" s="21">
        <f t="shared" si="34"/>
        <v>0.44969418960244617</v>
      </c>
      <c r="P757" s="1">
        <v>8</v>
      </c>
      <c r="Q757" s="24">
        <v>4.990000000000002</v>
      </c>
      <c r="R757" s="24">
        <v>44.91</v>
      </c>
      <c r="S757" s="21">
        <f t="shared" si="35"/>
        <v>0.37339449541284381</v>
      </c>
    </row>
    <row r="758" spans="2:19" ht="11.4" customHeight="1" x14ac:dyDescent="0.2">
      <c r="B758" s="24"/>
      <c r="C758" s="4">
        <v>15565</v>
      </c>
      <c r="D758" s="18" t="s">
        <v>789</v>
      </c>
      <c r="E758" s="18" t="s">
        <v>784</v>
      </c>
      <c r="F758" s="17">
        <v>20</v>
      </c>
      <c r="G758" s="18" t="s">
        <v>23</v>
      </c>
      <c r="H758" s="17">
        <v>35.340000000000003</v>
      </c>
      <c r="I758" s="5">
        <v>49.9</v>
      </c>
      <c r="J758" s="21">
        <f t="shared" si="33"/>
        <v>0.41199773627617414</v>
      </c>
      <c r="K758" s="1">
        <v>2</v>
      </c>
      <c r="L758" s="24">
        <v>2.4</v>
      </c>
      <c r="M758" s="24">
        <v>47.404999999999994</v>
      </c>
      <c r="N758" s="21">
        <f t="shared" si="34"/>
        <v>0.34139784946236529</v>
      </c>
      <c r="P758" s="1">
        <v>8</v>
      </c>
      <c r="Q758" s="24">
        <v>4.990000000000002</v>
      </c>
      <c r="R758" s="24">
        <v>44.91</v>
      </c>
      <c r="S758" s="21">
        <f t="shared" si="35"/>
        <v>0.27079796264855666</v>
      </c>
    </row>
    <row r="759" spans="2:19" ht="11.4" customHeight="1" x14ac:dyDescent="0.2">
      <c r="B759" s="24"/>
      <c r="C759" s="4">
        <v>46345</v>
      </c>
      <c r="D759" s="18" t="s">
        <v>790</v>
      </c>
      <c r="E759" s="18" t="s">
        <v>784</v>
      </c>
      <c r="F759" s="17">
        <v>24</v>
      </c>
      <c r="G759" s="18" t="s">
        <v>23</v>
      </c>
      <c r="H759" s="17">
        <v>62.76</v>
      </c>
      <c r="I759" s="5">
        <v>81.900000000000006</v>
      </c>
      <c r="J759" s="21">
        <f t="shared" si="33"/>
        <v>0.3049713193116636</v>
      </c>
      <c r="K759" s="1">
        <v>2</v>
      </c>
      <c r="L759" s="24">
        <v>4</v>
      </c>
      <c r="M759" s="24">
        <v>77.805000000000007</v>
      </c>
      <c r="N759" s="21">
        <f t="shared" si="34"/>
        <v>0.23972275334608045</v>
      </c>
      <c r="P759" s="1">
        <v>8</v>
      </c>
      <c r="Q759" s="24">
        <v>8.1899999999999977</v>
      </c>
      <c r="R759" s="24">
        <v>73.710000000000008</v>
      </c>
      <c r="S759" s="21">
        <f t="shared" si="35"/>
        <v>0.1744741873804973</v>
      </c>
    </row>
    <row r="760" spans="2:19" ht="11.4" customHeight="1" x14ac:dyDescent="0.2">
      <c r="B760" s="24"/>
      <c r="C760" s="4">
        <v>18025</v>
      </c>
      <c r="D760" s="18" t="s">
        <v>791</v>
      </c>
      <c r="E760" s="18" t="s">
        <v>784</v>
      </c>
      <c r="F760" s="17">
        <v>8</v>
      </c>
      <c r="G760" s="18" t="s">
        <v>23</v>
      </c>
      <c r="H760" s="17">
        <v>37.17</v>
      </c>
      <c r="I760" s="5">
        <v>40.9</v>
      </c>
      <c r="J760" s="21">
        <f t="shared" si="33"/>
        <v>0.10034974441754094</v>
      </c>
      <c r="K760" s="1">
        <v>2</v>
      </c>
      <c r="L760" s="24">
        <v>2</v>
      </c>
      <c r="M760" s="24">
        <v>38.854999999999997</v>
      </c>
      <c r="N760" s="21">
        <f t="shared" si="34"/>
        <v>4.5332257196663846E-2</v>
      </c>
      <c r="P760" s="1">
        <v>8</v>
      </c>
      <c r="Q760" s="24">
        <v>4.0899999999999963</v>
      </c>
      <c r="R760" s="24">
        <v>36.81</v>
      </c>
      <c r="S760" s="21">
        <f t="shared" si="35"/>
        <v>-9.6852300242130599E-3</v>
      </c>
    </row>
    <row r="761" spans="2:19" ht="11.4" customHeight="1" x14ac:dyDescent="0.2">
      <c r="B761" s="24"/>
      <c r="C761" s="4">
        <v>41566</v>
      </c>
      <c r="D761" s="18" t="s">
        <v>792</v>
      </c>
      <c r="E761" s="18" t="s">
        <v>784</v>
      </c>
      <c r="F761" s="17">
        <v>12</v>
      </c>
      <c r="G761" s="18" t="s">
        <v>23</v>
      </c>
      <c r="H761" s="17">
        <v>53.23</v>
      </c>
      <c r="I761" s="5">
        <v>79.900000000000006</v>
      </c>
      <c r="J761" s="21">
        <f t="shared" si="33"/>
        <v>0.5010332519256061</v>
      </c>
      <c r="K761" s="1">
        <v>2</v>
      </c>
      <c r="L761" s="24">
        <v>3.9</v>
      </c>
      <c r="M761" s="24">
        <v>75.905000000000001</v>
      </c>
      <c r="N761" s="21">
        <f t="shared" si="34"/>
        <v>0.42598158932932567</v>
      </c>
      <c r="P761" s="1">
        <v>8</v>
      </c>
      <c r="Q761" s="24">
        <v>7.9899999999999949</v>
      </c>
      <c r="R761" s="24">
        <v>71.910000000000011</v>
      </c>
      <c r="S761" s="21">
        <f t="shared" si="35"/>
        <v>0.35092992673304557</v>
      </c>
    </row>
    <row r="762" spans="2:19" ht="11.4" customHeight="1" x14ac:dyDescent="0.2">
      <c r="B762" s="24"/>
      <c r="C762" s="4">
        <v>40161</v>
      </c>
      <c r="D762" s="18" t="s">
        <v>793</v>
      </c>
      <c r="E762" s="18" t="s">
        <v>784</v>
      </c>
      <c r="F762" s="17">
        <v>12</v>
      </c>
      <c r="G762" s="18" t="s">
        <v>23</v>
      </c>
      <c r="H762" s="17">
        <v>31.56</v>
      </c>
      <c r="I762" s="5">
        <v>39.6</v>
      </c>
      <c r="J762" s="21">
        <f t="shared" si="33"/>
        <v>0.25475285171102668</v>
      </c>
      <c r="K762" s="1">
        <v>2</v>
      </c>
      <c r="L762" s="24">
        <v>1.9</v>
      </c>
      <c r="M762" s="24">
        <v>37.619999999999997</v>
      </c>
      <c r="N762" s="21">
        <f t="shared" si="34"/>
        <v>0.19201520912547526</v>
      </c>
      <c r="P762" s="1">
        <v>8</v>
      </c>
      <c r="Q762" s="24">
        <v>3.9600000000000009</v>
      </c>
      <c r="R762" s="24">
        <v>35.64</v>
      </c>
      <c r="S762" s="21">
        <f t="shared" si="35"/>
        <v>0.129277566539924</v>
      </c>
    </row>
    <row r="763" spans="2:19" ht="11.4" customHeight="1" x14ac:dyDescent="0.2">
      <c r="B763" s="24"/>
      <c r="C763" s="4">
        <v>41567</v>
      </c>
      <c r="D763" s="18" t="s">
        <v>794</v>
      </c>
      <c r="E763" s="18" t="s">
        <v>784</v>
      </c>
      <c r="F763" s="17">
        <v>12</v>
      </c>
      <c r="G763" s="18" t="s">
        <v>23</v>
      </c>
      <c r="H763" s="17">
        <v>63.84</v>
      </c>
      <c r="I763" s="5">
        <v>79.900000000000006</v>
      </c>
      <c r="J763" s="21">
        <f t="shared" si="33"/>
        <v>0.25156641604010027</v>
      </c>
      <c r="K763" s="1">
        <v>2</v>
      </c>
      <c r="L763" s="24">
        <v>3.9</v>
      </c>
      <c r="M763" s="24">
        <v>75.905000000000001</v>
      </c>
      <c r="N763" s="21">
        <f t="shared" si="34"/>
        <v>0.18898809523809521</v>
      </c>
      <c r="P763" s="1">
        <v>8</v>
      </c>
      <c r="Q763" s="24">
        <v>7.9899999999999949</v>
      </c>
      <c r="R763" s="24">
        <v>71.910000000000011</v>
      </c>
      <c r="S763" s="21">
        <f t="shared" si="35"/>
        <v>0.12640977443609033</v>
      </c>
    </row>
    <row r="764" spans="2:19" ht="11.4" customHeight="1" x14ac:dyDescent="0.2">
      <c r="B764" s="24"/>
      <c r="C764" s="4">
        <v>36739</v>
      </c>
      <c r="D764" s="18" t="s">
        <v>795</v>
      </c>
      <c r="E764" s="18" t="s">
        <v>784</v>
      </c>
      <c r="F764" s="17">
        <v>30</v>
      </c>
      <c r="G764" s="18" t="s">
        <v>23</v>
      </c>
      <c r="H764" s="17">
        <v>47.9</v>
      </c>
      <c r="I764" s="5">
        <v>47.5</v>
      </c>
      <c r="J764" s="21">
        <f t="shared" si="33"/>
        <v>-8.3507306889352532E-3</v>
      </c>
      <c r="K764" s="1">
        <v>2</v>
      </c>
      <c r="L764" s="24">
        <v>2.2999999999999998</v>
      </c>
      <c r="M764" s="24">
        <v>45.125</v>
      </c>
      <c r="N764" s="21">
        <f t="shared" si="34"/>
        <v>-5.7933194154488492E-2</v>
      </c>
      <c r="P764" s="1">
        <v>8</v>
      </c>
      <c r="Q764" s="24">
        <v>4.75</v>
      </c>
      <c r="R764" s="24">
        <v>42.75</v>
      </c>
      <c r="S764" s="21">
        <f t="shared" si="35"/>
        <v>-0.10751565762004173</v>
      </c>
    </row>
    <row r="765" spans="2:19" ht="11.4" customHeight="1" x14ac:dyDescent="0.2">
      <c r="B765" s="24"/>
      <c r="C765" s="4">
        <v>34617</v>
      </c>
      <c r="D765" s="18" t="s">
        <v>796</v>
      </c>
      <c r="E765" s="18" t="s">
        <v>784</v>
      </c>
      <c r="F765" s="17">
        <v>24</v>
      </c>
      <c r="G765" s="18" t="s">
        <v>23</v>
      </c>
      <c r="H765" s="17">
        <v>41.2</v>
      </c>
      <c r="I765" s="5">
        <v>40.9</v>
      </c>
      <c r="J765" s="21">
        <f t="shared" si="33"/>
        <v>-7.281553398058355E-3</v>
      </c>
      <c r="K765" s="1">
        <v>2</v>
      </c>
      <c r="L765" s="24">
        <v>2</v>
      </c>
      <c r="M765" s="24">
        <v>38.854999999999997</v>
      </c>
      <c r="N765" s="21">
        <f t="shared" si="34"/>
        <v>-5.6917475728155482E-2</v>
      </c>
      <c r="P765" s="1">
        <v>8</v>
      </c>
      <c r="Q765" s="24">
        <v>4.0899999999999963</v>
      </c>
      <c r="R765" s="24">
        <v>36.81</v>
      </c>
      <c r="S765" s="21">
        <f t="shared" si="35"/>
        <v>-0.10655339805825244</v>
      </c>
    </row>
    <row r="766" spans="2:19" ht="11.4" customHeight="1" x14ac:dyDescent="0.2">
      <c r="B766" s="24"/>
      <c r="C766" s="4">
        <v>47788</v>
      </c>
      <c r="D766" s="18" t="s">
        <v>797</v>
      </c>
      <c r="E766" s="18" t="s">
        <v>784</v>
      </c>
      <c r="F766" s="17">
        <v>12</v>
      </c>
      <c r="G766" s="18" t="s">
        <v>23</v>
      </c>
      <c r="H766" s="18"/>
      <c r="I766" s="5">
        <v>68.8</v>
      </c>
      <c r="J766" s="21" t="e">
        <f t="shared" si="33"/>
        <v>#DIV/0!</v>
      </c>
      <c r="K766" s="1">
        <v>2</v>
      </c>
      <c r="L766" s="24">
        <v>3.4</v>
      </c>
      <c r="M766" s="24">
        <v>65.36</v>
      </c>
      <c r="N766" s="21" t="e">
        <f t="shared" si="34"/>
        <v>#DIV/0!</v>
      </c>
      <c r="P766" s="1">
        <v>8</v>
      </c>
      <c r="Q766" s="24">
        <v>6.8799999999999955</v>
      </c>
      <c r="R766" s="24">
        <v>61.92</v>
      </c>
      <c r="S766" s="21" t="e">
        <f t="shared" si="35"/>
        <v>#DIV/0!</v>
      </c>
    </row>
    <row r="767" spans="2:19" ht="11.4" customHeight="1" x14ac:dyDescent="0.2">
      <c r="B767" s="24"/>
      <c r="C767" s="4">
        <v>47790</v>
      </c>
      <c r="D767" s="18" t="s">
        <v>798</v>
      </c>
      <c r="E767" s="18" t="s">
        <v>784</v>
      </c>
      <c r="F767" s="17">
        <v>12</v>
      </c>
      <c r="G767" s="18" t="s">
        <v>23</v>
      </c>
      <c r="H767" s="18"/>
      <c r="I767" s="5">
        <v>68.8</v>
      </c>
      <c r="J767" s="21" t="e">
        <f t="shared" si="33"/>
        <v>#DIV/0!</v>
      </c>
      <c r="K767" s="1">
        <v>2</v>
      </c>
      <c r="L767" s="24">
        <v>3.4</v>
      </c>
      <c r="M767" s="24">
        <v>65.36</v>
      </c>
      <c r="N767" s="21" t="e">
        <f t="shared" si="34"/>
        <v>#DIV/0!</v>
      </c>
      <c r="P767" s="1">
        <v>8</v>
      </c>
      <c r="Q767" s="24">
        <v>6.8799999999999955</v>
      </c>
      <c r="R767" s="24">
        <v>61.92</v>
      </c>
      <c r="S767" s="21" t="e">
        <f t="shared" si="35"/>
        <v>#DIV/0!</v>
      </c>
    </row>
    <row r="768" spans="2:19" ht="11.4" customHeight="1" x14ac:dyDescent="0.2">
      <c r="B768" s="24"/>
      <c r="C768" s="4">
        <v>47791</v>
      </c>
      <c r="D768" s="18" t="s">
        <v>799</v>
      </c>
      <c r="E768" s="18" t="s">
        <v>784</v>
      </c>
      <c r="F768" s="17">
        <v>12</v>
      </c>
      <c r="G768" s="18" t="s">
        <v>23</v>
      </c>
      <c r="H768" s="18"/>
      <c r="I768" s="5">
        <v>68.8</v>
      </c>
      <c r="J768" s="21" t="e">
        <f t="shared" si="33"/>
        <v>#DIV/0!</v>
      </c>
      <c r="K768" s="1">
        <v>2</v>
      </c>
      <c r="L768" s="24">
        <v>3.4</v>
      </c>
      <c r="M768" s="24">
        <v>65.36</v>
      </c>
      <c r="N768" s="21" t="e">
        <f t="shared" si="34"/>
        <v>#DIV/0!</v>
      </c>
      <c r="P768" s="1">
        <v>8</v>
      </c>
      <c r="Q768" s="24">
        <v>6.8799999999999955</v>
      </c>
      <c r="R768" s="24">
        <v>61.92</v>
      </c>
      <c r="S768" s="21" t="e">
        <f t="shared" si="35"/>
        <v>#DIV/0!</v>
      </c>
    </row>
    <row r="769" spans="2:19" ht="11.4" customHeight="1" x14ac:dyDescent="0.2">
      <c r="B769" s="24"/>
      <c r="C769" s="4">
        <v>36740</v>
      </c>
      <c r="D769" s="18" t="s">
        <v>800</v>
      </c>
      <c r="E769" s="18" t="s">
        <v>784</v>
      </c>
      <c r="F769" s="17">
        <v>30</v>
      </c>
      <c r="G769" s="18" t="s">
        <v>23</v>
      </c>
      <c r="H769" s="17">
        <v>47.9</v>
      </c>
      <c r="I769" s="5">
        <v>47.5</v>
      </c>
      <c r="J769" s="21">
        <f t="shared" si="33"/>
        <v>-8.3507306889352532E-3</v>
      </c>
      <c r="K769" s="1">
        <v>2</v>
      </c>
      <c r="L769" s="24">
        <v>2.2999999999999998</v>
      </c>
      <c r="M769" s="24">
        <v>45.125</v>
      </c>
      <c r="N769" s="21">
        <f t="shared" si="34"/>
        <v>-5.7933194154488492E-2</v>
      </c>
      <c r="P769" s="1">
        <v>8</v>
      </c>
      <c r="Q769" s="24">
        <v>4.75</v>
      </c>
      <c r="R769" s="24">
        <v>42.75</v>
      </c>
      <c r="S769" s="21">
        <f t="shared" si="35"/>
        <v>-0.10751565762004173</v>
      </c>
    </row>
    <row r="770" spans="2:19" ht="11.4" customHeight="1" x14ac:dyDescent="0.2">
      <c r="B770" s="24"/>
      <c r="C770" s="4">
        <v>7549</v>
      </c>
      <c r="D770" s="18" t="s">
        <v>801</v>
      </c>
      <c r="E770" s="18" t="s">
        <v>784</v>
      </c>
      <c r="F770" s="17">
        <v>12</v>
      </c>
      <c r="G770" s="18" t="s">
        <v>23</v>
      </c>
      <c r="H770" s="17">
        <v>51.9</v>
      </c>
      <c r="I770" s="5">
        <v>47.8</v>
      </c>
      <c r="J770" s="21">
        <f t="shared" si="33"/>
        <v>-7.8998073217726422E-2</v>
      </c>
      <c r="K770" s="1">
        <v>2</v>
      </c>
      <c r="L770" s="24">
        <v>2.2999999999999998</v>
      </c>
      <c r="M770" s="24">
        <v>45.41</v>
      </c>
      <c r="N770" s="21">
        <f t="shared" si="34"/>
        <v>-0.12504816955684012</v>
      </c>
      <c r="P770" s="1">
        <v>8</v>
      </c>
      <c r="Q770" s="24">
        <v>4.7800000000000011</v>
      </c>
      <c r="R770" s="24">
        <v>43.019999999999996</v>
      </c>
      <c r="S770" s="21">
        <f t="shared" si="35"/>
        <v>-0.17109826589595381</v>
      </c>
    </row>
    <row r="771" spans="2:19" ht="11.4" customHeight="1" x14ac:dyDescent="0.2">
      <c r="B771" s="24"/>
      <c r="C771" s="4">
        <v>15209</v>
      </c>
      <c r="D771" s="18" t="s">
        <v>802</v>
      </c>
      <c r="E771" s="18" t="s">
        <v>784</v>
      </c>
      <c r="F771" s="17">
        <v>12</v>
      </c>
      <c r="G771" s="18" t="s">
        <v>23</v>
      </c>
      <c r="H771" s="17">
        <v>84.8</v>
      </c>
      <c r="I771" s="5">
        <v>75.8</v>
      </c>
      <c r="J771" s="21">
        <f t="shared" ref="J771:J834" si="36">(I771-H771)/H771</f>
        <v>-0.10613207547169812</v>
      </c>
      <c r="K771" s="1">
        <v>2</v>
      </c>
      <c r="L771" s="24">
        <v>3.7</v>
      </c>
      <c r="M771" s="24">
        <v>72.009999999999991</v>
      </c>
      <c r="N771" s="21">
        <f t="shared" ref="N771:N834" si="37">(M771-H771)/H771</f>
        <v>-0.15082547169811328</v>
      </c>
      <c r="P771" s="1">
        <v>8</v>
      </c>
      <c r="Q771" s="24">
        <v>7.5799999999999983</v>
      </c>
      <c r="R771" s="24">
        <v>68.22</v>
      </c>
      <c r="S771" s="21">
        <f t="shared" ref="S771:S834" si="38">(R771-H771)/H771</f>
        <v>-0.1955188679245283</v>
      </c>
    </row>
    <row r="772" spans="2:19" ht="11.4" customHeight="1" x14ac:dyDescent="0.2">
      <c r="B772" s="24"/>
      <c r="C772" s="4">
        <v>35191</v>
      </c>
      <c r="D772" s="18" t="s">
        <v>803</v>
      </c>
      <c r="E772" s="18" t="s">
        <v>784</v>
      </c>
      <c r="F772" s="17">
        <v>6</v>
      </c>
      <c r="G772" s="18" t="s">
        <v>23</v>
      </c>
      <c r="H772" s="17">
        <v>80.900000000000006</v>
      </c>
      <c r="I772" s="5">
        <v>64.2</v>
      </c>
      <c r="J772" s="21">
        <f t="shared" si="36"/>
        <v>-0.20642768850432636</v>
      </c>
      <c r="K772" s="1">
        <v>2</v>
      </c>
      <c r="L772" s="24">
        <v>3.2</v>
      </c>
      <c r="M772" s="24">
        <v>60.99</v>
      </c>
      <c r="N772" s="21">
        <f t="shared" si="37"/>
        <v>-0.24610630407911005</v>
      </c>
      <c r="P772" s="1">
        <v>8</v>
      </c>
      <c r="Q772" s="24">
        <v>6.4200000000000017</v>
      </c>
      <c r="R772" s="24">
        <v>57.78</v>
      </c>
      <c r="S772" s="21">
        <f t="shared" si="38"/>
        <v>-0.28578491965389374</v>
      </c>
    </row>
    <row r="773" spans="2:19" ht="11.4" customHeight="1" x14ac:dyDescent="0.2">
      <c r="B773" s="24"/>
      <c r="C773" s="4">
        <v>47786</v>
      </c>
      <c r="D773" s="18" t="s">
        <v>804</v>
      </c>
      <c r="E773" s="18" t="s">
        <v>805</v>
      </c>
      <c r="F773" s="17">
        <v>24</v>
      </c>
      <c r="G773" s="18" t="s">
        <v>23</v>
      </c>
      <c r="H773" s="18"/>
      <c r="I773" s="5">
        <v>45.2</v>
      </c>
      <c r="J773" s="21" t="e">
        <f t="shared" si="36"/>
        <v>#DIV/0!</v>
      </c>
      <c r="K773" s="1">
        <v>2</v>
      </c>
      <c r="L773" s="24">
        <v>2.2000000000000002</v>
      </c>
      <c r="M773" s="24">
        <v>42.94</v>
      </c>
      <c r="N773" s="21" t="e">
        <f t="shared" si="37"/>
        <v>#DIV/0!</v>
      </c>
      <c r="P773" s="1">
        <v>8</v>
      </c>
      <c r="Q773" s="24">
        <v>4.519999999999996</v>
      </c>
      <c r="R773" s="24">
        <v>40.680000000000007</v>
      </c>
      <c r="S773" s="21" t="e">
        <f t="shared" si="38"/>
        <v>#DIV/0!</v>
      </c>
    </row>
    <row r="774" spans="2:19" ht="11.4" customHeight="1" x14ac:dyDescent="0.2">
      <c r="B774" s="24"/>
      <c r="C774" s="4">
        <v>41083</v>
      </c>
      <c r="D774" s="18" t="s">
        <v>806</v>
      </c>
      <c r="E774" s="18" t="s">
        <v>805</v>
      </c>
      <c r="F774" s="17">
        <v>12</v>
      </c>
      <c r="G774" s="18" t="s">
        <v>23</v>
      </c>
      <c r="H774" s="17">
        <v>32.22</v>
      </c>
      <c r="I774" s="5">
        <v>41.5</v>
      </c>
      <c r="J774" s="21">
        <f t="shared" si="36"/>
        <v>0.28801986343885788</v>
      </c>
      <c r="K774" s="1">
        <v>2</v>
      </c>
      <c r="L774" s="24">
        <v>2</v>
      </c>
      <c r="M774" s="24">
        <v>39.424999999999997</v>
      </c>
      <c r="N774" s="21">
        <f t="shared" si="37"/>
        <v>0.2236188702669149</v>
      </c>
      <c r="P774" s="1">
        <v>8</v>
      </c>
      <c r="Q774" s="24">
        <v>4.1499999999999986</v>
      </c>
      <c r="R774" s="24">
        <v>37.35</v>
      </c>
      <c r="S774" s="21">
        <f t="shared" si="38"/>
        <v>0.15921787709497215</v>
      </c>
    </row>
    <row r="775" spans="2:19" ht="11.4" customHeight="1" x14ac:dyDescent="0.2">
      <c r="B775" s="24"/>
      <c r="C775" s="4">
        <v>23353</v>
      </c>
      <c r="D775" s="18" t="s">
        <v>807</v>
      </c>
      <c r="E775" s="18" t="s">
        <v>805</v>
      </c>
      <c r="F775" s="17">
        <v>20</v>
      </c>
      <c r="G775" s="18" t="s">
        <v>23</v>
      </c>
      <c r="H775" s="17">
        <v>37.119999999999997</v>
      </c>
      <c r="I775" s="5">
        <v>50.8</v>
      </c>
      <c r="J775" s="21">
        <f t="shared" si="36"/>
        <v>0.36853448275862072</v>
      </c>
      <c r="K775" s="1">
        <v>2</v>
      </c>
      <c r="L775" s="24">
        <v>2.5</v>
      </c>
      <c r="M775" s="24">
        <v>48.26</v>
      </c>
      <c r="N775" s="21">
        <f t="shared" si="37"/>
        <v>0.30010775862068967</v>
      </c>
      <c r="P775" s="1">
        <v>8</v>
      </c>
      <c r="Q775" s="24">
        <v>5.0799999999999983</v>
      </c>
      <c r="R775" s="24">
        <v>45.72</v>
      </c>
      <c r="S775" s="21">
        <f t="shared" si="38"/>
        <v>0.23168103448275867</v>
      </c>
    </row>
    <row r="776" spans="2:19" ht="11.4" customHeight="1" x14ac:dyDescent="0.2">
      <c r="B776" s="24"/>
      <c r="C776" s="4">
        <v>43839</v>
      </c>
      <c r="D776" s="18" t="s">
        <v>808</v>
      </c>
      <c r="E776" s="18" t="s">
        <v>805</v>
      </c>
      <c r="F776" s="17">
        <v>12</v>
      </c>
      <c r="G776" s="18" t="s">
        <v>23</v>
      </c>
      <c r="H776" s="17">
        <v>26.02</v>
      </c>
      <c r="I776" s="5">
        <v>33.9</v>
      </c>
      <c r="J776" s="21">
        <f t="shared" si="36"/>
        <v>0.30284396617986159</v>
      </c>
      <c r="K776" s="1">
        <v>2</v>
      </c>
      <c r="L776" s="24">
        <v>1.6</v>
      </c>
      <c r="M776" s="24">
        <v>32.204999999999998</v>
      </c>
      <c r="N776" s="21">
        <f t="shared" si="37"/>
        <v>0.23770176787086852</v>
      </c>
      <c r="P776" s="1">
        <v>8</v>
      </c>
      <c r="Q776" s="24">
        <v>3.3900000000000006</v>
      </c>
      <c r="R776" s="24">
        <v>30.509999999999998</v>
      </c>
      <c r="S776" s="21">
        <f t="shared" si="38"/>
        <v>0.17255956956187543</v>
      </c>
    </row>
    <row r="777" spans="2:19" ht="11.4" customHeight="1" x14ac:dyDescent="0.2">
      <c r="B777" s="24"/>
      <c r="C777" s="4">
        <v>40824</v>
      </c>
      <c r="D777" s="18" t="s">
        <v>809</v>
      </c>
      <c r="E777" s="18" t="s">
        <v>805</v>
      </c>
      <c r="F777" s="17">
        <v>24</v>
      </c>
      <c r="G777" s="18" t="s">
        <v>23</v>
      </c>
      <c r="H777" s="17">
        <v>34.42</v>
      </c>
      <c r="I777" s="5">
        <v>43.3</v>
      </c>
      <c r="J777" s="21">
        <f t="shared" si="36"/>
        <v>0.25798954096455534</v>
      </c>
      <c r="K777" s="1">
        <v>2</v>
      </c>
      <c r="L777" s="24">
        <v>2.1</v>
      </c>
      <c r="M777" s="24">
        <v>41.134999999999998</v>
      </c>
      <c r="N777" s="21">
        <f t="shared" si="37"/>
        <v>0.19509006391632761</v>
      </c>
      <c r="P777" s="1">
        <v>8</v>
      </c>
      <c r="Q777" s="24">
        <v>4.3299999999999983</v>
      </c>
      <c r="R777" s="24">
        <v>38.97</v>
      </c>
      <c r="S777" s="21">
        <f t="shared" si="38"/>
        <v>0.13219058686809984</v>
      </c>
    </row>
    <row r="778" spans="2:19" ht="11.4" customHeight="1" x14ac:dyDescent="0.2">
      <c r="B778" s="24"/>
      <c r="C778" s="4">
        <v>18043</v>
      </c>
      <c r="D778" s="18" t="s">
        <v>810</v>
      </c>
      <c r="E778" s="18" t="s">
        <v>805</v>
      </c>
      <c r="F778" s="17">
        <v>12</v>
      </c>
      <c r="G778" s="18" t="s">
        <v>23</v>
      </c>
      <c r="H778" s="17">
        <v>43.5</v>
      </c>
      <c r="I778" s="5">
        <v>44.5</v>
      </c>
      <c r="J778" s="21">
        <f t="shared" si="36"/>
        <v>2.2988505747126436E-2</v>
      </c>
      <c r="K778" s="1">
        <v>2</v>
      </c>
      <c r="L778" s="24">
        <v>2.2000000000000002</v>
      </c>
      <c r="M778" s="24">
        <v>42.274999999999999</v>
      </c>
      <c r="N778" s="21">
        <f t="shared" si="37"/>
        <v>-2.8160919540229919E-2</v>
      </c>
      <c r="P778" s="1">
        <v>8</v>
      </c>
      <c r="Q778" s="24">
        <v>4.4499999999999957</v>
      </c>
      <c r="R778" s="24">
        <v>40.050000000000004</v>
      </c>
      <c r="S778" s="21">
        <f t="shared" si="38"/>
        <v>-7.9310344827586116E-2</v>
      </c>
    </row>
    <row r="779" spans="2:19" ht="11.4" customHeight="1" x14ac:dyDescent="0.2">
      <c r="B779" s="24"/>
      <c r="C779" s="4">
        <v>16846</v>
      </c>
      <c r="D779" s="18" t="s">
        <v>811</v>
      </c>
      <c r="E779" s="18" t="s">
        <v>805</v>
      </c>
      <c r="F779" s="17">
        <v>6</v>
      </c>
      <c r="G779" s="18" t="s">
        <v>23</v>
      </c>
      <c r="H779" s="17">
        <v>32</v>
      </c>
      <c r="I779" s="5">
        <v>34.6</v>
      </c>
      <c r="J779" s="21">
        <f t="shared" si="36"/>
        <v>8.1250000000000044E-2</v>
      </c>
      <c r="K779" s="1">
        <v>2</v>
      </c>
      <c r="L779" s="24">
        <v>1.7</v>
      </c>
      <c r="M779" s="24">
        <v>32.869999999999997</v>
      </c>
      <c r="N779" s="21">
        <f t="shared" si="37"/>
        <v>2.718749999999992E-2</v>
      </c>
      <c r="P779" s="1">
        <v>8</v>
      </c>
      <c r="Q779" s="24">
        <v>3.4600000000000009</v>
      </c>
      <c r="R779" s="24">
        <v>31.14</v>
      </c>
      <c r="S779" s="21">
        <f t="shared" si="38"/>
        <v>-2.6874999999999982E-2</v>
      </c>
    </row>
    <row r="780" spans="2:19" ht="11.4" customHeight="1" x14ac:dyDescent="0.2">
      <c r="B780" s="24"/>
      <c r="C780" s="4">
        <v>14398</v>
      </c>
      <c r="D780" s="18" t="s">
        <v>812</v>
      </c>
      <c r="E780" s="18" t="s">
        <v>805</v>
      </c>
      <c r="F780" s="17">
        <v>24</v>
      </c>
      <c r="G780" s="18" t="s">
        <v>23</v>
      </c>
      <c r="H780" s="17">
        <v>41.4</v>
      </c>
      <c r="I780" s="5">
        <v>43.3</v>
      </c>
      <c r="J780" s="21">
        <f t="shared" si="36"/>
        <v>4.5893719806763253E-2</v>
      </c>
      <c r="K780" s="1">
        <v>2</v>
      </c>
      <c r="L780" s="24">
        <v>2.1</v>
      </c>
      <c r="M780" s="24">
        <v>41.134999999999998</v>
      </c>
      <c r="N780" s="21">
        <f t="shared" si="37"/>
        <v>-6.4009661835748933E-3</v>
      </c>
      <c r="P780" s="1">
        <v>8</v>
      </c>
      <c r="Q780" s="24">
        <v>4.3299999999999983</v>
      </c>
      <c r="R780" s="24">
        <v>38.97</v>
      </c>
      <c r="S780" s="21">
        <f t="shared" si="38"/>
        <v>-5.8695652173913038E-2</v>
      </c>
    </row>
    <row r="781" spans="2:19" ht="11.4" customHeight="1" x14ac:dyDescent="0.2">
      <c r="B781" s="24"/>
      <c r="C781" s="4">
        <v>14396</v>
      </c>
      <c r="D781" s="18" t="s">
        <v>813</v>
      </c>
      <c r="E781" s="18" t="s">
        <v>805</v>
      </c>
      <c r="F781" s="17">
        <v>24</v>
      </c>
      <c r="G781" s="18" t="s">
        <v>23</v>
      </c>
      <c r="H781" s="17">
        <v>31.4</v>
      </c>
      <c r="I781" s="5">
        <v>33.9</v>
      </c>
      <c r="J781" s="21">
        <f t="shared" si="36"/>
        <v>7.9617834394904469E-2</v>
      </c>
      <c r="K781" s="1">
        <v>2</v>
      </c>
      <c r="L781" s="24">
        <v>1.6</v>
      </c>
      <c r="M781" s="24">
        <v>32.204999999999998</v>
      </c>
      <c r="N781" s="21">
        <f t="shared" si="37"/>
        <v>2.5636942675159227E-2</v>
      </c>
      <c r="P781" s="1">
        <v>8</v>
      </c>
      <c r="Q781" s="24">
        <v>3.3900000000000006</v>
      </c>
      <c r="R781" s="24">
        <v>30.509999999999998</v>
      </c>
      <c r="S781" s="21">
        <f t="shared" si="38"/>
        <v>-2.8343949044586005E-2</v>
      </c>
    </row>
    <row r="782" spans="2:19" ht="11.4" customHeight="1" x14ac:dyDescent="0.2">
      <c r="B782" s="24"/>
      <c r="C782" s="4">
        <v>34612</v>
      </c>
      <c r="D782" s="18" t="s">
        <v>814</v>
      </c>
      <c r="E782" s="18" t="s">
        <v>805</v>
      </c>
      <c r="F782" s="17">
        <v>24</v>
      </c>
      <c r="G782" s="18" t="s">
        <v>23</v>
      </c>
      <c r="H782" s="17">
        <v>42.5</v>
      </c>
      <c r="I782" s="5">
        <v>45.9</v>
      </c>
      <c r="J782" s="21">
        <f t="shared" si="36"/>
        <v>7.999999999999996E-2</v>
      </c>
      <c r="K782" s="1">
        <v>2</v>
      </c>
      <c r="L782" s="24">
        <v>2.2000000000000002</v>
      </c>
      <c r="M782" s="24">
        <v>43.604999999999997</v>
      </c>
      <c r="N782" s="21">
        <f t="shared" si="37"/>
        <v>2.5999999999999926E-2</v>
      </c>
      <c r="P782" s="1">
        <v>8</v>
      </c>
      <c r="Q782" s="24">
        <v>4.5899999999999963</v>
      </c>
      <c r="R782" s="24">
        <v>41.31</v>
      </c>
      <c r="S782" s="21">
        <f t="shared" si="38"/>
        <v>-2.7999999999999945E-2</v>
      </c>
    </row>
    <row r="783" spans="2:19" ht="11.4" customHeight="1" x14ac:dyDescent="0.2">
      <c r="B783" s="24"/>
      <c r="C783" s="4">
        <v>40857</v>
      </c>
      <c r="D783" s="18" t="s">
        <v>815</v>
      </c>
      <c r="E783" s="18" t="s">
        <v>805</v>
      </c>
      <c r="F783" s="17">
        <v>24</v>
      </c>
      <c r="G783" s="18" t="s">
        <v>23</v>
      </c>
      <c r="H783" s="17">
        <v>29.76</v>
      </c>
      <c r="I783" s="5">
        <v>45.9</v>
      </c>
      <c r="J783" s="21">
        <f t="shared" si="36"/>
        <v>0.54233870967741926</v>
      </c>
      <c r="K783" s="1">
        <v>2</v>
      </c>
      <c r="L783" s="24">
        <v>2.2000000000000002</v>
      </c>
      <c r="M783" s="24">
        <v>43.604999999999997</v>
      </c>
      <c r="N783" s="21">
        <f t="shared" si="37"/>
        <v>0.46522177419354821</v>
      </c>
      <c r="P783" s="1">
        <v>8</v>
      </c>
      <c r="Q783" s="24">
        <v>4.5899999999999963</v>
      </c>
      <c r="R783" s="24">
        <v>41.31</v>
      </c>
      <c r="S783" s="21">
        <f t="shared" si="38"/>
        <v>0.38810483870967744</v>
      </c>
    </row>
    <row r="784" spans="2:19" ht="11.4" customHeight="1" x14ac:dyDescent="0.2">
      <c r="B784" s="24"/>
      <c r="C784" s="4">
        <v>23740</v>
      </c>
      <c r="D784" s="18" t="s">
        <v>816</v>
      </c>
      <c r="E784" s="18" t="s">
        <v>805</v>
      </c>
      <c r="F784" s="17">
        <v>24</v>
      </c>
      <c r="G784" s="18" t="s">
        <v>23</v>
      </c>
      <c r="H784" s="17">
        <v>31.4</v>
      </c>
      <c r="I784" s="5">
        <v>33.9</v>
      </c>
      <c r="J784" s="21">
        <f t="shared" si="36"/>
        <v>7.9617834394904469E-2</v>
      </c>
      <c r="K784" s="1">
        <v>2</v>
      </c>
      <c r="L784" s="24">
        <v>1.6</v>
      </c>
      <c r="M784" s="24">
        <v>32.204999999999998</v>
      </c>
      <c r="N784" s="21">
        <f t="shared" si="37"/>
        <v>2.5636942675159227E-2</v>
      </c>
      <c r="P784" s="1">
        <v>8</v>
      </c>
      <c r="Q784" s="24">
        <v>3.3900000000000006</v>
      </c>
      <c r="R784" s="24">
        <v>30.509999999999998</v>
      </c>
      <c r="S784" s="21">
        <f t="shared" si="38"/>
        <v>-2.8343949044586005E-2</v>
      </c>
    </row>
    <row r="785" spans="2:19" ht="11.4" customHeight="1" x14ac:dyDescent="0.2">
      <c r="B785" s="24"/>
      <c r="C785" s="4">
        <v>15108</v>
      </c>
      <c r="D785" s="18" t="s">
        <v>817</v>
      </c>
      <c r="E785" s="18" t="s">
        <v>805</v>
      </c>
      <c r="F785" s="17">
        <v>12</v>
      </c>
      <c r="G785" s="18" t="s">
        <v>23</v>
      </c>
      <c r="H785" s="17">
        <v>38.5</v>
      </c>
      <c r="I785" s="5">
        <v>41.5</v>
      </c>
      <c r="J785" s="21">
        <f t="shared" si="36"/>
        <v>7.792207792207792E-2</v>
      </c>
      <c r="K785" s="1">
        <v>2</v>
      </c>
      <c r="L785" s="24">
        <v>2</v>
      </c>
      <c r="M785" s="24">
        <v>39.424999999999997</v>
      </c>
      <c r="N785" s="21">
        <f t="shared" si="37"/>
        <v>2.4025974025973951E-2</v>
      </c>
      <c r="P785" s="1">
        <v>8</v>
      </c>
      <c r="Q785" s="24">
        <v>4.1499999999999986</v>
      </c>
      <c r="R785" s="24">
        <v>37.35</v>
      </c>
      <c r="S785" s="21">
        <f t="shared" si="38"/>
        <v>-2.9870129870129832E-2</v>
      </c>
    </row>
    <row r="786" spans="2:19" ht="11.4" customHeight="1" x14ac:dyDescent="0.2">
      <c r="B786" s="24"/>
      <c r="C786" s="4">
        <v>40825</v>
      </c>
      <c r="D786" s="18" t="s">
        <v>818</v>
      </c>
      <c r="E786" s="18" t="s">
        <v>805</v>
      </c>
      <c r="F786" s="17">
        <v>24</v>
      </c>
      <c r="G786" s="18" t="s">
        <v>23</v>
      </c>
      <c r="H786" s="17">
        <v>29.3</v>
      </c>
      <c r="I786" s="5">
        <v>43.3</v>
      </c>
      <c r="J786" s="21">
        <f t="shared" si="36"/>
        <v>0.47781569965870296</v>
      </c>
      <c r="K786" s="1">
        <v>2</v>
      </c>
      <c r="L786" s="24">
        <v>2.1</v>
      </c>
      <c r="M786" s="24">
        <v>41.134999999999998</v>
      </c>
      <c r="N786" s="21">
        <f t="shared" si="37"/>
        <v>0.4039249146757678</v>
      </c>
      <c r="P786" s="1">
        <v>8</v>
      </c>
      <c r="Q786" s="24">
        <v>4.3299999999999983</v>
      </c>
      <c r="R786" s="24">
        <v>38.97</v>
      </c>
      <c r="S786" s="21">
        <f t="shared" si="38"/>
        <v>0.33003412969283269</v>
      </c>
    </row>
    <row r="787" spans="2:19" ht="11.4" customHeight="1" x14ac:dyDescent="0.2">
      <c r="B787" s="24"/>
      <c r="C787" s="4">
        <v>18044</v>
      </c>
      <c r="D787" s="18" t="s">
        <v>819</v>
      </c>
      <c r="E787" s="18" t="s">
        <v>805</v>
      </c>
      <c r="F787" s="17">
        <v>12</v>
      </c>
      <c r="G787" s="18" t="s">
        <v>23</v>
      </c>
      <c r="H787" s="17">
        <v>43.2</v>
      </c>
      <c r="I787" s="5">
        <v>44.5</v>
      </c>
      <c r="J787" s="21">
        <f t="shared" si="36"/>
        <v>3.0092592592592525E-2</v>
      </c>
      <c r="K787" s="1">
        <v>2</v>
      </c>
      <c r="L787" s="24">
        <v>2.2000000000000002</v>
      </c>
      <c r="M787" s="24">
        <v>42.274999999999999</v>
      </c>
      <c r="N787" s="21">
        <f t="shared" si="37"/>
        <v>-2.1412037037037136E-2</v>
      </c>
      <c r="P787" s="1">
        <v>8</v>
      </c>
      <c r="Q787" s="24">
        <v>4.4499999999999957</v>
      </c>
      <c r="R787" s="24">
        <v>40.050000000000004</v>
      </c>
      <c r="S787" s="21">
        <f t="shared" si="38"/>
        <v>-7.291666666666663E-2</v>
      </c>
    </row>
    <row r="788" spans="2:19" ht="11.4" customHeight="1" x14ac:dyDescent="0.2">
      <c r="B788" s="24"/>
      <c r="C788" s="4">
        <v>16847</v>
      </c>
      <c r="D788" s="18" t="s">
        <v>820</v>
      </c>
      <c r="E788" s="18" t="s">
        <v>805</v>
      </c>
      <c r="F788" s="17">
        <v>6</v>
      </c>
      <c r="G788" s="18" t="s">
        <v>23</v>
      </c>
      <c r="H788" s="17">
        <v>32</v>
      </c>
      <c r="I788" s="5">
        <v>34.6</v>
      </c>
      <c r="J788" s="21">
        <f t="shared" si="36"/>
        <v>8.1250000000000044E-2</v>
      </c>
      <c r="K788" s="1">
        <v>2</v>
      </c>
      <c r="L788" s="24">
        <v>1.7</v>
      </c>
      <c r="M788" s="24">
        <v>32.869999999999997</v>
      </c>
      <c r="N788" s="21">
        <f t="shared" si="37"/>
        <v>2.718749999999992E-2</v>
      </c>
      <c r="P788" s="1">
        <v>8</v>
      </c>
      <c r="Q788" s="24">
        <v>3.4600000000000009</v>
      </c>
      <c r="R788" s="24">
        <v>31.14</v>
      </c>
      <c r="S788" s="21">
        <f t="shared" si="38"/>
        <v>-2.6874999999999982E-2</v>
      </c>
    </row>
    <row r="789" spans="2:19" ht="11.4" customHeight="1" x14ac:dyDescent="0.2">
      <c r="B789" s="24"/>
      <c r="C789" s="4">
        <v>44576</v>
      </c>
      <c r="D789" s="18" t="s">
        <v>821</v>
      </c>
      <c r="E789" s="18" t="s">
        <v>805</v>
      </c>
      <c r="F789" s="17">
        <v>6</v>
      </c>
      <c r="G789" s="18" t="s">
        <v>23</v>
      </c>
      <c r="H789" s="17">
        <v>68.150000000000006</v>
      </c>
      <c r="I789" s="5">
        <v>99</v>
      </c>
      <c r="J789" s="21">
        <f t="shared" si="36"/>
        <v>0.45267791636096832</v>
      </c>
      <c r="K789" s="1">
        <v>2</v>
      </c>
      <c r="L789" s="24">
        <v>4.9000000000000004</v>
      </c>
      <c r="M789" s="24">
        <v>94.05</v>
      </c>
      <c r="N789" s="21">
        <f t="shared" si="37"/>
        <v>0.38004402054291986</v>
      </c>
      <c r="P789" s="1">
        <v>8</v>
      </c>
      <c r="Q789" s="24">
        <v>9.8999999999999915</v>
      </c>
      <c r="R789" s="24">
        <v>89.100000000000009</v>
      </c>
      <c r="S789" s="21">
        <f t="shared" si="38"/>
        <v>0.30741012472487161</v>
      </c>
    </row>
    <row r="790" spans="2:19" ht="11.4" customHeight="1" x14ac:dyDescent="0.2">
      <c r="B790" s="24"/>
      <c r="C790" s="4">
        <v>36304</v>
      </c>
      <c r="D790" s="18" t="s">
        <v>822</v>
      </c>
      <c r="E790" s="18" t="s">
        <v>805</v>
      </c>
      <c r="F790" s="17">
        <v>6</v>
      </c>
      <c r="G790" s="18" t="s">
        <v>23</v>
      </c>
      <c r="H790" s="17">
        <v>29.1</v>
      </c>
      <c r="I790" s="5">
        <v>29.9</v>
      </c>
      <c r="J790" s="21">
        <f t="shared" si="36"/>
        <v>2.7491408934707806E-2</v>
      </c>
      <c r="K790" s="1">
        <v>2</v>
      </c>
      <c r="L790" s="24">
        <v>1.4</v>
      </c>
      <c r="M790" s="24">
        <v>28.404999999999998</v>
      </c>
      <c r="N790" s="21">
        <f t="shared" si="37"/>
        <v>-2.3883161512027622E-2</v>
      </c>
      <c r="P790" s="1">
        <v>8</v>
      </c>
      <c r="Q790" s="24">
        <v>2.9899999999999984</v>
      </c>
      <c r="R790" s="24">
        <v>26.91</v>
      </c>
      <c r="S790" s="21">
        <f t="shared" si="38"/>
        <v>-7.5257731958762925E-2</v>
      </c>
    </row>
    <row r="791" spans="2:19" ht="11.4" customHeight="1" x14ac:dyDescent="0.2">
      <c r="B791" s="24"/>
      <c r="C791" s="4">
        <v>34588</v>
      </c>
      <c r="D791" s="18" t="s">
        <v>823</v>
      </c>
      <c r="E791" s="18" t="s">
        <v>805</v>
      </c>
      <c r="F791" s="17">
        <v>12</v>
      </c>
      <c r="G791" s="18" t="s">
        <v>23</v>
      </c>
      <c r="H791" s="17">
        <v>38.5</v>
      </c>
      <c r="I791" s="5">
        <v>41.5</v>
      </c>
      <c r="J791" s="21">
        <f t="shared" si="36"/>
        <v>7.792207792207792E-2</v>
      </c>
      <c r="K791" s="1">
        <v>2</v>
      </c>
      <c r="L791" s="24">
        <v>2</v>
      </c>
      <c r="M791" s="24">
        <v>39.424999999999997</v>
      </c>
      <c r="N791" s="21">
        <f t="shared" si="37"/>
        <v>2.4025974025973951E-2</v>
      </c>
      <c r="P791" s="1">
        <v>8</v>
      </c>
      <c r="Q791" s="24">
        <v>4.1499999999999986</v>
      </c>
      <c r="R791" s="24">
        <v>37.35</v>
      </c>
      <c r="S791" s="21">
        <f t="shared" si="38"/>
        <v>-2.9870129870129832E-2</v>
      </c>
    </row>
    <row r="792" spans="2:19" ht="11.4" customHeight="1" x14ac:dyDescent="0.2">
      <c r="B792" s="24"/>
      <c r="C792" s="4">
        <v>14414</v>
      </c>
      <c r="D792" s="18" t="s">
        <v>824</v>
      </c>
      <c r="E792" s="18" t="s">
        <v>805</v>
      </c>
      <c r="F792" s="17">
        <v>24</v>
      </c>
      <c r="G792" s="18" t="s">
        <v>23</v>
      </c>
      <c r="H792" s="17">
        <v>41.4</v>
      </c>
      <c r="I792" s="5">
        <v>43.3</v>
      </c>
      <c r="J792" s="21">
        <f t="shared" si="36"/>
        <v>4.5893719806763253E-2</v>
      </c>
      <c r="K792" s="1">
        <v>2</v>
      </c>
      <c r="L792" s="24">
        <v>2.1</v>
      </c>
      <c r="M792" s="24">
        <v>41.134999999999998</v>
      </c>
      <c r="N792" s="21">
        <f t="shared" si="37"/>
        <v>-6.4009661835748933E-3</v>
      </c>
      <c r="P792" s="1">
        <v>8</v>
      </c>
      <c r="Q792" s="24">
        <v>4.3299999999999983</v>
      </c>
      <c r="R792" s="24">
        <v>38.97</v>
      </c>
      <c r="S792" s="21">
        <f t="shared" si="38"/>
        <v>-5.8695652173913038E-2</v>
      </c>
    </row>
    <row r="793" spans="2:19" ht="11.4" customHeight="1" x14ac:dyDescent="0.2">
      <c r="B793" s="24"/>
      <c r="C793" s="4">
        <v>14413</v>
      </c>
      <c r="D793" s="18" t="s">
        <v>825</v>
      </c>
      <c r="E793" s="18" t="s">
        <v>805</v>
      </c>
      <c r="F793" s="17">
        <v>24</v>
      </c>
      <c r="G793" s="18" t="s">
        <v>23</v>
      </c>
      <c r="H793" s="17">
        <v>31.4</v>
      </c>
      <c r="I793" s="5">
        <v>33.9</v>
      </c>
      <c r="J793" s="21">
        <f t="shared" si="36"/>
        <v>7.9617834394904469E-2</v>
      </c>
      <c r="K793" s="1">
        <v>2</v>
      </c>
      <c r="L793" s="24">
        <v>1.6</v>
      </c>
      <c r="M793" s="24">
        <v>32.204999999999998</v>
      </c>
      <c r="N793" s="21">
        <f t="shared" si="37"/>
        <v>2.5636942675159227E-2</v>
      </c>
      <c r="P793" s="1">
        <v>8</v>
      </c>
      <c r="Q793" s="24">
        <v>3.3900000000000006</v>
      </c>
      <c r="R793" s="24">
        <v>30.509999999999998</v>
      </c>
      <c r="S793" s="21">
        <f t="shared" si="38"/>
        <v>-2.8343949044586005E-2</v>
      </c>
    </row>
    <row r="794" spans="2:19" ht="11.4" customHeight="1" x14ac:dyDescent="0.2">
      <c r="B794" s="24"/>
      <c r="C794" s="4">
        <v>41081</v>
      </c>
      <c r="D794" s="18" t="s">
        <v>826</v>
      </c>
      <c r="E794" s="18" t="s">
        <v>805</v>
      </c>
      <c r="F794" s="17">
        <v>12</v>
      </c>
      <c r="G794" s="18" t="s">
        <v>23</v>
      </c>
      <c r="H794" s="17">
        <v>37.32</v>
      </c>
      <c r="I794" s="5">
        <v>47.9</v>
      </c>
      <c r="J794" s="21">
        <f t="shared" si="36"/>
        <v>0.28349410503751338</v>
      </c>
      <c r="K794" s="1">
        <v>2</v>
      </c>
      <c r="L794" s="24">
        <v>2.2999999999999998</v>
      </c>
      <c r="M794" s="24">
        <v>45.504999999999995</v>
      </c>
      <c r="N794" s="21">
        <f t="shared" si="37"/>
        <v>0.21931939978563761</v>
      </c>
      <c r="P794" s="1">
        <v>8</v>
      </c>
      <c r="Q794" s="24">
        <v>4.7899999999999991</v>
      </c>
      <c r="R794" s="24">
        <v>43.11</v>
      </c>
      <c r="S794" s="21">
        <f t="shared" si="38"/>
        <v>0.15514469453376203</v>
      </c>
    </row>
    <row r="795" spans="2:19" ht="11.4" customHeight="1" x14ac:dyDescent="0.2">
      <c r="B795" s="24"/>
      <c r="C795" s="4">
        <v>7837</v>
      </c>
      <c r="D795" s="18" t="s">
        <v>827</v>
      </c>
      <c r="E795" s="18" t="s">
        <v>805</v>
      </c>
      <c r="F795" s="17">
        <v>12</v>
      </c>
      <c r="G795" s="18" t="s">
        <v>23</v>
      </c>
      <c r="H795" s="17">
        <v>46.9</v>
      </c>
      <c r="I795" s="5">
        <v>47.9</v>
      </c>
      <c r="J795" s="21">
        <f t="shared" si="36"/>
        <v>2.1321961620469083E-2</v>
      </c>
      <c r="K795" s="1">
        <v>2</v>
      </c>
      <c r="L795" s="24">
        <v>2.2999999999999998</v>
      </c>
      <c r="M795" s="24">
        <v>45.504999999999995</v>
      </c>
      <c r="N795" s="21">
        <f t="shared" si="37"/>
        <v>-2.9744136460554439E-2</v>
      </c>
      <c r="P795" s="1">
        <v>8</v>
      </c>
      <c r="Q795" s="24">
        <v>4.7899999999999991</v>
      </c>
      <c r="R795" s="24">
        <v>43.11</v>
      </c>
      <c r="S795" s="21">
        <f t="shared" si="38"/>
        <v>-8.0810234541577805E-2</v>
      </c>
    </row>
    <row r="796" spans="2:19" ht="11.4" customHeight="1" x14ac:dyDescent="0.2">
      <c r="B796" s="24"/>
      <c r="C796" s="4">
        <v>44225</v>
      </c>
      <c r="D796" s="18" t="s">
        <v>828</v>
      </c>
      <c r="E796" s="18" t="s">
        <v>805</v>
      </c>
      <c r="F796" s="17">
        <v>24</v>
      </c>
      <c r="G796" s="18" t="s">
        <v>23</v>
      </c>
      <c r="H796" s="17">
        <v>34.5</v>
      </c>
      <c r="I796" s="5">
        <v>44.5</v>
      </c>
      <c r="J796" s="21">
        <f t="shared" si="36"/>
        <v>0.28985507246376813</v>
      </c>
      <c r="K796" s="1">
        <v>2</v>
      </c>
      <c r="L796" s="24">
        <v>2.2000000000000002</v>
      </c>
      <c r="M796" s="24">
        <v>42.274999999999999</v>
      </c>
      <c r="N796" s="21">
        <f t="shared" si="37"/>
        <v>0.22536231884057967</v>
      </c>
      <c r="P796" s="1">
        <v>8</v>
      </c>
      <c r="Q796" s="24">
        <v>4.4499999999999957</v>
      </c>
      <c r="R796" s="24">
        <v>40.050000000000004</v>
      </c>
      <c r="S796" s="21">
        <f t="shared" si="38"/>
        <v>0.16086956521739143</v>
      </c>
    </row>
    <row r="797" spans="2:19" ht="11.4" customHeight="1" x14ac:dyDescent="0.2">
      <c r="B797" s="24"/>
      <c r="C797" s="4">
        <v>14480</v>
      </c>
      <c r="D797" s="18" t="s">
        <v>829</v>
      </c>
      <c r="E797" s="18" t="s">
        <v>805</v>
      </c>
      <c r="F797" s="17">
        <v>24</v>
      </c>
      <c r="G797" s="18" t="s">
        <v>23</v>
      </c>
      <c r="H797" s="17">
        <v>31.4</v>
      </c>
      <c r="I797" s="5">
        <v>33.9</v>
      </c>
      <c r="J797" s="21">
        <f t="shared" si="36"/>
        <v>7.9617834394904469E-2</v>
      </c>
      <c r="K797" s="1">
        <v>2</v>
      </c>
      <c r="L797" s="24">
        <v>1.6</v>
      </c>
      <c r="M797" s="24">
        <v>32.204999999999998</v>
      </c>
      <c r="N797" s="21">
        <f t="shared" si="37"/>
        <v>2.5636942675159227E-2</v>
      </c>
      <c r="P797" s="1">
        <v>8</v>
      </c>
      <c r="Q797" s="24">
        <v>3.3900000000000006</v>
      </c>
      <c r="R797" s="24">
        <v>30.509999999999998</v>
      </c>
      <c r="S797" s="21">
        <f t="shared" si="38"/>
        <v>-2.8343949044586005E-2</v>
      </c>
    </row>
    <row r="798" spans="2:19" ht="11.4" customHeight="1" x14ac:dyDescent="0.2">
      <c r="B798" s="24"/>
      <c r="C798" s="4">
        <v>40826</v>
      </c>
      <c r="D798" s="18" t="s">
        <v>830</v>
      </c>
      <c r="E798" s="18" t="s">
        <v>805</v>
      </c>
      <c r="F798" s="17">
        <v>24</v>
      </c>
      <c r="G798" s="18" t="s">
        <v>23</v>
      </c>
      <c r="H798" s="17">
        <v>34.42</v>
      </c>
      <c r="I798" s="5">
        <v>42.7</v>
      </c>
      <c r="J798" s="21">
        <f t="shared" si="36"/>
        <v>0.24055781522370717</v>
      </c>
      <c r="K798" s="1">
        <v>2</v>
      </c>
      <c r="L798" s="24">
        <v>2.1</v>
      </c>
      <c r="M798" s="24">
        <v>40.564999999999998</v>
      </c>
      <c r="N798" s="21">
        <f t="shared" si="37"/>
        <v>0.17852992446252167</v>
      </c>
      <c r="P798" s="1">
        <v>8</v>
      </c>
      <c r="Q798" s="24">
        <v>4.269999999999996</v>
      </c>
      <c r="R798" s="24">
        <v>38.430000000000007</v>
      </c>
      <c r="S798" s="21">
        <f t="shared" si="38"/>
        <v>0.11650203370133658</v>
      </c>
    </row>
    <row r="799" spans="2:19" ht="11.4" customHeight="1" x14ac:dyDescent="0.2">
      <c r="B799" s="24"/>
      <c r="C799" s="4">
        <v>18045</v>
      </c>
      <c r="D799" s="18" t="s">
        <v>831</v>
      </c>
      <c r="E799" s="18" t="s">
        <v>805</v>
      </c>
      <c r="F799" s="17">
        <v>12</v>
      </c>
      <c r="G799" s="18" t="s">
        <v>23</v>
      </c>
      <c r="H799" s="17">
        <v>45.4</v>
      </c>
      <c r="I799" s="5">
        <v>44.5</v>
      </c>
      <c r="J799" s="21">
        <f t="shared" si="36"/>
        <v>-1.9823788546255477E-2</v>
      </c>
      <c r="K799" s="1">
        <v>2</v>
      </c>
      <c r="L799" s="24">
        <v>2.2000000000000002</v>
      </c>
      <c r="M799" s="24">
        <v>42.274999999999999</v>
      </c>
      <c r="N799" s="21">
        <f t="shared" si="37"/>
        <v>-6.8832599118942739E-2</v>
      </c>
      <c r="P799" s="1">
        <v>8</v>
      </c>
      <c r="Q799" s="24">
        <v>4.4499999999999957</v>
      </c>
      <c r="R799" s="24">
        <v>40.050000000000004</v>
      </c>
      <c r="S799" s="21">
        <f t="shared" si="38"/>
        <v>-0.11784140969162983</v>
      </c>
    </row>
    <row r="800" spans="2:19" ht="11.4" customHeight="1" x14ac:dyDescent="0.2">
      <c r="B800" s="24"/>
      <c r="C800" s="4">
        <v>16848</v>
      </c>
      <c r="D800" s="18" t="s">
        <v>832</v>
      </c>
      <c r="E800" s="18" t="s">
        <v>805</v>
      </c>
      <c r="F800" s="17">
        <v>6</v>
      </c>
      <c r="G800" s="18" t="s">
        <v>23</v>
      </c>
      <c r="H800" s="17">
        <v>32</v>
      </c>
      <c r="I800" s="5">
        <v>34.6</v>
      </c>
      <c r="J800" s="21">
        <f t="shared" si="36"/>
        <v>8.1250000000000044E-2</v>
      </c>
      <c r="K800" s="1">
        <v>2</v>
      </c>
      <c r="L800" s="24">
        <v>1.7</v>
      </c>
      <c r="M800" s="24">
        <v>32.869999999999997</v>
      </c>
      <c r="N800" s="21">
        <f t="shared" si="37"/>
        <v>2.718749999999992E-2</v>
      </c>
      <c r="P800" s="1">
        <v>8</v>
      </c>
      <c r="Q800" s="24">
        <v>3.4600000000000009</v>
      </c>
      <c r="R800" s="24">
        <v>31.14</v>
      </c>
      <c r="S800" s="21">
        <f t="shared" si="38"/>
        <v>-2.6874999999999982E-2</v>
      </c>
    </row>
    <row r="801" spans="2:19" ht="11.4" customHeight="1" x14ac:dyDescent="0.2">
      <c r="B801" s="24"/>
      <c r="C801" s="4">
        <v>43836</v>
      </c>
      <c r="D801" s="18" t="s">
        <v>833</v>
      </c>
      <c r="E801" s="18" t="s">
        <v>805</v>
      </c>
      <c r="F801" s="17">
        <v>12</v>
      </c>
      <c r="G801" s="18" t="s">
        <v>23</v>
      </c>
      <c r="H801" s="17">
        <v>30.36</v>
      </c>
      <c r="I801" s="5">
        <v>33.9</v>
      </c>
      <c r="J801" s="21">
        <f t="shared" si="36"/>
        <v>0.11660079051383397</v>
      </c>
      <c r="K801" s="1">
        <v>2</v>
      </c>
      <c r="L801" s="24">
        <v>1.6</v>
      </c>
      <c r="M801" s="24">
        <v>32.204999999999998</v>
      </c>
      <c r="N801" s="21">
        <f t="shared" si="37"/>
        <v>6.0770750988142254E-2</v>
      </c>
      <c r="P801" s="1">
        <v>8</v>
      </c>
      <c r="Q801" s="24">
        <v>3.3900000000000006</v>
      </c>
      <c r="R801" s="24">
        <v>30.509999999999998</v>
      </c>
      <c r="S801" s="21">
        <f t="shared" si="38"/>
        <v>4.9407114624505461E-3</v>
      </c>
    </row>
    <row r="802" spans="2:19" ht="11.4" customHeight="1" x14ac:dyDescent="0.2">
      <c r="B802" s="24"/>
      <c r="C802" s="4">
        <v>23354</v>
      </c>
      <c r="D802" s="18" t="s">
        <v>834</v>
      </c>
      <c r="E802" s="18" t="s">
        <v>805</v>
      </c>
      <c r="F802" s="17">
        <v>1</v>
      </c>
      <c r="G802" s="18" t="s">
        <v>23</v>
      </c>
      <c r="H802" s="17">
        <v>39.5</v>
      </c>
      <c r="I802" s="5">
        <v>46.4</v>
      </c>
      <c r="J802" s="21">
        <f t="shared" si="36"/>
        <v>0.17468354430379743</v>
      </c>
      <c r="K802" s="1">
        <v>2</v>
      </c>
      <c r="L802" s="24">
        <v>2.2999999999999998</v>
      </c>
      <c r="M802" s="24">
        <v>44.08</v>
      </c>
      <c r="N802" s="21">
        <f t="shared" si="37"/>
        <v>0.11594936708860755</v>
      </c>
      <c r="P802" s="1">
        <v>8</v>
      </c>
      <c r="Q802" s="24">
        <v>4.6400000000000006</v>
      </c>
      <c r="R802" s="24">
        <v>41.76</v>
      </c>
      <c r="S802" s="21">
        <f t="shared" si="38"/>
        <v>5.7215189873417671E-2</v>
      </c>
    </row>
    <row r="803" spans="2:19" ht="11.4" customHeight="1" x14ac:dyDescent="0.2">
      <c r="B803" s="24"/>
      <c r="C803" s="4">
        <v>15121</v>
      </c>
      <c r="D803" s="18" t="s">
        <v>835</v>
      </c>
      <c r="E803" s="18" t="s">
        <v>805</v>
      </c>
      <c r="F803" s="17">
        <v>12</v>
      </c>
      <c r="G803" s="18" t="s">
        <v>23</v>
      </c>
      <c r="H803" s="17">
        <v>46.9</v>
      </c>
      <c r="I803" s="5">
        <v>47.9</v>
      </c>
      <c r="J803" s="21">
        <f t="shared" si="36"/>
        <v>2.1321961620469083E-2</v>
      </c>
      <c r="K803" s="1">
        <v>2</v>
      </c>
      <c r="L803" s="24">
        <v>2.2999999999999998</v>
      </c>
      <c r="M803" s="24">
        <v>45.504999999999995</v>
      </c>
      <c r="N803" s="21">
        <f t="shared" si="37"/>
        <v>-2.9744136460554439E-2</v>
      </c>
      <c r="P803" s="1">
        <v>8</v>
      </c>
      <c r="Q803" s="24">
        <v>4.7899999999999991</v>
      </c>
      <c r="R803" s="24">
        <v>43.11</v>
      </c>
      <c r="S803" s="21">
        <f t="shared" si="38"/>
        <v>-8.0810234541577805E-2</v>
      </c>
    </row>
    <row r="804" spans="2:19" ht="11.4" customHeight="1" x14ac:dyDescent="0.2">
      <c r="B804" s="24"/>
      <c r="C804" s="4">
        <v>35337</v>
      </c>
      <c r="D804" s="18" t="s">
        <v>836</v>
      </c>
      <c r="E804" s="18" t="s">
        <v>837</v>
      </c>
      <c r="F804" s="17">
        <v>1</v>
      </c>
      <c r="G804" s="18" t="s">
        <v>23</v>
      </c>
      <c r="H804" s="17">
        <v>163</v>
      </c>
      <c r="I804" s="5">
        <v>234</v>
      </c>
      <c r="J804" s="21">
        <f t="shared" si="36"/>
        <v>0.43558282208588955</v>
      </c>
      <c r="K804" s="1">
        <v>2</v>
      </c>
      <c r="L804" s="24">
        <v>11.7</v>
      </c>
      <c r="M804" s="24">
        <v>222.29999999999998</v>
      </c>
      <c r="N804" s="21">
        <f t="shared" si="37"/>
        <v>0.36380368098159499</v>
      </c>
      <c r="P804" s="1">
        <v>8</v>
      </c>
      <c r="Q804" s="24">
        <v>23.400000000000006</v>
      </c>
      <c r="R804" s="24">
        <v>210.6</v>
      </c>
      <c r="S804" s="21">
        <f t="shared" si="38"/>
        <v>0.29202453987730059</v>
      </c>
    </row>
    <row r="805" spans="2:19" ht="11.4" customHeight="1" x14ac:dyDescent="0.2">
      <c r="B805" s="24"/>
      <c r="C805" s="4">
        <v>18242</v>
      </c>
      <c r="D805" s="18" t="s">
        <v>838</v>
      </c>
      <c r="E805" s="18" t="s">
        <v>837</v>
      </c>
      <c r="F805" s="17">
        <v>1</v>
      </c>
      <c r="G805" s="18" t="s">
        <v>23</v>
      </c>
      <c r="H805" s="17">
        <v>137.28</v>
      </c>
      <c r="I805" s="5">
        <v>169</v>
      </c>
      <c r="J805" s="21">
        <f t="shared" si="36"/>
        <v>0.23106060606060605</v>
      </c>
      <c r="K805" s="1">
        <v>2</v>
      </c>
      <c r="L805" s="24">
        <v>8.4</v>
      </c>
      <c r="M805" s="24">
        <v>160.54999999999998</v>
      </c>
      <c r="N805" s="21">
        <f t="shared" si="37"/>
        <v>0.16950757575757563</v>
      </c>
      <c r="P805" s="1">
        <v>8</v>
      </c>
      <c r="Q805" s="24">
        <v>16.900000000000006</v>
      </c>
      <c r="R805" s="24">
        <v>152.1</v>
      </c>
      <c r="S805" s="21">
        <f t="shared" si="38"/>
        <v>0.1079545454545454</v>
      </c>
    </row>
    <row r="806" spans="2:19" ht="11.4" customHeight="1" x14ac:dyDescent="0.2">
      <c r="B806" s="24"/>
      <c r="C806" s="4">
        <v>3327</v>
      </c>
      <c r="D806" s="18" t="s">
        <v>839</v>
      </c>
      <c r="E806" s="18" t="s">
        <v>837</v>
      </c>
      <c r="F806" s="17">
        <v>1</v>
      </c>
      <c r="G806" s="18" t="s">
        <v>23</v>
      </c>
      <c r="H806" s="17">
        <v>206.4</v>
      </c>
      <c r="I806" s="5">
        <v>249</v>
      </c>
      <c r="J806" s="21">
        <f t="shared" si="36"/>
        <v>0.20639534883720928</v>
      </c>
      <c r="K806" s="1">
        <v>2</v>
      </c>
      <c r="L806" s="24">
        <v>12.4</v>
      </c>
      <c r="M806" s="24">
        <v>236.54999999999998</v>
      </c>
      <c r="N806" s="21">
        <f t="shared" si="37"/>
        <v>0.14607558139534874</v>
      </c>
      <c r="P806" s="1">
        <v>8</v>
      </c>
      <c r="Q806" s="24">
        <v>24.900000000000006</v>
      </c>
      <c r="R806" s="24">
        <v>224.1</v>
      </c>
      <c r="S806" s="21">
        <f t="shared" si="38"/>
        <v>8.5755813953488316E-2</v>
      </c>
    </row>
    <row r="807" spans="2:19" ht="11.4" customHeight="1" x14ac:dyDescent="0.2">
      <c r="B807" s="24"/>
      <c r="C807" s="4">
        <v>12218</v>
      </c>
      <c r="D807" s="18" t="s">
        <v>840</v>
      </c>
      <c r="E807" s="18" t="s">
        <v>837</v>
      </c>
      <c r="F807" s="17">
        <v>6</v>
      </c>
      <c r="G807" s="18" t="s">
        <v>23</v>
      </c>
      <c r="H807" s="17">
        <v>156.9</v>
      </c>
      <c r="I807" s="5">
        <v>192.9</v>
      </c>
      <c r="J807" s="21">
        <f t="shared" si="36"/>
        <v>0.2294455066921606</v>
      </c>
      <c r="K807" s="1">
        <v>2</v>
      </c>
      <c r="L807" s="24">
        <v>9.6</v>
      </c>
      <c r="M807" s="24">
        <v>183.255</v>
      </c>
      <c r="N807" s="21">
        <f t="shared" si="37"/>
        <v>0.16797323135755252</v>
      </c>
      <c r="P807" s="1">
        <v>8</v>
      </c>
      <c r="Q807" s="24">
        <v>19.289999999999992</v>
      </c>
      <c r="R807" s="24">
        <v>173.61</v>
      </c>
      <c r="S807" s="21">
        <f t="shared" si="38"/>
        <v>0.1065009560229446</v>
      </c>
    </row>
    <row r="808" spans="2:19" ht="11.4" customHeight="1" x14ac:dyDescent="0.2">
      <c r="B808" s="24"/>
      <c r="C808" s="4">
        <v>37292</v>
      </c>
      <c r="D808" s="18" t="s">
        <v>841</v>
      </c>
      <c r="E808" s="18" t="s">
        <v>837</v>
      </c>
      <c r="F808" s="17">
        <v>1</v>
      </c>
      <c r="G808" s="18" t="s">
        <v>23</v>
      </c>
      <c r="H808" s="17">
        <v>353.71</v>
      </c>
      <c r="I808" s="5">
        <v>409.5</v>
      </c>
      <c r="J808" s="21">
        <f t="shared" si="36"/>
        <v>0.15772808232733038</v>
      </c>
      <c r="K808" s="1">
        <v>2</v>
      </c>
      <c r="L808" s="24">
        <v>20.399999999999999</v>
      </c>
      <c r="M808" s="24">
        <v>389.02499999999998</v>
      </c>
      <c r="N808" s="21">
        <f t="shared" si="37"/>
        <v>9.9841678210963777E-2</v>
      </c>
      <c r="P808" s="1">
        <v>8</v>
      </c>
      <c r="Q808" s="24">
        <v>40.949999999999989</v>
      </c>
      <c r="R808" s="24">
        <v>368.55</v>
      </c>
      <c r="S808" s="21">
        <f t="shared" si="38"/>
        <v>4.1955274094597358E-2</v>
      </c>
    </row>
    <row r="809" spans="2:19" ht="11.4" customHeight="1" x14ac:dyDescent="0.2">
      <c r="B809" s="24"/>
      <c r="C809" s="4">
        <v>15911</v>
      </c>
      <c r="D809" s="18" t="s">
        <v>842</v>
      </c>
      <c r="E809" s="18" t="s">
        <v>837</v>
      </c>
      <c r="F809" s="17">
        <v>1</v>
      </c>
      <c r="G809" s="18" t="s">
        <v>23</v>
      </c>
      <c r="H809" s="17">
        <v>175.1</v>
      </c>
      <c r="I809" s="5">
        <v>199.5</v>
      </c>
      <c r="J809" s="21">
        <f t="shared" si="36"/>
        <v>0.13934894346087953</v>
      </c>
      <c r="K809" s="1">
        <v>2</v>
      </c>
      <c r="L809" s="24">
        <v>9.9</v>
      </c>
      <c r="M809" s="24">
        <v>189.52499999999998</v>
      </c>
      <c r="N809" s="21">
        <f t="shared" si="37"/>
        <v>8.2381496287835435E-2</v>
      </c>
      <c r="P809" s="1">
        <v>8</v>
      </c>
      <c r="Q809" s="24">
        <v>19.949999999999989</v>
      </c>
      <c r="R809" s="24">
        <v>179.55</v>
      </c>
      <c r="S809" s="21">
        <f t="shared" si="38"/>
        <v>2.5414049114791646E-2</v>
      </c>
    </row>
    <row r="810" spans="2:19" ht="11.4" customHeight="1" x14ac:dyDescent="0.2">
      <c r="B810" s="24"/>
      <c r="C810" s="4">
        <v>3373</v>
      </c>
      <c r="D810" s="18" t="s">
        <v>843</v>
      </c>
      <c r="E810" s="18" t="s">
        <v>837</v>
      </c>
      <c r="F810" s="17">
        <v>2</v>
      </c>
      <c r="G810" s="18" t="s">
        <v>23</v>
      </c>
      <c r="H810" s="17">
        <v>115.1</v>
      </c>
      <c r="I810" s="5">
        <v>163.5</v>
      </c>
      <c r="J810" s="21">
        <f t="shared" si="36"/>
        <v>0.42050390964378809</v>
      </c>
      <c r="K810" s="1">
        <v>2</v>
      </c>
      <c r="L810" s="24">
        <v>8.1</v>
      </c>
      <c r="M810" s="24">
        <v>155.32499999999999</v>
      </c>
      <c r="N810" s="21">
        <f t="shared" si="37"/>
        <v>0.34947871416159859</v>
      </c>
      <c r="P810" s="1">
        <v>8</v>
      </c>
      <c r="Q810" s="24">
        <v>16.349999999999994</v>
      </c>
      <c r="R810" s="24">
        <v>147.15</v>
      </c>
      <c r="S810" s="21">
        <f t="shared" si="38"/>
        <v>0.27845351867940932</v>
      </c>
    </row>
    <row r="811" spans="2:19" ht="11.4" customHeight="1" x14ac:dyDescent="0.2">
      <c r="B811" s="24"/>
      <c r="C811" s="4">
        <v>40670</v>
      </c>
      <c r="D811" s="18" t="s">
        <v>844</v>
      </c>
      <c r="E811" s="18" t="s">
        <v>837</v>
      </c>
      <c r="F811" s="18"/>
      <c r="G811" s="18" t="s">
        <v>23</v>
      </c>
      <c r="H811" s="17">
        <v>268.44</v>
      </c>
      <c r="I811" s="5">
        <v>362.5</v>
      </c>
      <c r="J811" s="21">
        <f t="shared" si="36"/>
        <v>0.35039487408731934</v>
      </c>
      <c r="K811" s="1">
        <v>2</v>
      </c>
      <c r="L811" s="24">
        <v>18.100000000000001</v>
      </c>
      <c r="M811" s="24">
        <v>344.375</v>
      </c>
      <c r="N811" s="21">
        <f t="shared" si="37"/>
        <v>0.28287513038295337</v>
      </c>
      <c r="P811" s="1">
        <v>8</v>
      </c>
      <c r="Q811" s="24">
        <v>36.25</v>
      </c>
      <c r="R811" s="24">
        <v>326.25</v>
      </c>
      <c r="S811" s="21">
        <f t="shared" si="38"/>
        <v>0.21535538667858739</v>
      </c>
    </row>
    <row r="812" spans="2:19" ht="11.4" customHeight="1" x14ac:dyDescent="0.2">
      <c r="B812" s="24"/>
      <c r="C812" s="4">
        <v>40678</v>
      </c>
      <c r="D812" s="18" t="s">
        <v>845</v>
      </c>
      <c r="E812" s="18" t="s">
        <v>837</v>
      </c>
      <c r="F812" s="17">
        <v>6</v>
      </c>
      <c r="G812" s="18" t="s">
        <v>23</v>
      </c>
      <c r="H812" s="19">
        <v>2041.2</v>
      </c>
      <c r="I812" s="6">
        <v>2755.9</v>
      </c>
      <c r="J812" s="21">
        <f t="shared" si="36"/>
        <v>0.35013717421124829</v>
      </c>
      <c r="K812" s="1">
        <v>2</v>
      </c>
      <c r="L812" s="24">
        <v>137.69999999999999</v>
      </c>
      <c r="M812" s="24">
        <v>2618.105</v>
      </c>
      <c r="N812" s="21">
        <f t="shared" si="37"/>
        <v>0.28263031550068585</v>
      </c>
      <c r="P812" s="1">
        <v>8</v>
      </c>
      <c r="Q812" s="24">
        <v>275.59000000000015</v>
      </c>
      <c r="R812" s="24">
        <v>2480.31</v>
      </c>
      <c r="S812" s="21">
        <f t="shared" si="38"/>
        <v>0.2151234567901234</v>
      </c>
    </row>
    <row r="813" spans="2:19" ht="11.4" customHeight="1" x14ac:dyDescent="0.2">
      <c r="B813" s="24"/>
      <c r="C813" s="4">
        <v>37104</v>
      </c>
      <c r="D813" s="18" t="s">
        <v>846</v>
      </c>
      <c r="E813" s="18" t="s">
        <v>837</v>
      </c>
      <c r="F813" s="17">
        <v>1</v>
      </c>
      <c r="G813" s="18" t="s">
        <v>23</v>
      </c>
      <c r="H813" s="17">
        <v>599.9</v>
      </c>
      <c r="I813" s="5">
        <v>699</v>
      </c>
      <c r="J813" s="21">
        <f t="shared" si="36"/>
        <v>0.16519419903317223</v>
      </c>
      <c r="K813" s="1">
        <v>2</v>
      </c>
      <c r="L813" s="24">
        <v>34.9</v>
      </c>
      <c r="M813" s="24">
        <v>664.05</v>
      </c>
      <c r="N813" s="21">
        <f t="shared" si="37"/>
        <v>0.10693448908151355</v>
      </c>
      <c r="P813" s="1">
        <v>8</v>
      </c>
      <c r="Q813" s="24">
        <v>69.899999999999977</v>
      </c>
      <c r="R813" s="24">
        <v>629.1</v>
      </c>
      <c r="S813" s="21">
        <f t="shared" si="38"/>
        <v>4.8674779129855052E-2</v>
      </c>
    </row>
    <row r="814" spans="2:19" ht="11.4" customHeight="1" x14ac:dyDescent="0.2">
      <c r="B814" s="24"/>
      <c r="C814" s="4">
        <v>35335</v>
      </c>
      <c r="D814" s="18" t="s">
        <v>847</v>
      </c>
      <c r="E814" s="18" t="s">
        <v>837</v>
      </c>
      <c r="F814" s="17">
        <v>1</v>
      </c>
      <c r="G814" s="18" t="s">
        <v>23</v>
      </c>
      <c r="H814" s="17">
        <v>154</v>
      </c>
      <c r="I814" s="5">
        <v>219</v>
      </c>
      <c r="J814" s="21">
        <f t="shared" si="36"/>
        <v>0.42207792207792205</v>
      </c>
      <c r="K814" s="1">
        <v>2</v>
      </c>
      <c r="L814" s="24">
        <v>10.9</v>
      </c>
      <c r="M814" s="24">
        <v>208.04999999999998</v>
      </c>
      <c r="N814" s="21">
        <f t="shared" si="37"/>
        <v>0.35097402597402588</v>
      </c>
      <c r="P814" s="1">
        <v>8</v>
      </c>
      <c r="Q814" s="24">
        <v>21.900000000000006</v>
      </c>
      <c r="R814" s="24">
        <v>197.1</v>
      </c>
      <c r="S814" s="21">
        <f t="shared" si="38"/>
        <v>0.27987012987012982</v>
      </c>
    </row>
    <row r="815" spans="2:19" ht="11.4" customHeight="1" x14ac:dyDescent="0.2">
      <c r="B815" s="24"/>
      <c r="C815" s="4">
        <v>35336</v>
      </c>
      <c r="D815" s="18" t="s">
        <v>848</v>
      </c>
      <c r="E815" s="18" t="s">
        <v>837</v>
      </c>
      <c r="F815" s="17">
        <v>1</v>
      </c>
      <c r="G815" s="18" t="s">
        <v>23</v>
      </c>
      <c r="H815" s="17">
        <v>214.5</v>
      </c>
      <c r="I815" s="5">
        <v>224</v>
      </c>
      <c r="J815" s="21">
        <f t="shared" si="36"/>
        <v>4.4289044289044288E-2</v>
      </c>
      <c r="K815" s="1">
        <v>2</v>
      </c>
      <c r="L815" s="24">
        <v>11.2</v>
      </c>
      <c r="M815" s="24">
        <v>212.79999999999998</v>
      </c>
      <c r="N815" s="21">
        <f t="shared" si="37"/>
        <v>-7.9254079254080043E-3</v>
      </c>
      <c r="P815" s="1">
        <v>8</v>
      </c>
      <c r="Q815" s="24">
        <v>22.400000000000006</v>
      </c>
      <c r="R815" s="24">
        <v>201.6</v>
      </c>
      <c r="S815" s="21">
        <f t="shared" si="38"/>
        <v>-6.0139860139860168E-2</v>
      </c>
    </row>
    <row r="816" spans="2:19" ht="11.4" customHeight="1" x14ac:dyDescent="0.2">
      <c r="B816" s="24"/>
      <c r="C816" s="4">
        <v>15920</v>
      </c>
      <c r="D816" s="18" t="s">
        <v>849</v>
      </c>
      <c r="E816" s="18" t="s">
        <v>837</v>
      </c>
      <c r="F816" s="17">
        <v>1</v>
      </c>
      <c r="G816" s="18" t="s">
        <v>23</v>
      </c>
      <c r="H816" s="17">
        <v>137.28</v>
      </c>
      <c r="I816" s="5">
        <v>169</v>
      </c>
      <c r="J816" s="21">
        <f t="shared" si="36"/>
        <v>0.23106060606060605</v>
      </c>
      <c r="K816" s="1">
        <v>2</v>
      </c>
      <c r="L816" s="24">
        <v>8.4</v>
      </c>
      <c r="M816" s="24">
        <v>160.54999999999998</v>
      </c>
      <c r="N816" s="21">
        <f t="shared" si="37"/>
        <v>0.16950757575757563</v>
      </c>
      <c r="P816" s="1">
        <v>8</v>
      </c>
      <c r="Q816" s="24">
        <v>16.900000000000006</v>
      </c>
      <c r="R816" s="24">
        <v>152.1</v>
      </c>
      <c r="S816" s="21">
        <f t="shared" si="38"/>
        <v>0.1079545454545454</v>
      </c>
    </row>
    <row r="817" spans="2:19" ht="11.4" customHeight="1" x14ac:dyDescent="0.2">
      <c r="B817" s="24"/>
      <c r="C817" s="4">
        <v>3324</v>
      </c>
      <c r="D817" s="18" t="s">
        <v>850</v>
      </c>
      <c r="E817" s="18" t="s">
        <v>837</v>
      </c>
      <c r="F817" s="17">
        <v>1</v>
      </c>
      <c r="G817" s="18" t="s">
        <v>23</v>
      </c>
      <c r="H817" s="17">
        <v>206.4</v>
      </c>
      <c r="I817" s="5">
        <v>249</v>
      </c>
      <c r="J817" s="21">
        <f t="shared" si="36"/>
        <v>0.20639534883720928</v>
      </c>
      <c r="K817" s="1">
        <v>2</v>
      </c>
      <c r="L817" s="24">
        <v>12.4</v>
      </c>
      <c r="M817" s="24">
        <v>236.54999999999998</v>
      </c>
      <c r="N817" s="21">
        <f t="shared" si="37"/>
        <v>0.14607558139534874</v>
      </c>
      <c r="P817" s="1">
        <v>8</v>
      </c>
      <c r="Q817" s="24">
        <v>24.900000000000006</v>
      </c>
      <c r="R817" s="24">
        <v>224.1</v>
      </c>
      <c r="S817" s="21">
        <f t="shared" si="38"/>
        <v>8.5755813953488316E-2</v>
      </c>
    </row>
    <row r="818" spans="2:19" ht="11.4" customHeight="1" x14ac:dyDescent="0.2">
      <c r="B818" s="24"/>
      <c r="C818" s="4">
        <v>15892</v>
      </c>
      <c r="D818" s="18" t="s">
        <v>851</v>
      </c>
      <c r="E818" s="18" t="s">
        <v>837</v>
      </c>
      <c r="F818" s="17">
        <v>1</v>
      </c>
      <c r="G818" s="18" t="s">
        <v>23</v>
      </c>
      <c r="H818" s="17">
        <v>148.5</v>
      </c>
      <c r="I818" s="5">
        <v>169.9</v>
      </c>
      <c r="J818" s="21">
        <f t="shared" si="36"/>
        <v>0.14410774410774416</v>
      </c>
      <c r="K818" s="1">
        <v>2</v>
      </c>
      <c r="L818" s="24">
        <v>8.4</v>
      </c>
      <c r="M818" s="24">
        <v>161.405</v>
      </c>
      <c r="N818" s="21">
        <f t="shared" si="37"/>
        <v>8.6902356902356911E-2</v>
      </c>
      <c r="P818" s="1">
        <v>8</v>
      </c>
      <c r="Q818" s="24">
        <v>16.990000000000009</v>
      </c>
      <c r="R818" s="24">
        <v>152.91</v>
      </c>
      <c r="S818" s="21">
        <f t="shared" si="38"/>
        <v>2.9696969696969673E-2</v>
      </c>
    </row>
    <row r="819" spans="2:19" ht="11.4" customHeight="1" x14ac:dyDescent="0.2">
      <c r="B819" s="24"/>
      <c r="C819" s="4">
        <v>12217</v>
      </c>
      <c r="D819" s="18" t="s">
        <v>852</v>
      </c>
      <c r="E819" s="18" t="s">
        <v>837</v>
      </c>
      <c r="F819" s="17">
        <v>1</v>
      </c>
      <c r="G819" s="18" t="s">
        <v>23</v>
      </c>
      <c r="H819" s="17">
        <v>162.5</v>
      </c>
      <c r="I819" s="5">
        <v>192.9</v>
      </c>
      <c r="J819" s="21">
        <f t="shared" si="36"/>
        <v>0.18707692307692311</v>
      </c>
      <c r="K819" s="1">
        <v>2</v>
      </c>
      <c r="L819" s="24">
        <v>9.6</v>
      </c>
      <c r="M819" s="24">
        <v>183.255</v>
      </c>
      <c r="N819" s="21">
        <f t="shared" si="37"/>
        <v>0.12772307692307688</v>
      </c>
      <c r="P819" s="1">
        <v>8</v>
      </c>
      <c r="Q819" s="24">
        <v>19.289999999999992</v>
      </c>
      <c r="R819" s="24">
        <v>173.61</v>
      </c>
      <c r="S819" s="21">
        <f t="shared" si="38"/>
        <v>6.8369230769230849E-2</v>
      </c>
    </row>
    <row r="820" spans="2:19" ht="11.4" customHeight="1" x14ac:dyDescent="0.2">
      <c r="B820" s="24"/>
      <c r="C820" s="4">
        <v>3334</v>
      </c>
      <c r="D820" s="18" t="s">
        <v>853</v>
      </c>
      <c r="E820" s="18" t="s">
        <v>837</v>
      </c>
      <c r="F820" s="17">
        <v>1</v>
      </c>
      <c r="G820" s="18" t="s">
        <v>23</v>
      </c>
      <c r="H820" s="17">
        <v>176.5</v>
      </c>
      <c r="I820" s="5">
        <v>192.9</v>
      </c>
      <c r="J820" s="21">
        <f t="shared" si="36"/>
        <v>9.2917847025495784E-2</v>
      </c>
      <c r="K820" s="1">
        <v>2</v>
      </c>
      <c r="L820" s="24">
        <v>9.6</v>
      </c>
      <c r="M820" s="24">
        <v>183.255</v>
      </c>
      <c r="N820" s="21">
        <f t="shared" si="37"/>
        <v>3.827195467422094E-2</v>
      </c>
      <c r="P820" s="1">
        <v>8</v>
      </c>
      <c r="Q820" s="24">
        <v>19.289999999999992</v>
      </c>
      <c r="R820" s="24">
        <v>173.61</v>
      </c>
      <c r="S820" s="21">
        <f t="shared" si="38"/>
        <v>-1.6373937677053748E-2</v>
      </c>
    </row>
    <row r="821" spans="2:19" ht="11.4" customHeight="1" x14ac:dyDescent="0.2">
      <c r="B821" s="24"/>
      <c r="C821" s="4">
        <v>4475</v>
      </c>
      <c r="D821" s="18" t="s">
        <v>854</v>
      </c>
      <c r="E821" s="18" t="s">
        <v>837</v>
      </c>
      <c r="F821" s="17">
        <v>6</v>
      </c>
      <c r="G821" s="18" t="s">
        <v>23</v>
      </c>
      <c r="H821" s="17">
        <v>131.19999999999999</v>
      </c>
      <c r="I821" s="5">
        <v>163.5</v>
      </c>
      <c r="J821" s="21">
        <f t="shared" si="36"/>
        <v>0.24618902439024401</v>
      </c>
      <c r="K821" s="1">
        <v>2</v>
      </c>
      <c r="L821" s="24">
        <v>8.1</v>
      </c>
      <c r="M821" s="24">
        <v>155.32499999999999</v>
      </c>
      <c r="N821" s="21">
        <f t="shared" si="37"/>
        <v>0.18387957317073172</v>
      </c>
      <c r="P821" s="1">
        <v>8</v>
      </c>
      <c r="Q821" s="24">
        <v>16.349999999999994</v>
      </c>
      <c r="R821" s="24">
        <v>147.15</v>
      </c>
      <c r="S821" s="21">
        <f t="shared" si="38"/>
        <v>0.12157012195121965</v>
      </c>
    </row>
    <row r="822" spans="2:19" ht="11.4" customHeight="1" x14ac:dyDescent="0.2">
      <c r="B822" s="24"/>
      <c r="C822" s="4">
        <v>3440</v>
      </c>
      <c r="D822" s="18" t="s">
        <v>855</v>
      </c>
      <c r="E822" s="18" t="s">
        <v>837</v>
      </c>
      <c r="F822" s="17">
        <v>1</v>
      </c>
      <c r="G822" s="18" t="s">
        <v>23</v>
      </c>
      <c r="H822" s="17">
        <v>165.7</v>
      </c>
      <c r="I822" s="5">
        <v>199.5</v>
      </c>
      <c r="J822" s="21">
        <f t="shared" si="36"/>
        <v>0.20398310199155109</v>
      </c>
      <c r="K822" s="1">
        <v>2</v>
      </c>
      <c r="L822" s="24">
        <v>9.9</v>
      </c>
      <c r="M822" s="24">
        <v>189.52499999999998</v>
      </c>
      <c r="N822" s="21">
        <f t="shared" si="37"/>
        <v>0.14378394689197338</v>
      </c>
      <c r="P822" s="1">
        <v>8</v>
      </c>
      <c r="Q822" s="24">
        <v>19.949999999999989</v>
      </c>
      <c r="R822" s="24">
        <v>179.55</v>
      </c>
      <c r="S822" s="21">
        <f t="shared" si="38"/>
        <v>8.3584791792396043E-2</v>
      </c>
    </row>
    <row r="823" spans="2:19" ht="11.4" customHeight="1" x14ac:dyDescent="0.2">
      <c r="B823" s="24"/>
      <c r="C823" s="4">
        <v>15948</v>
      </c>
      <c r="D823" s="18" t="s">
        <v>856</v>
      </c>
      <c r="E823" s="18" t="s">
        <v>837</v>
      </c>
      <c r="F823" s="17">
        <v>1</v>
      </c>
      <c r="G823" s="18" t="s">
        <v>23</v>
      </c>
      <c r="H823" s="17">
        <v>176.5</v>
      </c>
      <c r="I823" s="5">
        <v>186.4</v>
      </c>
      <c r="J823" s="21">
        <f t="shared" si="36"/>
        <v>5.609065155807369E-2</v>
      </c>
      <c r="K823" s="1">
        <v>2</v>
      </c>
      <c r="L823" s="24">
        <v>9.3000000000000007</v>
      </c>
      <c r="M823" s="24">
        <v>177.07999999999998</v>
      </c>
      <c r="N823" s="21">
        <f t="shared" si="37"/>
        <v>3.2861189801698817E-3</v>
      </c>
      <c r="P823" s="1">
        <v>8</v>
      </c>
      <c r="Q823" s="24">
        <v>18.639999999999986</v>
      </c>
      <c r="R823" s="24">
        <v>167.76000000000002</v>
      </c>
      <c r="S823" s="21">
        <f t="shared" si="38"/>
        <v>-4.9518413597733603E-2</v>
      </c>
    </row>
    <row r="824" spans="2:19" ht="11.4" customHeight="1" x14ac:dyDescent="0.2">
      <c r="B824" s="24"/>
      <c r="C824" s="4">
        <v>4477</v>
      </c>
      <c r="D824" s="18" t="s">
        <v>857</v>
      </c>
      <c r="E824" s="18" t="s">
        <v>837</v>
      </c>
      <c r="F824" s="17">
        <v>6</v>
      </c>
      <c r="G824" s="18" t="s">
        <v>23</v>
      </c>
      <c r="H824" s="17">
        <v>131.19999999999999</v>
      </c>
      <c r="I824" s="5">
        <v>163.5</v>
      </c>
      <c r="J824" s="21">
        <f t="shared" si="36"/>
        <v>0.24618902439024401</v>
      </c>
      <c r="K824" s="1">
        <v>2</v>
      </c>
      <c r="L824" s="24">
        <v>8.1</v>
      </c>
      <c r="M824" s="24">
        <v>155.32499999999999</v>
      </c>
      <c r="N824" s="21">
        <f t="shared" si="37"/>
        <v>0.18387957317073172</v>
      </c>
      <c r="P824" s="1">
        <v>8</v>
      </c>
      <c r="Q824" s="24">
        <v>16.349999999999994</v>
      </c>
      <c r="R824" s="24">
        <v>147.15</v>
      </c>
      <c r="S824" s="21">
        <f t="shared" si="38"/>
        <v>0.12157012195121965</v>
      </c>
    </row>
    <row r="825" spans="2:19" ht="11.4" customHeight="1" x14ac:dyDescent="0.2">
      <c r="B825" s="24"/>
      <c r="C825" s="4">
        <v>3374</v>
      </c>
      <c r="D825" s="18" t="s">
        <v>858</v>
      </c>
      <c r="E825" s="18" t="s">
        <v>837</v>
      </c>
      <c r="F825" s="17">
        <v>2</v>
      </c>
      <c r="G825" s="18" t="s">
        <v>23</v>
      </c>
      <c r="H825" s="17">
        <v>115.1</v>
      </c>
      <c r="I825" s="5">
        <v>163.5</v>
      </c>
      <c r="J825" s="21">
        <f t="shared" si="36"/>
        <v>0.42050390964378809</v>
      </c>
      <c r="K825" s="1">
        <v>2</v>
      </c>
      <c r="L825" s="24">
        <v>8.1</v>
      </c>
      <c r="M825" s="24">
        <v>155.32499999999999</v>
      </c>
      <c r="N825" s="21">
        <f t="shared" si="37"/>
        <v>0.34947871416159859</v>
      </c>
      <c r="P825" s="1">
        <v>8</v>
      </c>
      <c r="Q825" s="24">
        <v>16.349999999999994</v>
      </c>
      <c r="R825" s="24">
        <v>147.15</v>
      </c>
      <c r="S825" s="21">
        <f t="shared" si="38"/>
        <v>0.27845351867940932</v>
      </c>
    </row>
    <row r="826" spans="2:19" ht="11.4" customHeight="1" x14ac:dyDescent="0.2">
      <c r="B826" s="24"/>
      <c r="C826" s="4">
        <v>23832</v>
      </c>
      <c r="D826" s="18" t="s">
        <v>859</v>
      </c>
      <c r="E826" s="18" t="s">
        <v>837</v>
      </c>
      <c r="F826" s="17">
        <v>6</v>
      </c>
      <c r="G826" s="18" t="s">
        <v>23</v>
      </c>
      <c r="H826" s="17">
        <v>148</v>
      </c>
      <c r="I826" s="5">
        <v>163.5</v>
      </c>
      <c r="J826" s="21">
        <f t="shared" si="36"/>
        <v>0.10472972972972973</v>
      </c>
      <c r="K826" s="1">
        <v>2</v>
      </c>
      <c r="L826" s="24">
        <v>8.1</v>
      </c>
      <c r="M826" s="24">
        <v>155.32499999999999</v>
      </c>
      <c r="N826" s="21">
        <f t="shared" si="37"/>
        <v>4.9493243243243168E-2</v>
      </c>
      <c r="P826" s="1">
        <v>8</v>
      </c>
      <c r="Q826" s="24">
        <v>16.349999999999994</v>
      </c>
      <c r="R826" s="24">
        <v>147.15</v>
      </c>
      <c r="S826" s="21">
        <f t="shared" si="38"/>
        <v>-5.7432432432432045E-3</v>
      </c>
    </row>
    <row r="827" spans="2:19" ht="11.4" customHeight="1" x14ac:dyDescent="0.2">
      <c r="B827" s="24"/>
      <c r="C827" s="4">
        <v>3325</v>
      </c>
      <c r="D827" s="18" t="s">
        <v>860</v>
      </c>
      <c r="E827" s="18" t="s">
        <v>837</v>
      </c>
      <c r="F827" s="17">
        <v>1</v>
      </c>
      <c r="G827" s="18" t="s">
        <v>23</v>
      </c>
      <c r="H827" s="17">
        <v>206.4</v>
      </c>
      <c r="I827" s="5">
        <v>249</v>
      </c>
      <c r="J827" s="21">
        <f t="shared" si="36"/>
        <v>0.20639534883720928</v>
      </c>
      <c r="K827" s="1">
        <v>2</v>
      </c>
      <c r="L827" s="24">
        <v>12.4</v>
      </c>
      <c r="M827" s="24">
        <v>236.54999999999998</v>
      </c>
      <c r="N827" s="21">
        <f t="shared" si="37"/>
        <v>0.14607558139534874</v>
      </c>
      <c r="P827" s="1">
        <v>8</v>
      </c>
      <c r="Q827" s="24">
        <v>24.900000000000006</v>
      </c>
      <c r="R827" s="24">
        <v>224.1</v>
      </c>
      <c r="S827" s="21">
        <f t="shared" si="38"/>
        <v>8.5755813953488316E-2</v>
      </c>
    </row>
    <row r="828" spans="2:19" ht="11.4" customHeight="1" x14ac:dyDescent="0.2">
      <c r="B828" s="24"/>
      <c r="C828" s="4">
        <v>3326</v>
      </c>
      <c r="D828" s="18" t="s">
        <v>861</v>
      </c>
      <c r="E828" s="18" t="s">
        <v>837</v>
      </c>
      <c r="F828" s="17">
        <v>1</v>
      </c>
      <c r="G828" s="18" t="s">
        <v>23</v>
      </c>
      <c r="H828" s="17">
        <v>206.4</v>
      </c>
      <c r="I828" s="5">
        <v>249</v>
      </c>
      <c r="J828" s="21">
        <f t="shared" si="36"/>
        <v>0.20639534883720928</v>
      </c>
      <c r="K828" s="1">
        <v>2</v>
      </c>
      <c r="L828" s="24">
        <v>12.4</v>
      </c>
      <c r="M828" s="24">
        <v>236.54999999999998</v>
      </c>
      <c r="N828" s="21">
        <f t="shared" si="37"/>
        <v>0.14607558139534874</v>
      </c>
      <c r="P828" s="1">
        <v>8</v>
      </c>
      <c r="Q828" s="24">
        <v>24.900000000000006</v>
      </c>
      <c r="R828" s="24">
        <v>224.1</v>
      </c>
      <c r="S828" s="21">
        <f t="shared" si="38"/>
        <v>8.5755813953488316E-2</v>
      </c>
    </row>
    <row r="829" spans="2:19" ht="11.4" customHeight="1" x14ac:dyDescent="0.2">
      <c r="B829" s="24"/>
      <c r="C829" s="4">
        <v>40679</v>
      </c>
      <c r="D829" s="18" t="s">
        <v>862</v>
      </c>
      <c r="E829" s="18" t="s">
        <v>837</v>
      </c>
      <c r="F829" s="18"/>
      <c r="G829" s="18" t="s">
        <v>23</v>
      </c>
      <c r="H829" s="17">
        <v>303.18</v>
      </c>
      <c r="I829" s="5">
        <v>409.3</v>
      </c>
      <c r="J829" s="21">
        <f t="shared" si="36"/>
        <v>0.35002308859423448</v>
      </c>
      <c r="K829" s="1">
        <v>2</v>
      </c>
      <c r="L829" s="24">
        <v>20.399999999999999</v>
      </c>
      <c r="M829" s="24">
        <v>388.83499999999998</v>
      </c>
      <c r="N829" s="21">
        <f t="shared" si="37"/>
        <v>0.28252193416452265</v>
      </c>
      <c r="P829" s="1">
        <v>8</v>
      </c>
      <c r="Q829" s="24">
        <v>40.930000000000007</v>
      </c>
      <c r="R829" s="24">
        <v>368.37</v>
      </c>
      <c r="S829" s="21">
        <f t="shared" si="38"/>
        <v>0.21502077973481099</v>
      </c>
    </row>
    <row r="830" spans="2:19" ht="11.4" customHeight="1" x14ac:dyDescent="0.2">
      <c r="B830" s="24"/>
      <c r="C830" s="4">
        <v>4949</v>
      </c>
      <c r="D830" s="18" t="s">
        <v>863</v>
      </c>
      <c r="E830" s="18" t="s">
        <v>837</v>
      </c>
      <c r="F830" s="17">
        <v>2</v>
      </c>
      <c r="G830" s="18" t="s">
        <v>23</v>
      </c>
      <c r="H830" s="17">
        <v>109.9</v>
      </c>
      <c r="I830" s="5">
        <v>163.5</v>
      </c>
      <c r="J830" s="21">
        <f t="shared" si="36"/>
        <v>0.48771610555050038</v>
      </c>
      <c r="K830" s="1">
        <v>2</v>
      </c>
      <c r="L830" s="24">
        <v>8.1</v>
      </c>
      <c r="M830" s="24">
        <v>155.32499999999999</v>
      </c>
      <c r="N830" s="21">
        <f t="shared" si="37"/>
        <v>0.41333030027297524</v>
      </c>
      <c r="P830" s="1">
        <v>8</v>
      </c>
      <c r="Q830" s="24">
        <v>16.349999999999994</v>
      </c>
      <c r="R830" s="24">
        <v>147.15</v>
      </c>
      <c r="S830" s="21">
        <f t="shared" si="38"/>
        <v>0.33894449499545037</v>
      </c>
    </row>
    <row r="831" spans="2:19" ht="11.4" customHeight="1" x14ac:dyDescent="0.2">
      <c r="B831" s="24"/>
      <c r="C831" s="4">
        <v>42034</v>
      </c>
      <c r="D831" s="18" t="s">
        <v>864</v>
      </c>
      <c r="E831" s="18" t="s">
        <v>837</v>
      </c>
      <c r="F831" s="17">
        <v>1</v>
      </c>
      <c r="G831" s="18" t="s">
        <v>23</v>
      </c>
      <c r="H831" s="17">
        <v>199.86</v>
      </c>
      <c r="I831" s="5">
        <v>249</v>
      </c>
      <c r="J831" s="21">
        <f t="shared" si="36"/>
        <v>0.24587211047733404</v>
      </c>
      <c r="K831" s="1">
        <v>2</v>
      </c>
      <c r="L831" s="24">
        <v>12.4</v>
      </c>
      <c r="M831" s="24">
        <v>236.54999999999998</v>
      </c>
      <c r="N831" s="21">
        <f t="shared" si="37"/>
        <v>0.18357850495346725</v>
      </c>
      <c r="P831" s="1">
        <v>8</v>
      </c>
      <c r="Q831" s="24">
        <v>24.900000000000006</v>
      </c>
      <c r="R831" s="24">
        <v>224.1</v>
      </c>
      <c r="S831" s="21">
        <f t="shared" si="38"/>
        <v>0.12128489942960062</v>
      </c>
    </row>
    <row r="832" spans="2:19" ht="11.4" customHeight="1" x14ac:dyDescent="0.2">
      <c r="B832" s="24"/>
      <c r="C832" s="4">
        <v>18250</v>
      </c>
      <c r="D832" s="18" t="s">
        <v>865</v>
      </c>
      <c r="E832" s="18" t="s">
        <v>837</v>
      </c>
      <c r="F832" s="17">
        <v>2</v>
      </c>
      <c r="G832" s="18" t="s">
        <v>23</v>
      </c>
      <c r="H832" s="17">
        <v>109.9</v>
      </c>
      <c r="I832" s="5">
        <v>192.9</v>
      </c>
      <c r="J832" s="21">
        <f t="shared" si="36"/>
        <v>0.75523202911737941</v>
      </c>
      <c r="K832" s="1">
        <v>2</v>
      </c>
      <c r="L832" s="24">
        <v>9.6</v>
      </c>
      <c r="M832" s="24">
        <v>183.255</v>
      </c>
      <c r="N832" s="21">
        <f t="shared" si="37"/>
        <v>0.66747042766151032</v>
      </c>
      <c r="P832" s="1">
        <v>8</v>
      </c>
      <c r="Q832" s="24">
        <v>19.289999999999992</v>
      </c>
      <c r="R832" s="24">
        <v>173.61</v>
      </c>
      <c r="S832" s="21">
        <f t="shared" si="38"/>
        <v>0.57970882620564157</v>
      </c>
    </row>
    <row r="833" spans="2:19" ht="11.4" customHeight="1" x14ac:dyDescent="0.2">
      <c r="B833" s="24"/>
      <c r="C833" s="4">
        <v>4044</v>
      </c>
      <c r="D833" s="18" t="s">
        <v>866</v>
      </c>
      <c r="E833" s="18" t="s">
        <v>837</v>
      </c>
      <c r="F833" s="17">
        <v>1</v>
      </c>
      <c r="G833" s="18" t="s">
        <v>23</v>
      </c>
      <c r="H833" s="17">
        <v>566.5</v>
      </c>
      <c r="I833" s="5">
        <v>495</v>
      </c>
      <c r="J833" s="21">
        <f t="shared" si="36"/>
        <v>-0.12621359223300971</v>
      </c>
      <c r="K833" s="1">
        <v>2</v>
      </c>
      <c r="L833" s="24">
        <v>24.7</v>
      </c>
      <c r="M833" s="24">
        <v>470.25</v>
      </c>
      <c r="N833" s="21">
        <f t="shared" si="37"/>
        <v>-0.16990291262135923</v>
      </c>
      <c r="P833" s="1">
        <v>8</v>
      </c>
      <c r="Q833" s="24">
        <v>49.5</v>
      </c>
      <c r="R833" s="24">
        <v>445.5</v>
      </c>
      <c r="S833" s="21">
        <f t="shared" si="38"/>
        <v>-0.21359223300970873</v>
      </c>
    </row>
    <row r="834" spans="2:19" ht="11.4" customHeight="1" x14ac:dyDescent="0.2">
      <c r="B834" s="24"/>
      <c r="C834" s="4">
        <v>40673</v>
      </c>
      <c r="D834" s="18" t="s">
        <v>867</v>
      </c>
      <c r="E834" s="18" t="s">
        <v>837</v>
      </c>
      <c r="F834" s="18"/>
      <c r="G834" s="18" t="s">
        <v>23</v>
      </c>
      <c r="H834" s="18"/>
      <c r="I834" s="5">
        <v>655.5</v>
      </c>
      <c r="J834" s="21" t="e">
        <f t="shared" si="36"/>
        <v>#DIV/0!</v>
      </c>
      <c r="K834" s="1">
        <v>2</v>
      </c>
      <c r="L834" s="24">
        <v>32.700000000000003</v>
      </c>
      <c r="M834" s="24">
        <v>622.72500000000002</v>
      </c>
      <c r="N834" s="21" t="e">
        <f t="shared" si="37"/>
        <v>#DIV/0!</v>
      </c>
      <c r="P834" s="1">
        <v>8</v>
      </c>
      <c r="Q834" s="24">
        <v>65.549999999999955</v>
      </c>
      <c r="R834" s="24">
        <v>589.95000000000005</v>
      </c>
      <c r="S834" s="21" t="e">
        <f t="shared" si="38"/>
        <v>#DIV/0!</v>
      </c>
    </row>
    <row r="835" spans="2:19" ht="11.4" customHeight="1" x14ac:dyDescent="0.2">
      <c r="B835" s="24"/>
      <c r="C835" s="4">
        <v>45729</v>
      </c>
      <c r="D835" s="18" t="s">
        <v>868</v>
      </c>
      <c r="E835" s="18" t="s">
        <v>837</v>
      </c>
      <c r="F835" s="17">
        <v>6</v>
      </c>
      <c r="G835" s="18" t="s">
        <v>23</v>
      </c>
      <c r="H835" s="17">
        <v>164</v>
      </c>
      <c r="I835" s="5">
        <v>279</v>
      </c>
      <c r="J835" s="21">
        <f t="shared" ref="J835:J898" si="39">(I835-H835)/H835</f>
        <v>0.70121951219512191</v>
      </c>
      <c r="K835" s="1">
        <v>2</v>
      </c>
      <c r="L835" s="24">
        <v>13.9</v>
      </c>
      <c r="M835" s="24">
        <v>265.05</v>
      </c>
      <c r="N835" s="21">
        <f t="shared" ref="N835:N898" si="40">(M835-H835)/H835</f>
        <v>0.6161585365853659</v>
      </c>
      <c r="P835" s="1">
        <v>8</v>
      </c>
      <c r="Q835" s="24">
        <v>27.900000000000006</v>
      </c>
      <c r="R835" s="24">
        <v>251.1</v>
      </c>
      <c r="S835" s="21">
        <f t="shared" ref="S835:S898" si="41">(R835-H835)/H835</f>
        <v>0.53109756097560967</v>
      </c>
    </row>
    <row r="836" spans="2:19" ht="11.4" customHeight="1" x14ac:dyDescent="0.2">
      <c r="B836" s="24"/>
      <c r="C836" s="4">
        <v>46161</v>
      </c>
      <c r="D836" s="18" t="s">
        <v>869</v>
      </c>
      <c r="E836" s="18" t="s">
        <v>837</v>
      </c>
      <c r="F836" s="17">
        <v>6</v>
      </c>
      <c r="G836" s="18" t="s">
        <v>23</v>
      </c>
      <c r="H836" s="17">
        <v>241.42</v>
      </c>
      <c r="I836" s="5">
        <v>362.1</v>
      </c>
      <c r="J836" s="21">
        <f t="shared" si="39"/>
        <v>0.49987573523320372</v>
      </c>
      <c r="K836" s="1">
        <v>2</v>
      </c>
      <c r="L836" s="24">
        <v>18.100000000000001</v>
      </c>
      <c r="M836" s="24">
        <v>343.995</v>
      </c>
      <c r="N836" s="21">
        <f t="shared" si="40"/>
        <v>0.42488194847154348</v>
      </c>
      <c r="P836" s="1">
        <v>8</v>
      </c>
      <c r="Q836" s="24">
        <v>36.20999999999998</v>
      </c>
      <c r="R836" s="24">
        <v>325.89000000000004</v>
      </c>
      <c r="S836" s="21">
        <f t="shared" si="41"/>
        <v>0.34988816170988346</v>
      </c>
    </row>
    <row r="837" spans="2:19" ht="11.4" customHeight="1" x14ac:dyDescent="0.2">
      <c r="B837" s="24"/>
      <c r="C837" s="4">
        <v>47457</v>
      </c>
      <c r="D837" s="18" t="s">
        <v>870</v>
      </c>
      <c r="E837" s="18" t="s">
        <v>837</v>
      </c>
      <c r="F837" s="17">
        <v>12</v>
      </c>
      <c r="G837" s="18" t="s">
        <v>23</v>
      </c>
      <c r="H837" s="17">
        <v>139.19</v>
      </c>
      <c r="I837" s="5">
        <v>254</v>
      </c>
      <c r="J837" s="21">
        <f t="shared" si="39"/>
        <v>0.82484373877433725</v>
      </c>
      <c r="K837" s="1">
        <v>2</v>
      </c>
      <c r="L837" s="24">
        <v>12.7</v>
      </c>
      <c r="M837" s="24">
        <v>241.29999999999998</v>
      </c>
      <c r="N837" s="21">
        <f t="shared" si="40"/>
        <v>0.73360155183562026</v>
      </c>
      <c r="P837" s="1">
        <v>8</v>
      </c>
      <c r="Q837" s="24">
        <v>25.400000000000006</v>
      </c>
      <c r="R837" s="24">
        <v>228.6</v>
      </c>
      <c r="S837" s="21">
        <f t="shared" si="41"/>
        <v>0.64235936489690348</v>
      </c>
    </row>
    <row r="838" spans="2:19" ht="11.4" customHeight="1" x14ac:dyDescent="0.2">
      <c r="B838" s="24"/>
      <c r="C838" s="4">
        <v>45747</v>
      </c>
      <c r="D838" s="18" t="s">
        <v>871</v>
      </c>
      <c r="E838" s="18" t="s">
        <v>837</v>
      </c>
      <c r="F838" s="17">
        <v>6</v>
      </c>
      <c r="G838" s="18" t="s">
        <v>23</v>
      </c>
      <c r="H838" s="17">
        <v>224.7</v>
      </c>
      <c r="I838" s="5">
        <v>369</v>
      </c>
      <c r="J838" s="21">
        <f t="shared" si="39"/>
        <v>0.6421895861148198</v>
      </c>
      <c r="K838" s="1">
        <v>2</v>
      </c>
      <c r="L838" s="24">
        <v>18.399999999999999</v>
      </c>
      <c r="M838" s="24">
        <v>350.55</v>
      </c>
      <c r="N838" s="21">
        <f t="shared" si="40"/>
        <v>0.56008010680907894</v>
      </c>
      <c r="P838" s="1">
        <v>8</v>
      </c>
      <c r="Q838" s="24">
        <v>36.899999999999977</v>
      </c>
      <c r="R838" s="24">
        <v>332.1</v>
      </c>
      <c r="S838" s="21">
        <f t="shared" si="41"/>
        <v>0.47797062750333796</v>
      </c>
    </row>
    <row r="839" spans="2:19" ht="11.4" customHeight="1" x14ac:dyDescent="0.2">
      <c r="B839" s="24"/>
      <c r="C839" s="4">
        <v>47458</v>
      </c>
      <c r="D839" s="18" t="s">
        <v>872</v>
      </c>
      <c r="E839" s="18" t="s">
        <v>837</v>
      </c>
      <c r="F839" s="17">
        <v>12</v>
      </c>
      <c r="G839" s="18" t="s">
        <v>23</v>
      </c>
      <c r="H839" s="17">
        <v>146.22</v>
      </c>
      <c r="I839" s="5">
        <v>284</v>
      </c>
      <c r="J839" s="21">
        <f t="shared" si="39"/>
        <v>0.94227875803583638</v>
      </c>
      <c r="K839" s="1">
        <v>2</v>
      </c>
      <c r="L839" s="24">
        <v>14.2</v>
      </c>
      <c r="M839" s="24">
        <v>269.8</v>
      </c>
      <c r="N839" s="21">
        <f t="shared" si="40"/>
        <v>0.8451648201340447</v>
      </c>
      <c r="P839" s="1">
        <v>8</v>
      </c>
      <c r="Q839" s="24">
        <v>28.400000000000006</v>
      </c>
      <c r="R839" s="24">
        <v>255.6</v>
      </c>
      <c r="S839" s="21">
        <f t="shared" si="41"/>
        <v>0.74805088223225269</v>
      </c>
    </row>
    <row r="840" spans="2:19" ht="11.4" customHeight="1" x14ac:dyDescent="0.2">
      <c r="B840" s="24"/>
      <c r="C840" s="4">
        <v>45725</v>
      </c>
      <c r="D840" s="18" t="s">
        <v>873</v>
      </c>
      <c r="E840" s="18" t="s">
        <v>837</v>
      </c>
      <c r="F840" s="17">
        <v>6</v>
      </c>
      <c r="G840" s="18" t="s">
        <v>23</v>
      </c>
      <c r="H840" s="17">
        <v>109</v>
      </c>
      <c r="I840" s="5">
        <v>209</v>
      </c>
      <c r="J840" s="21">
        <f t="shared" si="39"/>
        <v>0.91743119266055051</v>
      </c>
      <c r="K840" s="1">
        <v>2</v>
      </c>
      <c r="L840" s="24">
        <v>10.4</v>
      </c>
      <c r="M840" s="24">
        <v>198.54999999999998</v>
      </c>
      <c r="N840" s="21">
        <f t="shared" si="40"/>
        <v>0.82155963302752277</v>
      </c>
      <c r="P840" s="1">
        <v>8</v>
      </c>
      <c r="Q840" s="24">
        <v>20.900000000000006</v>
      </c>
      <c r="R840" s="24">
        <v>188.1</v>
      </c>
      <c r="S840" s="21">
        <f t="shared" si="41"/>
        <v>0.72568807339449537</v>
      </c>
    </row>
    <row r="841" spans="2:19" ht="11.4" customHeight="1" x14ac:dyDescent="0.2">
      <c r="B841" s="24"/>
      <c r="C841" s="4">
        <v>47456</v>
      </c>
      <c r="D841" s="18" t="s">
        <v>874</v>
      </c>
      <c r="E841" s="18" t="s">
        <v>837</v>
      </c>
      <c r="F841" s="17">
        <v>12</v>
      </c>
      <c r="G841" s="18" t="s">
        <v>23</v>
      </c>
      <c r="H841" s="17">
        <v>139.19</v>
      </c>
      <c r="I841" s="5">
        <v>254</v>
      </c>
      <c r="J841" s="21">
        <f t="shared" si="39"/>
        <v>0.82484373877433725</v>
      </c>
      <c r="K841" s="1">
        <v>2</v>
      </c>
      <c r="L841" s="24">
        <v>12.7</v>
      </c>
      <c r="M841" s="24">
        <v>241.29999999999998</v>
      </c>
      <c r="N841" s="21">
        <f t="shared" si="40"/>
        <v>0.73360155183562026</v>
      </c>
      <c r="P841" s="1">
        <v>8</v>
      </c>
      <c r="Q841" s="24">
        <v>25.400000000000006</v>
      </c>
      <c r="R841" s="24">
        <v>228.6</v>
      </c>
      <c r="S841" s="21">
        <f t="shared" si="41"/>
        <v>0.64235936489690348</v>
      </c>
    </row>
    <row r="842" spans="2:19" ht="11.4" customHeight="1" x14ac:dyDescent="0.2">
      <c r="B842" s="24"/>
      <c r="C842" s="4">
        <v>45732</v>
      </c>
      <c r="D842" s="18" t="s">
        <v>875</v>
      </c>
      <c r="E842" s="18" t="s">
        <v>837</v>
      </c>
      <c r="F842" s="17">
        <v>6</v>
      </c>
      <c r="G842" s="18" t="s">
        <v>23</v>
      </c>
      <c r="H842" s="17">
        <v>164</v>
      </c>
      <c r="I842" s="5">
        <v>279</v>
      </c>
      <c r="J842" s="21">
        <f t="shared" si="39"/>
        <v>0.70121951219512191</v>
      </c>
      <c r="K842" s="1">
        <v>2</v>
      </c>
      <c r="L842" s="24">
        <v>13.9</v>
      </c>
      <c r="M842" s="24">
        <v>265.05</v>
      </c>
      <c r="N842" s="21">
        <f t="shared" si="40"/>
        <v>0.6161585365853659</v>
      </c>
      <c r="P842" s="1">
        <v>8</v>
      </c>
      <c r="Q842" s="24">
        <v>33.47999999999999</v>
      </c>
      <c r="R842" s="24">
        <v>245.52</v>
      </c>
      <c r="S842" s="21">
        <f t="shared" si="41"/>
        <v>0.49707317073170737</v>
      </c>
    </row>
    <row r="843" spans="2:19" ht="11.4" customHeight="1" x14ac:dyDescent="0.2">
      <c r="B843" s="24"/>
      <c r="C843" s="4">
        <v>15922</v>
      </c>
      <c r="D843" s="18" t="s">
        <v>876</v>
      </c>
      <c r="E843" s="18" t="s">
        <v>837</v>
      </c>
      <c r="F843" s="17">
        <v>1</v>
      </c>
      <c r="G843" s="18" t="s">
        <v>23</v>
      </c>
      <c r="H843" s="17">
        <v>177.9</v>
      </c>
      <c r="I843" s="5">
        <v>192.9</v>
      </c>
      <c r="J843" s="21">
        <f t="shared" si="39"/>
        <v>8.4317032040472167E-2</v>
      </c>
      <c r="K843" s="1">
        <v>2</v>
      </c>
      <c r="L843" s="24">
        <v>9.6</v>
      </c>
      <c r="M843" s="24">
        <v>183.255</v>
      </c>
      <c r="N843" s="21">
        <f t="shared" si="40"/>
        <v>3.0101180438448508E-2</v>
      </c>
      <c r="P843" s="1">
        <v>8</v>
      </c>
      <c r="Q843" s="24">
        <v>23.147999999999996</v>
      </c>
      <c r="R843" s="24">
        <v>169.75200000000001</v>
      </c>
      <c r="S843" s="21">
        <f t="shared" si="41"/>
        <v>-4.5801011804384464E-2</v>
      </c>
    </row>
    <row r="844" spans="2:19" ht="11.4" customHeight="1" x14ac:dyDescent="0.2">
      <c r="B844" s="24"/>
      <c r="C844" s="4">
        <v>40674</v>
      </c>
      <c r="D844" s="18" t="s">
        <v>877</v>
      </c>
      <c r="E844" s="18" t="s">
        <v>837</v>
      </c>
      <c r="F844" s="18"/>
      <c r="G844" s="18" t="s">
        <v>23</v>
      </c>
      <c r="H844" s="18"/>
      <c r="I844" s="5">
        <v>796.3</v>
      </c>
      <c r="J844" s="21" t="e">
        <f t="shared" si="39"/>
        <v>#DIV/0!</v>
      </c>
      <c r="K844" s="1">
        <v>2</v>
      </c>
      <c r="L844" s="24">
        <v>39.799999999999997</v>
      </c>
      <c r="M844" s="24">
        <v>756.4849999999999</v>
      </c>
      <c r="N844" s="21" t="e">
        <f t="shared" si="40"/>
        <v>#DIV/0!</v>
      </c>
      <c r="P844" s="1">
        <v>8</v>
      </c>
      <c r="Q844" s="24">
        <v>95.55600000000004</v>
      </c>
      <c r="R844" s="24">
        <v>700.74399999999991</v>
      </c>
      <c r="S844" s="21" t="e">
        <f t="shared" si="41"/>
        <v>#DIV/0!</v>
      </c>
    </row>
    <row r="845" spans="2:19" ht="11.4" customHeight="1" x14ac:dyDescent="0.2">
      <c r="B845" s="24"/>
      <c r="C845" s="4">
        <v>40675</v>
      </c>
      <c r="D845" s="18" t="s">
        <v>878</v>
      </c>
      <c r="E845" s="18" t="s">
        <v>837</v>
      </c>
      <c r="F845" s="18"/>
      <c r="G845" s="18" t="s">
        <v>23</v>
      </c>
      <c r="H845" s="18"/>
      <c r="I845" s="5">
        <v>796.3</v>
      </c>
      <c r="J845" s="21" t="e">
        <f t="shared" si="39"/>
        <v>#DIV/0!</v>
      </c>
      <c r="K845" s="1">
        <v>2</v>
      </c>
      <c r="L845" s="24">
        <v>39.799999999999997</v>
      </c>
      <c r="M845" s="24">
        <v>756.4849999999999</v>
      </c>
      <c r="N845" s="21" t="e">
        <f t="shared" si="40"/>
        <v>#DIV/0!</v>
      </c>
      <c r="P845" s="1">
        <v>8</v>
      </c>
      <c r="Q845" s="24">
        <v>95.55600000000004</v>
      </c>
      <c r="R845" s="24">
        <v>700.74399999999991</v>
      </c>
      <c r="S845" s="21" t="e">
        <f t="shared" si="41"/>
        <v>#DIV/0!</v>
      </c>
    </row>
    <row r="846" spans="2:19" ht="11.4" customHeight="1" x14ac:dyDescent="0.2">
      <c r="B846" s="24"/>
      <c r="C846" s="4">
        <v>41823</v>
      </c>
      <c r="D846" s="18" t="s">
        <v>879</v>
      </c>
      <c r="E846" s="18" t="s">
        <v>837</v>
      </c>
      <c r="F846" s="17">
        <v>1</v>
      </c>
      <c r="G846" s="18" t="s">
        <v>23</v>
      </c>
      <c r="H846" s="17">
        <v>262.08</v>
      </c>
      <c r="I846" s="5">
        <v>448.3</v>
      </c>
      <c r="J846" s="21">
        <f t="shared" si="39"/>
        <v>0.71054639804639819</v>
      </c>
      <c r="K846" s="1">
        <v>2</v>
      </c>
      <c r="L846" s="24">
        <v>22.4</v>
      </c>
      <c r="M846" s="24">
        <v>425.88499999999999</v>
      </c>
      <c r="N846" s="21">
        <f t="shared" si="40"/>
        <v>0.6250190781440782</v>
      </c>
      <c r="P846" s="1">
        <v>8</v>
      </c>
      <c r="Q846" s="24">
        <v>53.795999999999992</v>
      </c>
      <c r="R846" s="24">
        <v>394.50400000000002</v>
      </c>
      <c r="S846" s="21">
        <f t="shared" si="41"/>
        <v>0.50528083028083048</v>
      </c>
    </row>
    <row r="847" spans="2:19" ht="11.4" customHeight="1" x14ac:dyDescent="0.2">
      <c r="B847" s="24"/>
      <c r="C847" s="4">
        <v>35338</v>
      </c>
      <c r="D847" s="18" t="s">
        <v>880</v>
      </c>
      <c r="E847" s="18" t="s">
        <v>837</v>
      </c>
      <c r="F847" s="17">
        <v>1</v>
      </c>
      <c r="G847" s="18" t="s">
        <v>23</v>
      </c>
      <c r="H847" s="17">
        <v>164.2</v>
      </c>
      <c r="I847" s="5">
        <v>229</v>
      </c>
      <c r="J847" s="21">
        <f t="shared" si="39"/>
        <v>0.39464068209500619</v>
      </c>
      <c r="K847" s="1">
        <v>2</v>
      </c>
      <c r="L847" s="24">
        <v>11.4</v>
      </c>
      <c r="M847" s="24">
        <v>217.54999999999998</v>
      </c>
      <c r="N847" s="21">
        <f t="shared" si="40"/>
        <v>0.32490864799025576</v>
      </c>
      <c r="P847" s="1">
        <v>8</v>
      </c>
      <c r="Q847" s="24">
        <v>27.47999999999999</v>
      </c>
      <c r="R847" s="24">
        <v>201.52</v>
      </c>
      <c r="S847" s="21">
        <f t="shared" si="41"/>
        <v>0.2272838002436055</v>
      </c>
    </row>
    <row r="848" spans="2:19" ht="11.4" customHeight="1" x14ac:dyDescent="0.2">
      <c r="B848" s="24"/>
      <c r="C848" s="4">
        <v>40671</v>
      </c>
      <c r="D848" s="18" t="s">
        <v>881</v>
      </c>
      <c r="E848" s="18" t="s">
        <v>837</v>
      </c>
      <c r="F848" s="18"/>
      <c r="G848" s="18" t="s">
        <v>23</v>
      </c>
      <c r="H848" s="17">
        <v>259.74</v>
      </c>
      <c r="I848" s="5">
        <v>350.9</v>
      </c>
      <c r="J848" s="21">
        <f t="shared" si="39"/>
        <v>0.35096635096635082</v>
      </c>
      <c r="K848" s="1">
        <v>2</v>
      </c>
      <c r="L848" s="24">
        <v>17.5</v>
      </c>
      <c r="M848" s="24">
        <v>333.35499999999996</v>
      </c>
      <c r="N848" s="21">
        <f t="shared" si="40"/>
        <v>0.28341803341803323</v>
      </c>
      <c r="P848" s="1">
        <v>8</v>
      </c>
      <c r="Q848" s="24">
        <v>42.108000000000004</v>
      </c>
      <c r="R848" s="24">
        <v>308.79199999999997</v>
      </c>
      <c r="S848" s="21">
        <f t="shared" si="41"/>
        <v>0.18885038885038871</v>
      </c>
    </row>
    <row r="849" spans="2:19" ht="11.4" customHeight="1" x14ac:dyDescent="0.2">
      <c r="B849" s="24"/>
      <c r="C849" s="4">
        <v>47455</v>
      </c>
      <c r="D849" s="18" t="s">
        <v>882</v>
      </c>
      <c r="E849" s="18" t="s">
        <v>837</v>
      </c>
      <c r="F849" s="17">
        <v>12</v>
      </c>
      <c r="G849" s="18" t="s">
        <v>23</v>
      </c>
      <c r="H849" s="17">
        <v>139.19</v>
      </c>
      <c r="I849" s="5">
        <v>224</v>
      </c>
      <c r="J849" s="21">
        <f t="shared" si="39"/>
        <v>0.60931101372225016</v>
      </c>
      <c r="K849" s="1">
        <v>2</v>
      </c>
      <c r="L849" s="24">
        <v>11.2</v>
      </c>
      <c r="M849" s="24">
        <v>212.79999999999998</v>
      </c>
      <c r="N849" s="21">
        <f t="shared" si="40"/>
        <v>0.52884546303613755</v>
      </c>
      <c r="P849" s="1">
        <v>8</v>
      </c>
      <c r="Q849" s="24">
        <v>26.879999999999995</v>
      </c>
      <c r="R849" s="24">
        <v>197.12</v>
      </c>
      <c r="S849" s="21">
        <f t="shared" si="41"/>
        <v>0.41619369207558021</v>
      </c>
    </row>
    <row r="850" spans="2:19" ht="11.4" customHeight="1" x14ac:dyDescent="0.2">
      <c r="B850" s="24"/>
      <c r="C850" s="4">
        <v>15923</v>
      </c>
      <c r="D850" s="18" t="s">
        <v>883</v>
      </c>
      <c r="E850" s="18" t="s">
        <v>837</v>
      </c>
      <c r="F850" s="17">
        <v>1</v>
      </c>
      <c r="G850" s="18" t="s">
        <v>23</v>
      </c>
      <c r="H850" s="17">
        <v>167.9</v>
      </c>
      <c r="I850" s="5">
        <v>171.9</v>
      </c>
      <c r="J850" s="21">
        <f t="shared" si="39"/>
        <v>2.3823704586063133E-2</v>
      </c>
      <c r="K850" s="1">
        <v>2</v>
      </c>
      <c r="L850" s="24">
        <v>8.5</v>
      </c>
      <c r="M850" s="24">
        <v>163.30500000000001</v>
      </c>
      <c r="N850" s="21">
        <f t="shared" si="40"/>
        <v>-2.7367480643240016E-2</v>
      </c>
      <c r="P850" s="1">
        <v>8</v>
      </c>
      <c r="Q850" s="24">
        <v>20.627999999999986</v>
      </c>
      <c r="R850" s="24">
        <v>151.27200000000002</v>
      </c>
      <c r="S850" s="21">
        <f t="shared" si="41"/>
        <v>-9.9035139964264357E-2</v>
      </c>
    </row>
    <row r="851" spans="2:19" ht="11.4" customHeight="1" x14ac:dyDescent="0.2">
      <c r="B851" s="24"/>
      <c r="C851" s="4">
        <v>15913</v>
      </c>
      <c r="D851" s="18" t="s">
        <v>884</v>
      </c>
      <c r="E851" s="18" t="s">
        <v>837</v>
      </c>
      <c r="F851" s="17">
        <v>1</v>
      </c>
      <c r="G851" s="18" t="s">
        <v>23</v>
      </c>
      <c r="H851" s="17">
        <v>157.5</v>
      </c>
      <c r="I851" s="5">
        <v>199.5</v>
      </c>
      <c r="J851" s="21">
        <f t="shared" si="39"/>
        <v>0.26666666666666666</v>
      </c>
      <c r="K851" s="1">
        <v>2</v>
      </c>
      <c r="L851" s="24">
        <v>9.9</v>
      </c>
      <c r="M851" s="24">
        <v>189.52499999999998</v>
      </c>
      <c r="N851" s="21">
        <f t="shared" si="40"/>
        <v>0.2033333333333332</v>
      </c>
      <c r="P851" s="1">
        <v>8</v>
      </c>
      <c r="Q851" s="24">
        <v>23.939999999999998</v>
      </c>
      <c r="R851" s="24">
        <v>175.56</v>
      </c>
      <c r="S851" s="21">
        <f t="shared" si="41"/>
        <v>0.11466666666666668</v>
      </c>
    </row>
    <row r="852" spans="2:19" ht="11.4" customHeight="1" x14ac:dyDescent="0.2">
      <c r="B852" s="24"/>
      <c r="C852" s="4">
        <v>23340</v>
      </c>
      <c r="D852" s="18" t="s">
        <v>885</v>
      </c>
      <c r="E852" s="18" t="s">
        <v>837</v>
      </c>
      <c r="F852" s="17">
        <v>1</v>
      </c>
      <c r="G852" s="18" t="s">
        <v>23</v>
      </c>
      <c r="H852" s="17">
        <v>148.5</v>
      </c>
      <c r="I852" s="5">
        <v>169.9</v>
      </c>
      <c r="J852" s="21">
        <f t="shared" si="39"/>
        <v>0.14410774410774416</v>
      </c>
      <c r="K852" s="1">
        <v>2</v>
      </c>
      <c r="L852" s="24">
        <v>8.4</v>
      </c>
      <c r="M852" s="24">
        <v>161.405</v>
      </c>
      <c r="N852" s="21">
        <f t="shared" si="40"/>
        <v>8.6902356902356911E-2</v>
      </c>
      <c r="P852" s="1">
        <v>8</v>
      </c>
      <c r="Q852" s="24">
        <v>20.388000000000005</v>
      </c>
      <c r="R852" s="24">
        <v>149.512</v>
      </c>
      <c r="S852" s="21">
        <f t="shared" si="41"/>
        <v>6.8148148148148178E-3</v>
      </c>
    </row>
    <row r="853" spans="2:19" ht="11.4" customHeight="1" x14ac:dyDescent="0.2">
      <c r="B853" s="24"/>
      <c r="C853" s="4">
        <v>26675</v>
      </c>
      <c r="D853" s="18" t="s">
        <v>886</v>
      </c>
      <c r="E853" s="18" t="s">
        <v>837</v>
      </c>
      <c r="F853" s="17">
        <v>1</v>
      </c>
      <c r="G853" s="18" t="s">
        <v>23</v>
      </c>
      <c r="H853" s="17">
        <v>199.86</v>
      </c>
      <c r="I853" s="5">
        <v>249</v>
      </c>
      <c r="J853" s="21">
        <f t="shared" si="39"/>
        <v>0.24587211047733404</v>
      </c>
      <c r="K853" s="1">
        <v>2</v>
      </c>
      <c r="L853" s="24">
        <v>12.4</v>
      </c>
      <c r="M853" s="24">
        <v>236.54999999999998</v>
      </c>
      <c r="N853" s="21">
        <f t="shared" si="40"/>
        <v>0.18357850495346725</v>
      </c>
      <c r="P853" s="1">
        <v>8</v>
      </c>
      <c r="Q853" s="24">
        <v>29.879999999999995</v>
      </c>
      <c r="R853" s="24">
        <v>219.12</v>
      </c>
      <c r="S853" s="21">
        <f t="shared" si="41"/>
        <v>9.6367457220053993E-2</v>
      </c>
    </row>
    <row r="854" spans="2:19" ht="11.4" customHeight="1" x14ac:dyDescent="0.2">
      <c r="B854" s="24"/>
      <c r="C854" s="4">
        <v>35389</v>
      </c>
      <c r="D854" s="18" t="s">
        <v>887</v>
      </c>
      <c r="E854" s="18" t="s">
        <v>837</v>
      </c>
      <c r="F854" s="17">
        <v>1</v>
      </c>
      <c r="G854" s="18" t="s">
        <v>23</v>
      </c>
      <c r="H854" s="17">
        <v>176.5</v>
      </c>
      <c r="I854" s="5">
        <v>186.4</v>
      </c>
      <c r="J854" s="21">
        <f t="shared" si="39"/>
        <v>5.609065155807369E-2</v>
      </c>
      <c r="K854" s="1">
        <v>2</v>
      </c>
      <c r="L854" s="24">
        <v>9.3000000000000007</v>
      </c>
      <c r="M854" s="24">
        <v>177.07999999999998</v>
      </c>
      <c r="N854" s="21">
        <f t="shared" si="40"/>
        <v>3.2861189801698817E-3</v>
      </c>
      <c r="P854" s="1">
        <v>8</v>
      </c>
      <c r="Q854" s="24">
        <v>22.367999999999995</v>
      </c>
      <c r="R854" s="24">
        <v>164.03200000000001</v>
      </c>
      <c r="S854" s="21">
        <f t="shared" si="41"/>
        <v>-7.0640226628895117E-2</v>
      </c>
    </row>
    <row r="855" spans="2:19" ht="11.4" customHeight="1" x14ac:dyDescent="0.2">
      <c r="B855" s="24"/>
      <c r="C855" s="4">
        <v>45726</v>
      </c>
      <c r="D855" s="18" t="s">
        <v>888</v>
      </c>
      <c r="E855" s="18" t="s">
        <v>837</v>
      </c>
      <c r="F855" s="17">
        <v>6</v>
      </c>
      <c r="G855" s="18" t="s">
        <v>23</v>
      </c>
      <c r="H855" s="17">
        <v>164</v>
      </c>
      <c r="I855" s="5">
        <v>249</v>
      </c>
      <c r="J855" s="21">
        <f t="shared" si="39"/>
        <v>0.51829268292682928</v>
      </c>
      <c r="K855" s="1">
        <v>2</v>
      </c>
      <c r="L855" s="24">
        <v>12.4</v>
      </c>
      <c r="M855" s="24">
        <v>236.54999999999998</v>
      </c>
      <c r="N855" s="21">
        <f t="shared" si="40"/>
        <v>0.4423780487804877</v>
      </c>
      <c r="P855" s="1">
        <v>8</v>
      </c>
      <c r="Q855" s="24">
        <v>29.879999999999995</v>
      </c>
      <c r="R855" s="24">
        <v>219.12</v>
      </c>
      <c r="S855" s="21">
        <f t="shared" si="41"/>
        <v>0.33609756097560978</v>
      </c>
    </row>
    <row r="856" spans="2:19" ht="11.4" customHeight="1" x14ac:dyDescent="0.2">
      <c r="B856" s="24"/>
      <c r="C856" s="4">
        <v>46158</v>
      </c>
      <c r="D856" s="18" t="s">
        <v>889</v>
      </c>
      <c r="E856" s="18" t="s">
        <v>837</v>
      </c>
      <c r="F856" s="17">
        <v>6</v>
      </c>
      <c r="G856" s="18" t="s">
        <v>23</v>
      </c>
      <c r="H856" s="17">
        <v>241.42</v>
      </c>
      <c r="I856" s="5">
        <v>362.1</v>
      </c>
      <c r="J856" s="21">
        <f t="shared" si="39"/>
        <v>0.49987573523320372</v>
      </c>
      <c r="K856" s="1">
        <v>2</v>
      </c>
      <c r="L856" s="24">
        <v>18.100000000000001</v>
      </c>
      <c r="M856" s="24">
        <v>343.995</v>
      </c>
      <c r="N856" s="21">
        <f t="shared" si="40"/>
        <v>0.42488194847154348</v>
      </c>
      <c r="P856" s="1">
        <v>8</v>
      </c>
      <c r="Q856" s="24">
        <v>43.451999999999998</v>
      </c>
      <c r="R856" s="24">
        <v>318.64800000000002</v>
      </c>
      <c r="S856" s="21">
        <f t="shared" si="41"/>
        <v>0.3198906470052193</v>
      </c>
    </row>
    <row r="857" spans="2:19" ht="11.4" customHeight="1" x14ac:dyDescent="0.2">
      <c r="B857" s="24"/>
      <c r="C857" s="4">
        <v>3328</v>
      </c>
      <c r="D857" s="18" t="s">
        <v>890</v>
      </c>
      <c r="E857" s="18" t="s">
        <v>837</v>
      </c>
      <c r="F857" s="17">
        <v>1</v>
      </c>
      <c r="G857" s="18" t="s">
        <v>23</v>
      </c>
      <c r="H857" s="17">
        <v>199.86</v>
      </c>
      <c r="I857" s="5">
        <v>249</v>
      </c>
      <c r="J857" s="21">
        <f t="shared" si="39"/>
        <v>0.24587211047733404</v>
      </c>
      <c r="K857" s="1">
        <v>2</v>
      </c>
      <c r="L857" s="24">
        <v>12.4</v>
      </c>
      <c r="M857" s="24">
        <v>236.54999999999998</v>
      </c>
      <c r="N857" s="21">
        <f t="shared" si="40"/>
        <v>0.18357850495346725</v>
      </c>
      <c r="P857" s="1">
        <v>8</v>
      </c>
      <c r="Q857" s="24">
        <v>29.879999999999995</v>
      </c>
      <c r="R857" s="24">
        <v>219.12</v>
      </c>
      <c r="S857" s="21">
        <f t="shared" si="41"/>
        <v>9.6367457220053993E-2</v>
      </c>
    </row>
    <row r="858" spans="2:19" ht="11.4" customHeight="1" x14ac:dyDescent="0.2">
      <c r="B858" s="24"/>
      <c r="C858" s="4">
        <v>15893</v>
      </c>
      <c r="D858" s="18" t="s">
        <v>891</v>
      </c>
      <c r="E858" s="18" t="s">
        <v>837</v>
      </c>
      <c r="F858" s="17">
        <v>1</v>
      </c>
      <c r="G858" s="18" t="s">
        <v>23</v>
      </c>
      <c r="H858" s="17">
        <v>148.5</v>
      </c>
      <c r="I858" s="5">
        <v>169.9</v>
      </c>
      <c r="J858" s="21">
        <f t="shared" si="39"/>
        <v>0.14410774410774416</v>
      </c>
      <c r="K858" s="1">
        <v>2</v>
      </c>
      <c r="L858" s="24">
        <v>8.4</v>
      </c>
      <c r="M858" s="24">
        <v>161.405</v>
      </c>
      <c r="N858" s="21">
        <f t="shared" si="40"/>
        <v>8.6902356902356911E-2</v>
      </c>
      <c r="P858" s="1">
        <v>8</v>
      </c>
      <c r="Q858" s="24">
        <v>20.388000000000005</v>
      </c>
      <c r="R858" s="24">
        <v>149.512</v>
      </c>
      <c r="S858" s="21">
        <f t="shared" si="41"/>
        <v>6.8148148148148178E-3</v>
      </c>
    </row>
    <row r="859" spans="2:19" ht="11.4" customHeight="1" x14ac:dyDescent="0.2">
      <c r="B859" s="24"/>
      <c r="C859" s="4">
        <v>40681</v>
      </c>
      <c r="D859" s="18" t="s">
        <v>892</v>
      </c>
      <c r="E859" s="18" t="s">
        <v>837</v>
      </c>
      <c r="F859" s="18"/>
      <c r="G859" s="18" t="s">
        <v>23</v>
      </c>
      <c r="H859" s="18"/>
      <c r="I859" s="5">
        <v>936.9</v>
      </c>
      <c r="J859" s="21" t="e">
        <f t="shared" si="39"/>
        <v>#DIV/0!</v>
      </c>
      <c r="K859" s="1">
        <v>2</v>
      </c>
      <c r="L859" s="24">
        <v>46.8</v>
      </c>
      <c r="M859" s="24">
        <v>890.05499999999995</v>
      </c>
      <c r="N859" s="21" t="e">
        <f t="shared" si="40"/>
        <v>#DIV/0!</v>
      </c>
      <c r="P859" s="1">
        <v>8</v>
      </c>
      <c r="Q859" s="24">
        <v>112.428</v>
      </c>
      <c r="R859" s="24">
        <v>824.47199999999998</v>
      </c>
      <c r="S859" s="21" t="e">
        <f t="shared" si="41"/>
        <v>#DIV/0!</v>
      </c>
    </row>
    <row r="860" spans="2:19" ht="11.4" customHeight="1" x14ac:dyDescent="0.2">
      <c r="B860" s="24"/>
      <c r="C860" s="4">
        <v>41722</v>
      </c>
      <c r="D860" s="18" t="s">
        <v>893</v>
      </c>
      <c r="E860" s="18" t="s">
        <v>837</v>
      </c>
      <c r="F860" s="17">
        <v>1</v>
      </c>
      <c r="G860" s="18" t="s">
        <v>23</v>
      </c>
      <c r="H860" s="19">
        <v>1728.48</v>
      </c>
      <c r="I860" s="6">
        <v>2294.9</v>
      </c>
      <c r="J860" s="21">
        <f t="shared" si="39"/>
        <v>0.32769832453947983</v>
      </c>
      <c r="K860" s="1">
        <v>2</v>
      </c>
      <c r="L860" s="24">
        <v>114.7</v>
      </c>
      <c r="M860" s="24">
        <v>2180.1550000000002</v>
      </c>
      <c r="N860" s="21">
        <f t="shared" si="40"/>
        <v>0.26131340831250588</v>
      </c>
      <c r="P860" s="1">
        <v>8</v>
      </c>
      <c r="Q860" s="24">
        <v>275.38799999999992</v>
      </c>
      <c r="R860" s="24">
        <v>2019.5120000000002</v>
      </c>
      <c r="S860" s="21">
        <f t="shared" si="41"/>
        <v>0.16837452559474228</v>
      </c>
    </row>
    <row r="861" spans="2:19" ht="11.4" customHeight="1" x14ac:dyDescent="0.2">
      <c r="B861" s="24"/>
      <c r="C861" s="4">
        <v>30762</v>
      </c>
      <c r="D861" s="18" t="s">
        <v>894</v>
      </c>
      <c r="E861" s="18" t="s">
        <v>837</v>
      </c>
      <c r="F861" s="17">
        <v>2</v>
      </c>
      <c r="G861" s="18" t="s">
        <v>23</v>
      </c>
      <c r="H861" s="17">
        <v>99.4</v>
      </c>
      <c r="I861" s="5">
        <v>109.9</v>
      </c>
      <c r="J861" s="21">
        <f t="shared" si="39"/>
        <v>0.10563380281690141</v>
      </c>
      <c r="K861" s="1">
        <v>2</v>
      </c>
      <c r="L861" s="24">
        <v>5.4</v>
      </c>
      <c r="M861" s="24">
        <v>104.405</v>
      </c>
      <c r="N861" s="21">
        <f t="shared" si="40"/>
        <v>5.0352112676056292E-2</v>
      </c>
      <c r="P861" s="1">
        <v>8</v>
      </c>
      <c r="Q861" s="24">
        <v>13.188000000000002</v>
      </c>
      <c r="R861" s="24">
        <v>96.712000000000003</v>
      </c>
      <c r="S861" s="21">
        <f t="shared" si="41"/>
        <v>-2.7042253521126783E-2</v>
      </c>
    </row>
    <row r="862" spans="2:19" ht="11.4" customHeight="1" x14ac:dyDescent="0.2">
      <c r="B862" s="24"/>
      <c r="C862" s="4">
        <v>42414</v>
      </c>
      <c r="D862" s="18" t="s">
        <v>895</v>
      </c>
      <c r="E862" s="18" t="s">
        <v>837</v>
      </c>
      <c r="F862" s="18"/>
      <c r="G862" s="18" t="s">
        <v>23</v>
      </c>
      <c r="H862" s="17">
        <v>193.56</v>
      </c>
      <c r="I862" s="5">
        <v>259</v>
      </c>
      <c r="J862" s="21">
        <f t="shared" si="39"/>
        <v>0.33808638148377762</v>
      </c>
      <c r="K862" s="1">
        <v>2</v>
      </c>
      <c r="L862" s="24">
        <v>12.9</v>
      </c>
      <c r="M862" s="24">
        <v>246.04999999999998</v>
      </c>
      <c r="N862" s="21">
        <f t="shared" si="40"/>
        <v>0.27118206240958864</v>
      </c>
      <c r="P862" s="1">
        <v>8</v>
      </c>
      <c r="Q862" s="24">
        <v>31.080000000000013</v>
      </c>
      <c r="R862" s="24">
        <v>227.92</v>
      </c>
      <c r="S862" s="21">
        <f t="shared" si="41"/>
        <v>0.17751601570572426</v>
      </c>
    </row>
    <row r="863" spans="2:19" ht="11.4" customHeight="1" x14ac:dyDescent="0.2">
      <c r="B863" s="24"/>
      <c r="C863" s="4">
        <v>42415</v>
      </c>
      <c r="D863" s="18" t="s">
        <v>896</v>
      </c>
      <c r="E863" s="18" t="s">
        <v>837</v>
      </c>
      <c r="F863" s="18"/>
      <c r="G863" s="18" t="s">
        <v>23</v>
      </c>
      <c r="H863" s="17">
        <v>191.94</v>
      </c>
      <c r="I863" s="5">
        <v>253.5</v>
      </c>
      <c r="J863" s="21">
        <f t="shared" si="39"/>
        <v>0.32072522663332292</v>
      </c>
      <c r="K863" s="1">
        <v>2</v>
      </c>
      <c r="L863" s="24">
        <v>12.6</v>
      </c>
      <c r="M863" s="24">
        <v>240.82499999999999</v>
      </c>
      <c r="N863" s="21">
        <f t="shared" si="40"/>
        <v>0.25468896530165674</v>
      </c>
      <c r="P863" s="1">
        <v>8</v>
      </c>
      <c r="Q863" s="24">
        <v>30.419999999999987</v>
      </c>
      <c r="R863" s="24">
        <v>223.08</v>
      </c>
      <c r="S863" s="21">
        <f t="shared" si="41"/>
        <v>0.16223819943732423</v>
      </c>
    </row>
    <row r="864" spans="2:19" ht="11.4" customHeight="1" x14ac:dyDescent="0.2">
      <c r="B864" s="24"/>
      <c r="C864" s="4">
        <v>18252</v>
      </c>
      <c r="D864" s="18" t="s">
        <v>897</v>
      </c>
      <c r="E864" s="18" t="s">
        <v>837</v>
      </c>
      <c r="F864" s="17">
        <v>1</v>
      </c>
      <c r="G864" s="18" t="s">
        <v>23</v>
      </c>
      <c r="H864" s="17">
        <v>242.9</v>
      </c>
      <c r="I864" s="5">
        <v>229</v>
      </c>
      <c r="J864" s="21">
        <f t="shared" si="39"/>
        <v>-5.7225195553725836E-2</v>
      </c>
      <c r="K864" s="1">
        <v>2</v>
      </c>
      <c r="L864" s="24">
        <v>11.4</v>
      </c>
      <c r="M864" s="24">
        <v>217.54999999999998</v>
      </c>
      <c r="N864" s="21">
        <f t="shared" si="40"/>
        <v>-0.10436393577603961</v>
      </c>
      <c r="P864" s="1">
        <v>8</v>
      </c>
      <c r="Q864" s="24">
        <v>27.47999999999999</v>
      </c>
      <c r="R864" s="24">
        <v>201.52</v>
      </c>
      <c r="S864" s="21">
        <f t="shared" si="41"/>
        <v>-0.17035817208727869</v>
      </c>
    </row>
    <row r="865" spans="2:19" ht="11.4" customHeight="1" x14ac:dyDescent="0.2">
      <c r="B865" s="24"/>
      <c r="C865" s="4">
        <v>45727</v>
      </c>
      <c r="D865" s="18" t="s">
        <v>898</v>
      </c>
      <c r="E865" s="18" t="s">
        <v>837</v>
      </c>
      <c r="F865" s="17">
        <v>6</v>
      </c>
      <c r="G865" s="18" t="s">
        <v>23</v>
      </c>
      <c r="H865" s="17">
        <v>164</v>
      </c>
      <c r="I865" s="5">
        <v>249</v>
      </c>
      <c r="J865" s="21">
        <f t="shared" si="39"/>
        <v>0.51829268292682928</v>
      </c>
      <c r="K865" s="1">
        <v>2</v>
      </c>
      <c r="L865" s="24">
        <v>12.4</v>
      </c>
      <c r="M865" s="24">
        <v>236.54999999999998</v>
      </c>
      <c r="N865" s="21">
        <f t="shared" si="40"/>
        <v>0.4423780487804877</v>
      </c>
      <c r="P865" s="1">
        <v>8</v>
      </c>
      <c r="Q865" s="24">
        <v>29.879999999999995</v>
      </c>
      <c r="R865" s="24">
        <v>219.12</v>
      </c>
      <c r="S865" s="21">
        <f t="shared" si="41"/>
        <v>0.33609756097560978</v>
      </c>
    </row>
    <row r="866" spans="2:19" ht="11.4" customHeight="1" x14ac:dyDescent="0.2">
      <c r="B866" s="24"/>
      <c r="C866" s="4">
        <v>39719</v>
      </c>
      <c r="D866" s="18" t="s">
        <v>899</v>
      </c>
      <c r="E866" s="18" t="s">
        <v>837</v>
      </c>
      <c r="F866" s="17">
        <v>1</v>
      </c>
      <c r="G866" s="18" t="s">
        <v>23</v>
      </c>
      <c r="H866" s="19">
        <v>1329.9</v>
      </c>
      <c r="I866" s="6">
        <v>1692.5</v>
      </c>
      <c r="J866" s="21">
        <f t="shared" si="39"/>
        <v>0.27265207910369194</v>
      </c>
      <c r="K866" s="1">
        <v>2</v>
      </c>
      <c r="L866" s="24">
        <v>84.6</v>
      </c>
      <c r="M866" s="24">
        <v>1607.875</v>
      </c>
      <c r="N866" s="21">
        <f t="shared" si="40"/>
        <v>0.20901947514850733</v>
      </c>
      <c r="P866" s="1">
        <v>8</v>
      </c>
      <c r="Q866" s="24">
        <v>203.09999999999991</v>
      </c>
      <c r="R866" s="24">
        <v>1489.4</v>
      </c>
      <c r="S866" s="21">
        <f t="shared" si="41"/>
        <v>0.11993382961124896</v>
      </c>
    </row>
    <row r="867" spans="2:19" ht="11.4" customHeight="1" x14ac:dyDescent="0.2">
      <c r="B867" s="24"/>
      <c r="C867" s="7">
        <v>27341</v>
      </c>
      <c r="D867" s="18" t="s">
        <v>900</v>
      </c>
      <c r="E867" s="18" t="s">
        <v>901</v>
      </c>
      <c r="F867" s="17">
        <v>1</v>
      </c>
      <c r="G867" s="18" t="s">
        <v>902</v>
      </c>
      <c r="H867" s="17">
        <v>19.5</v>
      </c>
      <c r="I867" s="8">
        <v>15</v>
      </c>
      <c r="J867" s="21">
        <f t="shared" si="39"/>
        <v>-0.23076923076923078</v>
      </c>
      <c r="K867" s="1">
        <v>1</v>
      </c>
      <c r="L867" s="24">
        <v>0.7</v>
      </c>
      <c r="M867" s="24">
        <v>14.25</v>
      </c>
      <c r="N867" s="21">
        <f t="shared" si="40"/>
        <v>-0.26923076923076922</v>
      </c>
      <c r="P867" s="1">
        <v>4</v>
      </c>
      <c r="Q867" s="24">
        <v>1.5</v>
      </c>
      <c r="R867" s="24">
        <v>13.5</v>
      </c>
      <c r="S867" s="21">
        <f t="shared" si="41"/>
        <v>-0.30769230769230771</v>
      </c>
    </row>
    <row r="868" spans="2:19" ht="11.4" customHeight="1" x14ac:dyDescent="0.2">
      <c r="B868" s="24"/>
      <c r="C868" s="7">
        <v>37910</v>
      </c>
      <c r="D868" s="18" t="s">
        <v>903</v>
      </c>
      <c r="E868" s="18" t="s">
        <v>901</v>
      </c>
      <c r="F868" s="17">
        <v>8</v>
      </c>
      <c r="G868" s="18" t="s">
        <v>23</v>
      </c>
      <c r="H868" s="17">
        <v>35.9</v>
      </c>
      <c r="I868" s="8">
        <v>42.9</v>
      </c>
      <c r="J868" s="21">
        <f t="shared" si="39"/>
        <v>0.19498607242339833</v>
      </c>
      <c r="K868" s="1">
        <v>2</v>
      </c>
      <c r="L868" s="24">
        <v>2.1</v>
      </c>
      <c r="M868" s="24">
        <v>40.754999999999995</v>
      </c>
      <c r="N868" s="21">
        <f t="shared" si="40"/>
        <v>0.13523676880222832</v>
      </c>
      <c r="P868" s="1">
        <v>8</v>
      </c>
      <c r="Q868" s="24">
        <v>5.1479999999999961</v>
      </c>
      <c r="R868" s="24">
        <v>37.752000000000002</v>
      </c>
      <c r="S868" s="21">
        <f t="shared" si="41"/>
        <v>5.1587743732590639E-2</v>
      </c>
    </row>
    <row r="869" spans="2:19" ht="11.4" customHeight="1" x14ac:dyDescent="0.2">
      <c r="B869" s="24"/>
      <c r="C869" s="7">
        <v>23797</v>
      </c>
      <c r="D869" s="18" t="s">
        <v>904</v>
      </c>
      <c r="E869" s="18" t="s">
        <v>901</v>
      </c>
      <c r="F869" s="17">
        <v>10</v>
      </c>
      <c r="G869" s="18" t="s">
        <v>23</v>
      </c>
      <c r="H869" s="17">
        <v>38.9</v>
      </c>
      <c r="I869" s="8">
        <v>48.9</v>
      </c>
      <c r="J869" s="21">
        <f t="shared" si="39"/>
        <v>0.25706940874035988</v>
      </c>
      <c r="K869" s="1">
        <v>2</v>
      </c>
      <c r="L869" s="24">
        <v>2.4</v>
      </c>
      <c r="M869" s="24">
        <v>46.454999999999998</v>
      </c>
      <c r="N869" s="21">
        <f t="shared" si="40"/>
        <v>0.19421593830334191</v>
      </c>
      <c r="P869" s="1">
        <v>8</v>
      </c>
      <c r="Q869" s="24">
        <v>5.8680000000000021</v>
      </c>
      <c r="R869" s="24">
        <v>43.031999999999996</v>
      </c>
      <c r="S869" s="21">
        <f t="shared" si="41"/>
        <v>0.10622107969151666</v>
      </c>
    </row>
    <row r="870" spans="2:19" ht="11.4" customHeight="1" x14ac:dyDescent="0.2">
      <c r="B870" s="24"/>
      <c r="C870" s="7">
        <v>35044</v>
      </c>
      <c r="D870" s="18" t="s">
        <v>905</v>
      </c>
      <c r="E870" s="18" t="s">
        <v>901</v>
      </c>
      <c r="F870" s="17">
        <v>10</v>
      </c>
      <c r="G870" s="18" t="s">
        <v>23</v>
      </c>
      <c r="H870" s="17">
        <v>72.900000000000006</v>
      </c>
      <c r="I870" s="8">
        <v>70.8</v>
      </c>
      <c r="J870" s="21">
        <f t="shared" si="39"/>
        <v>-2.8806584362140033E-2</v>
      </c>
      <c r="K870" s="1">
        <v>2</v>
      </c>
      <c r="L870" s="24">
        <v>3.5</v>
      </c>
      <c r="M870" s="24">
        <v>67.259999999999991</v>
      </c>
      <c r="N870" s="21">
        <f t="shared" si="40"/>
        <v>-7.7366255144033114E-2</v>
      </c>
      <c r="P870" s="1">
        <v>8</v>
      </c>
      <c r="Q870" s="24">
        <v>8.4960000000000022</v>
      </c>
      <c r="R870" s="24">
        <v>62.303999999999995</v>
      </c>
      <c r="S870" s="21">
        <f t="shared" si="41"/>
        <v>-0.14534979423868327</v>
      </c>
    </row>
    <row r="871" spans="2:19" ht="11.4" customHeight="1" x14ac:dyDescent="0.2">
      <c r="B871" s="24"/>
      <c r="C871" s="7">
        <v>37911</v>
      </c>
      <c r="D871" s="18" t="s">
        <v>906</v>
      </c>
      <c r="E871" s="18" t="s">
        <v>901</v>
      </c>
      <c r="F871" s="17">
        <v>8</v>
      </c>
      <c r="G871" s="18" t="s">
        <v>23</v>
      </c>
      <c r="H871" s="17">
        <v>22.9</v>
      </c>
      <c r="I871" s="8">
        <v>29.2</v>
      </c>
      <c r="J871" s="21">
        <f t="shared" si="39"/>
        <v>0.27510917030567689</v>
      </c>
      <c r="K871" s="1">
        <v>2</v>
      </c>
      <c r="L871" s="24">
        <v>1.4</v>
      </c>
      <c r="M871" s="24">
        <v>27.74</v>
      </c>
      <c r="N871" s="21">
        <f t="shared" si="40"/>
        <v>0.21135371179039303</v>
      </c>
      <c r="P871" s="1">
        <v>8</v>
      </c>
      <c r="Q871" s="24">
        <v>3.5040000000000013</v>
      </c>
      <c r="R871" s="24">
        <v>25.695999999999998</v>
      </c>
      <c r="S871" s="21">
        <f t="shared" si="41"/>
        <v>0.12209606986899561</v>
      </c>
    </row>
    <row r="872" spans="2:19" ht="11.4" customHeight="1" x14ac:dyDescent="0.2">
      <c r="B872" s="24"/>
      <c r="C872" s="7">
        <v>23798</v>
      </c>
      <c r="D872" s="18" t="s">
        <v>907</v>
      </c>
      <c r="E872" s="18" t="s">
        <v>901</v>
      </c>
      <c r="F872" s="17">
        <v>10</v>
      </c>
      <c r="G872" s="18" t="s">
        <v>23</v>
      </c>
      <c r="H872" s="17">
        <v>28.2</v>
      </c>
      <c r="I872" s="8">
        <v>38.5</v>
      </c>
      <c r="J872" s="21">
        <f t="shared" si="39"/>
        <v>0.36524822695035464</v>
      </c>
      <c r="K872" s="1">
        <v>2</v>
      </c>
      <c r="L872" s="24">
        <v>1.9</v>
      </c>
      <c r="M872" s="24">
        <v>36.574999999999996</v>
      </c>
      <c r="N872" s="21">
        <f t="shared" si="40"/>
        <v>0.29698581560283677</v>
      </c>
      <c r="P872" s="1">
        <v>8</v>
      </c>
      <c r="Q872" s="24">
        <v>4.6199999999999974</v>
      </c>
      <c r="R872" s="24">
        <v>33.880000000000003</v>
      </c>
      <c r="S872" s="21">
        <f t="shared" si="41"/>
        <v>0.20141843971631218</v>
      </c>
    </row>
    <row r="873" spans="2:19" ht="11.4" customHeight="1" x14ac:dyDescent="0.2">
      <c r="B873" s="24"/>
      <c r="C873" s="7">
        <v>39083</v>
      </c>
      <c r="D873" s="18" t="s">
        <v>908</v>
      </c>
      <c r="E873" s="18" t="s">
        <v>901</v>
      </c>
      <c r="F873" s="17">
        <v>10</v>
      </c>
      <c r="G873" s="18" t="s">
        <v>23</v>
      </c>
      <c r="H873" s="17">
        <v>139.44</v>
      </c>
      <c r="I873" s="8">
        <v>167.4</v>
      </c>
      <c r="J873" s="21">
        <f t="shared" si="39"/>
        <v>0.20051635111876082</v>
      </c>
      <c r="K873" s="1">
        <v>2</v>
      </c>
      <c r="L873" s="24">
        <v>8.3000000000000007</v>
      </c>
      <c r="M873" s="24">
        <v>159.03</v>
      </c>
      <c r="N873" s="21">
        <f t="shared" si="40"/>
        <v>0.14049053356282273</v>
      </c>
      <c r="P873" s="1">
        <v>8</v>
      </c>
      <c r="Q873" s="24">
        <v>20.087999999999994</v>
      </c>
      <c r="R873" s="24">
        <v>147.31200000000001</v>
      </c>
      <c r="S873" s="21">
        <f t="shared" si="41"/>
        <v>5.6454388984509565E-2</v>
      </c>
    </row>
    <row r="874" spans="2:19" ht="11.4" customHeight="1" x14ac:dyDescent="0.2">
      <c r="B874" s="24"/>
      <c r="C874" s="7">
        <v>45233</v>
      </c>
      <c r="D874" s="18" t="s">
        <v>909</v>
      </c>
      <c r="E874" s="18" t="s">
        <v>901</v>
      </c>
      <c r="F874" s="17">
        <v>10</v>
      </c>
      <c r="G874" s="18" t="s">
        <v>23</v>
      </c>
      <c r="H874" s="17">
        <v>56.04</v>
      </c>
      <c r="I874" s="8">
        <v>105.5</v>
      </c>
      <c r="J874" s="21">
        <f t="shared" si="39"/>
        <v>0.88258386866523919</v>
      </c>
      <c r="K874" s="1">
        <v>2</v>
      </c>
      <c r="L874" s="24">
        <v>5.2</v>
      </c>
      <c r="M874" s="24">
        <v>100.22499999999999</v>
      </c>
      <c r="N874" s="21">
        <f t="shared" si="40"/>
        <v>0.7884546752319771</v>
      </c>
      <c r="P874" s="1">
        <v>8</v>
      </c>
      <c r="Q874" s="24">
        <v>12.659999999999997</v>
      </c>
      <c r="R874" s="24">
        <v>92.84</v>
      </c>
      <c r="S874" s="21">
        <f t="shared" si="41"/>
        <v>0.65667380442541046</v>
      </c>
    </row>
    <row r="875" spans="2:19" ht="11.4" customHeight="1" x14ac:dyDescent="0.2">
      <c r="B875" s="24"/>
      <c r="C875" s="7">
        <v>44043</v>
      </c>
      <c r="D875" s="18" t="s">
        <v>910</v>
      </c>
      <c r="E875" s="18" t="s">
        <v>901</v>
      </c>
      <c r="F875" s="17">
        <v>6</v>
      </c>
      <c r="G875" s="18" t="s">
        <v>23</v>
      </c>
      <c r="H875" s="17">
        <v>66.900000000000006</v>
      </c>
      <c r="I875" s="8">
        <v>90.5</v>
      </c>
      <c r="J875" s="21">
        <f t="shared" si="39"/>
        <v>0.35276532137518674</v>
      </c>
      <c r="K875" s="1">
        <v>2</v>
      </c>
      <c r="L875" s="24">
        <v>4.5</v>
      </c>
      <c r="M875" s="24">
        <v>85.974999999999994</v>
      </c>
      <c r="N875" s="21">
        <f t="shared" si="40"/>
        <v>0.28512705530642729</v>
      </c>
      <c r="P875" s="1">
        <v>8</v>
      </c>
      <c r="Q875" s="24">
        <v>10.86</v>
      </c>
      <c r="R875" s="24">
        <v>79.64</v>
      </c>
      <c r="S875" s="21">
        <f t="shared" si="41"/>
        <v>0.19043348281016434</v>
      </c>
    </row>
    <row r="876" spans="2:19" ht="11.4" customHeight="1" x14ac:dyDescent="0.2">
      <c r="B876" s="24"/>
      <c r="C876" s="7">
        <v>37912</v>
      </c>
      <c r="D876" s="18" t="s">
        <v>911</v>
      </c>
      <c r="E876" s="18" t="s">
        <v>901</v>
      </c>
      <c r="F876" s="17">
        <v>8</v>
      </c>
      <c r="G876" s="18" t="s">
        <v>23</v>
      </c>
      <c r="H876" s="17">
        <v>26.9</v>
      </c>
      <c r="I876" s="8">
        <v>27.6</v>
      </c>
      <c r="J876" s="21">
        <f t="shared" si="39"/>
        <v>2.6022304832713863E-2</v>
      </c>
      <c r="K876" s="1">
        <v>2</v>
      </c>
      <c r="L876" s="24">
        <v>1.3</v>
      </c>
      <c r="M876" s="24">
        <v>26.22</v>
      </c>
      <c r="N876" s="21">
        <f t="shared" si="40"/>
        <v>-2.5278810408921923E-2</v>
      </c>
      <c r="P876" s="1">
        <v>8</v>
      </c>
      <c r="Q876" s="24">
        <v>3.3120000000000012</v>
      </c>
      <c r="R876" s="24">
        <v>24.288</v>
      </c>
      <c r="S876" s="21">
        <f t="shared" si="41"/>
        <v>-9.7100371747211839E-2</v>
      </c>
    </row>
    <row r="877" spans="2:19" ht="11.4" customHeight="1" x14ac:dyDescent="0.2">
      <c r="B877" s="24"/>
      <c r="C877" s="7">
        <v>39366</v>
      </c>
      <c r="D877" s="18" t="s">
        <v>912</v>
      </c>
      <c r="E877" s="18" t="s">
        <v>901</v>
      </c>
      <c r="F877" s="17">
        <v>5</v>
      </c>
      <c r="G877" s="18" t="s">
        <v>23</v>
      </c>
      <c r="H877" s="17">
        <v>35.9</v>
      </c>
      <c r="I877" s="8">
        <v>46</v>
      </c>
      <c r="J877" s="21">
        <f t="shared" si="39"/>
        <v>0.28133704735376047</v>
      </c>
      <c r="K877" s="1">
        <v>2</v>
      </c>
      <c r="L877" s="24">
        <v>2.2999999999999998</v>
      </c>
      <c r="M877" s="24">
        <v>43.699999999999996</v>
      </c>
      <c r="N877" s="21">
        <f t="shared" si="40"/>
        <v>0.21727019498607236</v>
      </c>
      <c r="P877" s="1">
        <v>8</v>
      </c>
      <c r="Q877" s="24">
        <v>5.5200000000000031</v>
      </c>
      <c r="R877" s="24">
        <v>40.479999999999997</v>
      </c>
      <c r="S877" s="21">
        <f t="shared" si="41"/>
        <v>0.12757660167130916</v>
      </c>
    </row>
    <row r="878" spans="2:19" ht="11.4" customHeight="1" x14ac:dyDescent="0.2">
      <c r="B878" s="24"/>
      <c r="C878" s="7">
        <v>23796</v>
      </c>
      <c r="D878" s="18" t="s">
        <v>913</v>
      </c>
      <c r="E878" s="18" t="s">
        <v>901</v>
      </c>
      <c r="F878" s="17">
        <v>10</v>
      </c>
      <c r="G878" s="18" t="s">
        <v>23</v>
      </c>
      <c r="H878" s="17">
        <v>29.52</v>
      </c>
      <c r="I878" s="8">
        <v>39.9</v>
      </c>
      <c r="J878" s="21">
        <f t="shared" si="39"/>
        <v>0.3516260162601626</v>
      </c>
      <c r="K878" s="1">
        <v>2</v>
      </c>
      <c r="L878" s="24">
        <v>1.9</v>
      </c>
      <c r="M878" s="24">
        <v>37.904999999999994</v>
      </c>
      <c r="N878" s="21">
        <f t="shared" si="40"/>
        <v>0.28404471544715426</v>
      </c>
      <c r="P878" s="1">
        <v>8</v>
      </c>
      <c r="Q878" s="24">
        <v>4.7879999999999967</v>
      </c>
      <c r="R878" s="24">
        <v>35.112000000000002</v>
      </c>
      <c r="S878" s="21">
        <f t="shared" si="41"/>
        <v>0.18943089430894317</v>
      </c>
    </row>
    <row r="879" spans="2:19" ht="11.4" customHeight="1" x14ac:dyDescent="0.2">
      <c r="B879" s="24"/>
      <c r="C879" s="7">
        <v>35482</v>
      </c>
      <c r="D879" s="18" t="s">
        <v>914</v>
      </c>
      <c r="E879" s="18" t="s">
        <v>901</v>
      </c>
      <c r="F879" s="17">
        <v>4</v>
      </c>
      <c r="G879" s="18" t="s">
        <v>23</v>
      </c>
      <c r="H879" s="17">
        <v>145.56</v>
      </c>
      <c r="I879" s="8">
        <v>196.5</v>
      </c>
      <c r="J879" s="21">
        <f t="shared" si="39"/>
        <v>0.34995877988458368</v>
      </c>
      <c r="K879" s="1">
        <v>2</v>
      </c>
      <c r="L879" s="24">
        <v>9.8000000000000007</v>
      </c>
      <c r="M879" s="24">
        <v>186.67499999999998</v>
      </c>
      <c r="N879" s="21">
        <f t="shared" si="40"/>
        <v>0.28246084089035434</v>
      </c>
      <c r="P879" s="1">
        <v>8</v>
      </c>
      <c r="Q879" s="24">
        <v>23.580000000000013</v>
      </c>
      <c r="R879" s="24">
        <v>172.92</v>
      </c>
      <c r="S879" s="21">
        <f t="shared" si="41"/>
        <v>0.18796372629843353</v>
      </c>
    </row>
    <row r="880" spans="2:19" ht="11.4" customHeight="1" x14ac:dyDescent="0.2">
      <c r="B880" s="24"/>
      <c r="C880" s="7">
        <v>34597</v>
      </c>
      <c r="D880" s="18" t="s">
        <v>915</v>
      </c>
      <c r="E880" s="18" t="s">
        <v>901</v>
      </c>
      <c r="F880" s="17">
        <v>2</v>
      </c>
      <c r="G880" s="18" t="s">
        <v>23</v>
      </c>
      <c r="H880" s="17">
        <v>95.2</v>
      </c>
      <c r="I880" s="8">
        <v>118</v>
      </c>
      <c r="J880" s="21">
        <f t="shared" si="39"/>
        <v>0.23949579831932769</v>
      </c>
      <c r="K880" s="1">
        <v>2</v>
      </c>
      <c r="L880" s="24">
        <v>5.9</v>
      </c>
      <c r="M880" s="24">
        <v>112.1</v>
      </c>
      <c r="N880" s="21">
        <f t="shared" si="40"/>
        <v>0.17752100840336124</v>
      </c>
      <c r="P880" s="1">
        <v>8</v>
      </c>
      <c r="Q880" s="24">
        <v>14.159999999999997</v>
      </c>
      <c r="R880" s="24">
        <v>103.84</v>
      </c>
      <c r="S880" s="21">
        <f t="shared" si="41"/>
        <v>9.07563025210084E-2</v>
      </c>
    </row>
    <row r="881" spans="2:19" ht="11.4" customHeight="1" x14ac:dyDescent="0.2">
      <c r="B881" s="24"/>
      <c r="C881" s="7">
        <v>42877</v>
      </c>
      <c r="D881" s="18" t="s">
        <v>916</v>
      </c>
      <c r="E881" s="18" t="s">
        <v>901</v>
      </c>
      <c r="F881" s="17">
        <v>3</v>
      </c>
      <c r="G881" s="18" t="s">
        <v>23</v>
      </c>
      <c r="H881" s="17">
        <v>94.5</v>
      </c>
      <c r="I881" s="8">
        <v>127.9</v>
      </c>
      <c r="J881" s="21">
        <f t="shared" si="39"/>
        <v>0.3534391534391535</v>
      </c>
      <c r="K881" s="1">
        <v>2</v>
      </c>
      <c r="L881" s="24">
        <v>6.3</v>
      </c>
      <c r="M881" s="24">
        <v>121.505</v>
      </c>
      <c r="N881" s="21">
        <f t="shared" si="40"/>
        <v>0.28576719576719573</v>
      </c>
      <c r="P881" s="1">
        <v>8</v>
      </c>
      <c r="Q881" s="24">
        <v>15.347999999999999</v>
      </c>
      <c r="R881" s="24">
        <v>112.55200000000001</v>
      </c>
      <c r="S881" s="21">
        <f t="shared" si="41"/>
        <v>0.1910264550264551</v>
      </c>
    </row>
    <row r="882" spans="2:19" ht="11.4" customHeight="1" x14ac:dyDescent="0.2">
      <c r="B882" s="24"/>
      <c r="C882" s="7">
        <v>25144</v>
      </c>
      <c r="D882" s="18" t="s">
        <v>917</v>
      </c>
      <c r="E882" s="18" t="s">
        <v>901</v>
      </c>
      <c r="F882" s="17">
        <v>10</v>
      </c>
      <c r="G882" s="18" t="s">
        <v>23</v>
      </c>
      <c r="H882" s="17">
        <v>19.239999999999998</v>
      </c>
      <c r="I882" s="8">
        <v>25.9</v>
      </c>
      <c r="J882" s="21">
        <f t="shared" si="39"/>
        <v>0.3461538461538462</v>
      </c>
      <c r="K882" s="1">
        <v>2</v>
      </c>
      <c r="L882" s="24">
        <v>1.2</v>
      </c>
      <c r="M882" s="24">
        <v>24.604999999999997</v>
      </c>
      <c r="N882" s="21">
        <f t="shared" si="40"/>
        <v>0.2788461538461538</v>
      </c>
      <c r="P882" s="1">
        <v>8</v>
      </c>
      <c r="Q882" s="24">
        <v>3.1080000000000005</v>
      </c>
      <c r="R882" s="24">
        <v>22.791999999999998</v>
      </c>
      <c r="S882" s="21">
        <f t="shared" si="41"/>
        <v>0.1846153846153846</v>
      </c>
    </row>
    <row r="883" spans="2:19" ht="11.4" customHeight="1" x14ac:dyDescent="0.2">
      <c r="B883" s="24"/>
      <c r="C883" s="7">
        <v>25145</v>
      </c>
      <c r="D883" s="18" t="s">
        <v>918</v>
      </c>
      <c r="E883" s="18" t="s">
        <v>901</v>
      </c>
      <c r="F883" s="17">
        <v>6</v>
      </c>
      <c r="G883" s="18" t="s">
        <v>23</v>
      </c>
      <c r="H883" s="17">
        <v>36.9</v>
      </c>
      <c r="I883" s="8">
        <v>49.9</v>
      </c>
      <c r="J883" s="21">
        <f t="shared" si="39"/>
        <v>0.35230352303523038</v>
      </c>
      <c r="K883" s="1">
        <v>2</v>
      </c>
      <c r="L883" s="24">
        <v>2.4</v>
      </c>
      <c r="M883" s="24">
        <v>47.404999999999994</v>
      </c>
      <c r="N883" s="21">
        <f t="shared" si="40"/>
        <v>0.28468834688346872</v>
      </c>
      <c r="P883" s="1">
        <v>8</v>
      </c>
      <c r="Q883" s="24">
        <v>5.9879999999999995</v>
      </c>
      <c r="R883" s="24">
        <v>43.911999999999999</v>
      </c>
      <c r="S883" s="21">
        <f t="shared" si="41"/>
        <v>0.19002710027100272</v>
      </c>
    </row>
    <row r="884" spans="2:19" ht="11.4" customHeight="1" x14ac:dyDescent="0.2">
      <c r="B884" s="24"/>
      <c r="C884" s="7">
        <v>2002</v>
      </c>
      <c r="D884" s="18" t="s">
        <v>919</v>
      </c>
      <c r="E884" s="18" t="s">
        <v>901</v>
      </c>
      <c r="F884" s="17">
        <v>10</v>
      </c>
      <c r="G884" s="18" t="s">
        <v>23</v>
      </c>
      <c r="H884" s="17">
        <v>19.5</v>
      </c>
      <c r="I884" s="8">
        <v>24.9</v>
      </c>
      <c r="J884" s="21">
        <f t="shared" si="39"/>
        <v>0.27692307692307683</v>
      </c>
      <c r="K884" s="1">
        <v>2</v>
      </c>
      <c r="L884" s="24">
        <v>1.2</v>
      </c>
      <c r="M884" s="24">
        <v>23.654999999999998</v>
      </c>
      <c r="N884" s="21">
        <f t="shared" si="40"/>
        <v>0.21307692307692294</v>
      </c>
      <c r="P884" s="1">
        <v>8</v>
      </c>
      <c r="Q884" s="24">
        <v>2.9879999999999995</v>
      </c>
      <c r="R884" s="24">
        <v>21.911999999999999</v>
      </c>
      <c r="S884" s="21">
        <f t="shared" si="41"/>
        <v>0.12369230769230764</v>
      </c>
    </row>
    <row r="885" spans="2:19" ht="11.4" customHeight="1" x14ac:dyDescent="0.2">
      <c r="B885" s="24"/>
      <c r="C885" s="7">
        <v>2003</v>
      </c>
      <c r="D885" s="18" t="s">
        <v>920</v>
      </c>
      <c r="E885" s="18" t="s">
        <v>901</v>
      </c>
      <c r="F885" s="17">
        <v>6</v>
      </c>
      <c r="G885" s="18" t="s">
        <v>23</v>
      </c>
      <c r="H885" s="17">
        <v>38.4</v>
      </c>
      <c r="I885" s="8">
        <v>48</v>
      </c>
      <c r="J885" s="21">
        <f t="shared" si="39"/>
        <v>0.25000000000000006</v>
      </c>
      <c r="K885" s="1">
        <v>2</v>
      </c>
      <c r="L885" s="24">
        <v>2.4</v>
      </c>
      <c r="M885" s="24">
        <v>45.599999999999994</v>
      </c>
      <c r="N885" s="21">
        <f t="shared" si="40"/>
        <v>0.18749999999999989</v>
      </c>
      <c r="P885" s="1">
        <v>8</v>
      </c>
      <c r="Q885" s="24">
        <v>5.759999999999998</v>
      </c>
      <c r="R885" s="24">
        <v>42.24</v>
      </c>
      <c r="S885" s="21">
        <f t="shared" si="41"/>
        <v>0.10000000000000009</v>
      </c>
    </row>
    <row r="886" spans="2:19" ht="11.4" customHeight="1" x14ac:dyDescent="0.2">
      <c r="B886" s="24"/>
      <c r="C886" s="7">
        <v>28158</v>
      </c>
      <c r="D886" s="18" t="s">
        <v>921</v>
      </c>
      <c r="E886" s="18" t="s">
        <v>901</v>
      </c>
      <c r="F886" s="17">
        <v>10</v>
      </c>
      <c r="G886" s="18" t="s">
        <v>23</v>
      </c>
      <c r="H886" s="17">
        <v>23.96</v>
      </c>
      <c r="I886" s="8">
        <v>28.8</v>
      </c>
      <c r="J886" s="21">
        <f t="shared" si="39"/>
        <v>0.2020033388981636</v>
      </c>
      <c r="K886" s="1">
        <v>2</v>
      </c>
      <c r="L886" s="24">
        <v>1.4</v>
      </c>
      <c r="M886" s="24">
        <v>27.36</v>
      </c>
      <c r="N886" s="21">
        <f t="shared" si="40"/>
        <v>0.14190317195325536</v>
      </c>
      <c r="P886" s="1">
        <v>8</v>
      </c>
      <c r="Q886" s="24">
        <v>3.4559999999999995</v>
      </c>
      <c r="R886" s="24">
        <v>25.344000000000001</v>
      </c>
      <c r="S886" s="21">
        <f t="shared" si="41"/>
        <v>5.7762938230383983E-2</v>
      </c>
    </row>
    <row r="887" spans="2:19" ht="11.4" customHeight="1" x14ac:dyDescent="0.2">
      <c r="B887" s="24"/>
      <c r="C887" s="7">
        <v>10846</v>
      </c>
      <c r="D887" s="18" t="s">
        <v>922</v>
      </c>
      <c r="E887" s="18" t="s">
        <v>901</v>
      </c>
      <c r="F887" s="17">
        <v>6</v>
      </c>
      <c r="G887" s="18" t="s">
        <v>23</v>
      </c>
      <c r="H887" s="17">
        <v>44.64</v>
      </c>
      <c r="I887" s="8">
        <v>53.6</v>
      </c>
      <c r="J887" s="21">
        <f t="shared" si="39"/>
        <v>0.20071684587813621</v>
      </c>
      <c r="K887" s="1">
        <v>2</v>
      </c>
      <c r="L887" s="24">
        <v>2.6</v>
      </c>
      <c r="M887" s="24">
        <v>50.92</v>
      </c>
      <c r="N887" s="21">
        <f t="shared" si="40"/>
        <v>0.14068100358422941</v>
      </c>
      <c r="P887" s="1">
        <v>8</v>
      </c>
      <c r="Q887" s="24">
        <v>6.4320000000000022</v>
      </c>
      <c r="R887" s="24">
        <v>47.167999999999999</v>
      </c>
      <c r="S887" s="21">
        <f t="shared" si="41"/>
        <v>5.6630824372759826E-2</v>
      </c>
    </row>
    <row r="888" spans="2:19" ht="11.4" customHeight="1" x14ac:dyDescent="0.2">
      <c r="B888" s="24"/>
      <c r="C888" s="7">
        <v>4899</v>
      </c>
      <c r="D888" s="18" t="s">
        <v>923</v>
      </c>
      <c r="E888" s="18" t="s">
        <v>901</v>
      </c>
      <c r="F888" s="17">
        <v>10</v>
      </c>
      <c r="G888" s="18" t="s">
        <v>23</v>
      </c>
      <c r="H888" s="17">
        <v>26.1</v>
      </c>
      <c r="I888" s="8">
        <v>37.9</v>
      </c>
      <c r="J888" s="21">
        <f t="shared" si="39"/>
        <v>0.45210727969348646</v>
      </c>
      <c r="K888" s="1">
        <v>2</v>
      </c>
      <c r="L888" s="24">
        <v>1.8</v>
      </c>
      <c r="M888" s="24">
        <v>36.004999999999995</v>
      </c>
      <c r="N888" s="21">
        <f t="shared" si="40"/>
        <v>0.37950191570881203</v>
      </c>
      <c r="P888" s="1">
        <v>8</v>
      </c>
      <c r="Q888" s="24">
        <v>4.5480000000000018</v>
      </c>
      <c r="R888" s="24">
        <v>33.351999999999997</v>
      </c>
      <c r="S888" s="21">
        <f t="shared" si="41"/>
        <v>0.27785440613026802</v>
      </c>
    </row>
    <row r="889" spans="2:19" ht="11.4" customHeight="1" x14ac:dyDescent="0.2">
      <c r="B889" s="24"/>
      <c r="C889" s="7">
        <v>17613</v>
      </c>
      <c r="D889" s="18" t="s">
        <v>924</v>
      </c>
      <c r="E889" s="18" t="s">
        <v>901</v>
      </c>
      <c r="F889" s="17">
        <v>6</v>
      </c>
      <c r="G889" s="18" t="s">
        <v>23</v>
      </c>
      <c r="H889" s="17">
        <v>54.54</v>
      </c>
      <c r="I889" s="8">
        <v>73.900000000000006</v>
      </c>
      <c r="J889" s="21">
        <f t="shared" si="39"/>
        <v>0.35496883021635511</v>
      </c>
      <c r="K889" s="1">
        <v>2</v>
      </c>
      <c r="L889" s="24">
        <v>3.6</v>
      </c>
      <c r="M889" s="24">
        <v>70.204999999999998</v>
      </c>
      <c r="N889" s="21">
        <f t="shared" si="40"/>
        <v>0.28722038870553723</v>
      </c>
      <c r="P889" s="1">
        <v>8</v>
      </c>
      <c r="Q889" s="24">
        <v>8.867999999999995</v>
      </c>
      <c r="R889" s="24">
        <v>65.032000000000011</v>
      </c>
      <c r="S889" s="21">
        <f t="shared" si="41"/>
        <v>0.19237257059039259</v>
      </c>
    </row>
    <row r="890" spans="2:19" ht="11.4" customHeight="1" x14ac:dyDescent="0.2">
      <c r="B890" s="24"/>
      <c r="C890" s="7">
        <v>19087</v>
      </c>
      <c r="D890" s="18" t="s">
        <v>925</v>
      </c>
      <c r="E890" s="18" t="s">
        <v>901</v>
      </c>
      <c r="F890" s="17">
        <v>2</v>
      </c>
      <c r="G890" s="18" t="s">
        <v>23</v>
      </c>
      <c r="H890" s="17">
        <v>128.46</v>
      </c>
      <c r="I890" s="8">
        <v>186.5</v>
      </c>
      <c r="J890" s="21">
        <f t="shared" si="39"/>
        <v>0.45181379417717571</v>
      </c>
      <c r="K890" s="1">
        <v>2</v>
      </c>
      <c r="L890" s="24">
        <v>9.3000000000000007</v>
      </c>
      <c r="M890" s="24">
        <v>177.17499999999998</v>
      </c>
      <c r="N890" s="21">
        <f t="shared" si="40"/>
        <v>0.37922310446831675</v>
      </c>
      <c r="P890" s="1">
        <v>8</v>
      </c>
      <c r="Q890" s="24">
        <v>22.379999999999995</v>
      </c>
      <c r="R890" s="24">
        <v>164.12</v>
      </c>
      <c r="S890" s="21">
        <f t="shared" si="41"/>
        <v>0.27759613887591461</v>
      </c>
    </row>
    <row r="891" spans="2:19" ht="11.4" customHeight="1" x14ac:dyDescent="0.2">
      <c r="B891" s="24"/>
      <c r="C891" s="7">
        <v>45231</v>
      </c>
      <c r="D891" s="18" t="s">
        <v>926</v>
      </c>
      <c r="E891" s="18" t="s">
        <v>901</v>
      </c>
      <c r="F891" s="17">
        <v>10</v>
      </c>
      <c r="G891" s="18" t="s">
        <v>23</v>
      </c>
      <c r="H891" s="17">
        <v>123.12</v>
      </c>
      <c r="I891" s="8">
        <v>169.9</v>
      </c>
      <c r="J891" s="21">
        <f t="shared" si="39"/>
        <v>0.37995451591942819</v>
      </c>
      <c r="K891" s="1">
        <v>2</v>
      </c>
      <c r="L891" s="24">
        <v>8.4</v>
      </c>
      <c r="M891" s="24">
        <v>161.405</v>
      </c>
      <c r="N891" s="21">
        <f t="shared" si="40"/>
        <v>0.31095679012345673</v>
      </c>
      <c r="P891" s="1">
        <v>8</v>
      </c>
      <c r="Q891" s="24">
        <v>20.388000000000005</v>
      </c>
      <c r="R891" s="24">
        <v>149.512</v>
      </c>
      <c r="S891" s="21">
        <f t="shared" si="41"/>
        <v>0.21435997400909679</v>
      </c>
    </row>
    <row r="892" spans="2:19" ht="11.4" customHeight="1" x14ac:dyDescent="0.2">
      <c r="B892" s="24"/>
      <c r="C892" s="7">
        <v>37913</v>
      </c>
      <c r="D892" s="18" t="s">
        <v>927</v>
      </c>
      <c r="E892" s="18" t="s">
        <v>901</v>
      </c>
      <c r="F892" s="17">
        <v>8</v>
      </c>
      <c r="G892" s="18" t="s">
        <v>23</v>
      </c>
      <c r="H892" s="17">
        <v>70.900000000000006</v>
      </c>
      <c r="I892" s="8">
        <v>70.900000000000006</v>
      </c>
      <c r="J892" s="21">
        <f t="shared" si="39"/>
        <v>0</v>
      </c>
      <c r="K892" s="1">
        <v>2</v>
      </c>
      <c r="L892" s="24">
        <v>3.5</v>
      </c>
      <c r="M892" s="24">
        <v>67.355000000000004</v>
      </c>
      <c r="N892" s="21">
        <f t="shared" si="40"/>
        <v>-5.0000000000000017E-2</v>
      </c>
      <c r="P892" s="1">
        <v>8</v>
      </c>
      <c r="Q892" s="24">
        <v>8.5080000000000027</v>
      </c>
      <c r="R892" s="24">
        <v>62.392000000000003</v>
      </c>
      <c r="S892" s="21">
        <f t="shared" si="41"/>
        <v>-0.12000000000000002</v>
      </c>
    </row>
    <row r="893" spans="2:19" ht="11.4" customHeight="1" x14ac:dyDescent="0.2">
      <c r="B893" s="24"/>
      <c r="C893" s="7">
        <v>23799</v>
      </c>
      <c r="D893" s="18" t="s">
        <v>928</v>
      </c>
      <c r="E893" s="18" t="s">
        <v>901</v>
      </c>
      <c r="F893" s="17">
        <v>10</v>
      </c>
      <c r="G893" s="18" t="s">
        <v>23</v>
      </c>
      <c r="H893" s="17">
        <v>79.900000000000006</v>
      </c>
      <c r="I893" s="8">
        <v>89.1</v>
      </c>
      <c r="J893" s="21">
        <f t="shared" si="39"/>
        <v>0.11514392991239034</v>
      </c>
      <c r="K893" s="1">
        <v>2</v>
      </c>
      <c r="L893" s="24">
        <v>4.4000000000000004</v>
      </c>
      <c r="M893" s="24">
        <v>84.644999999999996</v>
      </c>
      <c r="N893" s="21">
        <f t="shared" si="40"/>
        <v>5.9386733416770837E-2</v>
      </c>
      <c r="P893" s="1">
        <v>8</v>
      </c>
      <c r="Q893" s="24">
        <v>10.691999999999993</v>
      </c>
      <c r="R893" s="24">
        <v>78.408000000000001</v>
      </c>
      <c r="S893" s="21">
        <f t="shared" si="41"/>
        <v>-1.8673341677096424E-2</v>
      </c>
    </row>
    <row r="894" spans="2:19" ht="11.4" customHeight="1" x14ac:dyDescent="0.2">
      <c r="B894" s="24"/>
      <c r="C894" s="7">
        <v>39009</v>
      </c>
      <c r="D894" s="18" t="s">
        <v>929</v>
      </c>
      <c r="E894" s="18" t="s">
        <v>901</v>
      </c>
      <c r="F894" s="17">
        <v>50</v>
      </c>
      <c r="G894" s="18" t="s">
        <v>23</v>
      </c>
      <c r="H894" s="17">
        <v>28.9</v>
      </c>
      <c r="I894" s="8">
        <v>40</v>
      </c>
      <c r="J894" s="21">
        <f t="shared" si="39"/>
        <v>0.38408304498269902</v>
      </c>
      <c r="K894" s="1">
        <v>2</v>
      </c>
      <c r="L894" s="24">
        <v>2</v>
      </c>
      <c r="M894" s="24">
        <v>38</v>
      </c>
      <c r="N894" s="21">
        <f t="shared" si="40"/>
        <v>0.31487889273356406</v>
      </c>
      <c r="P894" s="1">
        <v>8</v>
      </c>
      <c r="Q894" s="24">
        <v>4.7999999999999972</v>
      </c>
      <c r="R894" s="24">
        <v>35.200000000000003</v>
      </c>
      <c r="S894" s="21">
        <f t="shared" si="41"/>
        <v>0.21799307958477523</v>
      </c>
    </row>
    <row r="895" spans="2:19" ht="11.4" customHeight="1" x14ac:dyDescent="0.2">
      <c r="B895" s="24"/>
      <c r="C895" s="7">
        <v>25680</v>
      </c>
      <c r="D895" s="18" t="s">
        <v>930</v>
      </c>
      <c r="E895" s="18" t="s">
        <v>901</v>
      </c>
      <c r="F895" s="17">
        <v>10</v>
      </c>
      <c r="G895" s="18" t="s">
        <v>23</v>
      </c>
      <c r="H895" s="17">
        <v>26.88</v>
      </c>
      <c r="I895" s="8">
        <v>36.5</v>
      </c>
      <c r="J895" s="21">
        <f t="shared" si="39"/>
        <v>0.35788690476190482</v>
      </c>
      <c r="K895" s="1">
        <v>2</v>
      </c>
      <c r="L895" s="24">
        <v>1.8</v>
      </c>
      <c r="M895" s="24">
        <v>34.674999999999997</v>
      </c>
      <c r="N895" s="21">
        <f t="shared" si="40"/>
        <v>0.28999255952380948</v>
      </c>
      <c r="P895" s="1">
        <v>8</v>
      </c>
      <c r="Q895" s="24">
        <v>4.3800000000000026</v>
      </c>
      <c r="R895" s="24">
        <v>32.119999999999997</v>
      </c>
      <c r="S895" s="21">
        <f t="shared" si="41"/>
        <v>0.19494047619047614</v>
      </c>
    </row>
    <row r="896" spans="2:19" ht="11.4" customHeight="1" x14ac:dyDescent="0.2">
      <c r="B896" s="24"/>
      <c r="C896" s="7">
        <v>2918</v>
      </c>
      <c r="D896" s="18" t="s">
        <v>931</v>
      </c>
      <c r="E896" s="18" t="s">
        <v>932</v>
      </c>
      <c r="F896" s="17">
        <v>20</v>
      </c>
      <c r="G896" s="18" t="s">
        <v>23</v>
      </c>
      <c r="H896" s="17">
        <v>28.1</v>
      </c>
      <c r="I896" s="8">
        <v>29.3</v>
      </c>
      <c r="J896" s="21">
        <f t="shared" si="39"/>
        <v>4.2704626334519546E-2</v>
      </c>
      <c r="K896" s="1">
        <v>2</v>
      </c>
      <c r="L896" s="24">
        <v>1.4</v>
      </c>
      <c r="M896" s="24">
        <v>27.835000000000001</v>
      </c>
      <c r="N896" s="21">
        <f t="shared" si="40"/>
        <v>-9.430604982206426E-3</v>
      </c>
      <c r="P896" s="1">
        <v>8</v>
      </c>
      <c r="Q896" s="24">
        <v>3.5159999999999982</v>
      </c>
      <c r="R896" s="24">
        <v>25.784000000000002</v>
      </c>
      <c r="S896" s="21">
        <f t="shared" si="41"/>
        <v>-8.241992882562274E-2</v>
      </c>
    </row>
    <row r="897" spans="2:19" ht="11.4" customHeight="1" x14ac:dyDescent="0.2">
      <c r="B897" s="24"/>
      <c r="C897" s="7">
        <v>29149</v>
      </c>
      <c r="D897" s="18" t="s">
        <v>933</v>
      </c>
      <c r="E897" s="18" t="s">
        <v>932</v>
      </c>
      <c r="F897" s="17">
        <v>20</v>
      </c>
      <c r="G897" s="18" t="s">
        <v>23</v>
      </c>
      <c r="H897" s="17">
        <v>46.8</v>
      </c>
      <c r="I897" s="8">
        <v>63.5</v>
      </c>
      <c r="J897" s="21">
        <f t="shared" si="39"/>
        <v>0.3568376068376069</v>
      </c>
      <c r="K897" s="1">
        <v>2</v>
      </c>
      <c r="L897" s="24">
        <v>3.1</v>
      </c>
      <c r="M897" s="24">
        <v>60.324999999999996</v>
      </c>
      <c r="N897" s="21">
        <f t="shared" si="40"/>
        <v>0.28899572649572647</v>
      </c>
      <c r="P897" s="1">
        <v>8</v>
      </c>
      <c r="Q897" s="24">
        <v>7.6199999999999974</v>
      </c>
      <c r="R897" s="24">
        <v>55.88</v>
      </c>
      <c r="S897" s="21">
        <f t="shared" si="41"/>
        <v>0.19401709401709413</v>
      </c>
    </row>
    <row r="898" spans="2:19" ht="11.4" customHeight="1" x14ac:dyDescent="0.2">
      <c r="B898" s="24"/>
      <c r="C898" s="7">
        <v>43827</v>
      </c>
      <c r="D898" s="18" t="s">
        <v>934</v>
      </c>
      <c r="E898" s="18" t="s">
        <v>935</v>
      </c>
      <c r="F898" s="17">
        <v>60</v>
      </c>
      <c r="G898" s="18" t="s">
        <v>23</v>
      </c>
      <c r="H898" s="17">
        <v>26.7</v>
      </c>
      <c r="I898" s="8">
        <v>36</v>
      </c>
      <c r="J898" s="21">
        <f t="shared" si="39"/>
        <v>0.34831460674157305</v>
      </c>
      <c r="K898" s="1">
        <v>2</v>
      </c>
      <c r="L898" s="24">
        <v>1.8</v>
      </c>
      <c r="M898" s="24">
        <v>34.199999999999996</v>
      </c>
      <c r="N898" s="21">
        <f t="shared" si="40"/>
        <v>0.28089887640449424</v>
      </c>
      <c r="P898" s="1">
        <v>8</v>
      </c>
      <c r="Q898" s="24">
        <v>4.32</v>
      </c>
      <c r="R898" s="24">
        <v>31.68</v>
      </c>
      <c r="S898" s="21">
        <f t="shared" si="41"/>
        <v>0.1865168539325843</v>
      </c>
    </row>
    <row r="899" spans="2:19" ht="11.4" customHeight="1" x14ac:dyDescent="0.2">
      <c r="B899" s="24"/>
      <c r="C899" s="7">
        <v>28743</v>
      </c>
      <c r="D899" s="18" t="s">
        <v>936</v>
      </c>
      <c r="E899" s="18" t="s">
        <v>937</v>
      </c>
      <c r="F899" s="17">
        <v>16</v>
      </c>
      <c r="G899" s="18" t="s">
        <v>23</v>
      </c>
      <c r="H899" s="17">
        <v>37.9</v>
      </c>
      <c r="I899" s="8">
        <v>40.200000000000003</v>
      </c>
      <c r="J899" s="21">
        <f t="shared" ref="J899:J962" si="42">(I899-H899)/H899</f>
        <v>6.0686015831134678E-2</v>
      </c>
      <c r="K899" s="1">
        <v>2</v>
      </c>
      <c r="L899" s="24">
        <v>2</v>
      </c>
      <c r="M899" s="24">
        <v>38.19</v>
      </c>
      <c r="N899" s="21">
        <f t="shared" ref="N899:N962" si="43">(M899-H899)/H899</f>
        <v>7.651715039577814E-3</v>
      </c>
      <c r="P899" s="1">
        <v>8</v>
      </c>
      <c r="Q899" s="24">
        <v>4.8239999999999981</v>
      </c>
      <c r="R899" s="24">
        <v>35.376000000000005</v>
      </c>
      <c r="S899" s="21">
        <f t="shared" ref="S899:S962" si="44">(R899-H899)/H899</f>
        <v>-6.6596306068601424E-2</v>
      </c>
    </row>
    <row r="900" spans="2:19" ht="11.4" customHeight="1" x14ac:dyDescent="0.2">
      <c r="B900" s="24"/>
      <c r="C900" s="7">
        <v>18076</v>
      </c>
      <c r="D900" s="18" t="s">
        <v>938</v>
      </c>
      <c r="E900" s="18" t="s">
        <v>937</v>
      </c>
      <c r="F900" s="17">
        <v>16</v>
      </c>
      <c r="G900" s="18" t="s">
        <v>23</v>
      </c>
      <c r="H900" s="17">
        <v>38.5</v>
      </c>
      <c r="I900" s="8">
        <v>43.5</v>
      </c>
      <c r="J900" s="21">
        <f t="shared" si="42"/>
        <v>0.12987012987012986</v>
      </c>
      <c r="K900" s="1">
        <v>2</v>
      </c>
      <c r="L900" s="24">
        <v>2.1</v>
      </c>
      <c r="M900" s="24">
        <v>41.324999999999996</v>
      </c>
      <c r="N900" s="21">
        <f t="shared" si="43"/>
        <v>7.3376623376623262E-2</v>
      </c>
      <c r="P900" s="1">
        <v>8</v>
      </c>
      <c r="Q900" s="24">
        <v>5.2199999999999989</v>
      </c>
      <c r="R900" s="24">
        <v>38.28</v>
      </c>
      <c r="S900" s="21">
        <f t="shared" si="44"/>
        <v>-5.7142857142856848E-3</v>
      </c>
    </row>
    <row r="901" spans="2:19" ht="11.4" customHeight="1" x14ac:dyDescent="0.2">
      <c r="B901" s="24"/>
      <c r="C901" s="7">
        <v>18077</v>
      </c>
      <c r="D901" s="18" t="s">
        <v>939</v>
      </c>
      <c r="E901" s="18" t="s">
        <v>937</v>
      </c>
      <c r="F901" s="17">
        <v>16</v>
      </c>
      <c r="G901" s="18" t="s">
        <v>23</v>
      </c>
      <c r="H901" s="17">
        <v>38.5</v>
      </c>
      <c r="I901" s="8">
        <v>43.5</v>
      </c>
      <c r="J901" s="21">
        <f t="shared" si="42"/>
        <v>0.12987012987012986</v>
      </c>
      <c r="K901" s="1">
        <v>2</v>
      </c>
      <c r="L901" s="24">
        <v>2.1</v>
      </c>
      <c r="M901" s="24">
        <v>41.324999999999996</v>
      </c>
      <c r="N901" s="21">
        <f t="shared" si="43"/>
        <v>7.3376623376623262E-2</v>
      </c>
      <c r="P901" s="1">
        <v>8</v>
      </c>
      <c r="Q901" s="24">
        <v>5.2199999999999989</v>
      </c>
      <c r="R901" s="24">
        <v>38.28</v>
      </c>
      <c r="S901" s="21">
        <f t="shared" si="44"/>
        <v>-5.7142857142856848E-3</v>
      </c>
    </row>
    <row r="902" spans="2:19" ht="11.4" customHeight="1" x14ac:dyDescent="0.2">
      <c r="B902" s="24"/>
      <c r="C902" s="7">
        <v>44414</v>
      </c>
      <c r="D902" s="18" t="s">
        <v>940</v>
      </c>
      <c r="E902" s="18" t="s">
        <v>937</v>
      </c>
      <c r="F902" s="17">
        <v>20</v>
      </c>
      <c r="G902" s="18" t="s">
        <v>23</v>
      </c>
      <c r="H902" s="17">
        <v>16</v>
      </c>
      <c r="I902" s="8">
        <v>24.9</v>
      </c>
      <c r="J902" s="21">
        <f t="shared" si="42"/>
        <v>0.55624999999999991</v>
      </c>
      <c r="K902" s="1">
        <v>2</v>
      </c>
      <c r="L902" s="24">
        <v>1.2</v>
      </c>
      <c r="M902" s="24">
        <v>23.654999999999998</v>
      </c>
      <c r="N902" s="21">
        <f t="shared" si="43"/>
        <v>0.47843749999999985</v>
      </c>
      <c r="P902" s="1">
        <v>8</v>
      </c>
      <c r="Q902" s="24">
        <v>2.9879999999999995</v>
      </c>
      <c r="R902" s="24">
        <v>21.911999999999999</v>
      </c>
      <c r="S902" s="21">
        <f t="shared" si="44"/>
        <v>0.36949999999999994</v>
      </c>
    </row>
    <row r="903" spans="2:19" ht="11.4" customHeight="1" x14ac:dyDescent="0.2">
      <c r="B903" s="24"/>
      <c r="C903" s="7">
        <v>37893</v>
      </c>
      <c r="D903" s="18" t="s">
        <v>941</v>
      </c>
      <c r="E903" s="18" t="s">
        <v>937</v>
      </c>
      <c r="F903" s="17">
        <v>150</v>
      </c>
      <c r="G903" s="18" t="s">
        <v>23</v>
      </c>
      <c r="H903" s="17">
        <v>2.5</v>
      </c>
      <c r="I903" s="8">
        <v>1.9</v>
      </c>
      <c r="J903" s="21">
        <f t="shared" si="42"/>
        <v>-0.24000000000000005</v>
      </c>
      <c r="K903" s="1">
        <v>2</v>
      </c>
      <c r="L903" s="24">
        <v>0</v>
      </c>
      <c r="M903" s="24">
        <v>1.8049999999999999</v>
      </c>
      <c r="N903" s="21">
        <f t="shared" si="43"/>
        <v>-0.27800000000000002</v>
      </c>
      <c r="P903" s="1">
        <v>8</v>
      </c>
      <c r="Q903" s="24">
        <v>0.22799999999999998</v>
      </c>
      <c r="R903" s="24">
        <v>1.6719999999999999</v>
      </c>
      <c r="S903" s="21">
        <f t="shared" si="44"/>
        <v>-0.33120000000000005</v>
      </c>
    </row>
    <row r="904" spans="2:19" ht="11.4" customHeight="1" x14ac:dyDescent="0.2">
      <c r="B904" s="24"/>
      <c r="C904" s="7">
        <v>44409</v>
      </c>
      <c r="D904" s="18" t="s">
        <v>942</v>
      </c>
      <c r="E904" s="18" t="s">
        <v>937</v>
      </c>
      <c r="F904" s="17">
        <v>20</v>
      </c>
      <c r="G904" s="18" t="s">
        <v>23</v>
      </c>
      <c r="H904" s="17">
        <v>15</v>
      </c>
      <c r="I904" s="8">
        <v>24.9</v>
      </c>
      <c r="J904" s="21">
        <f t="shared" si="42"/>
        <v>0.65999999999999992</v>
      </c>
      <c r="K904" s="1">
        <v>2</v>
      </c>
      <c r="L904" s="24">
        <v>1.2</v>
      </c>
      <c r="M904" s="24">
        <v>23.654999999999998</v>
      </c>
      <c r="N904" s="21">
        <f t="shared" si="43"/>
        <v>0.57699999999999985</v>
      </c>
      <c r="P904" s="1">
        <v>8</v>
      </c>
      <c r="Q904" s="24">
        <v>2.9879999999999995</v>
      </c>
      <c r="R904" s="24">
        <v>21.911999999999999</v>
      </c>
      <c r="S904" s="21">
        <f t="shared" si="44"/>
        <v>0.46079999999999993</v>
      </c>
    </row>
    <row r="905" spans="2:19" ht="11.4" customHeight="1" x14ac:dyDescent="0.2">
      <c r="B905" s="24"/>
      <c r="C905" s="7">
        <v>44411</v>
      </c>
      <c r="D905" s="18" t="s">
        <v>943</v>
      </c>
      <c r="E905" s="18" t="s">
        <v>944</v>
      </c>
      <c r="F905" s="17">
        <v>20</v>
      </c>
      <c r="G905" s="18" t="s">
        <v>23</v>
      </c>
      <c r="H905" s="17">
        <v>16</v>
      </c>
      <c r="I905" s="8">
        <v>24.9</v>
      </c>
      <c r="J905" s="21">
        <f t="shared" si="42"/>
        <v>0.55624999999999991</v>
      </c>
      <c r="K905" s="1">
        <v>2</v>
      </c>
      <c r="L905" s="24">
        <v>1.2</v>
      </c>
      <c r="M905" s="24">
        <v>23.654999999999998</v>
      </c>
      <c r="N905" s="21">
        <f t="shared" si="43"/>
        <v>0.47843749999999985</v>
      </c>
      <c r="P905" s="1">
        <v>8</v>
      </c>
      <c r="Q905" s="24">
        <v>2.9879999999999995</v>
      </c>
      <c r="R905" s="24">
        <v>21.911999999999999</v>
      </c>
      <c r="S905" s="21">
        <f t="shared" si="44"/>
        <v>0.36949999999999994</v>
      </c>
    </row>
    <row r="906" spans="2:19" ht="11.4" customHeight="1" x14ac:dyDescent="0.2">
      <c r="B906" s="24"/>
      <c r="C906" s="7">
        <v>44412</v>
      </c>
      <c r="D906" s="18" t="s">
        <v>945</v>
      </c>
      <c r="E906" s="18" t="s">
        <v>937</v>
      </c>
      <c r="F906" s="17">
        <v>20</v>
      </c>
      <c r="G906" s="18" t="s">
        <v>23</v>
      </c>
      <c r="H906" s="17">
        <v>15</v>
      </c>
      <c r="I906" s="8">
        <v>24.9</v>
      </c>
      <c r="J906" s="21">
        <f t="shared" si="42"/>
        <v>0.65999999999999992</v>
      </c>
      <c r="K906" s="1">
        <v>2</v>
      </c>
      <c r="L906" s="24">
        <v>1.2</v>
      </c>
      <c r="M906" s="24">
        <v>23.654999999999998</v>
      </c>
      <c r="N906" s="21">
        <f t="shared" si="43"/>
        <v>0.57699999999999985</v>
      </c>
      <c r="P906" s="1">
        <v>8</v>
      </c>
      <c r="Q906" s="24">
        <v>2.9879999999999995</v>
      </c>
      <c r="R906" s="24">
        <v>21.911999999999999</v>
      </c>
      <c r="S906" s="21">
        <f t="shared" si="44"/>
        <v>0.46079999999999993</v>
      </c>
    </row>
    <row r="907" spans="2:19" ht="11.4" customHeight="1" x14ac:dyDescent="0.2">
      <c r="B907" s="24"/>
      <c r="C907" s="7">
        <v>44413</v>
      </c>
      <c r="D907" s="18" t="s">
        <v>946</v>
      </c>
      <c r="E907" s="18" t="s">
        <v>937</v>
      </c>
      <c r="F907" s="17">
        <v>20</v>
      </c>
      <c r="G907" s="18" t="s">
        <v>23</v>
      </c>
      <c r="H907" s="17">
        <v>15</v>
      </c>
      <c r="I907" s="8">
        <v>24.9</v>
      </c>
      <c r="J907" s="21">
        <f t="shared" si="42"/>
        <v>0.65999999999999992</v>
      </c>
      <c r="K907" s="1">
        <v>2</v>
      </c>
      <c r="L907" s="24">
        <v>1.2</v>
      </c>
      <c r="M907" s="24">
        <v>23.654999999999998</v>
      </c>
      <c r="N907" s="21">
        <f t="shared" si="43"/>
        <v>0.57699999999999985</v>
      </c>
      <c r="P907" s="1">
        <v>8</v>
      </c>
      <c r="Q907" s="24">
        <v>2.9879999999999995</v>
      </c>
      <c r="R907" s="24">
        <v>21.911999999999999</v>
      </c>
      <c r="S907" s="21">
        <f t="shared" si="44"/>
        <v>0.46079999999999993</v>
      </c>
    </row>
    <row r="908" spans="2:19" ht="11.4" customHeight="1" x14ac:dyDescent="0.2">
      <c r="B908" s="24"/>
      <c r="C908" s="7">
        <v>43958</v>
      </c>
      <c r="D908" s="18" t="s">
        <v>947</v>
      </c>
      <c r="E908" s="18" t="s">
        <v>944</v>
      </c>
      <c r="F908" s="17">
        <v>8</v>
      </c>
      <c r="G908" s="18" t="s">
        <v>23</v>
      </c>
      <c r="H908" s="17">
        <v>65.64</v>
      </c>
      <c r="I908" s="8">
        <v>105</v>
      </c>
      <c r="J908" s="21">
        <f t="shared" si="42"/>
        <v>0.59963436928702007</v>
      </c>
      <c r="K908" s="1">
        <v>2</v>
      </c>
      <c r="L908" s="24">
        <v>5.2</v>
      </c>
      <c r="M908" s="24">
        <v>99.75</v>
      </c>
      <c r="N908" s="21">
        <f t="shared" si="43"/>
        <v>0.51965265082266909</v>
      </c>
      <c r="P908" s="1">
        <v>8</v>
      </c>
      <c r="Q908" s="24">
        <v>12.599999999999994</v>
      </c>
      <c r="R908" s="24">
        <v>92.4</v>
      </c>
      <c r="S908" s="21">
        <f t="shared" si="44"/>
        <v>0.40767824497257776</v>
      </c>
    </row>
    <row r="909" spans="2:19" ht="11.4" customHeight="1" x14ac:dyDescent="0.2">
      <c r="B909" s="24"/>
      <c r="C909" s="7">
        <v>5627</v>
      </c>
      <c r="D909" s="18" t="s">
        <v>948</v>
      </c>
      <c r="E909" s="18" t="s">
        <v>944</v>
      </c>
      <c r="F909" s="17">
        <v>98</v>
      </c>
      <c r="G909" s="18" t="s">
        <v>23</v>
      </c>
      <c r="H909" s="17">
        <v>6.9</v>
      </c>
      <c r="I909" s="8">
        <v>4</v>
      </c>
      <c r="J909" s="21">
        <f t="shared" si="42"/>
        <v>-0.4202898550724638</v>
      </c>
      <c r="K909" s="1">
        <v>2</v>
      </c>
      <c r="L909" s="24">
        <v>0.2</v>
      </c>
      <c r="M909" s="24">
        <v>3.8</v>
      </c>
      <c r="N909" s="21">
        <f t="shared" si="43"/>
        <v>-0.44927536231884063</v>
      </c>
      <c r="P909" s="1">
        <v>8</v>
      </c>
      <c r="Q909" s="24">
        <v>0.48</v>
      </c>
      <c r="R909" s="24">
        <v>3.52</v>
      </c>
      <c r="S909" s="21">
        <f t="shared" si="44"/>
        <v>-0.48985507246376814</v>
      </c>
    </row>
    <row r="910" spans="2:19" ht="11.4" customHeight="1" x14ac:dyDescent="0.2">
      <c r="B910" s="24"/>
      <c r="C910" s="7">
        <v>5626</v>
      </c>
      <c r="D910" s="18" t="s">
        <v>949</v>
      </c>
      <c r="E910" s="18" t="s">
        <v>944</v>
      </c>
      <c r="F910" s="17">
        <v>58</v>
      </c>
      <c r="G910" s="18" t="s">
        <v>23</v>
      </c>
      <c r="H910" s="17">
        <v>2.1</v>
      </c>
      <c r="I910" s="8">
        <v>2.2000000000000002</v>
      </c>
      <c r="J910" s="21">
        <f t="shared" si="42"/>
        <v>4.7619047619047658E-2</v>
      </c>
      <c r="K910" s="1">
        <v>2</v>
      </c>
      <c r="L910" s="24">
        <v>0.1</v>
      </c>
      <c r="M910" s="24">
        <v>2.09</v>
      </c>
      <c r="N910" s="21">
        <f t="shared" si="43"/>
        <v>-4.7619047619048716E-3</v>
      </c>
      <c r="P910" s="1">
        <v>8</v>
      </c>
      <c r="Q910" s="24">
        <v>0.26400000000000001</v>
      </c>
      <c r="R910" s="24">
        <v>1.9360000000000002</v>
      </c>
      <c r="S910" s="21">
        <f t="shared" si="44"/>
        <v>-7.8095238095238051E-2</v>
      </c>
    </row>
    <row r="911" spans="2:19" ht="11.4" customHeight="1" x14ac:dyDescent="0.2">
      <c r="B911" s="24"/>
      <c r="C911" s="7">
        <v>37892</v>
      </c>
      <c r="D911" s="18" t="s">
        <v>950</v>
      </c>
      <c r="E911" s="18" t="s">
        <v>944</v>
      </c>
      <c r="F911" s="17">
        <v>100</v>
      </c>
      <c r="G911" s="18" t="s">
        <v>23</v>
      </c>
      <c r="H911" s="17">
        <v>1.9</v>
      </c>
      <c r="I911" s="8">
        <v>1.9</v>
      </c>
      <c r="J911" s="21">
        <f t="shared" si="42"/>
        <v>0</v>
      </c>
      <c r="K911" s="1">
        <v>2</v>
      </c>
      <c r="L911" s="24">
        <v>0</v>
      </c>
      <c r="M911" s="24">
        <v>1.8049999999999999</v>
      </c>
      <c r="N911" s="21">
        <f t="shared" si="43"/>
        <v>-4.9999999999999989E-2</v>
      </c>
      <c r="P911" s="1">
        <v>8</v>
      </c>
      <c r="Q911" s="24">
        <v>0.22799999999999998</v>
      </c>
      <c r="R911" s="24">
        <v>1.6719999999999999</v>
      </c>
      <c r="S911" s="21">
        <f t="shared" si="44"/>
        <v>-0.12</v>
      </c>
    </row>
    <row r="912" spans="2:19" ht="11.4" customHeight="1" x14ac:dyDescent="0.2">
      <c r="B912" s="24"/>
      <c r="C912" s="7">
        <v>10747</v>
      </c>
      <c r="D912" s="18" t="s">
        <v>951</v>
      </c>
      <c r="E912" s="18" t="s">
        <v>944</v>
      </c>
      <c r="F912" s="17">
        <v>50</v>
      </c>
      <c r="G912" s="18" t="s">
        <v>23</v>
      </c>
      <c r="H912" s="17">
        <v>5.34</v>
      </c>
      <c r="I912" s="8">
        <v>7.5</v>
      </c>
      <c r="J912" s="21">
        <f t="shared" si="42"/>
        <v>0.40449438202247195</v>
      </c>
      <c r="K912" s="1">
        <v>2</v>
      </c>
      <c r="L912" s="24">
        <v>0.3</v>
      </c>
      <c r="M912" s="24">
        <v>7.125</v>
      </c>
      <c r="N912" s="21">
        <f t="shared" si="43"/>
        <v>0.33426966292134835</v>
      </c>
      <c r="P912" s="1">
        <v>8</v>
      </c>
      <c r="Q912" s="24">
        <v>0.90000000000000036</v>
      </c>
      <c r="R912" s="24">
        <v>6.6</v>
      </c>
      <c r="S912" s="21">
        <f t="shared" si="44"/>
        <v>0.23595505617977525</v>
      </c>
    </row>
    <row r="913" spans="2:19" ht="11.4" customHeight="1" x14ac:dyDescent="0.2">
      <c r="B913" s="24"/>
      <c r="C913" s="7">
        <v>39218</v>
      </c>
      <c r="D913" s="18" t="s">
        <v>952</v>
      </c>
      <c r="E913" s="18" t="s">
        <v>953</v>
      </c>
      <c r="F913" s="17">
        <v>40</v>
      </c>
      <c r="G913" s="18" t="s">
        <v>23</v>
      </c>
      <c r="H913" s="17">
        <v>15.5</v>
      </c>
      <c r="I913" s="8">
        <v>19.3</v>
      </c>
      <c r="J913" s="21">
        <f t="shared" si="42"/>
        <v>0.24516129032258069</v>
      </c>
      <c r="K913" s="1">
        <v>2</v>
      </c>
      <c r="L913" s="24">
        <v>0.9</v>
      </c>
      <c r="M913" s="24">
        <v>18.335000000000001</v>
      </c>
      <c r="N913" s="21">
        <f t="shared" si="43"/>
        <v>0.18290322580645166</v>
      </c>
      <c r="P913" s="1">
        <v>8</v>
      </c>
      <c r="Q913" s="24">
        <v>2.3159999999999989</v>
      </c>
      <c r="R913" s="24">
        <v>16.984000000000002</v>
      </c>
      <c r="S913" s="21">
        <f t="shared" si="44"/>
        <v>9.5741935483871082E-2</v>
      </c>
    </row>
    <row r="914" spans="2:19" ht="11.4" customHeight="1" x14ac:dyDescent="0.2">
      <c r="B914" s="24"/>
      <c r="C914" s="7">
        <v>39219</v>
      </c>
      <c r="D914" s="18" t="s">
        <v>954</v>
      </c>
      <c r="E914" s="18" t="s">
        <v>953</v>
      </c>
      <c r="F914" s="17">
        <v>40</v>
      </c>
      <c r="G914" s="18" t="s">
        <v>23</v>
      </c>
      <c r="H914" s="17">
        <v>15.5</v>
      </c>
      <c r="I914" s="8">
        <v>19.3</v>
      </c>
      <c r="J914" s="21">
        <f t="shared" si="42"/>
        <v>0.24516129032258069</v>
      </c>
      <c r="K914" s="1">
        <v>2</v>
      </c>
      <c r="L914" s="24">
        <v>0.9</v>
      </c>
      <c r="M914" s="24">
        <v>18.335000000000001</v>
      </c>
      <c r="N914" s="21">
        <f t="shared" si="43"/>
        <v>0.18290322580645166</v>
      </c>
      <c r="P914" s="1">
        <v>8</v>
      </c>
      <c r="Q914" s="24">
        <v>2.3159999999999989</v>
      </c>
      <c r="R914" s="24">
        <v>16.984000000000002</v>
      </c>
      <c r="S914" s="21">
        <f t="shared" si="44"/>
        <v>9.5741935483871082E-2</v>
      </c>
    </row>
    <row r="915" spans="2:19" ht="11.4" customHeight="1" x14ac:dyDescent="0.2">
      <c r="B915" s="24"/>
      <c r="C915" s="7">
        <v>22682</v>
      </c>
      <c r="D915" s="18" t="s">
        <v>955</v>
      </c>
      <c r="E915" s="18" t="s">
        <v>953</v>
      </c>
      <c r="F915" s="17">
        <v>20</v>
      </c>
      <c r="G915" s="18" t="s">
        <v>23</v>
      </c>
      <c r="H915" s="17">
        <v>10.08</v>
      </c>
      <c r="I915" s="8">
        <v>16.100000000000001</v>
      </c>
      <c r="J915" s="21">
        <f t="shared" si="42"/>
        <v>0.59722222222222232</v>
      </c>
      <c r="K915" s="1">
        <v>2</v>
      </c>
      <c r="L915" s="24">
        <v>0.8</v>
      </c>
      <c r="M915" s="24">
        <v>15.295</v>
      </c>
      <c r="N915" s="21">
        <f t="shared" si="43"/>
        <v>0.51736111111111105</v>
      </c>
      <c r="P915" s="1">
        <v>8</v>
      </c>
      <c r="Q915" s="24">
        <v>1.9320000000000004</v>
      </c>
      <c r="R915" s="24">
        <v>14.168000000000001</v>
      </c>
      <c r="S915" s="21">
        <f t="shared" si="44"/>
        <v>0.40555555555555567</v>
      </c>
    </row>
    <row r="916" spans="2:19" ht="11.4" customHeight="1" x14ac:dyDescent="0.2">
      <c r="B916" s="24"/>
      <c r="C916" s="7">
        <v>43922</v>
      </c>
      <c r="D916" s="18" t="s">
        <v>956</v>
      </c>
      <c r="E916" s="18" t="s">
        <v>953</v>
      </c>
      <c r="F916" s="17">
        <v>20</v>
      </c>
      <c r="G916" s="18" t="s">
        <v>23</v>
      </c>
      <c r="H916" s="17">
        <v>18</v>
      </c>
      <c r="I916" s="8">
        <v>28.8</v>
      </c>
      <c r="J916" s="21">
        <f t="shared" si="42"/>
        <v>0.60000000000000009</v>
      </c>
      <c r="K916" s="1">
        <v>2</v>
      </c>
      <c r="L916" s="24">
        <v>1.4</v>
      </c>
      <c r="M916" s="24">
        <v>27.36</v>
      </c>
      <c r="N916" s="21">
        <f t="shared" si="43"/>
        <v>0.52</v>
      </c>
      <c r="P916" s="1">
        <v>8</v>
      </c>
      <c r="Q916" s="24">
        <v>3.4559999999999995</v>
      </c>
      <c r="R916" s="24">
        <v>25.344000000000001</v>
      </c>
      <c r="S916" s="21">
        <f t="shared" si="44"/>
        <v>0.40800000000000008</v>
      </c>
    </row>
    <row r="917" spans="2:19" ht="11.4" customHeight="1" x14ac:dyDescent="0.2">
      <c r="B917" s="24"/>
      <c r="C917" s="7">
        <v>22891</v>
      </c>
      <c r="D917" s="18" t="s">
        <v>957</v>
      </c>
      <c r="E917" s="18" t="s">
        <v>953</v>
      </c>
      <c r="F917" s="17">
        <v>20</v>
      </c>
      <c r="G917" s="18" t="s">
        <v>23</v>
      </c>
      <c r="H917" s="17">
        <v>17.28</v>
      </c>
      <c r="I917" s="8">
        <v>27.6</v>
      </c>
      <c r="J917" s="21">
        <f t="shared" si="42"/>
        <v>0.59722222222222221</v>
      </c>
      <c r="K917" s="1">
        <v>4</v>
      </c>
      <c r="L917" s="24">
        <v>1.3</v>
      </c>
      <c r="M917" s="24">
        <v>26.22</v>
      </c>
      <c r="N917" s="21">
        <f t="shared" si="43"/>
        <v>0.51736111111111094</v>
      </c>
      <c r="P917" s="1">
        <v>10</v>
      </c>
      <c r="Q917" s="24">
        <v>3.3120000000000012</v>
      </c>
      <c r="R917" s="24">
        <v>24.288</v>
      </c>
      <c r="S917" s="21">
        <f t="shared" si="44"/>
        <v>0.4055555555555555</v>
      </c>
    </row>
    <row r="918" spans="2:19" ht="11.4" customHeight="1" x14ac:dyDescent="0.2">
      <c r="B918" s="24"/>
      <c r="C918" s="7">
        <v>28745</v>
      </c>
      <c r="D918" s="18" t="s">
        <v>958</v>
      </c>
      <c r="E918" s="18" t="s">
        <v>953</v>
      </c>
      <c r="F918" s="17">
        <v>15</v>
      </c>
      <c r="G918" s="18" t="s">
        <v>23</v>
      </c>
      <c r="H918" s="17">
        <v>48.89</v>
      </c>
      <c r="I918" s="8">
        <v>66</v>
      </c>
      <c r="J918" s="21">
        <f t="shared" si="42"/>
        <v>0.34996931887911636</v>
      </c>
      <c r="K918" s="1">
        <v>4</v>
      </c>
      <c r="L918" s="24">
        <v>3.3</v>
      </c>
      <c r="M918" s="24">
        <v>62.699999999999996</v>
      </c>
      <c r="N918" s="21">
        <f t="shared" si="43"/>
        <v>0.28247085293516044</v>
      </c>
      <c r="P918" s="1">
        <v>10</v>
      </c>
      <c r="Q918" s="24">
        <v>7.9200000000000017</v>
      </c>
      <c r="R918" s="24">
        <v>58.08</v>
      </c>
      <c r="S918" s="21">
        <f t="shared" si="44"/>
        <v>0.18797300061362238</v>
      </c>
    </row>
    <row r="919" spans="2:19" ht="11.4" customHeight="1" x14ac:dyDescent="0.2">
      <c r="B919" s="24"/>
      <c r="C919" s="7">
        <v>28746</v>
      </c>
      <c r="D919" s="18" t="s">
        <v>959</v>
      </c>
      <c r="E919" s="18" t="s">
        <v>953</v>
      </c>
      <c r="F919" s="17">
        <v>15</v>
      </c>
      <c r="G919" s="18" t="s">
        <v>23</v>
      </c>
      <c r="H919" s="17">
        <v>57.5</v>
      </c>
      <c r="I919" s="8">
        <v>66</v>
      </c>
      <c r="J919" s="21">
        <f t="shared" si="42"/>
        <v>0.14782608695652175</v>
      </c>
      <c r="K919" s="1">
        <v>4</v>
      </c>
      <c r="L919" s="24">
        <v>3.3</v>
      </c>
      <c r="M919" s="24">
        <v>62.699999999999996</v>
      </c>
      <c r="N919" s="21">
        <f t="shared" si="43"/>
        <v>9.0434782608695571E-2</v>
      </c>
      <c r="P919" s="1">
        <v>10</v>
      </c>
      <c r="Q919" s="24">
        <v>7.9200000000000017</v>
      </c>
      <c r="R919" s="24">
        <v>58.08</v>
      </c>
      <c r="S919" s="21">
        <f t="shared" si="44"/>
        <v>1.0086956521739101E-2</v>
      </c>
    </row>
    <row r="920" spans="2:19" ht="11.4" customHeight="1" x14ac:dyDescent="0.2">
      <c r="B920" s="24"/>
      <c r="C920" s="7">
        <v>44172</v>
      </c>
      <c r="D920" s="18" t="s">
        <v>960</v>
      </c>
      <c r="E920" s="18" t="s">
        <v>961</v>
      </c>
      <c r="F920" s="18"/>
      <c r="G920" s="18" t="s">
        <v>23</v>
      </c>
      <c r="H920" s="17">
        <v>28.32</v>
      </c>
      <c r="I920" s="8">
        <v>39.9</v>
      </c>
      <c r="J920" s="21">
        <f t="shared" si="42"/>
        <v>0.40889830508474567</v>
      </c>
      <c r="K920" s="1">
        <v>4</v>
      </c>
      <c r="L920" s="24">
        <v>1.9</v>
      </c>
      <c r="M920" s="24">
        <v>37.904999999999994</v>
      </c>
      <c r="N920" s="21">
        <f t="shared" si="43"/>
        <v>0.33845338983050827</v>
      </c>
      <c r="P920" s="1">
        <v>10</v>
      </c>
      <c r="Q920" s="24">
        <v>4.7879999999999967</v>
      </c>
      <c r="R920" s="24">
        <v>35.112000000000002</v>
      </c>
      <c r="S920" s="21">
        <f t="shared" si="44"/>
        <v>0.23983050847457632</v>
      </c>
    </row>
    <row r="921" spans="2:19" ht="11.4" customHeight="1" x14ac:dyDescent="0.2">
      <c r="B921" s="24"/>
      <c r="C921" s="7">
        <v>7927</v>
      </c>
      <c r="D921" s="18" t="s">
        <v>962</v>
      </c>
      <c r="E921" s="18" t="s">
        <v>961</v>
      </c>
      <c r="F921" s="18"/>
      <c r="G921" s="18" t="s">
        <v>23</v>
      </c>
      <c r="H921" s="17">
        <v>12</v>
      </c>
      <c r="I921" s="8">
        <v>13.9</v>
      </c>
      <c r="J921" s="21">
        <f t="shared" si="42"/>
        <v>0.15833333333333335</v>
      </c>
      <c r="K921" s="1">
        <v>4</v>
      </c>
      <c r="L921" s="24">
        <v>0.6</v>
      </c>
      <c r="M921" s="24">
        <v>13.205</v>
      </c>
      <c r="N921" s="21">
        <f t="shared" si="43"/>
        <v>0.10041666666666667</v>
      </c>
      <c r="P921" s="1">
        <v>10</v>
      </c>
      <c r="Q921" s="24">
        <v>1.6679999999999993</v>
      </c>
      <c r="R921" s="24">
        <v>12.232000000000001</v>
      </c>
      <c r="S921" s="21">
        <f t="shared" si="44"/>
        <v>1.9333333333333425E-2</v>
      </c>
    </row>
    <row r="922" spans="2:19" ht="11.4" customHeight="1" x14ac:dyDescent="0.2">
      <c r="B922" s="24"/>
      <c r="C922" s="7">
        <v>45766</v>
      </c>
      <c r="D922" s="18" t="s">
        <v>963</v>
      </c>
      <c r="E922" s="18" t="s">
        <v>961</v>
      </c>
      <c r="F922" s="17">
        <v>50</v>
      </c>
      <c r="G922" s="18" t="s">
        <v>23</v>
      </c>
      <c r="H922" s="17">
        <v>3.92</v>
      </c>
      <c r="I922" s="8">
        <v>6.3</v>
      </c>
      <c r="J922" s="21">
        <f t="shared" si="42"/>
        <v>0.6071428571428571</v>
      </c>
      <c r="K922" s="1">
        <v>4</v>
      </c>
      <c r="L922" s="24">
        <v>0.3</v>
      </c>
      <c r="M922" s="24">
        <v>5.9849999999999994</v>
      </c>
      <c r="N922" s="21">
        <f t="shared" si="43"/>
        <v>0.52678571428571419</v>
      </c>
      <c r="P922" s="1">
        <v>10</v>
      </c>
      <c r="Q922" s="24">
        <v>0.75600000000000023</v>
      </c>
      <c r="R922" s="24">
        <v>5.5439999999999996</v>
      </c>
      <c r="S922" s="21">
        <f t="shared" si="44"/>
        <v>0.4142857142857142</v>
      </c>
    </row>
    <row r="923" spans="2:19" ht="11.4" customHeight="1" x14ac:dyDescent="0.2">
      <c r="B923" s="24"/>
      <c r="C923" s="7">
        <v>15242</v>
      </c>
      <c r="D923" s="18" t="s">
        <v>964</v>
      </c>
      <c r="E923" s="18" t="s">
        <v>961</v>
      </c>
      <c r="F923" s="17">
        <v>100</v>
      </c>
      <c r="G923" s="18" t="s">
        <v>23</v>
      </c>
      <c r="H923" s="17">
        <v>11.9</v>
      </c>
      <c r="I923" s="8">
        <v>12.9</v>
      </c>
      <c r="J923" s="21">
        <f t="shared" si="42"/>
        <v>8.4033613445378144E-2</v>
      </c>
      <c r="K923" s="1">
        <v>4</v>
      </c>
      <c r="L923" s="24">
        <v>0.6</v>
      </c>
      <c r="M923" s="24">
        <v>12.254999999999999</v>
      </c>
      <c r="N923" s="21">
        <f t="shared" si="43"/>
        <v>2.9831932773109131E-2</v>
      </c>
      <c r="P923" s="1">
        <v>10</v>
      </c>
      <c r="Q923" s="24">
        <v>1.548</v>
      </c>
      <c r="R923" s="24">
        <v>11.352</v>
      </c>
      <c r="S923" s="21">
        <f t="shared" si="44"/>
        <v>-4.6050420168067228E-2</v>
      </c>
    </row>
    <row r="924" spans="2:19" ht="11.4" customHeight="1" x14ac:dyDescent="0.2">
      <c r="B924" s="24"/>
      <c r="C924" s="7">
        <v>44453</v>
      </c>
      <c r="D924" s="18" t="s">
        <v>965</v>
      </c>
      <c r="E924" s="18" t="s">
        <v>961</v>
      </c>
      <c r="F924" s="17">
        <v>960</v>
      </c>
      <c r="G924" s="18" t="s">
        <v>23</v>
      </c>
      <c r="H924" s="17">
        <v>6.96</v>
      </c>
      <c r="I924" s="8">
        <v>12.6</v>
      </c>
      <c r="J924" s="21">
        <f t="shared" si="42"/>
        <v>0.81034482758620685</v>
      </c>
      <c r="K924" s="1">
        <v>4</v>
      </c>
      <c r="L924" s="24">
        <v>0.6</v>
      </c>
      <c r="M924" s="24">
        <v>11.969999999999999</v>
      </c>
      <c r="N924" s="21">
        <f t="shared" si="43"/>
        <v>0.71982758620689635</v>
      </c>
      <c r="P924" s="1">
        <v>10</v>
      </c>
      <c r="Q924" s="24">
        <v>1.5120000000000005</v>
      </c>
      <c r="R924" s="24">
        <v>11.087999999999999</v>
      </c>
      <c r="S924" s="21">
        <f t="shared" si="44"/>
        <v>0.59310344827586192</v>
      </c>
    </row>
    <row r="925" spans="2:19" ht="11.4" customHeight="1" x14ac:dyDescent="0.2">
      <c r="B925" s="24"/>
      <c r="C925" s="7">
        <v>15304</v>
      </c>
      <c r="D925" s="18" t="s">
        <v>966</v>
      </c>
      <c r="E925" s="18" t="s">
        <v>961</v>
      </c>
      <c r="F925" s="17">
        <v>88</v>
      </c>
      <c r="G925" s="18" t="s">
        <v>23</v>
      </c>
      <c r="H925" s="17">
        <v>7.02</v>
      </c>
      <c r="I925" s="8">
        <v>11.2</v>
      </c>
      <c r="J925" s="21">
        <f t="shared" si="42"/>
        <v>0.59544159544159547</v>
      </c>
      <c r="K925" s="1">
        <v>4</v>
      </c>
      <c r="L925" s="24">
        <v>0.5</v>
      </c>
      <c r="M925" s="24">
        <v>10.639999999999999</v>
      </c>
      <c r="N925" s="21">
        <f t="shared" si="43"/>
        <v>0.51566951566951558</v>
      </c>
      <c r="P925" s="1">
        <v>10</v>
      </c>
      <c r="Q925" s="24">
        <v>1.3439999999999994</v>
      </c>
      <c r="R925" s="24">
        <v>9.8559999999999999</v>
      </c>
      <c r="S925" s="21">
        <f t="shared" si="44"/>
        <v>0.40398860398860403</v>
      </c>
    </row>
    <row r="926" spans="2:19" ht="11.4" customHeight="1" x14ac:dyDescent="0.2">
      <c r="B926" s="24"/>
      <c r="C926" s="7">
        <v>25673</v>
      </c>
      <c r="D926" s="18" t="s">
        <v>967</v>
      </c>
      <c r="E926" s="18" t="s">
        <v>935</v>
      </c>
      <c r="F926" s="17">
        <v>40</v>
      </c>
      <c r="G926" s="18" t="s">
        <v>23</v>
      </c>
      <c r="H926" s="17">
        <v>17.5</v>
      </c>
      <c r="I926" s="8">
        <v>19.899999999999999</v>
      </c>
      <c r="J926" s="21">
        <f t="shared" si="42"/>
        <v>0.13714285714285707</v>
      </c>
      <c r="K926" s="1">
        <v>4</v>
      </c>
      <c r="L926" s="24">
        <v>0.9</v>
      </c>
      <c r="M926" s="24">
        <v>18.904999999999998</v>
      </c>
      <c r="N926" s="21">
        <f t="shared" si="43"/>
        <v>8.0285714285714141E-2</v>
      </c>
      <c r="P926" s="1">
        <v>10</v>
      </c>
      <c r="Q926" s="24">
        <v>2.3879999999999981</v>
      </c>
      <c r="R926" s="24">
        <v>17.512</v>
      </c>
      <c r="S926" s="21">
        <f t="shared" si="44"/>
        <v>6.8571428571431172E-4</v>
      </c>
    </row>
    <row r="927" spans="2:19" ht="11.4" customHeight="1" x14ac:dyDescent="0.2">
      <c r="B927" s="24"/>
      <c r="C927" s="7">
        <v>5629</v>
      </c>
      <c r="D927" s="18" t="s">
        <v>968</v>
      </c>
      <c r="E927" s="18" t="s">
        <v>935</v>
      </c>
      <c r="F927" s="17">
        <v>42</v>
      </c>
      <c r="G927" s="18" t="s">
        <v>23</v>
      </c>
      <c r="H927" s="17">
        <v>24.9</v>
      </c>
      <c r="I927" s="8">
        <v>17.600000000000001</v>
      </c>
      <c r="J927" s="21">
        <f t="shared" si="42"/>
        <v>-0.29317269076305214</v>
      </c>
      <c r="K927" s="1">
        <v>4</v>
      </c>
      <c r="L927" s="24">
        <v>0.8</v>
      </c>
      <c r="M927" s="24">
        <v>16.72</v>
      </c>
      <c r="N927" s="21">
        <f t="shared" si="43"/>
        <v>-0.3285140562248996</v>
      </c>
      <c r="P927" s="1">
        <v>10</v>
      </c>
      <c r="Q927" s="24">
        <v>2.1120000000000001</v>
      </c>
      <c r="R927" s="24">
        <v>15.488000000000001</v>
      </c>
      <c r="S927" s="21">
        <f t="shared" si="44"/>
        <v>-0.37799196787148587</v>
      </c>
    </row>
    <row r="928" spans="2:19" ht="11.4" customHeight="1" x14ac:dyDescent="0.2">
      <c r="B928" s="24"/>
      <c r="C928" s="7">
        <v>16951</v>
      </c>
      <c r="D928" s="18" t="s">
        <v>969</v>
      </c>
      <c r="E928" s="18" t="s">
        <v>935</v>
      </c>
      <c r="F928" s="17">
        <v>40</v>
      </c>
      <c r="G928" s="18" t="s">
        <v>23</v>
      </c>
      <c r="H928" s="17">
        <v>26.28</v>
      </c>
      <c r="I928" s="8">
        <v>35.5</v>
      </c>
      <c r="J928" s="21">
        <f t="shared" si="42"/>
        <v>0.35083713850837134</v>
      </c>
      <c r="K928" s="1">
        <v>4</v>
      </c>
      <c r="L928" s="24">
        <v>1.7</v>
      </c>
      <c r="M928" s="24">
        <v>33.725000000000001</v>
      </c>
      <c r="N928" s="21">
        <f t="shared" si="43"/>
        <v>0.28329528158295281</v>
      </c>
      <c r="P928" s="1">
        <v>10</v>
      </c>
      <c r="Q928" s="24">
        <v>4.2600000000000016</v>
      </c>
      <c r="R928" s="24">
        <v>31.24</v>
      </c>
      <c r="S928" s="21">
        <f t="shared" si="44"/>
        <v>0.1887366818873667</v>
      </c>
    </row>
    <row r="929" spans="2:19" ht="11.4" customHeight="1" x14ac:dyDescent="0.2">
      <c r="B929" s="24"/>
      <c r="C929" s="7">
        <v>37895</v>
      </c>
      <c r="D929" s="18" t="s">
        <v>970</v>
      </c>
      <c r="E929" s="18" t="s">
        <v>935</v>
      </c>
      <c r="F929" s="17">
        <v>50</v>
      </c>
      <c r="G929" s="18" t="s">
        <v>23</v>
      </c>
      <c r="H929" s="17">
        <v>12.9</v>
      </c>
      <c r="I929" s="8">
        <v>12.9</v>
      </c>
      <c r="J929" s="21">
        <f t="shared" si="42"/>
        <v>0</v>
      </c>
      <c r="K929" s="1">
        <v>4</v>
      </c>
      <c r="L929" s="24">
        <v>0.6</v>
      </c>
      <c r="M929" s="24">
        <v>12.254999999999999</v>
      </c>
      <c r="N929" s="21">
        <f t="shared" si="43"/>
        <v>-5.00000000000001E-2</v>
      </c>
      <c r="P929" s="1">
        <v>10</v>
      </c>
      <c r="Q929" s="24">
        <v>1.548</v>
      </c>
      <c r="R929" s="24">
        <v>11.352</v>
      </c>
      <c r="S929" s="21">
        <f t="shared" si="44"/>
        <v>-0.12</v>
      </c>
    </row>
    <row r="930" spans="2:19" ht="11.4" customHeight="1" x14ac:dyDescent="0.2">
      <c r="B930" s="24"/>
      <c r="C930" s="7">
        <v>44994</v>
      </c>
      <c r="D930" s="18" t="s">
        <v>971</v>
      </c>
      <c r="E930" s="18" t="s">
        <v>937</v>
      </c>
      <c r="F930" s="17">
        <v>56</v>
      </c>
      <c r="G930" s="18" t="s">
        <v>23</v>
      </c>
      <c r="H930" s="17">
        <v>12.96</v>
      </c>
      <c r="I930" s="8">
        <v>16.899999999999999</v>
      </c>
      <c r="J930" s="21">
        <f t="shared" si="42"/>
        <v>0.30401234567901214</v>
      </c>
      <c r="K930" s="1">
        <v>4</v>
      </c>
      <c r="L930" s="24">
        <v>0.8</v>
      </c>
      <c r="M930" s="24">
        <v>16.054999999999996</v>
      </c>
      <c r="N930" s="21">
        <f t="shared" si="43"/>
        <v>0.23881172839506135</v>
      </c>
      <c r="P930" s="1">
        <v>10</v>
      </c>
      <c r="Q930" s="24">
        <v>2.0280000000000005</v>
      </c>
      <c r="R930" s="24">
        <v>14.871999999999998</v>
      </c>
      <c r="S930" s="21">
        <f t="shared" si="44"/>
        <v>0.14753086419753064</v>
      </c>
    </row>
    <row r="931" spans="2:19" ht="11.4" customHeight="1" x14ac:dyDescent="0.2">
      <c r="B931" s="24"/>
      <c r="C931" s="7">
        <v>29764</v>
      </c>
      <c r="D931" s="18" t="s">
        <v>972</v>
      </c>
      <c r="E931" s="18" t="s">
        <v>937</v>
      </c>
      <c r="F931" s="17">
        <v>50</v>
      </c>
      <c r="G931" s="18" t="s">
        <v>23</v>
      </c>
      <c r="H931" s="17">
        <v>17.64</v>
      </c>
      <c r="I931" s="8">
        <v>23.8</v>
      </c>
      <c r="J931" s="21">
        <f t="shared" si="42"/>
        <v>0.34920634920634919</v>
      </c>
      <c r="K931" s="1">
        <v>4</v>
      </c>
      <c r="L931" s="24">
        <v>1.1000000000000001</v>
      </c>
      <c r="M931" s="24">
        <v>22.61</v>
      </c>
      <c r="N931" s="21">
        <f t="shared" si="43"/>
        <v>0.28174603174603169</v>
      </c>
      <c r="P931" s="1">
        <v>10</v>
      </c>
      <c r="Q931" s="24">
        <v>2.8560000000000016</v>
      </c>
      <c r="R931" s="24">
        <v>20.943999999999999</v>
      </c>
      <c r="S931" s="21">
        <f t="shared" si="44"/>
        <v>0.18730158730158722</v>
      </c>
    </row>
    <row r="932" spans="2:19" ht="11.4" customHeight="1" x14ac:dyDescent="0.2">
      <c r="B932" s="24"/>
      <c r="C932" s="7">
        <v>32771</v>
      </c>
      <c r="D932" s="18" t="s">
        <v>973</v>
      </c>
      <c r="E932" s="18" t="s">
        <v>937</v>
      </c>
      <c r="F932" s="17">
        <v>56</v>
      </c>
      <c r="G932" s="18" t="s">
        <v>23</v>
      </c>
      <c r="H932" s="17">
        <v>18.5</v>
      </c>
      <c r="I932" s="8">
        <v>16.899999999999999</v>
      </c>
      <c r="J932" s="21">
        <f t="shared" si="42"/>
        <v>-8.6486486486486561E-2</v>
      </c>
      <c r="K932" s="1">
        <v>4</v>
      </c>
      <c r="L932" s="24">
        <v>0.8</v>
      </c>
      <c r="M932" s="24">
        <v>16.054999999999996</v>
      </c>
      <c r="N932" s="21">
        <f t="shared" si="43"/>
        <v>-0.13216216216216237</v>
      </c>
      <c r="P932" s="1">
        <v>10</v>
      </c>
      <c r="Q932" s="24">
        <v>2.0280000000000005</v>
      </c>
      <c r="R932" s="24">
        <v>14.871999999999998</v>
      </c>
      <c r="S932" s="21">
        <f t="shared" si="44"/>
        <v>-0.19610810810810822</v>
      </c>
    </row>
    <row r="933" spans="2:19" ht="11.4" customHeight="1" x14ac:dyDescent="0.2">
      <c r="B933" s="24"/>
      <c r="C933" s="7">
        <v>32229</v>
      </c>
      <c r="D933" s="18" t="s">
        <v>974</v>
      </c>
      <c r="E933" s="18" t="s">
        <v>937</v>
      </c>
      <c r="F933" s="17">
        <v>50</v>
      </c>
      <c r="G933" s="18" t="s">
        <v>23</v>
      </c>
      <c r="H933" s="17">
        <v>17.64</v>
      </c>
      <c r="I933" s="8">
        <v>23.8</v>
      </c>
      <c r="J933" s="21">
        <f t="shared" si="42"/>
        <v>0.34920634920634919</v>
      </c>
      <c r="K933" s="1">
        <v>4</v>
      </c>
      <c r="L933" s="24">
        <v>1.1000000000000001</v>
      </c>
      <c r="M933" s="24">
        <v>22.61</v>
      </c>
      <c r="N933" s="21">
        <f t="shared" si="43"/>
        <v>0.28174603174603169</v>
      </c>
      <c r="P933" s="1">
        <v>10</v>
      </c>
      <c r="Q933" s="24">
        <v>2.8560000000000016</v>
      </c>
      <c r="R933" s="24">
        <v>20.943999999999999</v>
      </c>
      <c r="S933" s="21">
        <f t="shared" si="44"/>
        <v>0.18730158730158722</v>
      </c>
    </row>
    <row r="934" spans="2:19" ht="11.4" customHeight="1" x14ac:dyDescent="0.2">
      <c r="B934" s="24"/>
      <c r="C934" s="7">
        <v>32772</v>
      </c>
      <c r="D934" s="18" t="s">
        <v>975</v>
      </c>
      <c r="E934" s="18" t="s">
        <v>937</v>
      </c>
      <c r="F934" s="17">
        <v>56</v>
      </c>
      <c r="G934" s="18" t="s">
        <v>23</v>
      </c>
      <c r="H934" s="17">
        <v>18.5</v>
      </c>
      <c r="I934" s="8">
        <v>16.899999999999999</v>
      </c>
      <c r="J934" s="21">
        <f t="shared" si="42"/>
        <v>-8.6486486486486561E-2</v>
      </c>
      <c r="K934" s="1">
        <v>4</v>
      </c>
      <c r="L934" s="24">
        <v>0.8</v>
      </c>
      <c r="M934" s="24">
        <v>16.054999999999996</v>
      </c>
      <c r="N934" s="21">
        <f t="shared" si="43"/>
        <v>-0.13216216216216237</v>
      </c>
      <c r="P934" s="1">
        <v>10</v>
      </c>
      <c r="Q934" s="24">
        <v>2.0280000000000005</v>
      </c>
      <c r="R934" s="24">
        <v>14.871999999999998</v>
      </c>
      <c r="S934" s="21">
        <f t="shared" si="44"/>
        <v>-0.19610810810810822</v>
      </c>
    </row>
    <row r="935" spans="2:19" ht="11.4" customHeight="1" x14ac:dyDescent="0.2">
      <c r="B935" s="24"/>
      <c r="C935" s="7">
        <v>28747</v>
      </c>
      <c r="D935" s="18" t="s">
        <v>976</v>
      </c>
      <c r="E935" s="18" t="s">
        <v>937</v>
      </c>
      <c r="F935" s="17">
        <v>50</v>
      </c>
      <c r="G935" s="18" t="s">
        <v>23</v>
      </c>
      <c r="H935" s="17">
        <v>11.92</v>
      </c>
      <c r="I935" s="8">
        <v>15.9</v>
      </c>
      <c r="J935" s="21">
        <f t="shared" si="42"/>
        <v>0.33389261744966447</v>
      </c>
      <c r="K935" s="1">
        <v>4</v>
      </c>
      <c r="L935" s="24">
        <v>0.7</v>
      </c>
      <c r="M935" s="24">
        <v>15.105</v>
      </c>
      <c r="N935" s="21">
        <f t="shared" si="43"/>
        <v>0.26719798657718125</v>
      </c>
      <c r="P935" s="1">
        <v>10</v>
      </c>
      <c r="Q935" s="24">
        <v>1.9079999999999995</v>
      </c>
      <c r="R935" s="24">
        <v>13.992000000000001</v>
      </c>
      <c r="S935" s="21">
        <f t="shared" si="44"/>
        <v>0.17382550335570479</v>
      </c>
    </row>
    <row r="936" spans="2:19" ht="11.4" customHeight="1" x14ac:dyDescent="0.2">
      <c r="B936" s="24"/>
      <c r="C936" s="7">
        <v>29765</v>
      </c>
      <c r="D936" s="18" t="s">
        <v>977</v>
      </c>
      <c r="E936" s="18" t="s">
        <v>937</v>
      </c>
      <c r="F936" s="17">
        <v>50</v>
      </c>
      <c r="G936" s="18" t="s">
        <v>23</v>
      </c>
      <c r="H936" s="17">
        <v>17.64</v>
      </c>
      <c r="I936" s="8">
        <v>23.8</v>
      </c>
      <c r="J936" s="21">
        <f t="shared" si="42"/>
        <v>0.34920634920634919</v>
      </c>
      <c r="K936" s="1">
        <v>4</v>
      </c>
      <c r="L936" s="24">
        <v>1.1000000000000001</v>
      </c>
      <c r="M936" s="24">
        <v>22.61</v>
      </c>
      <c r="N936" s="21">
        <f t="shared" si="43"/>
        <v>0.28174603174603169</v>
      </c>
      <c r="P936" s="1">
        <v>10</v>
      </c>
      <c r="Q936" s="24">
        <v>2.8560000000000016</v>
      </c>
      <c r="R936" s="24">
        <v>20.943999999999999</v>
      </c>
      <c r="S936" s="21">
        <f t="shared" si="44"/>
        <v>0.18730158730158722</v>
      </c>
    </row>
    <row r="937" spans="2:19" ht="11.4" customHeight="1" x14ac:dyDescent="0.2">
      <c r="B937" s="24"/>
      <c r="C937" s="7">
        <v>32773</v>
      </c>
      <c r="D937" s="18" t="s">
        <v>978</v>
      </c>
      <c r="E937" s="18" t="s">
        <v>937</v>
      </c>
      <c r="F937" s="17">
        <v>56</v>
      </c>
      <c r="G937" s="18" t="s">
        <v>23</v>
      </c>
      <c r="H937" s="17">
        <v>18.5</v>
      </c>
      <c r="I937" s="8">
        <v>16.899999999999999</v>
      </c>
      <c r="J937" s="21">
        <f t="shared" si="42"/>
        <v>-8.6486486486486561E-2</v>
      </c>
      <c r="K937" s="1">
        <v>4</v>
      </c>
      <c r="L937" s="24">
        <v>0.8</v>
      </c>
      <c r="M937" s="24">
        <v>16.054999999999996</v>
      </c>
      <c r="N937" s="21">
        <f t="shared" si="43"/>
        <v>-0.13216216216216237</v>
      </c>
      <c r="P937" s="1">
        <v>10</v>
      </c>
      <c r="Q937" s="24">
        <v>2.0280000000000005</v>
      </c>
      <c r="R937" s="24">
        <v>14.871999999999998</v>
      </c>
      <c r="S937" s="21">
        <f t="shared" si="44"/>
        <v>-0.19610810810810822</v>
      </c>
    </row>
    <row r="938" spans="2:19" ht="11.4" customHeight="1" x14ac:dyDescent="0.2">
      <c r="B938" s="24"/>
      <c r="C938" s="7">
        <v>32774</v>
      </c>
      <c r="D938" s="18" t="s">
        <v>979</v>
      </c>
      <c r="E938" s="18" t="s">
        <v>937</v>
      </c>
      <c r="F938" s="17">
        <v>56</v>
      </c>
      <c r="G938" s="18" t="s">
        <v>23</v>
      </c>
      <c r="H938" s="17">
        <v>18.5</v>
      </c>
      <c r="I938" s="8">
        <v>16.899999999999999</v>
      </c>
      <c r="J938" s="21">
        <f t="shared" si="42"/>
        <v>-8.6486486486486561E-2</v>
      </c>
      <c r="K938" s="1">
        <v>4</v>
      </c>
      <c r="L938" s="24">
        <v>0.8</v>
      </c>
      <c r="M938" s="24">
        <v>16.054999999999996</v>
      </c>
      <c r="N938" s="21">
        <f t="shared" si="43"/>
        <v>-0.13216216216216237</v>
      </c>
      <c r="P938" s="1">
        <v>10</v>
      </c>
      <c r="Q938" s="24">
        <v>2.0280000000000005</v>
      </c>
      <c r="R938" s="24">
        <v>14.871999999999998</v>
      </c>
      <c r="S938" s="21">
        <f t="shared" si="44"/>
        <v>-0.19610810810810822</v>
      </c>
    </row>
    <row r="939" spans="2:19" ht="11.4" customHeight="1" x14ac:dyDescent="0.2">
      <c r="B939" s="24"/>
      <c r="C939" s="7">
        <v>29766</v>
      </c>
      <c r="D939" s="18" t="s">
        <v>980</v>
      </c>
      <c r="E939" s="18" t="s">
        <v>937</v>
      </c>
      <c r="F939" s="17">
        <v>50</v>
      </c>
      <c r="G939" s="18" t="s">
        <v>23</v>
      </c>
      <c r="H939" s="17">
        <v>17.64</v>
      </c>
      <c r="I939" s="8">
        <v>23.8</v>
      </c>
      <c r="J939" s="21">
        <f t="shared" si="42"/>
        <v>0.34920634920634919</v>
      </c>
      <c r="K939" s="1">
        <v>4</v>
      </c>
      <c r="L939" s="24">
        <v>1.1000000000000001</v>
      </c>
      <c r="M939" s="24">
        <v>22.61</v>
      </c>
      <c r="N939" s="21">
        <f t="shared" si="43"/>
        <v>0.28174603174603169</v>
      </c>
      <c r="P939" s="1">
        <v>10</v>
      </c>
      <c r="Q939" s="24">
        <v>2.8560000000000016</v>
      </c>
      <c r="R939" s="24">
        <v>20.943999999999999</v>
      </c>
      <c r="S939" s="21">
        <f t="shared" si="44"/>
        <v>0.18730158730158722</v>
      </c>
    </row>
    <row r="940" spans="2:19" ht="11.4" customHeight="1" x14ac:dyDescent="0.2">
      <c r="B940" s="24"/>
      <c r="C940" s="7">
        <v>32775</v>
      </c>
      <c r="D940" s="18" t="s">
        <v>981</v>
      </c>
      <c r="E940" s="18" t="s">
        <v>937</v>
      </c>
      <c r="F940" s="17">
        <v>56</v>
      </c>
      <c r="G940" s="18" t="s">
        <v>23</v>
      </c>
      <c r="H940" s="17">
        <v>18.5</v>
      </c>
      <c r="I940" s="8">
        <v>16.899999999999999</v>
      </c>
      <c r="J940" s="21">
        <f t="shared" si="42"/>
        <v>-8.6486486486486561E-2</v>
      </c>
      <c r="K940" s="1">
        <v>4</v>
      </c>
      <c r="L940" s="24">
        <v>0.8</v>
      </c>
      <c r="M940" s="24">
        <v>16.054999999999996</v>
      </c>
      <c r="N940" s="21">
        <f t="shared" si="43"/>
        <v>-0.13216216216216237</v>
      </c>
      <c r="P940" s="1">
        <v>10</v>
      </c>
      <c r="Q940" s="24">
        <v>2.0280000000000005</v>
      </c>
      <c r="R940" s="24">
        <v>14.871999999999998</v>
      </c>
      <c r="S940" s="21">
        <f t="shared" si="44"/>
        <v>-0.19610810810810822</v>
      </c>
    </row>
    <row r="941" spans="2:19" ht="11.4" customHeight="1" x14ac:dyDescent="0.2">
      <c r="B941" s="24"/>
      <c r="C941" s="7">
        <v>28750</v>
      </c>
      <c r="D941" s="18" t="s">
        <v>982</v>
      </c>
      <c r="E941" s="18" t="s">
        <v>935</v>
      </c>
      <c r="F941" s="17">
        <v>35</v>
      </c>
      <c r="G941" s="18" t="s">
        <v>23</v>
      </c>
      <c r="H941" s="17">
        <v>31.9</v>
      </c>
      <c r="I941" s="8">
        <v>32.200000000000003</v>
      </c>
      <c r="J941" s="21">
        <f t="shared" si="42"/>
        <v>9.4043887147336764E-3</v>
      </c>
      <c r="K941" s="1">
        <v>4</v>
      </c>
      <c r="L941" s="24">
        <v>1.6</v>
      </c>
      <c r="M941" s="24">
        <v>30.59</v>
      </c>
      <c r="N941" s="21">
        <f t="shared" si="43"/>
        <v>-4.1065830721003095E-2</v>
      </c>
      <c r="P941" s="1">
        <v>10</v>
      </c>
      <c r="Q941" s="24">
        <v>3.8640000000000008</v>
      </c>
      <c r="R941" s="24">
        <v>28.336000000000002</v>
      </c>
      <c r="S941" s="21">
        <f t="shared" si="44"/>
        <v>-0.11172413793103438</v>
      </c>
    </row>
    <row r="942" spans="2:19" ht="11.4" customHeight="1" x14ac:dyDescent="0.2">
      <c r="B942" s="24"/>
      <c r="C942" s="7">
        <v>39206</v>
      </c>
      <c r="D942" s="18" t="s">
        <v>983</v>
      </c>
      <c r="E942" s="18" t="s">
        <v>932</v>
      </c>
      <c r="F942" s="17">
        <v>50</v>
      </c>
      <c r="G942" s="18" t="s">
        <v>23</v>
      </c>
      <c r="H942" s="17">
        <v>5.9</v>
      </c>
      <c r="I942" s="8">
        <v>7.3</v>
      </c>
      <c r="J942" s="21">
        <f t="shared" si="42"/>
        <v>0.23728813559322023</v>
      </c>
      <c r="K942" s="1">
        <v>4</v>
      </c>
      <c r="L942" s="24">
        <v>0.3</v>
      </c>
      <c r="M942" s="24">
        <v>6.9349999999999996</v>
      </c>
      <c r="N942" s="21">
        <f t="shared" si="43"/>
        <v>0.17542372881355919</v>
      </c>
      <c r="P942" s="1">
        <v>10</v>
      </c>
      <c r="Q942" s="24">
        <v>0.87600000000000033</v>
      </c>
      <c r="R942" s="24">
        <v>6.4239999999999995</v>
      </c>
      <c r="S942" s="21">
        <f t="shared" si="44"/>
        <v>8.8813559322033747E-2</v>
      </c>
    </row>
    <row r="943" spans="2:19" ht="11.4" customHeight="1" x14ac:dyDescent="0.2">
      <c r="B943" s="24"/>
      <c r="C943" s="7">
        <v>37909</v>
      </c>
      <c r="D943" s="18" t="s">
        <v>984</v>
      </c>
      <c r="E943" s="18" t="s">
        <v>932</v>
      </c>
      <c r="F943" s="17">
        <v>300</v>
      </c>
      <c r="G943" s="18" t="s">
        <v>23</v>
      </c>
      <c r="H943" s="17">
        <v>3.9</v>
      </c>
      <c r="I943" s="8">
        <v>4.9000000000000004</v>
      </c>
      <c r="J943" s="21">
        <f t="shared" si="42"/>
        <v>0.25641025641025655</v>
      </c>
      <c r="K943" s="1">
        <v>4</v>
      </c>
      <c r="L943" s="24">
        <v>0.2</v>
      </c>
      <c r="M943" s="24">
        <v>4.6550000000000002</v>
      </c>
      <c r="N943" s="21">
        <f t="shared" si="43"/>
        <v>0.19358974358974368</v>
      </c>
      <c r="P943" s="1">
        <v>10</v>
      </c>
      <c r="Q943" s="24">
        <v>0.58800000000000008</v>
      </c>
      <c r="R943" s="24">
        <v>4.3120000000000003</v>
      </c>
      <c r="S943" s="21">
        <f t="shared" si="44"/>
        <v>0.10564102564102573</v>
      </c>
    </row>
    <row r="944" spans="2:19" ht="11.4" customHeight="1" x14ac:dyDescent="0.2">
      <c r="B944" s="24"/>
      <c r="C944" s="7">
        <v>5625</v>
      </c>
      <c r="D944" s="18" t="s">
        <v>985</v>
      </c>
      <c r="E944" s="18" t="s">
        <v>953</v>
      </c>
      <c r="F944" s="17">
        <v>40</v>
      </c>
      <c r="G944" s="18" t="s">
        <v>23</v>
      </c>
      <c r="H944" s="17">
        <v>66.290000000000006</v>
      </c>
      <c r="I944" s="8">
        <v>87</v>
      </c>
      <c r="J944" s="21">
        <f t="shared" si="42"/>
        <v>0.3124151455724844</v>
      </c>
      <c r="K944" s="1">
        <v>4</v>
      </c>
      <c r="L944" s="24">
        <v>4.3</v>
      </c>
      <c r="M944" s="24">
        <v>82.649999999999991</v>
      </c>
      <c r="N944" s="21">
        <f t="shared" si="43"/>
        <v>0.24679438829386005</v>
      </c>
      <c r="P944" s="1">
        <v>10</v>
      </c>
      <c r="Q944" s="24">
        <v>10.439999999999998</v>
      </c>
      <c r="R944" s="24">
        <v>76.56</v>
      </c>
      <c r="S944" s="21">
        <f t="shared" si="44"/>
        <v>0.15492532810378631</v>
      </c>
    </row>
    <row r="945" spans="2:19" ht="11.4" customHeight="1" x14ac:dyDescent="0.2">
      <c r="B945" s="24"/>
      <c r="C945" s="7">
        <v>45767</v>
      </c>
      <c r="D945" s="18" t="s">
        <v>986</v>
      </c>
      <c r="E945" s="18" t="s">
        <v>937</v>
      </c>
      <c r="F945" s="17">
        <v>20</v>
      </c>
      <c r="G945" s="18" t="s">
        <v>23</v>
      </c>
      <c r="H945" s="17">
        <v>6.48</v>
      </c>
      <c r="I945" s="8">
        <v>12.9</v>
      </c>
      <c r="J945" s="21">
        <f t="shared" si="42"/>
        <v>0.9907407407407407</v>
      </c>
      <c r="K945" s="1">
        <v>4</v>
      </c>
      <c r="L945" s="24">
        <v>0.6</v>
      </c>
      <c r="M945" s="24">
        <v>12.254999999999999</v>
      </c>
      <c r="N945" s="21">
        <f t="shared" si="43"/>
        <v>0.89120370370370339</v>
      </c>
      <c r="P945" s="1">
        <v>10</v>
      </c>
      <c r="Q945" s="24">
        <v>1.548</v>
      </c>
      <c r="R945" s="24">
        <v>11.352</v>
      </c>
      <c r="S945" s="21">
        <f t="shared" si="44"/>
        <v>0.75185185185185177</v>
      </c>
    </row>
    <row r="946" spans="2:19" ht="11.4" customHeight="1" x14ac:dyDescent="0.2">
      <c r="B946" s="24"/>
      <c r="C946" s="7">
        <v>45773</v>
      </c>
      <c r="D946" s="18" t="s">
        <v>987</v>
      </c>
      <c r="E946" s="18" t="s">
        <v>937</v>
      </c>
      <c r="F946" s="17">
        <v>20</v>
      </c>
      <c r="G946" s="18" t="s">
        <v>23</v>
      </c>
      <c r="H946" s="17">
        <v>6.48</v>
      </c>
      <c r="I946" s="8">
        <v>12.9</v>
      </c>
      <c r="J946" s="21">
        <f t="shared" si="42"/>
        <v>0.9907407407407407</v>
      </c>
      <c r="K946" s="1">
        <v>4</v>
      </c>
      <c r="L946" s="24">
        <v>0.6</v>
      </c>
      <c r="M946" s="24">
        <v>12.254999999999999</v>
      </c>
      <c r="N946" s="21">
        <f t="shared" si="43"/>
        <v>0.89120370370370339</v>
      </c>
      <c r="P946" s="1">
        <v>10</v>
      </c>
      <c r="Q946" s="24">
        <v>1.548</v>
      </c>
      <c r="R946" s="24">
        <v>11.352</v>
      </c>
      <c r="S946" s="21">
        <f t="shared" si="44"/>
        <v>0.75185185185185177</v>
      </c>
    </row>
    <row r="947" spans="2:19" ht="11.4" customHeight="1" x14ac:dyDescent="0.2">
      <c r="B947" s="24"/>
      <c r="C947" s="7">
        <v>45769</v>
      </c>
      <c r="D947" s="18" t="s">
        <v>988</v>
      </c>
      <c r="E947" s="18" t="s">
        <v>937</v>
      </c>
      <c r="F947" s="17">
        <v>20</v>
      </c>
      <c r="G947" s="18" t="s">
        <v>23</v>
      </c>
      <c r="H947" s="17">
        <v>6.1</v>
      </c>
      <c r="I947" s="8">
        <v>12.9</v>
      </c>
      <c r="J947" s="21">
        <f t="shared" si="42"/>
        <v>1.1147540983606559</v>
      </c>
      <c r="K947" s="1">
        <v>4</v>
      </c>
      <c r="L947" s="24">
        <v>0.6</v>
      </c>
      <c r="M947" s="24">
        <v>12.254999999999999</v>
      </c>
      <c r="N947" s="21">
        <f t="shared" si="43"/>
        <v>1.0090163934426228</v>
      </c>
      <c r="P947" s="1">
        <v>10</v>
      </c>
      <c r="Q947" s="24">
        <v>1.548</v>
      </c>
      <c r="R947" s="24">
        <v>11.352</v>
      </c>
      <c r="S947" s="21">
        <f t="shared" si="44"/>
        <v>0.86098360655737716</v>
      </c>
    </row>
    <row r="948" spans="2:19" ht="11.4" customHeight="1" x14ac:dyDescent="0.2">
      <c r="B948" s="24"/>
      <c r="C948" s="7">
        <v>45772</v>
      </c>
      <c r="D948" s="18" t="s">
        <v>989</v>
      </c>
      <c r="E948" s="18" t="s">
        <v>937</v>
      </c>
      <c r="F948" s="17">
        <v>20</v>
      </c>
      <c r="G948" s="18" t="s">
        <v>23</v>
      </c>
      <c r="H948" s="17">
        <v>6.48</v>
      </c>
      <c r="I948" s="8">
        <v>12.9</v>
      </c>
      <c r="J948" s="21">
        <f t="shared" si="42"/>
        <v>0.9907407407407407</v>
      </c>
      <c r="K948" s="1">
        <v>4</v>
      </c>
      <c r="L948" s="24">
        <v>0.6</v>
      </c>
      <c r="M948" s="24">
        <v>12.254999999999999</v>
      </c>
      <c r="N948" s="21">
        <f t="shared" si="43"/>
        <v>0.89120370370370339</v>
      </c>
      <c r="P948" s="1">
        <v>10</v>
      </c>
      <c r="Q948" s="24">
        <v>1.548</v>
      </c>
      <c r="R948" s="24">
        <v>11.352</v>
      </c>
      <c r="S948" s="21">
        <f t="shared" si="44"/>
        <v>0.75185185185185177</v>
      </c>
    </row>
    <row r="949" spans="2:19" ht="11.4" customHeight="1" x14ac:dyDescent="0.2">
      <c r="B949" s="24"/>
      <c r="C949" s="7">
        <v>39203</v>
      </c>
      <c r="D949" s="18" t="s">
        <v>990</v>
      </c>
      <c r="E949" s="18" t="s">
        <v>937</v>
      </c>
      <c r="F949" s="17">
        <v>35</v>
      </c>
      <c r="G949" s="18" t="s">
        <v>23</v>
      </c>
      <c r="H949" s="17">
        <v>35.200000000000003</v>
      </c>
      <c r="I949" s="8">
        <v>35.9</v>
      </c>
      <c r="J949" s="21">
        <f t="shared" si="42"/>
        <v>1.9886363636363515E-2</v>
      </c>
      <c r="K949" s="1">
        <v>4</v>
      </c>
      <c r="L949" s="24">
        <v>1.7</v>
      </c>
      <c r="M949" s="24">
        <v>34.104999999999997</v>
      </c>
      <c r="N949" s="21">
        <f t="shared" si="43"/>
        <v>-3.1107954545454713E-2</v>
      </c>
      <c r="P949" s="1">
        <v>10</v>
      </c>
      <c r="Q949" s="24">
        <v>4.3079999999999998</v>
      </c>
      <c r="R949" s="24">
        <v>31.591999999999999</v>
      </c>
      <c r="S949" s="21">
        <f t="shared" si="44"/>
        <v>-0.1025000000000001</v>
      </c>
    </row>
    <row r="950" spans="2:19" ht="11.4" customHeight="1" x14ac:dyDescent="0.2">
      <c r="B950" s="24"/>
      <c r="C950" s="7">
        <v>39202</v>
      </c>
      <c r="D950" s="18" t="s">
        <v>991</v>
      </c>
      <c r="E950" s="18" t="s">
        <v>937</v>
      </c>
      <c r="F950" s="17">
        <v>35</v>
      </c>
      <c r="G950" s="18" t="s">
        <v>23</v>
      </c>
      <c r="H950" s="17">
        <v>32.5</v>
      </c>
      <c r="I950" s="8">
        <v>35.9</v>
      </c>
      <c r="J950" s="21">
        <f t="shared" si="42"/>
        <v>0.10461538461538457</v>
      </c>
      <c r="K950" s="1">
        <v>4</v>
      </c>
      <c r="L950" s="24">
        <v>1.7</v>
      </c>
      <c r="M950" s="24">
        <v>34.104999999999997</v>
      </c>
      <c r="N950" s="21">
        <f t="shared" si="43"/>
        <v>4.9384615384615291E-2</v>
      </c>
      <c r="P950" s="1">
        <v>10</v>
      </c>
      <c r="Q950" s="24">
        <v>4.3079999999999998</v>
      </c>
      <c r="R950" s="24">
        <v>31.591999999999999</v>
      </c>
      <c r="S950" s="21">
        <f t="shared" si="44"/>
        <v>-2.7938461538461579E-2</v>
      </c>
    </row>
    <row r="951" spans="2:19" ht="11.4" customHeight="1" x14ac:dyDescent="0.2">
      <c r="B951" s="24"/>
      <c r="C951" s="7">
        <v>39211</v>
      </c>
      <c r="D951" s="18" t="s">
        <v>992</v>
      </c>
      <c r="E951" s="18" t="s">
        <v>953</v>
      </c>
      <c r="F951" s="17">
        <v>25</v>
      </c>
      <c r="G951" s="18" t="s">
        <v>23</v>
      </c>
      <c r="H951" s="17">
        <v>47.9</v>
      </c>
      <c r="I951" s="8">
        <v>60.9</v>
      </c>
      <c r="J951" s="21">
        <f t="shared" si="42"/>
        <v>0.27139874739039666</v>
      </c>
      <c r="K951" s="1">
        <v>4</v>
      </c>
      <c r="L951" s="24">
        <v>3</v>
      </c>
      <c r="M951" s="24">
        <v>57.854999999999997</v>
      </c>
      <c r="N951" s="21">
        <f t="shared" si="43"/>
        <v>0.2078288100208768</v>
      </c>
      <c r="P951" s="1">
        <v>10</v>
      </c>
      <c r="Q951" s="24">
        <v>7.3079999999999998</v>
      </c>
      <c r="R951" s="24">
        <v>53.591999999999999</v>
      </c>
      <c r="S951" s="21">
        <f t="shared" si="44"/>
        <v>0.11883089770354907</v>
      </c>
    </row>
    <row r="952" spans="2:19" ht="11.4" customHeight="1" x14ac:dyDescent="0.2">
      <c r="B952" s="24"/>
      <c r="C952" s="7">
        <v>39212</v>
      </c>
      <c r="D952" s="18" t="s">
        <v>993</v>
      </c>
      <c r="E952" s="18" t="s">
        <v>953</v>
      </c>
      <c r="F952" s="17">
        <v>30</v>
      </c>
      <c r="G952" s="18" t="s">
        <v>23</v>
      </c>
      <c r="H952" s="17">
        <v>47.9</v>
      </c>
      <c r="I952" s="8">
        <v>50.7</v>
      </c>
      <c r="J952" s="21">
        <f t="shared" si="42"/>
        <v>5.8455114822547061E-2</v>
      </c>
      <c r="K952" s="1">
        <v>4</v>
      </c>
      <c r="L952" s="24">
        <v>2.5</v>
      </c>
      <c r="M952" s="24">
        <v>48.164999999999999</v>
      </c>
      <c r="N952" s="21">
        <f t="shared" si="43"/>
        <v>5.5323590814196364E-3</v>
      </c>
      <c r="P952" s="1">
        <v>10</v>
      </c>
      <c r="Q952" s="24">
        <v>6.0840000000000032</v>
      </c>
      <c r="R952" s="24">
        <v>44.616</v>
      </c>
      <c r="S952" s="21">
        <f t="shared" si="44"/>
        <v>-6.8559498956158649E-2</v>
      </c>
    </row>
    <row r="953" spans="2:19" ht="11.4" customHeight="1" x14ac:dyDescent="0.2">
      <c r="B953" s="24"/>
      <c r="C953" s="7">
        <v>44633</v>
      </c>
      <c r="D953" s="18" t="s">
        <v>994</v>
      </c>
      <c r="E953" s="18" t="s">
        <v>937</v>
      </c>
      <c r="F953" s="17">
        <v>12</v>
      </c>
      <c r="G953" s="18" t="s">
        <v>23</v>
      </c>
      <c r="H953" s="17">
        <v>105.48</v>
      </c>
      <c r="I953" s="8">
        <v>142.5</v>
      </c>
      <c r="J953" s="21">
        <f t="shared" si="42"/>
        <v>0.35096700796359492</v>
      </c>
      <c r="K953" s="1">
        <v>4</v>
      </c>
      <c r="L953" s="24">
        <v>7.1</v>
      </c>
      <c r="M953" s="24">
        <v>135.375</v>
      </c>
      <c r="N953" s="21">
        <f t="shared" si="43"/>
        <v>0.28341865756541518</v>
      </c>
      <c r="P953" s="1">
        <v>10</v>
      </c>
      <c r="Q953" s="24">
        <v>17.099999999999994</v>
      </c>
      <c r="R953" s="24">
        <v>125.4</v>
      </c>
      <c r="S953" s="21">
        <f t="shared" si="44"/>
        <v>0.18885096700796361</v>
      </c>
    </row>
    <row r="954" spans="2:19" ht="11.4" customHeight="1" x14ac:dyDescent="0.2">
      <c r="B954" s="24"/>
      <c r="C954" s="7">
        <v>41008</v>
      </c>
      <c r="D954" s="18" t="s">
        <v>995</v>
      </c>
      <c r="E954" s="18" t="s">
        <v>937</v>
      </c>
      <c r="F954" s="17">
        <v>21</v>
      </c>
      <c r="G954" s="18" t="s">
        <v>23</v>
      </c>
      <c r="H954" s="17">
        <v>44.76</v>
      </c>
      <c r="I954" s="8">
        <v>60.9</v>
      </c>
      <c r="J954" s="21">
        <f t="shared" si="42"/>
        <v>0.3605898123324397</v>
      </c>
      <c r="K954" s="1">
        <v>4</v>
      </c>
      <c r="L954" s="24">
        <v>3</v>
      </c>
      <c r="M954" s="24">
        <v>57.854999999999997</v>
      </c>
      <c r="N954" s="21">
        <f t="shared" si="43"/>
        <v>0.29256032171581769</v>
      </c>
      <c r="P954" s="1">
        <v>10</v>
      </c>
      <c r="Q954" s="24">
        <v>7.3079999999999998</v>
      </c>
      <c r="R954" s="24">
        <v>53.591999999999999</v>
      </c>
      <c r="S954" s="21">
        <f t="shared" si="44"/>
        <v>0.19731903485254695</v>
      </c>
    </row>
    <row r="955" spans="2:19" ht="11.4" customHeight="1" x14ac:dyDescent="0.2">
      <c r="B955" s="24"/>
      <c r="C955" s="7">
        <v>41009</v>
      </c>
      <c r="D955" s="18" t="s">
        <v>996</v>
      </c>
      <c r="E955" s="18" t="s">
        <v>937</v>
      </c>
      <c r="F955" s="17">
        <v>25</v>
      </c>
      <c r="G955" s="18" t="s">
        <v>23</v>
      </c>
      <c r="H955" s="17">
        <v>39.96</v>
      </c>
      <c r="I955" s="8">
        <v>53.9</v>
      </c>
      <c r="J955" s="21">
        <f t="shared" si="42"/>
        <v>0.34884884884884876</v>
      </c>
      <c r="K955" s="1">
        <v>4</v>
      </c>
      <c r="L955" s="24">
        <v>2.6</v>
      </c>
      <c r="M955" s="24">
        <v>51.204999999999998</v>
      </c>
      <c r="N955" s="21">
        <f t="shared" si="43"/>
        <v>0.28140640640640635</v>
      </c>
      <c r="P955" s="1">
        <v>10</v>
      </c>
      <c r="Q955" s="24">
        <v>6.4679999999999964</v>
      </c>
      <c r="R955" s="24">
        <v>47.432000000000002</v>
      </c>
      <c r="S955" s="21">
        <f t="shared" si="44"/>
        <v>0.18698698698698701</v>
      </c>
    </row>
    <row r="956" spans="2:19" ht="11.4" customHeight="1" x14ac:dyDescent="0.2">
      <c r="B956" s="24"/>
      <c r="C956" s="7">
        <v>39215</v>
      </c>
      <c r="D956" s="18" t="s">
        <v>997</v>
      </c>
      <c r="E956" s="18" t="s">
        <v>937</v>
      </c>
      <c r="F956" s="17">
        <v>8</v>
      </c>
      <c r="G956" s="18" t="s">
        <v>23</v>
      </c>
      <c r="H956" s="17">
        <v>26.5</v>
      </c>
      <c r="I956" s="8">
        <v>28.2</v>
      </c>
      <c r="J956" s="21">
        <f t="shared" si="42"/>
        <v>6.4150943396226387E-2</v>
      </c>
      <c r="K956" s="1">
        <v>4</v>
      </c>
      <c r="L956" s="24">
        <v>1.4</v>
      </c>
      <c r="M956" s="24">
        <v>26.79</v>
      </c>
      <c r="N956" s="21">
        <f t="shared" si="43"/>
        <v>1.0943396226415061E-2</v>
      </c>
      <c r="P956" s="1">
        <v>10</v>
      </c>
      <c r="Q956" s="24">
        <v>3.3840000000000003</v>
      </c>
      <c r="R956" s="24">
        <v>24.815999999999999</v>
      </c>
      <c r="S956" s="21">
        <f t="shared" si="44"/>
        <v>-6.3547169811320789E-2</v>
      </c>
    </row>
    <row r="957" spans="2:19" ht="11.4" customHeight="1" x14ac:dyDescent="0.2">
      <c r="B957" s="24"/>
      <c r="C957" s="7">
        <v>39216</v>
      </c>
      <c r="D957" s="18" t="s">
        <v>998</v>
      </c>
      <c r="E957" s="18" t="s">
        <v>937</v>
      </c>
      <c r="F957" s="17">
        <v>8</v>
      </c>
      <c r="G957" s="18" t="s">
        <v>23</v>
      </c>
      <c r="H957" s="17">
        <v>26.5</v>
      </c>
      <c r="I957" s="8">
        <v>28.2</v>
      </c>
      <c r="J957" s="21">
        <f t="shared" si="42"/>
        <v>6.4150943396226387E-2</v>
      </c>
      <c r="K957" s="1">
        <v>4</v>
      </c>
      <c r="L957" s="24">
        <v>1.4</v>
      </c>
      <c r="M957" s="24">
        <v>26.79</v>
      </c>
      <c r="N957" s="21">
        <f t="shared" si="43"/>
        <v>1.0943396226415061E-2</v>
      </c>
      <c r="P957" s="1">
        <v>10</v>
      </c>
      <c r="Q957" s="24">
        <v>3.3840000000000003</v>
      </c>
      <c r="R957" s="24">
        <v>24.815999999999999</v>
      </c>
      <c r="S957" s="21">
        <f t="shared" si="44"/>
        <v>-6.3547169811320789E-2</v>
      </c>
    </row>
    <row r="958" spans="2:19" ht="11.4" customHeight="1" x14ac:dyDescent="0.2">
      <c r="B958" s="24"/>
      <c r="C958" s="7">
        <v>39217</v>
      </c>
      <c r="D958" s="18" t="s">
        <v>999</v>
      </c>
      <c r="E958" s="18" t="s">
        <v>937</v>
      </c>
      <c r="F958" s="17">
        <v>8</v>
      </c>
      <c r="G958" s="18" t="s">
        <v>23</v>
      </c>
      <c r="H958" s="17">
        <v>26.5</v>
      </c>
      <c r="I958" s="8">
        <v>28.2</v>
      </c>
      <c r="J958" s="21">
        <f t="shared" si="42"/>
        <v>6.4150943396226387E-2</v>
      </c>
      <c r="K958" s="1">
        <v>4</v>
      </c>
      <c r="L958" s="24">
        <v>1.4</v>
      </c>
      <c r="M958" s="24">
        <v>26.79</v>
      </c>
      <c r="N958" s="21">
        <f t="shared" si="43"/>
        <v>1.0943396226415061E-2</v>
      </c>
      <c r="P958" s="1">
        <v>10</v>
      </c>
      <c r="Q958" s="24">
        <v>3.3840000000000003</v>
      </c>
      <c r="R958" s="24">
        <v>24.815999999999999</v>
      </c>
      <c r="S958" s="21">
        <f t="shared" si="44"/>
        <v>-6.3547169811320789E-2</v>
      </c>
    </row>
    <row r="959" spans="2:19" ht="11.4" customHeight="1" x14ac:dyDescent="0.2">
      <c r="B959" s="24"/>
      <c r="C959" s="7">
        <v>39207</v>
      </c>
      <c r="D959" s="18" t="s">
        <v>1000</v>
      </c>
      <c r="E959" s="18" t="s">
        <v>937</v>
      </c>
      <c r="F959" s="17">
        <v>35</v>
      </c>
      <c r="G959" s="18" t="s">
        <v>23</v>
      </c>
      <c r="H959" s="17">
        <v>22.5</v>
      </c>
      <c r="I959" s="8">
        <v>24.5</v>
      </c>
      <c r="J959" s="21">
        <f t="shared" si="42"/>
        <v>8.8888888888888892E-2</v>
      </c>
      <c r="K959" s="1">
        <v>4</v>
      </c>
      <c r="L959" s="24">
        <v>1.2</v>
      </c>
      <c r="M959" s="24">
        <v>23.274999999999999</v>
      </c>
      <c r="N959" s="21">
        <f t="shared" si="43"/>
        <v>3.4444444444444382E-2</v>
      </c>
      <c r="P959" s="1">
        <v>10</v>
      </c>
      <c r="Q959" s="24">
        <v>2.9400000000000013</v>
      </c>
      <c r="R959" s="24">
        <v>21.56</v>
      </c>
      <c r="S959" s="21">
        <f t="shared" si="44"/>
        <v>-4.1777777777777837E-2</v>
      </c>
    </row>
    <row r="960" spans="2:19" ht="11.4" customHeight="1" x14ac:dyDescent="0.2">
      <c r="B960" s="24"/>
      <c r="C960" s="7">
        <v>39210</v>
      </c>
      <c r="D960" s="18" t="s">
        <v>1001</v>
      </c>
      <c r="E960" s="18" t="s">
        <v>937</v>
      </c>
      <c r="F960" s="17">
        <v>35</v>
      </c>
      <c r="G960" s="18" t="s">
        <v>23</v>
      </c>
      <c r="H960" s="17">
        <v>22.5</v>
      </c>
      <c r="I960" s="8">
        <v>24.5</v>
      </c>
      <c r="J960" s="21">
        <f t="shared" si="42"/>
        <v>8.8888888888888892E-2</v>
      </c>
      <c r="K960" s="1">
        <v>4</v>
      </c>
      <c r="L960" s="24">
        <v>1.2</v>
      </c>
      <c r="M960" s="24">
        <v>23.274999999999999</v>
      </c>
      <c r="N960" s="21">
        <f t="shared" si="43"/>
        <v>3.4444444444444382E-2</v>
      </c>
      <c r="P960" s="1">
        <v>10</v>
      </c>
      <c r="Q960" s="24">
        <v>2.9400000000000013</v>
      </c>
      <c r="R960" s="24">
        <v>21.56</v>
      </c>
      <c r="S960" s="21">
        <f t="shared" si="44"/>
        <v>-4.1777777777777837E-2</v>
      </c>
    </row>
    <row r="961" spans="2:19" ht="11.4" customHeight="1" x14ac:dyDescent="0.2">
      <c r="B961" s="24"/>
      <c r="C961" s="7">
        <v>39209</v>
      </c>
      <c r="D961" s="18" t="s">
        <v>1002</v>
      </c>
      <c r="E961" s="18" t="s">
        <v>937</v>
      </c>
      <c r="F961" s="17">
        <v>35</v>
      </c>
      <c r="G961" s="18" t="s">
        <v>23</v>
      </c>
      <c r="H961" s="17">
        <v>22.5</v>
      </c>
      <c r="I961" s="8">
        <v>24.5</v>
      </c>
      <c r="J961" s="21">
        <f t="shared" si="42"/>
        <v>8.8888888888888892E-2</v>
      </c>
      <c r="K961" s="1">
        <v>4</v>
      </c>
      <c r="L961" s="24">
        <v>1.2</v>
      </c>
      <c r="M961" s="24">
        <v>23.274999999999999</v>
      </c>
      <c r="N961" s="21">
        <f t="shared" si="43"/>
        <v>3.4444444444444382E-2</v>
      </c>
      <c r="P961" s="1">
        <v>10</v>
      </c>
      <c r="Q961" s="24">
        <v>2.9400000000000013</v>
      </c>
      <c r="R961" s="24">
        <v>21.56</v>
      </c>
      <c r="S961" s="21">
        <f t="shared" si="44"/>
        <v>-4.1777777777777837E-2</v>
      </c>
    </row>
    <row r="962" spans="2:19" ht="11.4" customHeight="1" x14ac:dyDescent="0.2">
      <c r="B962" s="24"/>
      <c r="C962" s="7">
        <v>39208</v>
      </c>
      <c r="D962" s="18" t="s">
        <v>1003</v>
      </c>
      <c r="E962" s="18" t="s">
        <v>937</v>
      </c>
      <c r="F962" s="17">
        <v>30</v>
      </c>
      <c r="G962" s="18" t="s">
        <v>23</v>
      </c>
      <c r="H962" s="17">
        <v>22.5</v>
      </c>
      <c r="I962" s="8">
        <v>30.3</v>
      </c>
      <c r="J962" s="21">
        <f t="shared" si="42"/>
        <v>0.34666666666666668</v>
      </c>
      <c r="K962" s="1">
        <v>4</v>
      </c>
      <c r="L962" s="24">
        <v>1.5</v>
      </c>
      <c r="M962" s="24">
        <v>28.785</v>
      </c>
      <c r="N962" s="21">
        <f t="shared" si="43"/>
        <v>0.27933333333333332</v>
      </c>
      <c r="P962" s="1">
        <v>10</v>
      </c>
      <c r="Q962" s="24">
        <v>3.6359999999999992</v>
      </c>
      <c r="R962" s="24">
        <v>26.664000000000001</v>
      </c>
      <c r="S962" s="21">
        <f t="shared" si="44"/>
        <v>0.18506666666666674</v>
      </c>
    </row>
    <row r="963" spans="2:19" ht="11.4" customHeight="1" x14ac:dyDescent="0.2">
      <c r="B963" s="24"/>
      <c r="C963" s="7">
        <v>28742</v>
      </c>
      <c r="D963" s="18" t="s">
        <v>1004</v>
      </c>
      <c r="E963" s="18" t="s">
        <v>1005</v>
      </c>
      <c r="F963" s="17">
        <v>50</v>
      </c>
      <c r="G963" s="18" t="s">
        <v>23</v>
      </c>
      <c r="H963" s="17">
        <v>5.5</v>
      </c>
      <c r="I963" s="8">
        <v>7.9</v>
      </c>
      <c r="J963" s="21">
        <f t="shared" ref="J963:J1026" si="45">(I963-H963)/H963</f>
        <v>0.43636363636363645</v>
      </c>
      <c r="K963" s="1">
        <v>4</v>
      </c>
      <c r="L963" s="24">
        <v>0.3</v>
      </c>
      <c r="M963" s="24">
        <v>7.5049999999999999</v>
      </c>
      <c r="N963" s="21">
        <f t="shared" ref="N963:N1026" si="46">(M963-H963)/H963</f>
        <v>0.36454545454545451</v>
      </c>
      <c r="P963" s="1">
        <v>10</v>
      </c>
      <c r="Q963" s="24">
        <v>0.9480000000000004</v>
      </c>
      <c r="R963" s="24">
        <v>6.952</v>
      </c>
      <c r="S963" s="21">
        <f t="shared" ref="S963:S1026" si="47">(R963-H963)/H963</f>
        <v>0.26400000000000001</v>
      </c>
    </row>
    <row r="964" spans="2:19" ht="11.4" customHeight="1" x14ac:dyDescent="0.2">
      <c r="B964" s="24"/>
      <c r="C964" s="7">
        <v>15311</v>
      </c>
      <c r="D964" s="18" t="s">
        <v>1006</v>
      </c>
      <c r="E964" s="18" t="s">
        <v>1005</v>
      </c>
      <c r="F964" s="17">
        <v>100</v>
      </c>
      <c r="G964" s="18" t="s">
        <v>23</v>
      </c>
      <c r="H964" s="17">
        <v>5.9</v>
      </c>
      <c r="I964" s="8">
        <v>6.9</v>
      </c>
      <c r="J964" s="21">
        <f t="shared" si="45"/>
        <v>0.16949152542372881</v>
      </c>
      <c r="K964" s="1">
        <v>4</v>
      </c>
      <c r="L964" s="24">
        <v>0.3</v>
      </c>
      <c r="M964" s="24">
        <v>6.5549999999999997</v>
      </c>
      <c r="N964" s="21">
        <f t="shared" si="46"/>
        <v>0.11101694915254226</v>
      </c>
      <c r="P964" s="1">
        <v>10</v>
      </c>
      <c r="Q964" s="24">
        <v>0.82800000000000029</v>
      </c>
      <c r="R964" s="24">
        <v>6.0720000000000001</v>
      </c>
      <c r="S964" s="21">
        <f t="shared" si="47"/>
        <v>2.9152542372881306E-2</v>
      </c>
    </row>
    <row r="965" spans="2:19" ht="11.4" customHeight="1" x14ac:dyDescent="0.2">
      <c r="B965" s="24"/>
      <c r="C965" s="7">
        <v>10837</v>
      </c>
      <c r="D965" s="18" t="s">
        <v>1007</v>
      </c>
      <c r="E965" s="18" t="s">
        <v>1005</v>
      </c>
      <c r="F965" s="17">
        <v>50</v>
      </c>
      <c r="G965" s="18" t="s">
        <v>23</v>
      </c>
      <c r="H965" s="17">
        <v>6.96</v>
      </c>
      <c r="I965" s="8">
        <v>9.4</v>
      </c>
      <c r="J965" s="21">
        <f t="shared" si="45"/>
        <v>0.35057471264367823</v>
      </c>
      <c r="K965" s="1">
        <v>4</v>
      </c>
      <c r="L965" s="24">
        <v>0.4</v>
      </c>
      <c r="M965" s="24">
        <v>8.93</v>
      </c>
      <c r="N965" s="21">
        <f t="shared" si="46"/>
        <v>0.2830459770114942</v>
      </c>
      <c r="P965" s="1">
        <v>10</v>
      </c>
      <c r="Q965" s="24">
        <v>1.1280000000000001</v>
      </c>
      <c r="R965" s="24">
        <v>8.2720000000000002</v>
      </c>
      <c r="S965" s="21">
        <f t="shared" si="47"/>
        <v>0.18850574712643683</v>
      </c>
    </row>
    <row r="966" spans="2:19" ht="11.4" customHeight="1" x14ac:dyDescent="0.2">
      <c r="B966" s="24"/>
      <c r="C966" s="7">
        <v>23801</v>
      </c>
      <c r="D966" s="18" t="s">
        <v>1008</v>
      </c>
      <c r="E966" s="18" t="s">
        <v>1005</v>
      </c>
      <c r="F966" s="17">
        <v>25</v>
      </c>
      <c r="G966" s="18" t="s">
        <v>23</v>
      </c>
      <c r="H966" s="17">
        <v>29.9</v>
      </c>
      <c r="I966" s="8">
        <v>26.9</v>
      </c>
      <c r="J966" s="21">
        <f t="shared" si="45"/>
        <v>-0.10033444816053512</v>
      </c>
      <c r="K966" s="1">
        <v>4</v>
      </c>
      <c r="L966" s="24">
        <v>1.3</v>
      </c>
      <c r="M966" s="24">
        <v>25.554999999999996</v>
      </c>
      <c r="N966" s="21">
        <f t="shared" si="46"/>
        <v>-0.14531772575250845</v>
      </c>
      <c r="P966" s="1">
        <v>10</v>
      </c>
      <c r="Q966" s="24">
        <v>3.227999999999998</v>
      </c>
      <c r="R966" s="24">
        <v>23.672000000000001</v>
      </c>
      <c r="S966" s="21">
        <f t="shared" si="47"/>
        <v>-0.20829431438127086</v>
      </c>
    </row>
    <row r="967" spans="2:19" ht="11.4" customHeight="1" x14ac:dyDescent="0.2">
      <c r="B967" s="24"/>
      <c r="C967" s="7">
        <v>45771</v>
      </c>
      <c r="D967" s="18" t="s">
        <v>1009</v>
      </c>
      <c r="E967" s="18" t="s">
        <v>1010</v>
      </c>
      <c r="F967" s="17">
        <v>25</v>
      </c>
      <c r="G967" s="18" t="s">
        <v>23</v>
      </c>
      <c r="H967" s="17">
        <v>11.38</v>
      </c>
      <c r="I967" s="8">
        <v>19.899999999999999</v>
      </c>
      <c r="J967" s="21">
        <f t="shared" si="45"/>
        <v>0.74868189806678354</v>
      </c>
      <c r="K967" s="1">
        <v>4</v>
      </c>
      <c r="L967" s="24">
        <v>0.9</v>
      </c>
      <c r="M967" s="24">
        <v>18.904999999999998</v>
      </c>
      <c r="N967" s="21">
        <f t="shared" si="46"/>
        <v>0.66124780316344434</v>
      </c>
      <c r="P967" s="1">
        <v>10</v>
      </c>
      <c r="Q967" s="24">
        <v>2.3879999999999981</v>
      </c>
      <c r="R967" s="24">
        <v>17.512</v>
      </c>
      <c r="S967" s="21">
        <f t="shared" si="47"/>
        <v>0.53884007029876968</v>
      </c>
    </row>
    <row r="968" spans="2:19" ht="11.4" customHeight="1" x14ac:dyDescent="0.2">
      <c r="B968" s="24"/>
      <c r="C968" s="7">
        <v>43894</v>
      </c>
      <c r="D968" s="18" t="s">
        <v>1011</v>
      </c>
      <c r="E968" s="18" t="s">
        <v>1010</v>
      </c>
      <c r="F968" s="17">
        <v>30</v>
      </c>
      <c r="G968" s="18" t="s">
        <v>23</v>
      </c>
      <c r="H968" s="17">
        <v>44.12</v>
      </c>
      <c r="I968" s="8">
        <v>62.7</v>
      </c>
      <c r="J968" s="21">
        <f t="shared" si="45"/>
        <v>0.42112420670897566</v>
      </c>
      <c r="K968" s="1">
        <v>4</v>
      </c>
      <c r="L968" s="24">
        <v>3.1</v>
      </c>
      <c r="M968" s="24">
        <v>59.564999999999998</v>
      </c>
      <c r="N968" s="21">
        <f t="shared" si="46"/>
        <v>0.35006799637352676</v>
      </c>
      <c r="P968" s="1">
        <v>10</v>
      </c>
      <c r="Q968" s="24">
        <v>7.5240000000000009</v>
      </c>
      <c r="R968" s="24">
        <v>55.176000000000002</v>
      </c>
      <c r="S968" s="21">
        <f t="shared" si="47"/>
        <v>0.25058930190389855</v>
      </c>
    </row>
    <row r="969" spans="2:19" ht="11.4" customHeight="1" x14ac:dyDescent="0.2">
      <c r="B969" s="24"/>
      <c r="C969" s="7">
        <v>11042</v>
      </c>
      <c r="D969" s="18" t="s">
        <v>1012</v>
      </c>
      <c r="E969" s="18" t="s">
        <v>937</v>
      </c>
      <c r="F969" s="17">
        <v>8</v>
      </c>
      <c r="G969" s="18" t="s">
        <v>23</v>
      </c>
      <c r="H969" s="17">
        <v>121.2</v>
      </c>
      <c r="I969" s="8">
        <v>179.9</v>
      </c>
      <c r="J969" s="21">
        <f t="shared" si="45"/>
        <v>0.48432343234323433</v>
      </c>
      <c r="K969" s="1">
        <v>4</v>
      </c>
      <c r="L969" s="24">
        <v>8.9</v>
      </c>
      <c r="M969" s="24">
        <v>170.905</v>
      </c>
      <c r="N969" s="21">
        <f t="shared" si="46"/>
        <v>0.41010726072607256</v>
      </c>
      <c r="P969" s="1">
        <v>10</v>
      </c>
      <c r="Q969" s="24">
        <v>21.587999999999994</v>
      </c>
      <c r="R969" s="24">
        <v>158.31200000000001</v>
      </c>
      <c r="S969" s="21">
        <f t="shared" si="47"/>
        <v>0.30620462046204627</v>
      </c>
    </row>
    <row r="970" spans="2:19" ht="11.4" customHeight="1" x14ac:dyDescent="0.2">
      <c r="B970" s="24"/>
      <c r="C970" s="7">
        <v>38050</v>
      </c>
      <c r="D970" s="18" t="s">
        <v>1013</v>
      </c>
      <c r="E970" s="18" t="s">
        <v>937</v>
      </c>
      <c r="F970" s="17">
        <v>4</v>
      </c>
      <c r="G970" s="18" t="s">
        <v>23</v>
      </c>
      <c r="H970" s="17">
        <v>39.96</v>
      </c>
      <c r="I970" s="8">
        <v>53.9</v>
      </c>
      <c r="J970" s="21">
        <f t="shared" si="45"/>
        <v>0.34884884884884876</v>
      </c>
      <c r="K970" s="1">
        <v>4</v>
      </c>
      <c r="L970" s="24">
        <v>2.6</v>
      </c>
      <c r="M970" s="24">
        <v>51.204999999999998</v>
      </c>
      <c r="N970" s="21">
        <f t="shared" si="46"/>
        <v>0.28140640640640635</v>
      </c>
      <c r="P970" s="1">
        <v>10</v>
      </c>
      <c r="Q970" s="24">
        <v>6.4679999999999964</v>
      </c>
      <c r="R970" s="24">
        <v>47.432000000000002</v>
      </c>
      <c r="S970" s="21">
        <f t="shared" si="47"/>
        <v>0.18698698698698701</v>
      </c>
    </row>
    <row r="971" spans="2:19" ht="11.4" customHeight="1" x14ac:dyDescent="0.2">
      <c r="B971" s="24"/>
      <c r="C971" s="7">
        <v>11044</v>
      </c>
      <c r="D971" s="18" t="s">
        <v>1014</v>
      </c>
      <c r="E971" s="18" t="s">
        <v>937</v>
      </c>
      <c r="F971" s="17">
        <v>8</v>
      </c>
      <c r="G971" s="18" t="s">
        <v>23</v>
      </c>
      <c r="H971" s="17">
        <v>105.9</v>
      </c>
      <c r="I971" s="8">
        <v>157.5</v>
      </c>
      <c r="J971" s="21">
        <f t="shared" si="45"/>
        <v>0.48725212464589229</v>
      </c>
      <c r="K971" s="1">
        <v>4</v>
      </c>
      <c r="L971" s="24">
        <v>7.8</v>
      </c>
      <c r="M971" s="24">
        <v>149.625</v>
      </c>
      <c r="N971" s="21">
        <f t="shared" si="46"/>
        <v>0.41288951841359767</v>
      </c>
      <c r="P971" s="1">
        <v>10</v>
      </c>
      <c r="Q971" s="24">
        <v>18.900000000000006</v>
      </c>
      <c r="R971" s="24">
        <v>138.6</v>
      </c>
      <c r="S971" s="21">
        <f t="shared" si="47"/>
        <v>0.30878186968838517</v>
      </c>
    </row>
    <row r="972" spans="2:19" ht="11.4" customHeight="1" x14ac:dyDescent="0.2">
      <c r="B972" s="24"/>
      <c r="C972" s="7">
        <v>38048</v>
      </c>
      <c r="D972" s="18" t="s">
        <v>1015</v>
      </c>
      <c r="E972" s="18" t="s">
        <v>937</v>
      </c>
      <c r="F972" s="17">
        <v>8</v>
      </c>
      <c r="G972" s="18" t="s">
        <v>23</v>
      </c>
      <c r="H972" s="17">
        <v>41.1</v>
      </c>
      <c r="I972" s="8">
        <v>55.9</v>
      </c>
      <c r="J972" s="21">
        <f t="shared" si="45"/>
        <v>0.36009732360097313</v>
      </c>
      <c r="K972" s="1">
        <v>4</v>
      </c>
      <c r="L972" s="24">
        <v>2.7</v>
      </c>
      <c r="M972" s="24">
        <v>53.104999999999997</v>
      </c>
      <c r="N972" s="21">
        <f t="shared" si="46"/>
        <v>0.29209245742092443</v>
      </c>
      <c r="P972" s="1">
        <v>10</v>
      </c>
      <c r="Q972" s="24">
        <v>6.7079999999999984</v>
      </c>
      <c r="R972" s="24">
        <v>49.192</v>
      </c>
      <c r="S972" s="21">
        <f t="shared" si="47"/>
        <v>0.19688564476885642</v>
      </c>
    </row>
    <row r="973" spans="2:19" ht="11.4" customHeight="1" x14ac:dyDescent="0.2">
      <c r="B973" s="24"/>
      <c r="C973" s="7">
        <v>38049</v>
      </c>
      <c r="D973" s="18" t="s">
        <v>1016</v>
      </c>
      <c r="E973" s="18" t="s">
        <v>937</v>
      </c>
      <c r="F973" s="17">
        <v>8</v>
      </c>
      <c r="G973" s="18" t="s">
        <v>23</v>
      </c>
      <c r="H973" s="17">
        <v>46.44</v>
      </c>
      <c r="I973" s="8">
        <v>62.9</v>
      </c>
      <c r="J973" s="21">
        <f t="shared" si="45"/>
        <v>0.35443583118001726</v>
      </c>
      <c r="K973" s="1">
        <v>4</v>
      </c>
      <c r="L973" s="24">
        <v>3.1</v>
      </c>
      <c r="M973" s="24">
        <v>59.754999999999995</v>
      </c>
      <c r="N973" s="21">
        <f t="shared" si="46"/>
        <v>0.28671403962101633</v>
      </c>
      <c r="P973" s="1">
        <v>10</v>
      </c>
      <c r="Q973" s="24">
        <v>7.5480000000000018</v>
      </c>
      <c r="R973" s="24">
        <v>55.351999999999997</v>
      </c>
      <c r="S973" s="21">
        <f t="shared" si="47"/>
        <v>0.19190353143841515</v>
      </c>
    </row>
    <row r="974" spans="2:19" ht="11.4" customHeight="1" x14ac:dyDescent="0.2">
      <c r="B974" s="24"/>
      <c r="C974" s="7">
        <v>45501</v>
      </c>
      <c r="D974" s="18" t="s">
        <v>1017</v>
      </c>
      <c r="E974" s="18" t="s">
        <v>935</v>
      </c>
      <c r="F974" s="17">
        <v>50</v>
      </c>
      <c r="G974" s="18" t="s">
        <v>23</v>
      </c>
      <c r="H974" s="17">
        <v>2.66</v>
      </c>
      <c r="I974" s="8">
        <v>4.9000000000000004</v>
      </c>
      <c r="J974" s="21">
        <f t="shared" si="45"/>
        <v>0.8421052631578948</v>
      </c>
      <c r="K974" s="1">
        <v>4</v>
      </c>
      <c r="L974" s="24">
        <v>0.2</v>
      </c>
      <c r="M974" s="24">
        <v>4.6550000000000002</v>
      </c>
      <c r="N974" s="21">
        <f t="shared" si="46"/>
        <v>0.75</v>
      </c>
      <c r="P974" s="1">
        <v>10</v>
      </c>
      <c r="Q974" s="24">
        <v>0.58800000000000008</v>
      </c>
      <c r="R974" s="24">
        <v>4.3120000000000003</v>
      </c>
      <c r="S974" s="21">
        <f t="shared" si="47"/>
        <v>0.62105263157894741</v>
      </c>
    </row>
    <row r="975" spans="2:19" ht="11.4" customHeight="1" x14ac:dyDescent="0.2">
      <c r="B975" s="24"/>
      <c r="C975" s="7">
        <v>43895</v>
      </c>
      <c r="D975" s="18" t="s">
        <v>1018</v>
      </c>
      <c r="E975" s="18" t="s">
        <v>937</v>
      </c>
      <c r="F975" s="17">
        <v>30</v>
      </c>
      <c r="G975" s="18" t="s">
        <v>23</v>
      </c>
      <c r="H975" s="17">
        <v>35.770000000000003</v>
      </c>
      <c r="I975" s="8">
        <v>50.8</v>
      </c>
      <c r="J975" s="21">
        <f t="shared" si="45"/>
        <v>0.42018451216102859</v>
      </c>
      <c r="K975" s="1">
        <v>4</v>
      </c>
      <c r="L975" s="24">
        <v>2.5</v>
      </c>
      <c r="M975" s="24">
        <v>48.26</v>
      </c>
      <c r="N975" s="21">
        <f t="shared" si="46"/>
        <v>0.34917528655297719</v>
      </c>
      <c r="P975" s="1">
        <v>10</v>
      </c>
      <c r="Q975" s="24">
        <v>6.0959999999999965</v>
      </c>
      <c r="R975" s="24">
        <v>44.704000000000001</v>
      </c>
      <c r="S975" s="21">
        <f t="shared" si="47"/>
        <v>0.24976237070170526</v>
      </c>
    </row>
    <row r="976" spans="2:19" ht="11.4" customHeight="1" x14ac:dyDescent="0.2">
      <c r="B976" s="24"/>
      <c r="C976" s="7">
        <v>23806</v>
      </c>
      <c r="D976" s="18" t="s">
        <v>1019</v>
      </c>
      <c r="E976" s="18" t="s">
        <v>937</v>
      </c>
      <c r="F976" s="17">
        <v>10</v>
      </c>
      <c r="G976" s="18" t="s">
        <v>23</v>
      </c>
      <c r="H976" s="17">
        <v>53.4</v>
      </c>
      <c r="I976" s="8">
        <v>71.900000000000006</v>
      </c>
      <c r="J976" s="21">
        <f t="shared" si="45"/>
        <v>0.3464419475655432</v>
      </c>
      <c r="K976" s="1">
        <v>4</v>
      </c>
      <c r="L976" s="24">
        <v>3.5</v>
      </c>
      <c r="M976" s="24">
        <v>68.305000000000007</v>
      </c>
      <c r="N976" s="21">
        <f t="shared" si="46"/>
        <v>0.27911985018726609</v>
      </c>
      <c r="P976" s="1">
        <v>10</v>
      </c>
      <c r="Q976" s="24">
        <v>8.6280000000000001</v>
      </c>
      <c r="R976" s="24">
        <v>63.272000000000006</v>
      </c>
      <c r="S976" s="21">
        <f t="shared" si="47"/>
        <v>0.18486891385767804</v>
      </c>
    </row>
    <row r="977" spans="2:19" ht="11.4" customHeight="1" x14ac:dyDescent="0.2">
      <c r="B977" s="24"/>
      <c r="C977" s="7">
        <v>39214</v>
      </c>
      <c r="D977" s="18" t="s">
        <v>1020</v>
      </c>
      <c r="E977" s="18" t="s">
        <v>944</v>
      </c>
      <c r="F977" s="17">
        <v>25</v>
      </c>
      <c r="G977" s="18" t="s">
        <v>23</v>
      </c>
      <c r="H977" s="17">
        <v>25.9</v>
      </c>
      <c r="I977" s="8">
        <v>30.3</v>
      </c>
      <c r="J977" s="21">
        <f t="shared" si="45"/>
        <v>0.16988416988416999</v>
      </c>
      <c r="K977" s="1">
        <v>4</v>
      </c>
      <c r="L977" s="24">
        <v>1.5</v>
      </c>
      <c r="M977" s="24">
        <v>28.785</v>
      </c>
      <c r="N977" s="21">
        <f t="shared" si="46"/>
        <v>0.11138996138996146</v>
      </c>
      <c r="P977" s="1">
        <v>10</v>
      </c>
      <c r="Q977" s="24">
        <v>3.6359999999999992</v>
      </c>
      <c r="R977" s="24">
        <v>26.664000000000001</v>
      </c>
      <c r="S977" s="21">
        <f t="shared" si="47"/>
        <v>2.9498069498069612E-2</v>
      </c>
    </row>
    <row r="978" spans="2:19" ht="11.4" customHeight="1" x14ac:dyDescent="0.2">
      <c r="B978" s="24"/>
      <c r="C978" s="7">
        <v>45768</v>
      </c>
      <c r="D978" s="18" t="s">
        <v>1021</v>
      </c>
      <c r="E978" s="18" t="s">
        <v>944</v>
      </c>
      <c r="F978" s="17">
        <v>20</v>
      </c>
      <c r="G978" s="18" t="s">
        <v>23</v>
      </c>
      <c r="H978" s="17">
        <v>10.78</v>
      </c>
      <c r="I978" s="8">
        <v>14.3</v>
      </c>
      <c r="J978" s="21">
        <f t="shared" si="45"/>
        <v>0.3265306122448981</v>
      </c>
      <c r="K978" s="1">
        <v>4</v>
      </c>
      <c r="L978" s="24">
        <v>0.7</v>
      </c>
      <c r="M978" s="24">
        <v>13.585000000000001</v>
      </c>
      <c r="N978" s="21">
        <f t="shared" si="46"/>
        <v>0.26020408163265324</v>
      </c>
      <c r="P978" s="1">
        <v>10</v>
      </c>
      <c r="Q978" s="24">
        <v>1.7159999999999993</v>
      </c>
      <c r="R978" s="24">
        <v>12.584000000000001</v>
      </c>
      <c r="S978" s="21">
        <f t="shared" si="47"/>
        <v>0.16734693877551041</v>
      </c>
    </row>
    <row r="979" spans="2:19" ht="11.4" customHeight="1" x14ac:dyDescent="0.2">
      <c r="B979" s="24"/>
      <c r="C979" s="7">
        <v>44845</v>
      </c>
      <c r="D979" s="18" t="s">
        <v>1022</v>
      </c>
      <c r="E979" s="18" t="s">
        <v>1023</v>
      </c>
      <c r="F979" s="17">
        <v>10</v>
      </c>
      <c r="G979" s="18" t="s">
        <v>23</v>
      </c>
      <c r="H979" s="17">
        <v>21.18</v>
      </c>
      <c r="I979" s="8">
        <v>32.4</v>
      </c>
      <c r="J979" s="21">
        <f t="shared" si="45"/>
        <v>0.52974504249291776</v>
      </c>
      <c r="K979" s="1">
        <v>4</v>
      </c>
      <c r="L979" s="24">
        <v>1.6</v>
      </c>
      <c r="M979" s="24">
        <v>30.779999999999998</v>
      </c>
      <c r="N979" s="21">
        <f t="shared" si="46"/>
        <v>0.45325779036827185</v>
      </c>
      <c r="P979" s="1">
        <v>10</v>
      </c>
      <c r="Q979" s="24">
        <v>3.8879999999999981</v>
      </c>
      <c r="R979" s="24">
        <v>28.512</v>
      </c>
      <c r="S979" s="21">
        <f t="shared" si="47"/>
        <v>0.34617563739376772</v>
      </c>
    </row>
    <row r="980" spans="2:19" ht="11.4" customHeight="1" x14ac:dyDescent="0.2">
      <c r="B980" s="24"/>
      <c r="C980" s="7">
        <v>4119</v>
      </c>
      <c r="D980" s="18" t="s">
        <v>1024</v>
      </c>
      <c r="E980" s="18" t="s">
        <v>1025</v>
      </c>
      <c r="F980" s="17">
        <v>15</v>
      </c>
      <c r="G980" s="18" t="s">
        <v>23</v>
      </c>
      <c r="H980" s="17">
        <v>29.76</v>
      </c>
      <c r="I980" s="8">
        <v>38.700000000000003</v>
      </c>
      <c r="J980" s="21">
        <f t="shared" si="45"/>
        <v>0.30040322580645162</v>
      </c>
      <c r="K980" s="1">
        <v>4</v>
      </c>
      <c r="L980" s="24">
        <v>1.9</v>
      </c>
      <c r="M980" s="24">
        <v>36.765000000000001</v>
      </c>
      <c r="N980" s="21">
        <f t="shared" si="46"/>
        <v>0.23538306451612898</v>
      </c>
      <c r="P980" s="1">
        <v>10</v>
      </c>
      <c r="Q980" s="24">
        <v>4.6439999999999984</v>
      </c>
      <c r="R980" s="24">
        <v>34.056000000000004</v>
      </c>
      <c r="S980" s="21">
        <f t="shared" si="47"/>
        <v>0.1443548387096775</v>
      </c>
    </row>
    <row r="981" spans="2:19" ht="11.4" customHeight="1" x14ac:dyDescent="0.2">
      <c r="B981" s="24"/>
      <c r="C981" s="7">
        <v>39093</v>
      </c>
      <c r="D981" s="18" t="s">
        <v>1026</v>
      </c>
      <c r="E981" s="18" t="s">
        <v>1025</v>
      </c>
      <c r="F981" s="17">
        <v>12</v>
      </c>
      <c r="G981" s="18" t="s">
        <v>23</v>
      </c>
      <c r="H981" s="17">
        <v>44.9</v>
      </c>
      <c r="I981" s="8">
        <v>36.9</v>
      </c>
      <c r="J981" s="21">
        <f t="shared" si="45"/>
        <v>-0.17817371937639198</v>
      </c>
      <c r="K981" s="1">
        <v>4</v>
      </c>
      <c r="L981" s="24">
        <v>1.8</v>
      </c>
      <c r="M981" s="24">
        <v>35.055</v>
      </c>
      <c r="N981" s="21">
        <f t="shared" si="46"/>
        <v>-0.21926503340757236</v>
      </c>
      <c r="P981" s="1">
        <v>10</v>
      </c>
      <c r="Q981" s="24">
        <v>4.4279999999999973</v>
      </c>
      <c r="R981" s="24">
        <v>32.472000000000001</v>
      </c>
      <c r="S981" s="21">
        <f t="shared" si="47"/>
        <v>-0.27679287305122491</v>
      </c>
    </row>
    <row r="982" spans="2:19" ht="11.4" customHeight="1" x14ac:dyDescent="0.2">
      <c r="B982" s="24"/>
      <c r="C982" s="7">
        <v>39179</v>
      </c>
      <c r="D982" s="18" t="s">
        <v>1027</v>
      </c>
      <c r="E982" s="18" t="s">
        <v>1025</v>
      </c>
      <c r="F982" s="17">
        <v>10</v>
      </c>
      <c r="G982" s="18" t="s">
        <v>23</v>
      </c>
      <c r="H982" s="17">
        <v>37.74</v>
      </c>
      <c r="I982" s="8">
        <v>52.8</v>
      </c>
      <c r="J982" s="21">
        <f t="shared" si="45"/>
        <v>0.39904610492845771</v>
      </c>
      <c r="K982" s="1">
        <v>4</v>
      </c>
      <c r="L982" s="24">
        <v>2.6</v>
      </c>
      <c r="M982" s="24">
        <v>50.16</v>
      </c>
      <c r="N982" s="21">
        <f t="shared" si="46"/>
        <v>0.32909379968203484</v>
      </c>
      <c r="P982" s="1">
        <v>10</v>
      </c>
      <c r="Q982" s="24">
        <v>6.3359999999999985</v>
      </c>
      <c r="R982" s="24">
        <v>46.463999999999999</v>
      </c>
      <c r="S982" s="21">
        <f t="shared" si="47"/>
        <v>0.23116057233704282</v>
      </c>
    </row>
    <row r="983" spans="2:19" ht="11.4" customHeight="1" x14ac:dyDescent="0.2">
      <c r="B983" s="24"/>
      <c r="C983" s="7">
        <v>13797</v>
      </c>
      <c r="D983" s="18" t="s">
        <v>1028</v>
      </c>
      <c r="E983" s="18" t="s">
        <v>1025</v>
      </c>
      <c r="F983" s="17">
        <v>10</v>
      </c>
      <c r="G983" s="18" t="s">
        <v>23</v>
      </c>
      <c r="H983" s="17">
        <v>22</v>
      </c>
      <c r="I983" s="8">
        <v>30.5</v>
      </c>
      <c r="J983" s="21">
        <f t="shared" si="45"/>
        <v>0.38636363636363635</v>
      </c>
      <c r="K983" s="1">
        <v>4</v>
      </c>
      <c r="L983" s="24">
        <v>1.5</v>
      </c>
      <c r="M983" s="24">
        <v>28.974999999999998</v>
      </c>
      <c r="N983" s="21">
        <f t="shared" si="46"/>
        <v>0.31704545454545446</v>
      </c>
      <c r="P983" s="1">
        <v>10</v>
      </c>
      <c r="Q983" s="24">
        <v>3.66</v>
      </c>
      <c r="R983" s="24">
        <v>26.84</v>
      </c>
      <c r="S983" s="21">
        <f t="shared" si="47"/>
        <v>0.22</v>
      </c>
    </row>
    <row r="984" spans="2:19" ht="11.4" customHeight="1" x14ac:dyDescent="0.2">
      <c r="B984" s="24"/>
      <c r="C984" s="7">
        <v>4106</v>
      </c>
      <c r="D984" s="18" t="s">
        <v>1029</v>
      </c>
      <c r="E984" s="18" t="s">
        <v>1025</v>
      </c>
      <c r="F984" s="17">
        <v>10</v>
      </c>
      <c r="G984" s="18" t="s">
        <v>23</v>
      </c>
      <c r="H984" s="17">
        <v>37.15</v>
      </c>
      <c r="I984" s="8">
        <v>44.3</v>
      </c>
      <c r="J984" s="21">
        <f t="shared" si="45"/>
        <v>0.1924629878869448</v>
      </c>
      <c r="K984" s="1">
        <v>4</v>
      </c>
      <c r="L984" s="24">
        <v>2.2000000000000002</v>
      </c>
      <c r="M984" s="24">
        <v>42.084999999999994</v>
      </c>
      <c r="N984" s="21">
        <f t="shared" si="46"/>
        <v>0.13283983849259745</v>
      </c>
      <c r="P984" s="1">
        <v>10</v>
      </c>
      <c r="Q984" s="24">
        <v>5.3160000000000025</v>
      </c>
      <c r="R984" s="24">
        <v>38.983999999999995</v>
      </c>
      <c r="S984" s="21">
        <f t="shared" si="47"/>
        <v>4.9367429340511339E-2</v>
      </c>
    </row>
    <row r="985" spans="2:19" ht="11.4" customHeight="1" x14ac:dyDescent="0.2">
      <c r="B985" s="24"/>
      <c r="C985" s="7">
        <v>23811</v>
      </c>
      <c r="D985" s="18" t="s">
        <v>1030</v>
      </c>
      <c r="E985" s="18" t="s">
        <v>1025</v>
      </c>
      <c r="F985" s="17">
        <v>10</v>
      </c>
      <c r="G985" s="18" t="s">
        <v>23</v>
      </c>
      <c r="H985" s="17">
        <v>15</v>
      </c>
      <c r="I985" s="8">
        <v>22.5</v>
      </c>
      <c r="J985" s="21">
        <f t="shared" si="45"/>
        <v>0.5</v>
      </c>
      <c r="K985" s="1">
        <v>4</v>
      </c>
      <c r="L985" s="24">
        <v>1.1000000000000001</v>
      </c>
      <c r="M985" s="24">
        <v>21.375</v>
      </c>
      <c r="N985" s="21">
        <f t="shared" si="46"/>
        <v>0.42499999999999999</v>
      </c>
      <c r="P985" s="1">
        <v>10</v>
      </c>
      <c r="Q985" s="24">
        <v>2.6999999999999993</v>
      </c>
      <c r="R985" s="24">
        <v>19.8</v>
      </c>
      <c r="S985" s="21">
        <f t="shared" si="47"/>
        <v>0.32000000000000006</v>
      </c>
    </row>
    <row r="986" spans="2:19" ht="11.4" customHeight="1" x14ac:dyDescent="0.2">
      <c r="B986" s="24"/>
      <c r="C986" s="7">
        <v>39091</v>
      </c>
      <c r="D986" s="18" t="s">
        <v>1031</v>
      </c>
      <c r="E986" s="18" t="s">
        <v>1025</v>
      </c>
      <c r="F986" s="17">
        <v>16</v>
      </c>
      <c r="G986" s="18" t="s">
        <v>23</v>
      </c>
      <c r="H986" s="17">
        <v>67.5</v>
      </c>
      <c r="I986" s="8">
        <v>68.2</v>
      </c>
      <c r="J986" s="21">
        <f t="shared" si="45"/>
        <v>1.0370370370370412E-2</v>
      </c>
      <c r="K986" s="1">
        <v>4</v>
      </c>
      <c r="L986" s="24">
        <v>3.4</v>
      </c>
      <c r="M986" s="24">
        <v>64.790000000000006</v>
      </c>
      <c r="N986" s="21">
        <f t="shared" si="46"/>
        <v>-4.0148148148148058E-2</v>
      </c>
      <c r="P986" s="1">
        <v>10</v>
      </c>
      <c r="Q986" s="24">
        <v>8.1839999999999975</v>
      </c>
      <c r="R986" s="24">
        <v>60.016000000000005</v>
      </c>
      <c r="S986" s="21">
        <f t="shared" si="47"/>
        <v>-0.110874074074074</v>
      </c>
    </row>
    <row r="987" spans="2:19" ht="11.4" customHeight="1" x14ac:dyDescent="0.2">
      <c r="B987" s="24"/>
      <c r="C987" s="7">
        <v>44807</v>
      </c>
      <c r="D987" s="18" t="s">
        <v>1032</v>
      </c>
      <c r="E987" s="18" t="s">
        <v>1033</v>
      </c>
      <c r="F987" s="17">
        <v>20</v>
      </c>
      <c r="G987" s="18" t="s">
        <v>23</v>
      </c>
      <c r="H987" s="17">
        <v>31.5</v>
      </c>
      <c r="I987" s="8">
        <v>44.5</v>
      </c>
      <c r="J987" s="21">
        <f t="shared" si="45"/>
        <v>0.41269841269841268</v>
      </c>
      <c r="K987" s="1">
        <v>4</v>
      </c>
      <c r="L987" s="24">
        <v>2.2000000000000002</v>
      </c>
      <c r="M987" s="24">
        <v>42.274999999999999</v>
      </c>
      <c r="N987" s="21">
        <f t="shared" si="46"/>
        <v>0.34206349206349201</v>
      </c>
      <c r="P987" s="1">
        <v>10</v>
      </c>
      <c r="Q987" s="24">
        <v>5.3399999999999963</v>
      </c>
      <c r="R987" s="24">
        <v>39.160000000000004</v>
      </c>
      <c r="S987" s="21">
        <f t="shared" si="47"/>
        <v>0.24317460317460329</v>
      </c>
    </row>
    <row r="988" spans="2:19" ht="11.4" customHeight="1" x14ac:dyDescent="0.2">
      <c r="B988" s="24"/>
      <c r="C988" s="7">
        <v>38378</v>
      </c>
      <c r="D988" s="18" t="s">
        <v>1034</v>
      </c>
      <c r="E988" s="18" t="s">
        <v>1033</v>
      </c>
      <c r="F988" s="17">
        <v>6</v>
      </c>
      <c r="G988" s="18" t="s">
        <v>23</v>
      </c>
      <c r="H988" s="17">
        <v>98.5</v>
      </c>
      <c r="I988" s="8">
        <v>104.9</v>
      </c>
      <c r="J988" s="21">
        <f t="shared" si="45"/>
        <v>6.497461928934016E-2</v>
      </c>
      <c r="K988" s="1">
        <v>4</v>
      </c>
      <c r="L988" s="24">
        <v>5.2</v>
      </c>
      <c r="M988" s="24">
        <v>99.655000000000001</v>
      </c>
      <c r="N988" s="21">
        <f t="shared" si="46"/>
        <v>1.1725888324873108E-2</v>
      </c>
      <c r="P988" s="1">
        <v>10</v>
      </c>
      <c r="Q988" s="24">
        <v>12.587999999999994</v>
      </c>
      <c r="R988" s="24">
        <v>92.312000000000012</v>
      </c>
      <c r="S988" s="21">
        <f t="shared" si="47"/>
        <v>-6.2822335025380593E-2</v>
      </c>
    </row>
    <row r="989" spans="2:19" ht="11.4" customHeight="1" x14ac:dyDescent="0.2">
      <c r="B989" s="24"/>
      <c r="C989" s="7">
        <v>11589</v>
      </c>
      <c r="D989" s="18" t="s">
        <v>1035</v>
      </c>
      <c r="E989" s="18" t="s">
        <v>1033</v>
      </c>
      <c r="F989" s="17">
        <v>15</v>
      </c>
      <c r="G989" s="18" t="s">
        <v>23</v>
      </c>
      <c r="H989" s="17">
        <v>60.7</v>
      </c>
      <c r="I989" s="8">
        <v>58.9</v>
      </c>
      <c r="J989" s="21">
        <f t="shared" si="45"/>
        <v>-2.9654036243822145E-2</v>
      </c>
      <c r="K989" s="1">
        <v>4</v>
      </c>
      <c r="L989" s="24">
        <v>2.9</v>
      </c>
      <c r="M989" s="24">
        <v>55.954999999999998</v>
      </c>
      <c r="N989" s="21">
        <f t="shared" si="46"/>
        <v>-7.8171334431631045E-2</v>
      </c>
      <c r="P989" s="1">
        <v>10</v>
      </c>
      <c r="Q989" s="24">
        <v>7.0679999999999978</v>
      </c>
      <c r="R989" s="24">
        <v>51.832000000000001</v>
      </c>
      <c r="S989" s="21">
        <f t="shared" si="47"/>
        <v>-0.14609555189456344</v>
      </c>
    </row>
    <row r="990" spans="2:19" ht="11.4" customHeight="1" x14ac:dyDescent="0.2">
      <c r="B990" s="24"/>
      <c r="C990" s="7">
        <v>44859</v>
      </c>
      <c r="D990" s="18" t="s">
        <v>1036</v>
      </c>
      <c r="E990" s="18" t="s">
        <v>1033</v>
      </c>
      <c r="F990" s="17">
        <v>20</v>
      </c>
      <c r="G990" s="18" t="s">
        <v>23</v>
      </c>
      <c r="H990" s="17">
        <v>31.98</v>
      </c>
      <c r="I990" s="8">
        <v>43.2</v>
      </c>
      <c r="J990" s="21">
        <f t="shared" si="45"/>
        <v>0.35084427767354603</v>
      </c>
      <c r="K990" s="1">
        <v>4</v>
      </c>
      <c r="L990" s="24">
        <v>2.1</v>
      </c>
      <c r="M990" s="24">
        <v>41.04</v>
      </c>
      <c r="N990" s="21">
        <f t="shared" si="46"/>
        <v>0.28330206378986861</v>
      </c>
      <c r="P990" s="1">
        <v>10</v>
      </c>
      <c r="Q990" s="24">
        <v>5.1839999999999975</v>
      </c>
      <c r="R990" s="24">
        <v>38.016000000000005</v>
      </c>
      <c r="S990" s="21">
        <f t="shared" si="47"/>
        <v>0.18874296435272059</v>
      </c>
    </row>
    <row r="991" spans="2:19" ht="11.4" customHeight="1" x14ac:dyDescent="0.2">
      <c r="B991" s="24"/>
      <c r="C991" s="7">
        <v>44820</v>
      </c>
      <c r="D991" s="18" t="s">
        <v>1037</v>
      </c>
      <c r="E991" s="18" t="s">
        <v>1033</v>
      </c>
      <c r="F991" s="17">
        <v>20</v>
      </c>
      <c r="G991" s="18" t="s">
        <v>23</v>
      </c>
      <c r="H991" s="17">
        <v>34.5</v>
      </c>
      <c r="I991" s="8">
        <v>46.6</v>
      </c>
      <c r="J991" s="21">
        <f t="shared" si="45"/>
        <v>0.35072463768115947</v>
      </c>
      <c r="K991" s="1">
        <v>4</v>
      </c>
      <c r="L991" s="24">
        <v>2.2999999999999998</v>
      </c>
      <c r="M991" s="24">
        <v>44.269999999999996</v>
      </c>
      <c r="N991" s="21">
        <f t="shared" si="46"/>
        <v>0.28318840579710136</v>
      </c>
      <c r="P991" s="1">
        <v>10</v>
      </c>
      <c r="Q991" s="24">
        <v>5.5919999999999987</v>
      </c>
      <c r="R991" s="24">
        <v>41.008000000000003</v>
      </c>
      <c r="S991" s="21">
        <f t="shared" si="47"/>
        <v>0.18863768115942037</v>
      </c>
    </row>
    <row r="992" spans="2:19" ht="11.4" customHeight="1" x14ac:dyDescent="0.2">
      <c r="B992" s="24"/>
      <c r="C992" s="7">
        <v>27085</v>
      </c>
      <c r="D992" s="18" t="s">
        <v>1038</v>
      </c>
      <c r="E992" s="18" t="s">
        <v>1033</v>
      </c>
      <c r="F992" s="17">
        <v>25</v>
      </c>
      <c r="G992" s="18" t="s">
        <v>902</v>
      </c>
      <c r="H992" s="17">
        <v>37.1</v>
      </c>
      <c r="I992" s="8">
        <v>43.9</v>
      </c>
      <c r="J992" s="21">
        <f t="shared" si="45"/>
        <v>0.18328840970350396</v>
      </c>
      <c r="K992" s="1">
        <v>1</v>
      </c>
      <c r="L992" s="24">
        <v>2.1</v>
      </c>
      <c r="M992" s="24">
        <v>41.704999999999998</v>
      </c>
      <c r="N992" s="21">
        <f t="shared" si="46"/>
        <v>0.12412398921832875</v>
      </c>
      <c r="P992" s="1">
        <v>4</v>
      </c>
      <c r="Q992" s="24">
        <v>4.3900000000000006</v>
      </c>
      <c r="R992" s="24">
        <v>39.51</v>
      </c>
      <c r="S992" s="21">
        <f t="shared" si="47"/>
        <v>6.4959568733153547E-2</v>
      </c>
    </row>
    <row r="993" spans="2:19" ht="11.4" customHeight="1" x14ac:dyDescent="0.2">
      <c r="B993" s="24"/>
      <c r="C993" s="7">
        <v>39174</v>
      </c>
      <c r="D993" s="18" t="s">
        <v>1039</v>
      </c>
      <c r="E993" s="18" t="s">
        <v>1033</v>
      </c>
      <c r="F993" s="17">
        <v>15</v>
      </c>
      <c r="G993" s="18" t="s">
        <v>23</v>
      </c>
      <c r="H993" s="17">
        <v>57.8</v>
      </c>
      <c r="I993" s="8">
        <v>41</v>
      </c>
      <c r="J993" s="21">
        <f t="shared" si="45"/>
        <v>-0.29065743944636674</v>
      </c>
      <c r="K993" s="1">
        <v>4</v>
      </c>
      <c r="L993" s="24">
        <v>2</v>
      </c>
      <c r="M993" s="24">
        <v>38.949999999999996</v>
      </c>
      <c r="N993" s="21">
        <f t="shared" si="46"/>
        <v>-0.3261245674740485</v>
      </c>
      <c r="P993" s="1">
        <v>10</v>
      </c>
      <c r="Q993" s="24">
        <v>4.9200000000000017</v>
      </c>
      <c r="R993" s="24">
        <v>36.08</v>
      </c>
      <c r="S993" s="21">
        <f t="shared" si="47"/>
        <v>-0.37577854671280275</v>
      </c>
    </row>
    <row r="994" spans="2:19" ht="11.4" customHeight="1" x14ac:dyDescent="0.2">
      <c r="B994" s="24"/>
      <c r="C994" s="7">
        <v>39180</v>
      </c>
      <c r="D994" s="18" t="s">
        <v>1040</v>
      </c>
      <c r="E994" s="18" t="s">
        <v>1033</v>
      </c>
      <c r="F994" s="17">
        <v>10</v>
      </c>
      <c r="G994" s="18" t="s">
        <v>23</v>
      </c>
      <c r="H994" s="17">
        <v>73.5</v>
      </c>
      <c r="I994" s="8">
        <v>57.9</v>
      </c>
      <c r="J994" s="21">
        <f t="shared" si="45"/>
        <v>-0.21224489795918369</v>
      </c>
      <c r="K994" s="1">
        <v>4</v>
      </c>
      <c r="L994" s="24">
        <v>2.8</v>
      </c>
      <c r="M994" s="24">
        <v>55.004999999999995</v>
      </c>
      <c r="N994" s="21">
        <f t="shared" si="46"/>
        <v>-0.25163265306122456</v>
      </c>
      <c r="P994" s="1">
        <v>10</v>
      </c>
      <c r="Q994" s="24">
        <v>6.9480000000000004</v>
      </c>
      <c r="R994" s="24">
        <v>50.951999999999998</v>
      </c>
      <c r="S994" s="21">
        <f t="shared" si="47"/>
        <v>-0.30677551020408167</v>
      </c>
    </row>
    <row r="995" spans="2:19" ht="11.4" customHeight="1" x14ac:dyDescent="0.2">
      <c r="B995" s="24"/>
      <c r="C995" s="7">
        <v>44815</v>
      </c>
      <c r="D995" s="18" t="s">
        <v>1041</v>
      </c>
      <c r="E995" s="18" t="s">
        <v>1033</v>
      </c>
      <c r="F995" s="17">
        <v>10</v>
      </c>
      <c r="G995" s="18" t="s">
        <v>23</v>
      </c>
      <c r="H995" s="17">
        <v>52.98</v>
      </c>
      <c r="I995" s="8">
        <v>71.5</v>
      </c>
      <c r="J995" s="21">
        <f t="shared" si="45"/>
        <v>0.34956587391468485</v>
      </c>
      <c r="K995" s="1">
        <v>4</v>
      </c>
      <c r="L995" s="24">
        <v>3.5</v>
      </c>
      <c r="M995" s="24">
        <v>67.924999999999997</v>
      </c>
      <c r="N995" s="21">
        <f t="shared" si="46"/>
        <v>0.28208758021895058</v>
      </c>
      <c r="P995" s="1">
        <v>10</v>
      </c>
      <c r="Q995" s="24">
        <v>8.5799999999999983</v>
      </c>
      <c r="R995" s="24">
        <v>62.92</v>
      </c>
      <c r="S995" s="21">
        <f t="shared" si="47"/>
        <v>0.18761796904492273</v>
      </c>
    </row>
    <row r="996" spans="2:19" ht="11.4" customHeight="1" x14ac:dyDescent="0.2">
      <c r="B996" s="24"/>
      <c r="C996" s="7">
        <v>44817</v>
      </c>
      <c r="D996" s="18" t="s">
        <v>1042</v>
      </c>
      <c r="E996" s="18" t="s">
        <v>1033</v>
      </c>
      <c r="F996" s="17">
        <v>20</v>
      </c>
      <c r="G996" s="18" t="s">
        <v>23</v>
      </c>
      <c r="H996" s="17">
        <v>31.5</v>
      </c>
      <c r="I996" s="8">
        <v>44.5</v>
      </c>
      <c r="J996" s="21">
        <f t="shared" si="45"/>
        <v>0.41269841269841268</v>
      </c>
      <c r="K996" s="1">
        <v>4</v>
      </c>
      <c r="L996" s="24">
        <v>2.2000000000000002</v>
      </c>
      <c r="M996" s="24">
        <v>42.274999999999999</v>
      </c>
      <c r="N996" s="21">
        <f t="shared" si="46"/>
        <v>0.34206349206349201</v>
      </c>
      <c r="P996" s="1">
        <v>10</v>
      </c>
      <c r="Q996" s="24">
        <v>5.3399999999999963</v>
      </c>
      <c r="R996" s="24">
        <v>39.160000000000004</v>
      </c>
      <c r="S996" s="21">
        <f t="shared" si="47"/>
        <v>0.24317460317460329</v>
      </c>
    </row>
    <row r="997" spans="2:19" ht="11.4" customHeight="1" x14ac:dyDescent="0.2">
      <c r="B997" s="24"/>
      <c r="C997" s="7">
        <v>44822</v>
      </c>
      <c r="D997" s="18" t="s">
        <v>1043</v>
      </c>
      <c r="E997" s="18" t="s">
        <v>1033</v>
      </c>
      <c r="F997" s="17">
        <v>10</v>
      </c>
      <c r="G997" s="18" t="s">
        <v>23</v>
      </c>
      <c r="H997" s="17">
        <v>54.9</v>
      </c>
      <c r="I997" s="8">
        <v>77.5</v>
      </c>
      <c r="J997" s="21">
        <f t="shared" si="45"/>
        <v>0.41165755919854286</v>
      </c>
      <c r="K997" s="1">
        <v>4</v>
      </c>
      <c r="L997" s="24">
        <v>3.8</v>
      </c>
      <c r="M997" s="24">
        <v>73.625</v>
      </c>
      <c r="N997" s="21">
        <f t="shared" si="46"/>
        <v>0.34107468123861567</v>
      </c>
      <c r="P997" s="1">
        <v>10</v>
      </c>
      <c r="Q997" s="24">
        <v>9.2999999999999972</v>
      </c>
      <c r="R997" s="24">
        <v>68.2</v>
      </c>
      <c r="S997" s="21">
        <f t="shared" si="47"/>
        <v>0.24225865209471775</v>
      </c>
    </row>
    <row r="998" spans="2:19" ht="11.4" customHeight="1" x14ac:dyDescent="0.2">
      <c r="B998" s="24"/>
      <c r="C998" s="7">
        <v>44809</v>
      </c>
      <c r="D998" s="18" t="s">
        <v>1044</v>
      </c>
      <c r="E998" s="18" t="s">
        <v>1033</v>
      </c>
      <c r="F998" s="17">
        <v>10</v>
      </c>
      <c r="G998" s="18" t="s">
        <v>23</v>
      </c>
      <c r="H998" s="17">
        <v>52.98</v>
      </c>
      <c r="I998" s="8">
        <v>71.5</v>
      </c>
      <c r="J998" s="21">
        <f t="shared" si="45"/>
        <v>0.34956587391468485</v>
      </c>
      <c r="K998" s="1">
        <v>4</v>
      </c>
      <c r="L998" s="24">
        <v>3.5</v>
      </c>
      <c r="M998" s="24">
        <v>67.924999999999997</v>
      </c>
      <c r="N998" s="21">
        <f t="shared" si="46"/>
        <v>0.28208758021895058</v>
      </c>
      <c r="P998" s="1">
        <v>10</v>
      </c>
      <c r="Q998" s="24">
        <v>8.5799999999999983</v>
      </c>
      <c r="R998" s="24">
        <v>62.92</v>
      </c>
      <c r="S998" s="21">
        <f t="shared" si="47"/>
        <v>0.18761796904492273</v>
      </c>
    </row>
    <row r="999" spans="2:19" ht="11.4" customHeight="1" x14ac:dyDescent="0.2">
      <c r="B999" s="24"/>
      <c r="C999" s="7">
        <v>44839</v>
      </c>
      <c r="D999" s="18" t="s">
        <v>1045</v>
      </c>
      <c r="E999" s="18" t="s">
        <v>1033</v>
      </c>
      <c r="F999" s="17">
        <v>10</v>
      </c>
      <c r="G999" s="18" t="s">
        <v>23</v>
      </c>
      <c r="H999" s="17">
        <v>57.42</v>
      </c>
      <c r="I999" s="8">
        <v>77.5</v>
      </c>
      <c r="J999" s="21">
        <f t="shared" si="45"/>
        <v>0.34970393591083243</v>
      </c>
      <c r="K999" s="1">
        <v>4</v>
      </c>
      <c r="L999" s="24">
        <v>3.8</v>
      </c>
      <c r="M999" s="24">
        <v>73.625</v>
      </c>
      <c r="N999" s="21">
        <f t="shared" si="46"/>
        <v>0.28221873911529083</v>
      </c>
      <c r="P999" s="1">
        <v>10</v>
      </c>
      <c r="Q999" s="24">
        <v>9.2999999999999972</v>
      </c>
      <c r="R999" s="24">
        <v>68.2</v>
      </c>
      <c r="S999" s="21">
        <f t="shared" si="47"/>
        <v>0.18773946360153257</v>
      </c>
    </row>
    <row r="1000" spans="2:19" ht="11.4" customHeight="1" x14ac:dyDescent="0.2">
      <c r="B1000" s="24"/>
      <c r="C1000" s="7">
        <v>37224</v>
      </c>
      <c r="D1000" s="18" t="s">
        <v>1046</v>
      </c>
      <c r="E1000" s="18" t="s">
        <v>1033</v>
      </c>
      <c r="F1000" s="17">
        <v>20</v>
      </c>
      <c r="G1000" s="18" t="s">
        <v>23</v>
      </c>
      <c r="H1000" s="17">
        <v>59.6</v>
      </c>
      <c r="I1000" s="8">
        <v>54.5</v>
      </c>
      <c r="J1000" s="21">
        <f t="shared" si="45"/>
        <v>-8.5570469798657733E-2</v>
      </c>
      <c r="K1000" s="1">
        <v>4</v>
      </c>
      <c r="L1000" s="24">
        <v>2.7</v>
      </c>
      <c r="M1000" s="24">
        <v>51.774999999999999</v>
      </c>
      <c r="N1000" s="21">
        <f t="shared" si="46"/>
        <v>-0.13129194630872487</v>
      </c>
      <c r="P1000" s="1">
        <v>10</v>
      </c>
      <c r="Q1000" s="24">
        <v>6.5399999999999991</v>
      </c>
      <c r="R1000" s="24">
        <v>47.96</v>
      </c>
      <c r="S1000" s="21">
        <f t="shared" si="47"/>
        <v>-0.1953020134228188</v>
      </c>
    </row>
    <row r="1001" spans="2:19" ht="11.4" customHeight="1" x14ac:dyDescent="0.2">
      <c r="B1001" s="24"/>
      <c r="C1001" s="7">
        <v>44837</v>
      </c>
      <c r="D1001" s="18" t="s">
        <v>1047</v>
      </c>
      <c r="E1001" s="18" t="s">
        <v>1033</v>
      </c>
      <c r="F1001" s="17">
        <v>20</v>
      </c>
      <c r="G1001" s="18" t="s">
        <v>23</v>
      </c>
      <c r="H1001" s="17">
        <v>28.5</v>
      </c>
      <c r="I1001" s="8">
        <v>38.5</v>
      </c>
      <c r="J1001" s="21">
        <f t="shared" si="45"/>
        <v>0.35087719298245612</v>
      </c>
      <c r="K1001" s="1">
        <v>4</v>
      </c>
      <c r="L1001" s="24">
        <v>1.9</v>
      </c>
      <c r="M1001" s="24">
        <v>36.574999999999996</v>
      </c>
      <c r="N1001" s="21">
        <f t="shared" si="46"/>
        <v>0.28333333333333316</v>
      </c>
      <c r="P1001" s="1">
        <v>10</v>
      </c>
      <c r="Q1001" s="24">
        <v>4.6199999999999974</v>
      </c>
      <c r="R1001" s="24">
        <v>33.880000000000003</v>
      </c>
      <c r="S1001" s="21">
        <f t="shared" si="47"/>
        <v>0.18877192982456148</v>
      </c>
    </row>
    <row r="1002" spans="2:19" ht="11.4" customHeight="1" x14ac:dyDescent="0.2">
      <c r="B1002" s="24"/>
      <c r="C1002" s="7">
        <v>5484</v>
      </c>
      <c r="D1002" s="18" t="s">
        <v>1048</v>
      </c>
      <c r="E1002" s="18" t="s">
        <v>1033</v>
      </c>
      <c r="F1002" s="17">
        <v>10</v>
      </c>
      <c r="G1002" s="18" t="s">
        <v>23</v>
      </c>
      <c r="H1002" s="17">
        <v>58.5</v>
      </c>
      <c r="I1002" s="8">
        <v>56.5</v>
      </c>
      <c r="J1002" s="21">
        <f t="shared" si="45"/>
        <v>-3.4188034188034191E-2</v>
      </c>
      <c r="K1002" s="1">
        <v>4</v>
      </c>
      <c r="L1002" s="24">
        <v>2.8</v>
      </c>
      <c r="M1002" s="24">
        <v>53.674999999999997</v>
      </c>
      <c r="N1002" s="21">
        <f t="shared" si="46"/>
        <v>-8.2478632478632533E-2</v>
      </c>
      <c r="P1002" s="1">
        <v>10</v>
      </c>
      <c r="Q1002" s="24">
        <v>6.7800000000000011</v>
      </c>
      <c r="R1002" s="24">
        <v>49.72</v>
      </c>
      <c r="S1002" s="21">
        <f t="shared" si="47"/>
        <v>-0.1500854700854701</v>
      </c>
    </row>
    <row r="1003" spans="2:19" ht="11.4" customHeight="1" x14ac:dyDescent="0.2">
      <c r="B1003" s="24"/>
      <c r="C1003" s="7">
        <v>36885</v>
      </c>
      <c r="D1003" s="18" t="s">
        <v>1049</v>
      </c>
      <c r="E1003" s="18" t="s">
        <v>1050</v>
      </c>
      <c r="F1003" s="17">
        <v>12</v>
      </c>
      <c r="G1003" s="18" t="s">
        <v>23</v>
      </c>
      <c r="H1003" s="17">
        <v>39.5</v>
      </c>
      <c r="I1003" s="8">
        <v>40.9</v>
      </c>
      <c r="J1003" s="21">
        <f t="shared" si="45"/>
        <v>3.5443037974683511E-2</v>
      </c>
      <c r="K1003" s="1">
        <v>4</v>
      </c>
      <c r="L1003" s="24">
        <v>2</v>
      </c>
      <c r="M1003" s="24">
        <v>38.854999999999997</v>
      </c>
      <c r="N1003" s="21">
        <f t="shared" si="46"/>
        <v>-1.6329113924050714E-2</v>
      </c>
      <c r="P1003" s="1">
        <v>10</v>
      </c>
      <c r="Q1003" s="24">
        <v>4.9080000000000013</v>
      </c>
      <c r="R1003" s="24">
        <v>35.991999999999997</v>
      </c>
      <c r="S1003" s="21">
        <f t="shared" si="47"/>
        <v>-8.8810126582278548E-2</v>
      </c>
    </row>
    <row r="1004" spans="2:19" ht="11.4" customHeight="1" x14ac:dyDescent="0.2">
      <c r="B1004" s="24"/>
      <c r="C1004" s="7">
        <v>4835</v>
      </c>
      <c r="D1004" s="18" t="s">
        <v>1051</v>
      </c>
      <c r="E1004" s="18" t="s">
        <v>1050</v>
      </c>
      <c r="F1004" s="17">
        <v>20</v>
      </c>
      <c r="G1004" s="18" t="s">
        <v>23</v>
      </c>
      <c r="H1004" s="17">
        <v>26.21</v>
      </c>
      <c r="I1004" s="8">
        <v>39.9</v>
      </c>
      <c r="J1004" s="21">
        <f t="shared" si="45"/>
        <v>0.5223197252956886</v>
      </c>
      <c r="K1004" s="1">
        <v>4</v>
      </c>
      <c r="L1004" s="24">
        <v>1.9</v>
      </c>
      <c r="M1004" s="24">
        <v>37.904999999999994</v>
      </c>
      <c r="N1004" s="21">
        <f t="shared" si="46"/>
        <v>0.44620373903090393</v>
      </c>
      <c r="P1004" s="1">
        <v>10</v>
      </c>
      <c r="Q1004" s="24">
        <v>4.7879999999999967</v>
      </c>
      <c r="R1004" s="24">
        <v>35.112000000000002</v>
      </c>
      <c r="S1004" s="21">
        <f t="shared" si="47"/>
        <v>0.33964135826020608</v>
      </c>
    </row>
    <row r="1005" spans="2:19" ht="11.4" customHeight="1" x14ac:dyDescent="0.2">
      <c r="B1005" s="24"/>
      <c r="C1005" s="7">
        <v>27681</v>
      </c>
      <c r="D1005" s="18" t="s">
        <v>1052</v>
      </c>
      <c r="E1005" s="18" t="s">
        <v>1050</v>
      </c>
      <c r="F1005" s="17">
        <v>10</v>
      </c>
      <c r="G1005" s="18" t="s">
        <v>23</v>
      </c>
      <c r="H1005" s="17">
        <v>25.9</v>
      </c>
      <c r="I1005" s="8">
        <v>28.4</v>
      </c>
      <c r="J1005" s="21">
        <f t="shared" si="45"/>
        <v>9.6525096525096526E-2</v>
      </c>
      <c r="K1005" s="1">
        <v>4</v>
      </c>
      <c r="L1005" s="24">
        <v>1.4</v>
      </c>
      <c r="M1005" s="24">
        <v>26.979999999999997</v>
      </c>
      <c r="N1005" s="21">
        <f t="shared" si="46"/>
        <v>4.1698841698841638E-2</v>
      </c>
      <c r="P1005" s="1">
        <v>10</v>
      </c>
      <c r="Q1005" s="24">
        <v>3.4080000000000013</v>
      </c>
      <c r="R1005" s="24">
        <v>24.991999999999997</v>
      </c>
      <c r="S1005" s="21">
        <f t="shared" si="47"/>
        <v>-3.5057915057915105E-2</v>
      </c>
    </row>
    <row r="1006" spans="2:19" ht="11.4" customHeight="1" x14ac:dyDescent="0.2">
      <c r="B1006" s="24"/>
      <c r="C1006" s="7">
        <v>27800</v>
      </c>
      <c r="D1006" s="18" t="s">
        <v>1053</v>
      </c>
      <c r="E1006" s="18" t="s">
        <v>1050</v>
      </c>
      <c r="F1006" s="17">
        <v>6</v>
      </c>
      <c r="G1006" s="18" t="s">
        <v>23</v>
      </c>
      <c r="H1006" s="17">
        <v>41.9</v>
      </c>
      <c r="I1006" s="8">
        <v>43.4</v>
      </c>
      <c r="J1006" s="21">
        <f t="shared" si="45"/>
        <v>3.5799522673031027E-2</v>
      </c>
      <c r="K1006" s="1">
        <v>4</v>
      </c>
      <c r="L1006" s="24">
        <v>2.1</v>
      </c>
      <c r="M1006" s="24">
        <v>41.23</v>
      </c>
      <c r="N1006" s="21">
        <f t="shared" si="46"/>
        <v>-1.5990453460620568E-2</v>
      </c>
      <c r="P1006" s="1">
        <v>10</v>
      </c>
      <c r="Q1006" s="24">
        <v>5.2079999999999984</v>
      </c>
      <c r="R1006" s="24">
        <v>38.192</v>
      </c>
      <c r="S1006" s="21">
        <f t="shared" si="47"/>
        <v>-8.8496420047732657E-2</v>
      </c>
    </row>
    <row r="1007" spans="2:19" ht="11.4" customHeight="1" x14ac:dyDescent="0.2">
      <c r="B1007" s="24"/>
      <c r="C1007" s="7">
        <v>4571</v>
      </c>
      <c r="D1007" s="18" t="s">
        <v>1054</v>
      </c>
      <c r="E1007" s="18" t="s">
        <v>1050</v>
      </c>
      <c r="F1007" s="17">
        <v>15</v>
      </c>
      <c r="G1007" s="18" t="s">
        <v>23</v>
      </c>
      <c r="H1007" s="17">
        <v>31.25</v>
      </c>
      <c r="I1007" s="8">
        <v>42.5</v>
      </c>
      <c r="J1007" s="21">
        <f t="shared" si="45"/>
        <v>0.36</v>
      </c>
      <c r="K1007" s="1">
        <v>4</v>
      </c>
      <c r="L1007" s="24">
        <v>2.1</v>
      </c>
      <c r="M1007" s="24">
        <v>40.375</v>
      </c>
      <c r="N1007" s="21">
        <f t="shared" si="46"/>
        <v>0.29199999999999998</v>
      </c>
      <c r="P1007" s="1">
        <v>10</v>
      </c>
      <c r="Q1007" s="24">
        <v>5.1000000000000014</v>
      </c>
      <c r="R1007" s="24">
        <v>37.4</v>
      </c>
      <c r="S1007" s="21">
        <f t="shared" si="47"/>
        <v>0.19679999999999995</v>
      </c>
    </row>
    <row r="1008" spans="2:19" ht="11.4" customHeight="1" x14ac:dyDescent="0.2">
      <c r="B1008" s="24"/>
      <c r="C1008" s="7">
        <v>14016</v>
      </c>
      <c r="D1008" s="18" t="s">
        <v>1055</v>
      </c>
      <c r="E1008" s="18" t="s">
        <v>1056</v>
      </c>
      <c r="F1008" s="17">
        <v>10</v>
      </c>
      <c r="G1008" s="18" t="s">
        <v>23</v>
      </c>
      <c r="H1008" s="17">
        <v>35</v>
      </c>
      <c r="I1008" s="8">
        <v>38.299999999999997</v>
      </c>
      <c r="J1008" s="21">
        <f t="shared" si="45"/>
        <v>9.4285714285714209E-2</v>
      </c>
      <c r="K1008" s="1">
        <v>4</v>
      </c>
      <c r="L1008" s="24">
        <v>1.9</v>
      </c>
      <c r="M1008" s="24">
        <v>36.384999999999998</v>
      </c>
      <c r="N1008" s="21">
        <f t="shared" si="46"/>
        <v>3.9571428571428514E-2</v>
      </c>
      <c r="P1008" s="1">
        <v>10</v>
      </c>
      <c r="Q1008" s="24">
        <v>4.5959999999999965</v>
      </c>
      <c r="R1008" s="24">
        <v>33.704000000000001</v>
      </c>
      <c r="S1008" s="21">
        <f t="shared" si="47"/>
        <v>-3.7028571428571411E-2</v>
      </c>
    </row>
    <row r="1009" spans="2:19" ht="11.4" customHeight="1" x14ac:dyDescent="0.2">
      <c r="B1009" s="24"/>
      <c r="C1009" s="7">
        <v>23790</v>
      </c>
      <c r="D1009" s="18" t="s">
        <v>1057</v>
      </c>
      <c r="E1009" s="18" t="s">
        <v>1056</v>
      </c>
      <c r="F1009" s="17">
        <v>4</v>
      </c>
      <c r="G1009" s="18" t="s">
        <v>23</v>
      </c>
      <c r="H1009" s="17">
        <v>33</v>
      </c>
      <c r="I1009" s="8">
        <v>48.9</v>
      </c>
      <c r="J1009" s="21">
        <f t="shared" si="45"/>
        <v>0.48181818181818176</v>
      </c>
      <c r="K1009" s="1">
        <v>4</v>
      </c>
      <c r="L1009" s="24">
        <v>2.4</v>
      </c>
      <c r="M1009" s="24">
        <v>46.454999999999998</v>
      </c>
      <c r="N1009" s="21">
        <f t="shared" si="46"/>
        <v>0.40772727272727266</v>
      </c>
      <c r="P1009" s="1">
        <v>10</v>
      </c>
      <c r="Q1009" s="24">
        <v>5.8680000000000021</v>
      </c>
      <c r="R1009" s="24">
        <v>43.031999999999996</v>
      </c>
      <c r="S1009" s="21">
        <f t="shared" si="47"/>
        <v>0.30399999999999988</v>
      </c>
    </row>
    <row r="1010" spans="2:19" ht="11.4" customHeight="1" x14ac:dyDescent="0.2">
      <c r="B1010" s="24"/>
      <c r="C1010" s="7">
        <v>6203</v>
      </c>
      <c r="D1010" s="18" t="s">
        <v>1058</v>
      </c>
      <c r="E1010" s="18" t="s">
        <v>1056</v>
      </c>
      <c r="F1010" s="17">
        <v>25</v>
      </c>
      <c r="G1010" s="18" t="s">
        <v>902</v>
      </c>
      <c r="H1010" s="17">
        <v>72.900000000000006</v>
      </c>
      <c r="I1010" s="8">
        <v>36.9</v>
      </c>
      <c r="J1010" s="21">
        <f t="shared" si="45"/>
        <v>-0.49382716049382724</v>
      </c>
      <c r="K1010" s="1">
        <v>1</v>
      </c>
      <c r="L1010" s="24">
        <v>1.8</v>
      </c>
      <c r="M1010" s="24">
        <v>35.055</v>
      </c>
      <c r="N1010" s="21">
        <f t="shared" si="46"/>
        <v>-0.51913580246913582</v>
      </c>
      <c r="P1010" s="1">
        <v>4</v>
      </c>
      <c r="Q1010" s="24">
        <v>3.6899999999999977</v>
      </c>
      <c r="R1010" s="24">
        <v>33.21</v>
      </c>
      <c r="S1010" s="21">
        <f t="shared" si="47"/>
        <v>-0.54444444444444451</v>
      </c>
    </row>
    <row r="1011" spans="2:19" ht="11.4" customHeight="1" x14ac:dyDescent="0.2">
      <c r="B1011" s="24"/>
      <c r="C1011" s="7">
        <v>38047</v>
      </c>
      <c r="D1011" s="18" t="s">
        <v>1059</v>
      </c>
      <c r="E1011" s="18" t="s">
        <v>1056</v>
      </c>
      <c r="F1011" s="17">
        <v>12</v>
      </c>
      <c r="G1011" s="18" t="s">
        <v>23</v>
      </c>
      <c r="H1011" s="17">
        <v>40.619999999999997</v>
      </c>
      <c r="I1011" s="8">
        <v>60.9</v>
      </c>
      <c r="J1011" s="21">
        <f t="shared" si="45"/>
        <v>0.49926144756277702</v>
      </c>
      <c r="K1011" s="1">
        <v>4</v>
      </c>
      <c r="L1011" s="24">
        <v>3</v>
      </c>
      <c r="M1011" s="24">
        <v>57.854999999999997</v>
      </c>
      <c r="N1011" s="21">
        <f t="shared" si="46"/>
        <v>0.42429837518463814</v>
      </c>
      <c r="P1011" s="1">
        <v>10</v>
      </c>
      <c r="Q1011" s="24">
        <v>7.3079999999999998</v>
      </c>
      <c r="R1011" s="24">
        <v>53.591999999999999</v>
      </c>
      <c r="S1011" s="21">
        <f t="shared" si="47"/>
        <v>0.31935007385524378</v>
      </c>
    </row>
    <row r="1012" spans="2:19" ht="11.4" customHeight="1" x14ac:dyDescent="0.2">
      <c r="B1012" s="24"/>
      <c r="C1012" s="7">
        <v>39362</v>
      </c>
      <c r="D1012" s="18" t="s">
        <v>1060</v>
      </c>
      <c r="E1012" s="18" t="s">
        <v>1056</v>
      </c>
      <c r="F1012" s="17">
        <v>6</v>
      </c>
      <c r="G1012" s="18" t="s">
        <v>23</v>
      </c>
      <c r="H1012" s="17">
        <v>47.9</v>
      </c>
      <c r="I1012" s="8">
        <v>61.8</v>
      </c>
      <c r="J1012" s="21">
        <f t="shared" si="45"/>
        <v>0.290187891440501</v>
      </c>
      <c r="K1012" s="1">
        <v>4</v>
      </c>
      <c r="L1012" s="24">
        <v>3</v>
      </c>
      <c r="M1012" s="24">
        <v>58.709999999999994</v>
      </c>
      <c r="N1012" s="21">
        <f t="shared" si="46"/>
        <v>0.22567849686847591</v>
      </c>
      <c r="P1012" s="1">
        <v>10</v>
      </c>
      <c r="Q1012" s="24">
        <v>7.4159999999999968</v>
      </c>
      <c r="R1012" s="24">
        <v>54.384</v>
      </c>
      <c r="S1012" s="21">
        <f t="shared" si="47"/>
        <v>0.13536534446764095</v>
      </c>
    </row>
    <row r="1013" spans="2:19" ht="11.4" customHeight="1" x14ac:dyDescent="0.2">
      <c r="B1013" s="24"/>
      <c r="C1013" s="7">
        <v>17032</v>
      </c>
      <c r="D1013" s="18" t="s">
        <v>1061</v>
      </c>
      <c r="E1013" s="18" t="s">
        <v>1056</v>
      </c>
      <c r="F1013" s="17">
        <v>12</v>
      </c>
      <c r="G1013" s="18" t="s">
        <v>23</v>
      </c>
      <c r="H1013" s="17">
        <v>45.9</v>
      </c>
      <c r="I1013" s="8">
        <v>68.900000000000006</v>
      </c>
      <c r="J1013" s="21">
        <f t="shared" si="45"/>
        <v>0.50108932461873656</v>
      </c>
      <c r="K1013" s="1">
        <v>4</v>
      </c>
      <c r="L1013" s="24">
        <v>3.4</v>
      </c>
      <c r="M1013" s="24">
        <v>65.454999999999998</v>
      </c>
      <c r="N1013" s="21">
        <f t="shared" si="46"/>
        <v>0.42603485838779959</v>
      </c>
      <c r="P1013" s="1">
        <v>10</v>
      </c>
      <c r="Q1013" s="24">
        <v>8.2680000000000007</v>
      </c>
      <c r="R1013" s="24">
        <v>60.632000000000005</v>
      </c>
      <c r="S1013" s="21">
        <f t="shared" si="47"/>
        <v>0.32095860566448819</v>
      </c>
    </row>
    <row r="1014" spans="2:19" ht="11.4" customHeight="1" x14ac:dyDescent="0.2">
      <c r="B1014" s="24"/>
      <c r="C1014" s="7">
        <v>23812</v>
      </c>
      <c r="D1014" s="18" t="s">
        <v>1062</v>
      </c>
      <c r="E1014" s="18" t="s">
        <v>1056</v>
      </c>
      <c r="F1014" s="17">
        <v>10</v>
      </c>
      <c r="G1014" s="18" t="s">
        <v>23</v>
      </c>
      <c r="H1014" s="17">
        <v>21.6</v>
      </c>
      <c r="I1014" s="8">
        <v>30.5</v>
      </c>
      <c r="J1014" s="21">
        <f t="shared" si="45"/>
        <v>0.41203703703703692</v>
      </c>
      <c r="K1014" s="1">
        <v>4</v>
      </c>
      <c r="L1014" s="24">
        <v>1.5</v>
      </c>
      <c r="M1014" s="24">
        <v>28.974999999999998</v>
      </c>
      <c r="N1014" s="21">
        <f t="shared" si="46"/>
        <v>0.34143518518518501</v>
      </c>
      <c r="P1014" s="1">
        <v>10</v>
      </c>
      <c r="Q1014" s="24">
        <v>3.66</v>
      </c>
      <c r="R1014" s="24">
        <v>26.84</v>
      </c>
      <c r="S1014" s="21">
        <f t="shared" si="47"/>
        <v>0.2425925925925925</v>
      </c>
    </row>
    <row r="1015" spans="2:19" ht="11.4" customHeight="1" x14ac:dyDescent="0.2">
      <c r="B1015" s="24"/>
      <c r="C1015" s="7">
        <v>4114</v>
      </c>
      <c r="D1015" s="18" t="s">
        <v>1063</v>
      </c>
      <c r="E1015" s="18" t="s">
        <v>1056</v>
      </c>
      <c r="F1015" s="17">
        <v>10</v>
      </c>
      <c r="G1015" s="18" t="s">
        <v>23</v>
      </c>
      <c r="H1015" s="17">
        <v>57.74</v>
      </c>
      <c r="I1015" s="8">
        <v>74</v>
      </c>
      <c r="J1015" s="21">
        <f t="shared" si="45"/>
        <v>0.28160720471077239</v>
      </c>
      <c r="K1015" s="1">
        <v>4</v>
      </c>
      <c r="L1015" s="24">
        <v>3.7</v>
      </c>
      <c r="M1015" s="24">
        <v>70.3</v>
      </c>
      <c r="N1015" s="21">
        <f t="shared" si="46"/>
        <v>0.21752684447523371</v>
      </c>
      <c r="P1015" s="1">
        <v>10</v>
      </c>
      <c r="Q1015" s="24">
        <v>8.8799999999999955</v>
      </c>
      <c r="R1015" s="24">
        <v>65.12</v>
      </c>
      <c r="S1015" s="21">
        <f t="shared" si="47"/>
        <v>0.12781434014547977</v>
      </c>
    </row>
    <row r="1016" spans="2:19" ht="11.4" customHeight="1" x14ac:dyDescent="0.2">
      <c r="B1016" s="24"/>
      <c r="C1016" s="7">
        <v>39171</v>
      </c>
      <c r="D1016" s="18" t="s">
        <v>1064</v>
      </c>
      <c r="E1016" s="18" t="s">
        <v>1056</v>
      </c>
      <c r="F1016" s="17">
        <v>15</v>
      </c>
      <c r="G1016" s="18" t="s">
        <v>23</v>
      </c>
      <c r="H1016" s="17">
        <v>40.5</v>
      </c>
      <c r="I1016" s="8">
        <v>40.5</v>
      </c>
      <c r="J1016" s="21">
        <f t="shared" si="45"/>
        <v>0</v>
      </c>
      <c r="K1016" s="1">
        <v>4</v>
      </c>
      <c r="L1016" s="24">
        <v>2</v>
      </c>
      <c r="M1016" s="24">
        <v>38.475000000000001</v>
      </c>
      <c r="N1016" s="21">
        <f t="shared" si="46"/>
        <v>-4.9999999999999968E-2</v>
      </c>
      <c r="P1016" s="1">
        <v>10</v>
      </c>
      <c r="Q1016" s="24">
        <v>4.8599999999999994</v>
      </c>
      <c r="R1016" s="24">
        <v>35.64</v>
      </c>
      <c r="S1016" s="21">
        <f t="shared" si="47"/>
        <v>-0.11999999999999998</v>
      </c>
    </row>
    <row r="1017" spans="2:19" ht="11.4" customHeight="1" x14ac:dyDescent="0.2">
      <c r="B1017" s="24"/>
      <c r="C1017" s="7">
        <v>39181</v>
      </c>
      <c r="D1017" s="18" t="s">
        <v>1065</v>
      </c>
      <c r="E1017" s="18" t="s">
        <v>1056</v>
      </c>
      <c r="F1017" s="17">
        <v>10</v>
      </c>
      <c r="G1017" s="18" t="s">
        <v>23</v>
      </c>
      <c r="H1017" s="17">
        <v>41.5</v>
      </c>
      <c r="I1017" s="8">
        <v>55.9</v>
      </c>
      <c r="J1017" s="21">
        <f t="shared" si="45"/>
        <v>0.34698795180722886</v>
      </c>
      <c r="K1017" s="1">
        <v>4</v>
      </c>
      <c r="L1017" s="24">
        <v>2.7</v>
      </c>
      <c r="M1017" s="24">
        <v>53.104999999999997</v>
      </c>
      <c r="N1017" s="21">
        <f t="shared" si="46"/>
        <v>0.2796385542168674</v>
      </c>
      <c r="P1017" s="1">
        <v>10</v>
      </c>
      <c r="Q1017" s="24">
        <v>6.7079999999999984</v>
      </c>
      <c r="R1017" s="24">
        <v>49.192</v>
      </c>
      <c r="S1017" s="21">
        <f t="shared" si="47"/>
        <v>0.18534939759036145</v>
      </c>
    </row>
    <row r="1018" spans="2:19" ht="11.4" customHeight="1" x14ac:dyDescent="0.2">
      <c r="B1018" s="24"/>
      <c r="C1018" s="7">
        <v>4833</v>
      </c>
      <c r="D1018" s="18" t="s">
        <v>1066</v>
      </c>
      <c r="E1018" s="18" t="s">
        <v>1056</v>
      </c>
      <c r="F1018" s="17">
        <v>15</v>
      </c>
      <c r="G1018" s="18" t="s">
        <v>23</v>
      </c>
      <c r="H1018" s="17">
        <v>53.2</v>
      </c>
      <c r="I1018" s="8">
        <v>57</v>
      </c>
      <c r="J1018" s="21">
        <f t="shared" si="45"/>
        <v>7.1428571428571369E-2</v>
      </c>
      <c r="K1018" s="1">
        <v>4</v>
      </c>
      <c r="L1018" s="24">
        <v>2.8</v>
      </c>
      <c r="M1018" s="24">
        <v>54.15</v>
      </c>
      <c r="N1018" s="21">
        <f t="shared" si="46"/>
        <v>1.7857142857142776E-2</v>
      </c>
      <c r="P1018" s="1">
        <v>10</v>
      </c>
      <c r="Q1018" s="24">
        <v>6.8399999999999963</v>
      </c>
      <c r="R1018" s="24">
        <v>50.160000000000004</v>
      </c>
      <c r="S1018" s="21">
        <f t="shared" si="47"/>
        <v>-5.7142857142857127E-2</v>
      </c>
    </row>
    <row r="1019" spans="2:19" ht="11.4" customHeight="1" x14ac:dyDescent="0.2">
      <c r="B1019" s="24"/>
      <c r="C1019" s="7">
        <v>33684</v>
      </c>
      <c r="D1019" s="18" t="s">
        <v>1067</v>
      </c>
      <c r="E1019" s="18" t="s">
        <v>1056</v>
      </c>
      <c r="F1019" s="17">
        <v>12</v>
      </c>
      <c r="G1019" s="18" t="s">
        <v>23</v>
      </c>
      <c r="H1019" s="17">
        <v>53.5</v>
      </c>
      <c r="I1019" s="8">
        <v>59.2</v>
      </c>
      <c r="J1019" s="21">
        <f t="shared" si="45"/>
        <v>0.10654205607476641</v>
      </c>
      <c r="K1019" s="1">
        <v>4</v>
      </c>
      <c r="L1019" s="24">
        <v>2.9</v>
      </c>
      <c r="M1019" s="24">
        <v>56.24</v>
      </c>
      <c r="N1019" s="21">
        <f t="shared" si="46"/>
        <v>5.1214953271028076E-2</v>
      </c>
      <c r="P1019" s="1">
        <v>10</v>
      </c>
      <c r="Q1019" s="24">
        <v>7.1039999999999992</v>
      </c>
      <c r="R1019" s="24">
        <v>52.096000000000004</v>
      </c>
      <c r="S1019" s="21">
        <f t="shared" si="47"/>
        <v>-2.6242990654205541E-2</v>
      </c>
    </row>
    <row r="1020" spans="2:19" ht="11.4" customHeight="1" x14ac:dyDescent="0.2">
      <c r="B1020" s="24"/>
      <c r="C1020" s="7">
        <v>33685</v>
      </c>
      <c r="D1020" s="18" t="s">
        <v>1068</v>
      </c>
      <c r="E1020" s="18" t="s">
        <v>1056</v>
      </c>
      <c r="F1020" s="17">
        <v>12</v>
      </c>
      <c r="G1020" s="18" t="s">
        <v>23</v>
      </c>
      <c r="H1020" s="17">
        <v>51.9</v>
      </c>
      <c r="I1020" s="8">
        <v>56.5</v>
      </c>
      <c r="J1020" s="21">
        <f t="shared" si="45"/>
        <v>8.8631984585741841E-2</v>
      </c>
      <c r="K1020" s="1">
        <v>4</v>
      </c>
      <c r="L1020" s="24">
        <v>2.8</v>
      </c>
      <c r="M1020" s="24">
        <v>53.674999999999997</v>
      </c>
      <c r="N1020" s="21">
        <f t="shared" si="46"/>
        <v>3.4200385356454692E-2</v>
      </c>
      <c r="P1020" s="1">
        <v>10</v>
      </c>
      <c r="Q1020" s="24">
        <v>6.7800000000000011</v>
      </c>
      <c r="R1020" s="24">
        <v>49.72</v>
      </c>
      <c r="S1020" s="21">
        <f t="shared" si="47"/>
        <v>-4.2003853564547201E-2</v>
      </c>
    </row>
    <row r="1021" spans="2:19" ht="11.4" customHeight="1" x14ac:dyDescent="0.2">
      <c r="B1021" s="24"/>
      <c r="C1021" s="7">
        <v>44793</v>
      </c>
      <c r="D1021" s="18" t="s">
        <v>1069</v>
      </c>
      <c r="E1021" s="18" t="s">
        <v>1056</v>
      </c>
      <c r="F1021" s="17">
        <v>10</v>
      </c>
      <c r="G1021" s="18" t="s">
        <v>23</v>
      </c>
      <c r="H1021" s="17">
        <v>54.18</v>
      </c>
      <c r="I1021" s="8">
        <v>86.8</v>
      </c>
      <c r="J1021" s="21">
        <f t="shared" si="45"/>
        <v>0.6020671834625323</v>
      </c>
      <c r="K1021" s="1">
        <v>4</v>
      </c>
      <c r="L1021" s="24">
        <v>4.3</v>
      </c>
      <c r="M1021" s="24">
        <v>82.46</v>
      </c>
      <c r="N1021" s="21">
        <f t="shared" si="46"/>
        <v>0.52196382428940558</v>
      </c>
      <c r="P1021" s="1">
        <v>10</v>
      </c>
      <c r="Q1021" s="24">
        <v>10.415999999999997</v>
      </c>
      <c r="R1021" s="24">
        <v>76.384</v>
      </c>
      <c r="S1021" s="21">
        <f t="shared" si="47"/>
        <v>0.40981912144702842</v>
      </c>
    </row>
    <row r="1022" spans="2:19" ht="11.4" customHeight="1" x14ac:dyDescent="0.2">
      <c r="B1022" s="24"/>
      <c r="C1022" s="7">
        <v>44838</v>
      </c>
      <c r="D1022" s="18" t="s">
        <v>1070</v>
      </c>
      <c r="E1022" s="18" t="s">
        <v>1056</v>
      </c>
      <c r="F1022" s="17">
        <v>20</v>
      </c>
      <c r="G1022" s="18" t="s">
        <v>23</v>
      </c>
      <c r="H1022" s="17">
        <v>37.5</v>
      </c>
      <c r="I1022" s="8">
        <v>53.2</v>
      </c>
      <c r="J1022" s="21">
        <f t="shared" si="45"/>
        <v>0.41866666666666674</v>
      </c>
      <c r="K1022" s="1">
        <v>4</v>
      </c>
      <c r="L1022" s="24">
        <v>2.6</v>
      </c>
      <c r="M1022" s="24">
        <v>50.54</v>
      </c>
      <c r="N1022" s="21">
        <f t="shared" si="46"/>
        <v>0.34773333333333328</v>
      </c>
      <c r="P1022" s="1">
        <v>10</v>
      </c>
      <c r="Q1022" s="24">
        <v>6.3840000000000003</v>
      </c>
      <c r="R1022" s="24">
        <v>46.816000000000003</v>
      </c>
      <c r="S1022" s="21">
        <f t="shared" si="47"/>
        <v>0.24842666666666674</v>
      </c>
    </row>
    <row r="1023" spans="2:19" ht="11.4" customHeight="1" x14ac:dyDescent="0.2">
      <c r="B1023" s="24"/>
      <c r="C1023" s="7">
        <v>44825</v>
      </c>
      <c r="D1023" s="18" t="s">
        <v>1071</v>
      </c>
      <c r="E1023" s="18" t="s">
        <v>1056</v>
      </c>
      <c r="F1023" s="17">
        <v>14</v>
      </c>
      <c r="G1023" s="18" t="s">
        <v>23</v>
      </c>
      <c r="H1023" s="17">
        <v>51.42</v>
      </c>
      <c r="I1023" s="8">
        <v>79.3</v>
      </c>
      <c r="J1023" s="21">
        <f t="shared" si="45"/>
        <v>0.542201478024115</v>
      </c>
      <c r="K1023" s="1">
        <v>4</v>
      </c>
      <c r="L1023" s="24">
        <v>3.9</v>
      </c>
      <c r="M1023" s="24">
        <v>75.334999999999994</v>
      </c>
      <c r="N1023" s="21">
        <f t="shared" si="46"/>
        <v>0.46509140412290922</v>
      </c>
      <c r="P1023" s="1">
        <v>10</v>
      </c>
      <c r="Q1023" s="24">
        <v>9.5160000000000053</v>
      </c>
      <c r="R1023" s="24">
        <v>69.783999999999992</v>
      </c>
      <c r="S1023" s="21">
        <f t="shared" si="47"/>
        <v>0.35713730066122112</v>
      </c>
    </row>
    <row r="1024" spans="2:19" ht="11.4" customHeight="1" x14ac:dyDescent="0.2">
      <c r="B1024" s="24"/>
      <c r="C1024" s="7">
        <v>44849</v>
      </c>
      <c r="D1024" s="18" t="s">
        <v>1072</v>
      </c>
      <c r="E1024" s="18" t="s">
        <v>1073</v>
      </c>
      <c r="F1024" s="17">
        <v>20</v>
      </c>
      <c r="G1024" s="18" t="s">
        <v>23</v>
      </c>
      <c r="H1024" s="17">
        <v>69.900000000000006</v>
      </c>
      <c r="I1024" s="8">
        <v>139.9</v>
      </c>
      <c r="J1024" s="21">
        <f t="shared" si="45"/>
        <v>1.0014306151645207</v>
      </c>
      <c r="K1024" s="1">
        <v>4</v>
      </c>
      <c r="L1024" s="24">
        <v>6.9</v>
      </c>
      <c r="M1024" s="24">
        <v>132.905</v>
      </c>
      <c r="N1024" s="21">
        <f t="shared" si="46"/>
        <v>0.90135908440629453</v>
      </c>
      <c r="P1024" s="1">
        <v>10</v>
      </c>
      <c r="Q1024" s="24">
        <v>16.787999999999997</v>
      </c>
      <c r="R1024" s="24">
        <v>123.11200000000001</v>
      </c>
      <c r="S1024" s="21">
        <f t="shared" si="47"/>
        <v>0.76125894134477823</v>
      </c>
    </row>
    <row r="1025" spans="2:19" ht="11.4" customHeight="1" x14ac:dyDescent="0.2">
      <c r="B1025" s="24"/>
      <c r="C1025" s="7">
        <v>27798</v>
      </c>
      <c r="D1025" s="18" t="s">
        <v>1074</v>
      </c>
      <c r="E1025" s="18" t="s">
        <v>1075</v>
      </c>
      <c r="F1025" s="17">
        <v>6</v>
      </c>
      <c r="G1025" s="18" t="s">
        <v>23</v>
      </c>
      <c r="H1025" s="17">
        <v>33.68</v>
      </c>
      <c r="I1025" s="8">
        <v>45.5</v>
      </c>
      <c r="J1025" s="21">
        <f t="shared" si="45"/>
        <v>0.35095011876484561</v>
      </c>
      <c r="K1025" s="1">
        <v>4</v>
      </c>
      <c r="L1025" s="24">
        <v>2.2000000000000002</v>
      </c>
      <c r="M1025" s="24">
        <v>43.225000000000001</v>
      </c>
      <c r="N1025" s="21">
        <f t="shared" si="46"/>
        <v>0.2834026128266034</v>
      </c>
      <c r="P1025" s="1">
        <v>10</v>
      </c>
      <c r="Q1025" s="24">
        <v>5.4600000000000009</v>
      </c>
      <c r="R1025" s="24">
        <v>40.04</v>
      </c>
      <c r="S1025" s="21">
        <f t="shared" si="47"/>
        <v>0.18883610451306412</v>
      </c>
    </row>
    <row r="1026" spans="2:19" ht="11.4" customHeight="1" x14ac:dyDescent="0.2">
      <c r="B1026" s="24"/>
      <c r="C1026" s="7">
        <v>44805</v>
      </c>
      <c r="D1026" s="18" t="s">
        <v>1076</v>
      </c>
      <c r="E1026" s="18" t="s">
        <v>1075</v>
      </c>
      <c r="F1026" s="17">
        <v>10</v>
      </c>
      <c r="G1026" s="18" t="s">
        <v>23</v>
      </c>
      <c r="H1026" s="17">
        <v>29.82</v>
      </c>
      <c r="I1026" s="8">
        <v>40.5</v>
      </c>
      <c r="J1026" s="21">
        <f t="shared" si="45"/>
        <v>0.35814889336016098</v>
      </c>
      <c r="K1026" s="1">
        <v>4</v>
      </c>
      <c r="L1026" s="24">
        <v>2</v>
      </c>
      <c r="M1026" s="24">
        <v>38.475000000000001</v>
      </c>
      <c r="N1026" s="21">
        <f t="shared" si="46"/>
        <v>0.29024144869215296</v>
      </c>
      <c r="P1026" s="1">
        <v>10</v>
      </c>
      <c r="Q1026" s="24">
        <v>4.8599999999999994</v>
      </c>
      <c r="R1026" s="24">
        <v>35.64</v>
      </c>
      <c r="S1026" s="21">
        <f t="shared" si="47"/>
        <v>0.19517102615694165</v>
      </c>
    </row>
    <row r="1027" spans="2:19" ht="11.4" customHeight="1" x14ac:dyDescent="0.2">
      <c r="B1027" s="24"/>
      <c r="C1027" s="7">
        <v>23438</v>
      </c>
      <c r="D1027" s="18" t="s">
        <v>1077</v>
      </c>
      <c r="E1027" s="18" t="s">
        <v>1075</v>
      </c>
      <c r="F1027" s="17">
        <v>10</v>
      </c>
      <c r="G1027" s="18" t="s">
        <v>23</v>
      </c>
      <c r="H1027" s="17">
        <v>10.86</v>
      </c>
      <c r="I1027" s="8">
        <v>14.9</v>
      </c>
      <c r="J1027" s="21">
        <f t="shared" ref="J1027:J1090" si="48">(I1027-H1027)/H1027</f>
        <v>0.37200736648250471</v>
      </c>
      <c r="K1027" s="1">
        <v>4</v>
      </c>
      <c r="L1027" s="24">
        <v>0.7</v>
      </c>
      <c r="M1027" s="24">
        <v>14.154999999999999</v>
      </c>
      <c r="N1027" s="21">
        <f t="shared" ref="N1027:N1090" si="49">(M1027-H1027)/H1027</f>
        <v>0.3034069981583794</v>
      </c>
      <c r="P1027" s="1">
        <v>10</v>
      </c>
      <c r="Q1027" s="24">
        <v>1.7880000000000003</v>
      </c>
      <c r="R1027" s="24">
        <v>13.112</v>
      </c>
      <c r="S1027" s="21">
        <f t="shared" ref="S1027:S1090" si="50">(R1027-H1027)/H1027</f>
        <v>0.20736648250460413</v>
      </c>
    </row>
    <row r="1028" spans="2:19" ht="11.4" customHeight="1" x14ac:dyDescent="0.2">
      <c r="B1028" s="24"/>
      <c r="C1028" s="7">
        <v>44816</v>
      </c>
      <c r="D1028" s="18" t="s">
        <v>1078</v>
      </c>
      <c r="E1028" s="18" t="s">
        <v>1079</v>
      </c>
      <c r="F1028" s="17">
        <v>20</v>
      </c>
      <c r="G1028" s="18" t="s">
        <v>23</v>
      </c>
      <c r="H1028" s="17">
        <v>48.54</v>
      </c>
      <c r="I1028" s="8">
        <v>65.5</v>
      </c>
      <c r="J1028" s="21">
        <f t="shared" si="48"/>
        <v>0.34940255459414921</v>
      </c>
      <c r="K1028" s="1">
        <v>4</v>
      </c>
      <c r="L1028" s="24">
        <v>3.2</v>
      </c>
      <c r="M1028" s="24">
        <v>62.224999999999994</v>
      </c>
      <c r="N1028" s="21">
        <f t="shared" si="49"/>
        <v>0.28193242686444159</v>
      </c>
      <c r="P1028" s="1">
        <v>10</v>
      </c>
      <c r="Q1028" s="24">
        <v>7.8599999999999994</v>
      </c>
      <c r="R1028" s="24">
        <v>57.64</v>
      </c>
      <c r="S1028" s="21">
        <f t="shared" si="50"/>
        <v>0.18747424804285129</v>
      </c>
    </row>
    <row r="1029" spans="2:19" ht="11.4" customHeight="1" x14ac:dyDescent="0.2">
      <c r="B1029" s="24"/>
      <c r="C1029" s="7">
        <v>38379</v>
      </c>
      <c r="D1029" s="18" t="s">
        <v>1080</v>
      </c>
      <c r="E1029" s="18" t="s">
        <v>1079</v>
      </c>
      <c r="F1029" s="17">
        <v>6</v>
      </c>
      <c r="G1029" s="18" t="s">
        <v>23</v>
      </c>
      <c r="H1029" s="17">
        <v>109.5</v>
      </c>
      <c r="I1029" s="8">
        <v>144.80000000000001</v>
      </c>
      <c r="J1029" s="21">
        <f t="shared" si="48"/>
        <v>0.32237442922374437</v>
      </c>
      <c r="K1029" s="1">
        <v>4</v>
      </c>
      <c r="L1029" s="24">
        <v>7.2</v>
      </c>
      <c r="M1029" s="24">
        <v>137.56</v>
      </c>
      <c r="N1029" s="21">
        <f t="shared" si="49"/>
        <v>0.25625570776255707</v>
      </c>
      <c r="P1029" s="1">
        <v>10</v>
      </c>
      <c r="Q1029" s="24">
        <v>17.376000000000005</v>
      </c>
      <c r="R1029" s="24">
        <v>127.42400000000001</v>
      </c>
      <c r="S1029" s="21">
        <f t="shared" si="50"/>
        <v>0.16368949771689503</v>
      </c>
    </row>
    <row r="1030" spans="2:19" ht="11.4" customHeight="1" x14ac:dyDescent="0.2">
      <c r="B1030" s="24"/>
      <c r="C1030" s="7">
        <v>8299</v>
      </c>
      <c r="D1030" s="18" t="s">
        <v>1081</v>
      </c>
      <c r="E1030" s="18" t="s">
        <v>1079</v>
      </c>
      <c r="F1030" s="18"/>
      <c r="G1030" s="18" t="s">
        <v>23</v>
      </c>
      <c r="H1030" s="17">
        <v>100.4</v>
      </c>
      <c r="I1030" s="8">
        <v>100.4</v>
      </c>
      <c r="J1030" s="21">
        <f t="shared" si="48"/>
        <v>0</v>
      </c>
      <c r="K1030" s="1">
        <v>4</v>
      </c>
      <c r="L1030" s="24">
        <v>5</v>
      </c>
      <c r="M1030" s="24">
        <v>95.38</v>
      </c>
      <c r="N1030" s="21">
        <f t="shared" si="49"/>
        <v>-5.00000000000001E-2</v>
      </c>
      <c r="P1030" s="1">
        <v>10</v>
      </c>
      <c r="Q1030" s="24">
        <v>12.048000000000002</v>
      </c>
      <c r="R1030" s="24">
        <v>88.352000000000004</v>
      </c>
      <c r="S1030" s="21">
        <f t="shared" si="50"/>
        <v>-0.12000000000000001</v>
      </c>
    </row>
    <row r="1031" spans="2:19" ht="11.4" customHeight="1" x14ac:dyDescent="0.2">
      <c r="B1031" s="24"/>
      <c r="C1031" s="7">
        <v>44853</v>
      </c>
      <c r="D1031" s="18" t="s">
        <v>1082</v>
      </c>
      <c r="E1031" s="18" t="s">
        <v>1083</v>
      </c>
      <c r="F1031" s="17">
        <v>20</v>
      </c>
      <c r="G1031" s="18" t="s">
        <v>23</v>
      </c>
      <c r="H1031" s="17">
        <v>39</v>
      </c>
      <c r="I1031" s="8">
        <v>57.3</v>
      </c>
      <c r="J1031" s="21">
        <f t="shared" si="48"/>
        <v>0.46923076923076917</v>
      </c>
      <c r="K1031" s="1">
        <v>4</v>
      </c>
      <c r="L1031" s="24">
        <v>2.8</v>
      </c>
      <c r="M1031" s="24">
        <v>54.434999999999995</v>
      </c>
      <c r="N1031" s="21">
        <f t="shared" si="49"/>
        <v>0.39576923076923065</v>
      </c>
      <c r="P1031" s="1">
        <v>10</v>
      </c>
      <c r="Q1031" s="24">
        <v>6.8759999999999977</v>
      </c>
      <c r="R1031" s="24">
        <v>50.423999999999999</v>
      </c>
      <c r="S1031" s="21">
        <f t="shared" si="50"/>
        <v>0.2929230769230769</v>
      </c>
    </row>
    <row r="1032" spans="2:19" ht="11.4" customHeight="1" x14ac:dyDescent="0.2">
      <c r="B1032" s="24"/>
      <c r="C1032" s="7">
        <v>23436</v>
      </c>
      <c r="D1032" s="18" t="s">
        <v>1084</v>
      </c>
      <c r="E1032" s="18" t="s">
        <v>1079</v>
      </c>
      <c r="F1032" s="17">
        <v>10</v>
      </c>
      <c r="G1032" s="18" t="s">
        <v>23</v>
      </c>
      <c r="H1032" s="17">
        <v>49.68</v>
      </c>
      <c r="I1032" s="8">
        <v>67.099999999999994</v>
      </c>
      <c r="J1032" s="21">
        <f t="shared" si="48"/>
        <v>0.35064412238325271</v>
      </c>
      <c r="K1032" s="1">
        <v>4</v>
      </c>
      <c r="L1032" s="24">
        <v>3.3</v>
      </c>
      <c r="M1032" s="24">
        <v>63.74499999999999</v>
      </c>
      <c r="N1032" s="21">
        <f t="shared" si="49"/>
        <v>0.28311191626408999</v>
      </c>
      <c r="P1032" s="1">
        <v>10</v>
      </c>
      <c r="Q1032" s="24">
        <v>8.0519999999999996</v>
      </c>
      <c r="R1032" s="24">
        <v>59.047999999999995</v>
      </c>
      <c r="S1032" s="21">
        <f t="shared" si="50"/>
        <v>0.18856682769726238</v>
      </c>
    </row>
    <row r="1033" spans="2:19" ht="11.4" customHeight="1" x14ac:dyDescent="0.2">
      <c r="B1033" s="24"/>
      <c r="C1033" s="7">
        <v>11822</v>
      </c>
      <c r="D1033" s="18" t="s">
        <v>1085</v>
      </c>
      <c r="E1033" s="18" t="s">
        <v>1079</v>
      </c>
      <c r="F1033" s="17">
        <v>20</v>
      </c>
      <c r="G1033" s="18" t="s">
        <v>23</v>
      </c>
      <c r="H1033" s="17">
        <v>75.099999999999994</v>
      </c>
      <c r="I1033" s="8">
        <v>89.5</v>
      </c>
      <c r="J1033" s="21">
        <f t="shared" si="48"/>
        <v>0.19174434087882833</v>
      </c>
      <c r="K1033" s="1">
        <v>4</v>
      </c>
      <c r="L1033" s="24">
        <v>4.4000000000000004</v>
      </c>
      <c r="M1033" s="24">
        <v>85.024999999999991</v>
      </c>
      <c r="N1033" s="21">
        <f t="shared" si="49"/>
        <v>0.13215712383488679</v>
      </c>
      <c r="P1033" s="1">
        <v>10</v>
      </c>
      <c r="Q1033" s="24">
        <v>10.739999999999995</v>
      </c>
      <c r="R1033" s="24">
        <v>78.760000000000005</v>
      </c>
      <c r="S1033" s="21">
        <f t="shared" si="50"/>
        <v>4.8735019973368987E-2</v>
      </c>
    </row>
    <row r="1034" spans="2:19" ht="11.4" customHeight="1" x14ac:dyDescent="0.2">
      <c r="B1034" s="24"/>
      <c r="C1034" s="7">
        <v>44833</v>
      </c>
      <c r="D1034" s="18" t="s">
        <v>1086</v>
      </c>
      <c r="E1034" s="18" t="s">
        <v>1079</v>
      </c>
      <c r="F1034" s="17">
        <v>20</v>
      </c>
      <c r="G1034" s="18" t="s">
        <v>23</v>
      </c>
      <c r="H1034" s="17">
        <v>38.28</v>
      </c>
      <c r="I1034" s="8">
        <v>51.7</v>
      </c>
      <c r="J1034" s="21">
        <f t="shared" si="48"/>
        <v>0.35057471264367818</v>
      </c>
      <c r="K1034" s="1">
        <v>4</v>
      </c>
      <c r="L1034" s="24">
        <v>2.5</v>
      </c>
      <c r="M1034" s="24">
        <v>49.115000000000002</v>
      </c>
      <c r="N1034" s="21">
        <f t="shared" si="49"/>
        <v>0.28304597701149425</v>
      </c>
      <c r="P1034" s="1">
        <v>10</v>
      </c>
      <c r="Q1034" s="24">
        <v>6.2040000000000006</v>
      </c>
      <c r="R1034" s="24">
        <v>45.496000000000002</v>
      </c>
      <c r="S1034" s="21">
        <f t="shared" si="50"/>
        <v>0.18850574712643681</v>
      </c>
    </row>
    <row r="1035" spans="2:19" ht="11.4" customHeight="1" x14ac:dyDescent="0.2">
      <c r="B1035" s="24"/>
      <c r="C1035" s="7">
        <v>44827</v>
      </c>
      <c r="D1035" s="18" t="s">
        <v>1087</v>
      </c>
      <c r="E1035" s="18" t="s">
        <v>1079</v>
      </c>
      <c r="F1035" s="17">
        <v>20</v>
      </c>
      <c r="G1035" s="18" t="s">
        <v>23</v>
      </c>
      <c r="H1035" s="17">
        <v>56.4</v>
      </c>
      <c r="I1035" s="8">
        <v>76.2</v>
      </c>
      <c r="J1035" s="21">
        <f t="shared" si="48"/>
        <v>0.35106382978723411</v>
      </c>
      <c r="K1035" s="1">
        <v>4</v>
      </c>
      <c r="L1035" s="24">
        <v>3.8</v>
      </c>
      <c r="M1035" s="24">
        <v>72.39</v>
      </c>
      <c r="N1035" s="21">
        <f t="shared" si="49"/>
        <v>0.28351063829787237</v>
      </c>
      <c r="P1035" s="1">
        <v>10</v>
      </c>
      <c r="Q1035" s="24">
        <v>9.1440000000000055</v>
      </c>
      <c r="R1035" s="24">
        <v>67.055999999999997</v>
      </c>
      <c r="S1035" s="21">
        <f t="shared" si="50"/>
        <v>0.18893617021276593</v>
      </c>
    </row>
    <row r="1036" spans="2:19" ht="11.4" customHeight="1" x14ac:dyDescent="0.2">
      <c r="B1036" s="24"/>
      <c r="C1036" s="7">
        <v>39188</v>
      </c>
      <c r="D1036" s="18" t="s">
        <v>1088</v>
      </c>
      <c r="E1036" s="18" t="s">
        <v>1079</v>
      </c>
      <c r="F1036" s="17">
        <v>20</v>
      </c>
      <c r="G1036" s="18" t="s">
        <v>23</v>
      </c>
      <c r="H1036" s="17">
        <v>69.5</v>
      </c>
      <c r="I1036" s="8">
        <v>67.7</v>
      </c>
      <c r="J1036" s="21">
        <f t="shared" si="48"/>
        <v>-2.5899280575539526E-2</v>
      </c>
      <c r="K1036" s="1">
        <v>4</v>
      </c>
      <c r="L1036" s="24">
        <v>3.3</v>
      </c>
      <c r="M1036" s="24">
        <v>64.314999999999998</v>
      </c>
      <c r="N1036" s="21">
        <f t="shared" si="49"/>
        <v>-7.4604316546762625E-2</v>
      </c>
      <c r="P1036" s="1">
        <v>10</v>
      </c>
      <c r="Q1036" s="24">
        <v>8.1240000000000023</v>
      </c>
      <c r="R1036" s="24">
        <v>59.576000000000001</v>
      </c>
      <c r="S1036" s="21">
        <f t="shared" si="50"/>
        <v>-0.14279136690647481</v>
      </c>
    </row>
    <row r="1037" spans="2:19" ht="11.4" customHeight="1" x14ac:dyDescent="0.2">
      <c r="B1037" s="24"/>
      <c r="C1037" s="7">
        <v>10041</v>
      </c>
      <c r="D1037" s="18" t="s">
        <v>1089</v>
      </c>
      <c r="E1037" s="18" t="s">
        <v>1079</v>
      </c>
      <c r="F1037" s="17">
        <v>15</v>
      </c>
      <c r="G1037" s="18" t="s">
        <v>23</v>
      </c>
      <c r="H1037" s="17">
        <v>69.7</v>
      </c>
      <c r="I1037" s="8">
        <v>89.5</v>
      </c>
      <c r="J1037" s="21">
        <f t="shared" si="48"/>
        <v>0.2840746054519368</v>
      </c>
      <c r="K1037" s="1">
        <v>4</v>
      </c>
      <c r="L1037" s="24">
        <v>4.4000000000000004</v>
      </c>
      <c r="M1037" s="24">
        <v>85.024999999999991</v>
      </c>
      <c r="N1037" s="21">
        <f t="shared" si="49"/>
        <v>0.21987087517933987</v>
      </c>
      <c r="P1037" s="1">
        <v>10</v>
      </c>
      <c r="Q1037" s="24">
        <v>10.739999999999995</v>
      </c>
      <c r="R1037" s="24">
        <v>78.760000000000005</v>
      </c>
      <c r="S1037" s="21">
        <f t="shared" si="50"/>
        <v>0.12998565279770447</v>
      </c>
    </row>
    <row r="1038" spans="2:19" ht="11.4" customHeight="1" x14ac:dyDescent="0.2">
      <c r="B1038" s="24"/>
      <c r="C1038" s="7">
        <v>44796</v>
      </c>
      <c r="D1038" s="18" t="s">
        <v>1090</v>
      </c>
      <c r="E1038" s="18" t="s">
        <v>1091</v>
      </c>
      <c r="F1038" s="17">
        <v>10</v>
      </c>
      <c r="G1038" s="18" t="s">
        <v>23</v>
      </c>
      <c r="H1038" s="17">
        <v>37.32</v>
      </c>
      <c r="I1038" s="8">
        <v>50.4</v>
      </c>
      <c r="J1038" s="21">
        <f t="shared" si="48"/>
        <v>0.35048231511254013</v>
      </c>
      <c r="K1038" s="1">
        <v>4</v>
      </c>
      <c r="L1038" s="24">
        <v>2.5</v>
      </c>
      <c r="M1038" s="24">
        <v>47.879999999999995</v>
      </c>
      <c r="N1038" s="21">
        <f t="shared" si="49"/>
        <v>0.28295819935691308</v>
      </c>
      <c r="P1038" s="1">
        <v>10</v>
      </c>
      <c r="Q1038" s="24">
        <v>6.0480000000000018</v>
      </c>
      <c r="R1038" s="24">
        <v>44.351999999999997</v>
      </c>
      <c r="S1038" s="21">
        <f t="shared" si="50"/>
        <v>0.18842443729903527</v>
      </c>
    </row>
    <row r="1039" spans="2:19" ht="11.4" customHeight="1" x14ac:dyDescent="0.2">
      <c r="B1039" s="24"/>
      <c r="C1039" s="7">
        <v>39087</v>
      </c>
      <c r="D1039" s="18" t="s">
        <v>1092</v>
      </c>
      <c r="E1039" s="18" t="s">
        <v>1091</v>
      </c>
      <c r="F1039" s="17">
        <v>12</v>
      </c>
      <c r="G1039" s="18" t="s">
        <v>23</v>
      </c>
      <c r="H1039" s="17">
        <v>74.400000000000006</v>
      </c>
      <c r="I1039" s="8">
        <v>89.9</v>
      </c>
      <c r="J1039" s="21">
        <f t="shared" si="48"/>
        <v>0.20833333333333331</v>
      </c>
      <c r="K1039" s="1">
        <v>4</v>
      </c>
      <c r="L1039" s="24">
        <v>4.4000000000000004</v>
      </c>
      <c r="M1039" s="24">
        <v>85.405000000000001</v>
      </c>
      <c r="N1039" s="21">
        <f t="shared" si="49"/>
        <v>0.14791666666666659</v>
      </c>
      <c r="P1039" s="1">
        <v>10</v>
      </c>
      <c r="Q1039" s="24">
        <v>10.787999999999997</v>
      </c>
      <c r="R1039" s="24">
        <v>79.112000000000009</v>
      </c>
      <c r="S1039" s="21">
        <f t="shared" si="50"/>
        <v>6.3333333333333366E-2</v>
      </c>
    </row>
    <row r="1040" spans="2:19" ht="11.4" customHeight="1" x14ac:dyDescent="0.2">
      <c r="B1040" s="24"/>
      <c r="C1040" s="7">
        <v>5531</v>
      </c>
      <c r="D1040" s="18" t="s">
        <v>1093</v>
      </c>
      <c r="E1040" s="18" t="s">
        <v>1091</v>
      </c>
      <c r="F1040" s="17">
        <v>10</v>
      </c>
      <c r="G1040" s="18" t="s">
        <v>23</v>
      </c>
      <c r="H1040" s="17">
        <v>27</v>
      </c>
      <c r="I1040" s="8">
        <v>29.9</v>
      </c>
      <c r="J1040" s="21">
        <f t="shared" si="48"/>
        <v>0.10740740740740735</v>
      </c>
      <c r="K1040" s="1">
        <v>4</v>
      </c>
      <c r="L1040" s="24">
        <v>1.4</v>
      </c>
      <c r="M1040" s="24">
        <v>28.404999999999998</v>
      </c>
      <c r="N1040" s="21">
        <f t="shared" si="49"/>
        <v>5.2037037037036944E-2</v>
      </c>
      <c r="P1040" s="1">
        <v>10</v>
      </c>
      <c r="Q1040" s="24">
        <v>3.588000000000001</v>
      </c>
      <c r="R1040" s="24">
        <v>26.311999999999998</v>
      </c>
      <c r="S1040" s="21">
        <f t="shared" si="50"/>
        <v>-2.548148148148157E-2</v>
      </c>
    </row>
    <row r="1041" spans="2:19" ht="11.4" customHeight="1" x14ac:dyDescent="0.2">
      <c r="B1041" s="24"/>
      <c r="C1041" s="7">
        <v>16110</v>
      </c>
      <c r="D1041" s="18" t="s">
        <v>1094</v>
      </c>
      <c r="E1041" s="18" t="s">
        <v>1091</v>
      </c>
      <c r="F1041" s="17">
        <v>12</v>
      </c>
      <c r="G1041" s="18" t="s">
        <v>23</v>
      </c>
      <c r="H1041" s="17">
        <v>26.28</v>
      </c>
      <c r="I1041" s="8">
        <v>35.5</v>
      </c>
      <c r="J1041" s="21">
        <f t="shared" si="48"/>
        <v>0.35083713850837134</v>
      </c>
      <c r="K1041" s="1">
        <v>4</v>
      </c>
      <c r="L1041" s="24">
        <v>1.7</v>
      </c>
      <c r="M1041" s="24">
        <v>33.725000000000001</v>
      </c>
      <c r="N1041" s="21">
        <f t="shared" si="49"/>
        <v>0.28329528158295281</v>
      </c>
      <c r="P1041" s="1">
        <v>10</v>
      </c>
      <c r="Q1041" s="24">
        <v>4.2600000000000016</v>
      </c>
      <c r="R1041" s="24">
        <v>31.24</v>
      </c>
      <c r="S1041" s="21">
        <f t="shared" si="50"/>
        <v>0.1887366818873667</v>
      </c>
    </row>
    <row r="1042" spans="2:19" ht="11.4" customHeight="1" x14ac:dyDescent="0.2">
      <c r="B1042" s="24"/>
      <c r="C1042" s="7">
        <v>4109</v>
      </c>
      <c r="D1042" s="18" t="s">
        <v>1095</v>
      </c>
      <c r="E1042" s="18" t="s">
        <v>1091</v>
      </c>
      <c r="F1042" s="17">
        <v>10</v>
      </c>
      <c r="G1042" s="18" t="s">
        <v>23</v>
      </c>
      <c r="H1042" s="17">
        <v>35.42</v>
      </c>
      <c r="I1042" s="8">
        <v>47.9</v>
      </c>
      <c r="J1042" s="21">
        <f t="shared" si="48"/>
        <v>0.35234330886504789</v>
      </c>
      <c r="K1042" s="1">
        <v>4</v>
      </c>
      <c r="L1042" s="24">
        <v>2.2999999999999998</v>
      </c>
      <c r="M1042" s="24">
        <v>45.504999999999995</v>
      </c>
      <c r="N1042" s="21">
        <f t="shared" si="49"/>
        <v>0.28472614342179542</v>
      </c>
      <c r="P1042" s="1">
        <v>10</v>
      </c>
      <c r="Q1042" s="24">
        <v>5.7479999999999976</v>
      </c>
      <c r="R1042" s="24">
        <v>42.152000000000001</v>
      </c>
      <c r="S1042" s="21">
        <f t="shared" si="50"/>
        <v>0.19006211180124222</v>
      </c>
    </row>
    <row r="1043" spans="2:19" ht="11.4" customHeight="1" x14ac:dyDescent="0.2">
      <c r="B1043" s="24"/>
      <c r="C1043" s="7">
        <v>27684</v>
      </c>
      <c r="D1043" s="18" t="s">
        <v>1096</v>
      </c>
      <c r="E1043" s="18" t="s">
        <v>1091</v>
      </c>
      <c r="F1043" s="17">
        <v>20</v>
      </c>
      <c r="G1043" s="18" t="s">
        <v>23</v>
      </c>
      <c r="H1043" s="17">
        <v>28.9</v>
      </c>
      <c r="I1043" s="8">
        <v>36.700000000000003</v>
      </c>
      <c r="J1043" s="21">
        <f t="shared" si="48"/>
        <v>0.26989619377162644</v>
      </c>
      <c r="K1043" s="1">
        <v>4</v>
      </c>
      <c r="L1043" s="24">
        <v>1.8</v>
      </c>
      <c r="M1043" s="24">
        <v>34.865000000000002</v>
      </c>
      <c r="N1043" s="21">
        <f t="shared" si="49"/>
        <v>0.20640138408304512</v>
      </c>
      <c r="P1043" s="1">
        <v>10</v>
      </c>
      <c r="Q1043" s="24">
        <v>4.4040000000000035</v>
      </c>
      <c r="R1043" s="24">
        <v>32.295999999999999</v>
      </c>
      <c r="S1043" s="21">
        <f t="shared" si="50"/>
        <v>0.11750865051903117</v>
      </c>
    </row>
    <row r="1044" spans="2:19" ht="11.4" customHeight="1" x14ac:dyDescent="0.2">
      <c r="B1044" s="24"/>
      <c r="C1044" s="7">
        <v>10152</v>
      </c>
      <c r="D1044" s="18" t="s">
        <v>1097</v>
      </c>
      <c r="E1044" s="18" t="s">
        <v>1098</v>
      </c>
      <c r="F1044" s="17">
        <v>25</v>
      </c>
      <c r="G1044" s="18" t="s">
        <v>902</v>
      </c>
      <c r="H1044" s="17">
        <v>14.4</v>
      </c>
      <c r="I1044" s="8">
        <v>18.899999999999999</v>
      </c>
      <c r="J1044" s="21">
        <f t="shared" si="48"/>
        <v>0.31249999999999989</v>
      </c>
      <c r="K1044" s="1">
        <v>1</v>
      </c>
      <c r="L1044" s="24">
        <v>0.9</v>
      </c>
      <c r="M1044" s="24">
        <v>17.954999999999998</v>
      </c>
      <c r="N1044" s="21">
        <f t="shared" si="49"/>
        <v>0.24687499999999984</v>
      </c>
      <c r="P1044" s="1">
        <v>4</v>
      </c>
      <c r="Q1044" s="24">
        <v>1.8900000000000006</v>
      </c>
      <c r="R1044" s="24">
        <v>17.009999999999998</v>
      </c>
      <c r="S1044" s="21">
        <f t="shared" si="50"/>
        <v>0.18124999999999983</v>
      </c>
    </row>
    <row r="1045" spans="2:19" ht="11.4" customHeight="1" x14ac:dyDescent="0.2">
      <c r="B1045" s="24"/>
      <c r="C1045" s="7">
        <v>39086</v>
      </c>
      <c r="D1045" s="18" t="s">
        <v>1099</v>
      </c>
      <c r="E1045" s="18" t="s">
        <v>1098</v>
      </c>
      <c r="F1045" s="17">
        <v>12</v>
      </c>
      <c r="G1045" s="18" t="s">
        <v>23</v>
      </c>
      <c r="H1045" s="17">
        <v>39.9</v>
      </c>
      <c r="I1045" s="8">
        <v>40.9</v>
      </c>
      <c r="J1045" s="21">
        <f t="shared" si="48"/>
        <v>2.5062656641604012E-2</v>
      </c>
      <c r="K1045" s="1">
        <v>4</v>
      </c>
      <c r="L1045" s="24">
        <v>2</v>
      </c>
      <c r="M1045" s="24">
        <v>38.854999999999997</v>
      </c>
      <c r="N1045" s="21">
        <f t="shared" si="49"/>
        <v>-2.6190476190476233E-2</v>
      </c>
      <c r="P1045" s="1">
        <v>10</v>
      </c>
      <c r="Q1045" s="24">
        <v>4.9080000000000013</v>
      </c>
      <c r="R1045" s="24">
        <v>35.991999999999997</v>
      </c>
      <c r="S1045" s="21">
        <f t="shared" si="50"/>
        <v>-9.7944862155388501E-2</v>
      </c>
    </row>
    <row r="1046" spans="2:19" ht="11.4" customHeight="1" x14ac:dyDescent="0.2">
      <c r="B1046" s="24"/>
      <c r="C1046" s="7">
        <v>5574</v>
      </c>
      <c r="D1046" s="18" t="s">
        <v>1100</v>
      </c>
      <c r="E1046" s="18" t="s">
        <v>1098</v>
      </c>
      <c r="F1046" s="17">
        <v>10</v>
      </c>
      <c r="G1046" s="18" t="s">
        <v>23</v>
      </c>
      <c r="H1046" s="17">
        <v>18.5</v>
      </c>
      <c r="I1046" s="8">
        <v>22.5</v>
      </c>
      <c r="J1046" s="21">
        <f t="shared" si="48"/>
        <v>0.21621621621621623</v>
      </c>
      <c r="K1046" s="1">
        <v>4</v>
      </c>
      <c r="L1046" s="24">
        <v>1.1000000000000001</v>
      </c>
      <c r="M1046" s="24">
        <v>21.375</v>
      </c>
      <c r="N1046" s="21">
        <f t="shared" si="49"/>
        <v>0.1554054054054054</v>
      </c>
      <c r="P1046" s="1">
        <v>10</v>
      </c>
      <c r="Q1046" s="24">
        <v>2.6999999999999993</v>
      </c>
      <c r="R1046" s="24">
        <v>19.8</v>
      </c>
      <c r="S1046" s="21">
        <f t="shared" si="50"/>
        <v>7.0270270270270302E-2</v>
      </c>
    </row>
    <row r="1047" spans="2:19" ht="11.4" customHeight="1" x14ac:dyDescent="0.2">
      <c r="B1047" s="24"/>
      <c r="C1047" s="7">
        <v>27805</v>
      </c>
      <c r="D1047" s="18" t="s">
        <v>1101</v>
      </c>
      <c r="E1047" s="18" t="s">
        <v>1098</v>
      </c>
      <c r="F1047" s="17">
        <v>6</v>
      </c>
      <c r="G1047" s="18" t="s">
        <v>23</v>
      </c>
      <c r="H1047" s="17">
        <v>33.19</v>
      </c>
      <c r="I1047" s="8">
        <v>44.8</v>
      </c>
      <c r="J1047" s="21">
        <f t="shared" si="48"/>
        <v>0.3498041578788792</v>
      </c>
      <c r="K1047" s="1">
        <v>4</v>
      </c>
      <c r="L1047" s="24">
        <v>2.2000000000000002</v>
      </c>
      <c r="M1047" s="24">
        <v>42.559999999999995</v>
      </c>
      <c r="N1047" s="21">
        <f t="shared" si="49"/>
        <v>0.28231394998493514</v>
      </c>
      <c r="P1047" s="1">
        <v>10</v>
      </c>
      <c r="Q1047" s="24">
        <v>5.3759999999999977</v>
      </c>
      <c r="R1047" s="24">
        <v>39.423999999999999</v>
      </c>
      <c r="S1047" s="21">
        <f t="shared" si="50"/>
        <v>0.18782765893341374</v>
      </c>
    </row>
    <row r="1048" spans="2:19" ht="11.4" customHeight="1" x14ac:dyDescent="0.2">
      <c r="B1048" s="24"/>
      <c r="C1048" s="7">
        <v>4105</v>
      </c>
      <c r="D1048" s="18" t="s">
        <v>1102</v>
      </c>
      <c r="E1048" s="18" t="s">
        <v>1098</v>
      </c>
      <c r="F1048" s="17">
        <v>10</v>
      </c>
      <c r="G1048" s="18" t="s">
        <v>23</v>
      </c>
      <c r="H1048" s="17">
        <v>27.29</v>
      </c>
      <c r="I1048" s="8">
        <v>36.9</v>
      </c>
      <c r="J1048" s="21">
        <f t="shared" si="48"/>
        <v>0.35214364235983875</v>
      </c>
      <c r="K1048" s="1">
        <v>4</v>
      </c>
      <c r="L1048" s="24">
        <v>1.8</v>
      </c>
      <c r="M1048" s="24">
        <v>35.055</v>
      </c>
      <c r="N1048" s="21">
        <f t="shared" si="49"/>
        <v>0.28453646024184687</v>
      </c>
      <c r="P1048" s="1">
        <v>10</v>
      </c>
      <c r="Q1048" s="24">
        <v>4.4279999999999973</v>
      </c>
      <c r="R1048" s="24">
        <v>32.472000000000001</v>
      </c>
      <c r="S1048" s="21">
        <f t="shared" si="50"/>
        <v>0.1898864052766582</v>
      </c>
    </row>
    <row r="1049" spans="2:19" ht="11.4" customHeight="1" x14ac:dyDescent="0.2">
      <c r="B1049" s="24"/>
      <c r="C1049" s="7">
        <v>39184</v>
      </c>
      <c r="D1049" s="18" t="s">
        <v>1103</v>
      </c>
      <c r="E1049" s="18" t="s">
        <v>1098</v>
      </c>
      <c r="F1049" s="17">
        <v>12</v>
      </c>
      <c r="G1049" s="18" t="s">
        <v>23</v>
      </c>
      <c r="H1049" s="17">
        <v>22.08</v>
      </c>
      <c r="I1049" s="8">
        <v>30.9</v>
      </c>
      <c r="J1049" s="21">
        <f t="shared" si="48"/>
        <v>0.39945652173913049</v>
      </c>
      <c r="K1049" s="1">
        <v>4</v>
      </c>
      <c r="L1049" s="24">
        <v>1.5</v>
      </c>
      <c r="M1049" s="24">
        <v>29.354999999999997</v>
      </c>
      <c r="N1049" s="21">
        <f t="shared" si="49"/>
        <v>0.32948369565217389</v>
      </c>
      <c r="P1049" s="1">
        <v>10</v>
      </c>
      <c r="Q1049" s="24">
        <v>3.7079999999999984</v>
      </c>
      <c r="R1049" s="24">
        <v>27.192</v>
      </c>
      <c r="S1049" s="21">
        <f t="shared" si="50"/>
        <v>0.23152173913043489</v>
      </c>
    </row>
    <row r="1050" spans="2:19" ht="11.4" customHeight="1" x14ac:dyDescent="0.2">
      <c r="B1050" s="24"/>
      <c r="C1050" s="7">
        <v>44799</v>
      </c>
      <c r="D1050" s="18" t="s">
        <v>1104</v>
      </c>
      <c r="E1050" s="18" t="s">
        <v>1105</v>
      </c>
      <c r="F1050" s="17">
        <v>10</v>
      </c>
      <c r="G1050" s="18" t="s">
        <v>23</v>
      </c>
      <c r="H1050" s="17">
        <v>38.880000000000003</v>
      </c>
      <c r="I1050" s="8">
        <v>52.5</v>
      </c>
      <c r="J1050" s="21">
        <f t="shared" si="48"/>
        <v>0.35030864197530853</v>
      </c>
      <c r="K1050" s="1">
        <v>4</v>
      </c>
      <c r="L1050" s="24">
        <v>2.6</v>
      </c>
      <c r="M1050" s="24">
        <v>49.875</v>
      </c>
      <c r="N1050" s="21">
        <f t="shared" si="49"/>
        <v>0.28279320987654311</v>
      </c>
      <c r="P1050" s="1">
        <v>10</v>
      </c>
      <c r="Q1050" s="24">
        <v>6.2999999999999972</v>
      </c>
      <c r="R1050" s="24">
        <v>46.2</v>
      </c>
      <c r="S1050" s="21">
        <f t="shared" si="50"/>
        <v>0.18827160493827161</v>
      </c>
    </row>
    <row r="1051" spans="2:19" ht="11.4" customHeight="1" x14ac:dyDescent="0.2">
      <c r="B1051" s="24"/>
      <c r="C1051" s="7">
        <v>23813</v>
      </c>
      <c r="D1051" s="18" t="s">
        <v>1106</v>
      </c>
      <c r="E1051" s="18" t="s">
        <v>1105</v>
      </c>
      <c r="F1051" s="17">
        <v>10</v>
      </c>
      <c r="G1051" s="18" t="s">
        <v>23</v>
      </c>
      <c r="H1051" s="17">
        <v>14.8</v>
      </c>
      <c r="I1051" s="8">
        <v>17.2</v>
      </c>
      <c r="J1051" s="21">
        <f t="shared" si="48"/>
        <v>0.16216216216216206</v>
      </c>
      <c r="K1051" s="1">
        <v>4</v>
      </c>
      <c r="L1051" s="24">
        <v>0.8</v>
      </c>
      <c r="M1051" s="24">
        <v>16.34</v>
      </c>
      <c r="N1051" s="21">
        <f t="shared" si="49"/>
        <v>0.10405405405405399</v>
      </c>
      <c r="P1051" s="1">
        <v>10</v>
      </c>
      <c r="Q1051" s="24">
        <v>2.0640000000000001</v>
      </c>
      <c r="R1051" s="24">
        <v>15.135999999999999</v>
      </c>
      <c r="S1051" s="21">
        <f t="shared" si="50"/>
        <v>2.2702702702702603E-2</v>
      </c>
    </row>
    <row r="1052" spans="2:19" ht="11.4" customHeight="1" x14ac:dyDescent="0.2">
      <c r="B1052" s="24"/>
      <c r="C1052" s="7">
        <v>44840</v>
      </c>
      <c r="D1052" s="18" t="s">
        <v>1107</v>
      </c>
      <c r="E1052" s="18" t="s">
        <v>1105</v>
      </c>
      <c r="F1052" s="17">
        <v>20</v>
      </c>
      <c r="G1052" s="18" t="s">
        <v>23</v>
      </c>
      <c r="H1052" s="17">
        <v>26.28</v>
      </c>
      <c r="I1052" s="8">
        <v>35.5</v>
      </c>
      <c r="J1052" s="21">
        <f t="shared" si="48"/>
        <v>0.35083713850837134</v>
      </c>
      <c r="K1052" s="1">
        <v>4</v>
      </c>
      <c r="L1052" s="24">
        <v>1.7</v>
      </c>
      <c r="M1052" s="24">
        <v>33.725000000000001</v>
      </c>
      <c r="N1052" s="21">
        <f t="shared" si="49"/>
        <v>0.28329528158295281</v>
      </c>
      <c r="P1052" s="1">
        <v>10</v>
      </c>
      <c r="Q1052" s="24">
        <v>4.2600000000000016</v>
      </c>
      <c r="R1052" s="24">
        <v>31.24</v>
      </c>
      <c r="S1052" s="21">
        <f t="shared" si="50"/>
        <v>0.1887366818873667</v>
      </c>
    </row>
    <row r="1053" spans="2:19" ht="11.4" customHeight="1" x14ac:dyDescent="0.2">
      <c r="B1053" s="24"/>
      <c r="C1053" s="7">
        <v>36883</v>
      </c>
      <c r="D1053" s="18" t="s">
        <v>1108</v>
      </c>
      <c r="E1053" s="18" t="s">
        <v>1105</v>
      </c>
      <c r="F1053" s="17">
        <v>6</v>
      </c>
      <c r="G1053" s="18" t="s">
        <v>23</v>
      </c>
      <c r="H1053" s="17">
        <v>53.5</v>
      </c>
      <c r="I1053" s="8">
        <v>53.5</v>
      </c>
      <c r="J1053" s="21">
        <f t="shared" si="48"/>
        <v>0</v>
      </c>
      <c r="K1053" s="1">
        <v>4</v>
      </c>
      <c r="L1053" s="24">
        <v>2.6</v>
      </c>
      <c r="M1053" s="24">
        <v>50.824999999999996</v>
      </c>
      <c r="N1053" s="21">
        <f t="shared" si="49"/>
        <v>-5.0000000000000079E-2</v>
      </c>
      <c r="P1053" s="1">
        <v>10</v>
      </c>
      <c r="Q1053" s="24">
        <v>6.4200000000000017</v>
      </c>
      <c r="R1053" s="24">
        <v>47.08</v>
      </c>
      <c r="S1053" s="21">
        <f t="shared" si="50"/>
        <v>-0.12000000000000004</v>
      </c>
    </row>
    <row r="1054" spans="2:19" ht="11.4" customHeight="1" x14ac:dyDescent="0.2">
      <c r="B1054" s="24"/>
      <c r="C1054" s="7">
        <v>22151</v>
      </c>
      <c r="D1054" s="18" t="s">
        <v>1109</v>
      </c>
      <c r="E1054" s="18" t="s">
        <v>1105</v>
      </c>
      <c r="F1054" s="17">
        <v>10</v>
      </c>
      <c r="G1054" s="18" t="s">
        <v>23</v>
      </c>
      <c r="H1054" s="17">
        <v>15</v>
      </c>
      <c r="I1054" s="8">
        <v>20.9</v>
      </c>
      <c r="J1054" s="21">
        <f t="shared" si="48"/>
        <v>0.39333333333333326</v>
      </c>
      <c r="K1054" s="1">
        <v>4</v>
      </c>
      <c r="L1054" s="24">
        <v>1</v>
      </c>
      <c r="M1054" s="24">
        <v>19.854999999999997</v>
      </c>
      <c r="N1054" s="21">
        <f t="shared" si="49"/>
        <v>0.32366666666666644</v>
      </c>
      <c r="P1054" s="1">
        <v>10</v>
      </c>
      <c r="Q1054" s="24">
        <v>2.5079999999999991</v>
      </c>
      <c r="R1054" s="24">
        <v>18.391999999999999</v>
      </c>
      <c r="S1054" s="21">
        <f t="shared" si="50"/>
        <v>0.2261333333333333</v>
      </c>
    </row>
    <row r="1055" spans="2:19" ht="11.4" customHeight="1" x14ac:dyDescent="0.2">
      <c r="B1055" s="24"/>
      <c r="C1055" s="7">
        <v>26649</v>
      </c>
      <c r="D1055" s="18" t="s">
        <v>1110</v>
      </c>
      <c r="E1055" s="18" t="s">
        <v>1105</v>
      </c>
      <c r="F1055" s="17">
        <v>25</v>
      </c>
      <c r="G1055" s="18" t="s">
        <v>902</v>
      </c>
      <c r="H1055" s="17">
        <v>15.1</v>
      </c>
      <c r="I1055" s="8">
        <v>15.2</v>
      </c>
      <c r="J1055" s="21">
        <f t="shared" si="48"/>
        <v>6.6225165562913673E-3</v>
      </c>
      <c r="K1055" s="1">
        <v>1</v>
      </c>
      <c r="L1055" s="24">
        <v>0.7</v>
      </c>
      <c r="M1055" s="24">
        <v>14.44</v>
      </c>
      <c r="N1055" s="21">
        <f t="shared" si="49"/>
        <v>-4.3708609271523188E-2</v>
      </c>
      <c r="P1055" s="1">
        <v>4</v>
      </c>
      <c r="Q1055" s="24">
        <v>1.5199999999999996</v>
      </c>
      <c r="R1055" s="24">
        <v>13.68</v>
      </c>
      <c r="S1055" s="21">
        <f t="shared" si="50"/>
        <v>-9.4039735099337746E-2</v>
      </c>
    </row>
    <row r="1056" spans="2:19" ht="11.4" customHeight="1" x14ac:dyDescent="0.2">
      <c r="B1056" s="24"/>
      <c r="C1056" s="7">
        <v>1997</v>
      </c>
      <c r="D1056" s="18" t="s">
        <v>1111</v>
      </c>
      <c r="E1056" s="18" t="s">
        <v>1105</v>
      </c>
      <c r="F1056" s="17">
        <v>12</v>
      </c>
      <c r="G1056" s="18" t="s">
        <v>23</v>
      </c>
      <c r="H1056" s="17">
        <v>16.8</v>
      </c>
      <c r="I1056" s="8">
        <v>22.7</v>
      </c>
      <c r="J1056" s="21">
        <f t="shared" si="48"/>
        <v>0.35119047619047611</v>
      </c>
      <c r="K1056" s="1">
        <v>4</v>
      </c>
      <c r="L1056" s="24">
        <v>1.1000000000000001</v>
      </c>
      <c r="M1056" s="24">
        <v>21.564999999999998</v>
      </c>
      <c r="N1056" s="21">
        <f t="shared" si="49"/>
        <v>0.28363095238095221</v>
      </c>
      <c r="P1056" s="1">
        <v>10</v>
      </c>
      <c r="Q1056" s="24">
        <v>2.7240000000000002</v>
      </c>
      <c r="R1056" s="24">
        <v>19.975999999999999</v>
      </c>
      <c r="S1056" s="21">
        <f t="shared" si="50"/>
        <v>0.18904761904761894</v>
      </c>
    </row>
    <row r="1057" spans="2:19" ht="11.4" customHeight="1" x14ac:dyDescent="0.2">
      <c r="B1057" s="24"/>
      <c r="C1057" s="7">
        <v>5604</v>
      </c>
      <c r="D1057" s="18" t="s">
        <v>1112</v>
      </c>
      <c r="E1057" s="18" t="s">
        <v>1105</v>
      </c>
      <c r="F1057" s="17">
        <v>10</v>
      </c>
      <c r="G1057" s="18" t="s">
        <v>23</v>
      </c>
      <c r="H1057" s="17">
        <v>16</v>
      </c>
      <c r="I1057" s="8">
        <v>19</v>
      </c>
      <c r="J1057" s="21">
        <f t="shared" si="48"/>
        <v>0.1875</v>
      </c>
      <c r="K1057" s="1">
        <v>4</v>
      </c>
      <c r="L1057" s="24">
        <v>0.9</v>
      </c>
      <c r="M1057" s="24">
        <v>18.05</v>
      </c>
      <c r="N1057" s="21">
        <f t="shared" si="49"/>
        <v>0.12812500000000004</v>
      </c>
      <c r="P1057" s="1">
        <v>10</v>
      </c>
      <c r="Q1057" s="24">
        <v>2.2800000000000011</v>
      </c>
      <c r="R1057" s="24">
        <v>16.72</v>
      </c>
      <c r="S1057" s="21">
        <f t="shared" si="50"/>
        <v>4.4999999999999929E-2</v>
      </c>
    </row>
    <row r="1058" spans="2:19" ht="11.4" customHeight="1" x14ac:dyDescent="0.2">
      <c r="B1058" s="24"/>
      <c r="C1058" s="7">
        <v>4112</v>
      </c>
      <c r="D1058" s="18" t="s">
        <v>1113</v>
      </c>
      <c r="E1058" s="18" t="s">
        <v>1105</v>
      </c>
      <c r="F1058" s="17">
        <v>10</v>
      </c>
      <c r="G1058" s="18" t="s">
        <v>23</v>
      </c>
      <c r="H1058" s="17">
        <v>26.71</v>
      </c>
      <c r="I1058" s="8">
        <v>35.9</v>
      </c>
      <c r="J1058" s="21">
        <f t="shared" si="48"/>
        <v>0.34406589292399842</v>
      </c>
      <c r="K1058" s="1">
        <v>4</v>
      </c>
      <c r="L1058" s="24">
        <v>1.7</v>
      </c>
      <c r="M1058" s="24">
        <v>34.104999999999997</v>
      </c>
      <c r="N1058" s="21">
        <f t="shared" si="49"/>
        <v>0.27686259827779841</v>
      </c>
      <c r="P1058" s="1">
        <v>10</v>
      </c>
      <c r="Q1058" s="24">
        <v>4.3079999999999998</v>
      </c>
      <c r="R1058" s="24">
        <v>31.591999999999999</v>
      </c>
      <c r="S1058" s="21">
        <f t="shared" si="50"/>
        <v>0.1827779857731186</v>
      </c>
    </row>
    <row r="1059" spans="2:19" ht="11.4" customHeight="1" x14ac:dyDescent="0.2">
      <c r="B1059" s="24"/>
      <c r="C1059" s="7">
        <v>39172</v>
      </c>
      <c r="D1059" s="18" t="s">
        <v>1114</v>
      </c>
      <c r="E1059" s="18" t="s">
        <v>1105</v>
      </c>
      <c r="F1059" s="17">
        <v>15</v>
      </c>
      <c r="G1059" s="18" t="s">
        <v>23</v>
      </c>
      <c r="H1059" s="17">
        <v>28.9</v>
      </c>
      <c r="I1059" s="8">
        <v>28.3</v>
      </c>
      <c r="J1059" s="21">
        <f t="shared" si="48"/>
        <v>-2.076124567474041E-2</v>
      </c>
      <c r="K1059" s="1">
        <v>4</v>
      </c>
      <c r="L1059" s="24">
        <v>1.4</v>
      </c>
      <c r="M1059" s="24">
        <v>26.884999999999998</v>
      </c>
      <c r="N1059" s="21">
        <f t="shared" si="49"/>
        <v>-6.9723183391003488E-2</v>
      </c>
      <c r="P1059" s="1">
        <v>10</v>
      </c>
      <c r="Q1059" s="24">
        <v>3.3960000000000008</v>
      </c>
      <c r="R1059" s="24">
        <v>24.904</v>
      </c>
      <c r="S1059" s="21">
        <f t="shared" si="50"/>
        <v>-0.13826989619377159</v>
      </c>
    </row>
    <row r="1060" spans="2:19" ht="11.4" customHeight="1" x14ac:dyDescent="0.2">
      <c r="B1060" s="24"/>
      <c r="C1060" s="7">
        <v>4834</v>
      </c>
      <c r="D1060" s="18" t="s">
        <v>1115</v>
      </c>
      <c r="E1060" s="18" t="s">
        <v>1105</v>
      </c>
      <c r="F1060" s="17">
        <v>15</v>
      </c>
      <c r="G1060" s="18" t="s">
        <v>23</v>
      </c>
      <c r="H1060" s="17">
        <v>31.1</v>
      </c>
      <c r="I1060" s="8">
        <v>40.5</v>
      </c>
      <c r="J1060" s="21">
        <f t="shared" si="48"/>
        <v>0.30225080385852082</v>
      </c>
      <c r="K1060" s="1">
        <v>4</v>
      </c>
      <c r="L1060" s="24">
        <v>2</v>
      </c>
      <c r="M1060" s="24">
        <v>38.475000000000001</v>
      </c>
      <c r="N1060" s="21">
        <f t="shared" si="49"/>
        <v>0.23713826366559485</v>
      </c>
      <c r="P1060" s="1">
        <v>10</v>
      </c>
      <c r="Q1060" s="24">
        <v>4.8599999999999994</v>
      </c>
      <c r="R1060" s="24">
        <v>35.64</v>
      </c>
      <c r="S1060" s="21">
        <f t="shared" si="50"/>
        <v>0.14598070739549837</v>
      </c>
    </row>
    <row r="1061" spans="2:19" ht="11.4" customHeight="1" x14ac:dyDescent="0.2">
      <c r="B1061" s="24"/>
      <c r="C1061" s="7">
        <v>27360</v>
      </c>
      <c r="D1061" s="18" t="s">
        <v>1116</v>
      </c>
      <c r="E1061" s="18" t="s">
        <v>1117</v>
      </c>
      <c r="F1061" s="17">
        <v>25</v>
      </c>
      <c r="G1061" s="18" t="s">
        <v>902</v>
      </c>
      <c r="H1061" s="17">
        <v>24.5</v>
      </c>
      <c r="I1061" s="8">
        <v>20.9</v>
      </c>
      <c r="J1061" s="21">
        <f t="shared" si="48"/>
        <v>-0.14693877551020415</v>
      </c>
      <c r="K1061" s="1">
        <v>1</v>
      </c>
      <c r="L1061" s="24">
        <v>1</v>
      </c>
      <c r="M1061" s="24">
        <v>19.854999999999997</v>
      </c>
      <c r="N1061" s="21">
        <f t="shared" si="49"/>
        <v>-0.18959183673469401</v>
      </c>
      <c r="P1061" s="1">
        <v>4</v>
      </c>
      <c r="Q1061" s="24">
        <v>2.09</v>
      </c>
      <c r="R1061" s="24">
        <v>18.809999999999999</v>
      </c>
      <c r="S1061" s="21">
        <f t="shared" si="50"/>
        <v>-0.23224489795918374</v>
      </c>
    </row>
    <row r="1062" spans="2:19" ht="11.4" customHeight="1" x14ac:dyDescent="0.2">
      <c r="B1062" s="24"/>
      <c r="C1062" s="7">
        <v>39085</v>
      </c>
      <c r="D1062" s="18" t="s">
        <v>1118</v>
      </c>
      <c r="E1062" s="18" t="s">
        <v>1117</v>
      </c>
      <c r="F1062" s="17">
        <v>12</v>
      </c>
      <c r="G1062" s="18" t="s">
        <v>23</v>
      </c>
      <c r="H1062" s="17">
        <v>48.9</v>
      </c>
      <c r="I1062" s="8">
        <v>48.9</v>
      </c>
      <c r="J1062" s="21">
        <f t="shared" si="48"/>
        <v>0</v>
      </c>
      <c r="K1062" s="1">
        <v>4</v>
      </c>
      <c r="L1062" s="24">
        <v>2.4</v>
      </c>
      <c r="M1062" s="24">
        <v>46.454999999999998</v>
      </c>
      <c r="N1062" s="21">
        <f t="shared" si="49"/>
        <v>-5.000000000000001E-2</v>
      </c>
      <c r="P1062" s="1">
        <v>10</v>
      </c>
      <c r="Q1062" s="24">
        <v>5.8680000000000021</v>
      </c>
      <c r="R1062" s="24">
        <v>43.031999999999996</v>
      </c>
      <c r="S1062" s="21">
        <f t="shared" si="50"/>
        <v>-0.12000000000000005</v>
      </c>
    </row>
    <row r="1063" spans="2:19" ht="11.4" customHeight="1" x14ac:dyDescent="0.2">
      <c r="B1063" s="24"/>
      <c r="C1063" s="7">
        <v>5690</v>
      </c>
      <c r="D1063" s="18" t="s">
        <v>1119</v>
      </c>
      <c r="E1063" s="18" t="s">
        <v>1117</v>
      </c>
      <c r="F1063" s="17">
        <v>10</v>
      </c>
      <c r="G1063" s="18" t="s">
        <v>23</v>
      </c>
      <c r="H1063" s="17">
        <v>23.9</v>
      </c>
      <c r="I1063" s="8">
        <v>28.5</v>
      </c>
      <c r="J1063" s="21">
        <f t="shared" si="48"/>
        <v>0.19246861924686198</v>
      </c>
      <c r="K1063" s="1">
        <v>4</v>
      </c>
      <c r="L1063" s="24">
        <v>1.4</v>
      </c>
      <c r="M1063" s="24">
        <v>27.074999999999999</v>
      </c>
      <c r="N1063" s="21">
        <f t="shared" si="49"/>
        <v>0.13284518828451886</v>
      </c>
      <c r="P1063" s="1">
        <v>10</v>
      </c>
      <c r="Q1063" s="24">
        <v>3.4199999999999982</v>
      </c>
      <c r="R1063" s="24">
        <v>25.080000000000002</v>
      </c>
      <c r="S1063" s="21">
        <f t="shared" si="50"/>
        <v>4.9372384937238632E-2</v>
      </c>
    </row>
    <row r="1064" spans="2:19" ht="11.4" customHeight="1" x14ac:dyDescent="0.2">
      <c r="B1064" s="24"/>
      <c r="C1064" s="7">
        <v>23815</v>
      </c>
      <c r="D1064" s="18" t="s">
        <v>1120</v>
      </c>
      <c r="E1064" s="18" t="s">
        <v>1117</v>
      </c>
      <c r="F1064" s="17">
        <v>10</v>
      </c>
      <c r="G1064" s="18" t="s">
        <v>23</v>
      </c>
      <c r="H1064" s="17">
        <v>12.9</v>
      </c>
      <c r="I1064" s="8">
        <v>17.5</v>
      </c>
      <c r="J1064" s="21">
        <f t="shared" si="48"/>
        <v>0.35658914728682167</v>
      </c>
      <c r="K1064" s="1">
        <v>4</v>
      </c>
      <c r="L1064" s="24">
        <v>0.8</v>
      </c>
      <c r="M1064" s="24">
        <v>16.625</v>
      </c>
      <c r="N1064" s="21">
        <f t="shared" si="49"/>
        <v>0.28875968992248058</v>
      </c>
      <c r="P1064" s="1">
        <v>10</v>
      </c>
      <c r="Q1064" s="24">
        <v>2.0999999999999996</v>
      </c>
      <c r="R1064" s="24">
        <v>15.4</v>
      </c>
      <c r="S1064" s="21">
        <f t="shared" si="50"/>
        <v>0.19379844961240308</v>
      </c>
    </row>
    <row r="1065" spans="2:19" ht="11.4" customHeight="1" x14ac:dyDescent="0.2">
      <c r="B1065" s="24"/>
      <c r="C1065" s="7">
        <v>16172</v>
      </c>
      <c r="D1065" s="18" t="s">
        <v>1121</v>
      </c>
      <c r="E1065" s="18" t="s">
        <v>1117</v>
      </c>
      <c r="F1065" s="17">
        <v>12</v>
      </c>
      <c r="G1065" s="18" t="s">
        <v>23</v>
      </c>
      <c r="H1065" s="17">
        <v>27.7</v>
      </c>
      <c r="I1065" s="8">
        <v>40.9</v>
      </c>
      <c r="J1065" s="21">
        <f t="shared" si="48"/>
        <v>0.47653429602888087</v>
      </c>
      <c r="K1065" s="1">
        <v>4</v>
      </c>
      <c r="L1065" s="24">
        <v>2</v>
      </c>
      <c r="M1065" s="24">
        <v>38.854999999999997</v>
      </c>
      <c r="N1065" s="21">
        <f t="shared" si="49"/>
        <v>0.40270758122743677</v>
      </c>
      <c r="P1065" s="1">
        <v>10</v>
      </c>
      <c r="Q1065" s="24">
        <v>4.9080000000000013</v>
      </c>
      <c r="R1065" s="24">
        <v>35.991999999999997</v>
      </c>
      <c r="S1065" s="21">
        <f t="shared" si="50"/>
        <v>0.29935018050541512</v>
      </c>
    </row>
    <row r="1066" spans="2:19" ht="11.4" customHeight="1" x14ac:dyDescent="0.2">
      <c r="B1066" s="24"/>
      <c r="C1066" s="7">
        <v>39183</v>
      </c>
      <c r="D1066" s="18" t="s">
        <v>1122</v>
      </c>
      <c r="E1066" s="18" t="s">
        <v>1117</v>
      </c>
      <c r="F1066" s="17">
        <v>10</v>
      </c>
      <c r="G1066" s="18" t="s">
        <v>23</v>
      </c>
      <c r="H1066" s="17">
        <v>30.9</v>
      </c>
      <c r="I1066" s="8">
        <v>33.299999999999997</v>
      </c>
      <c r="J1066" s="21">
        <f t="shared" si="48"/>
        <v>7.7669902912621311E-2</v>
      </c>
      <c r="K1066" s="1">
        <v>4</v>
      </c>
      <c r="L1066" s="24">
        <v>1.6</v>
      </c>
      <c r="M1066" s="24">
        <v>31.634999999999994</v>
      </c>
      <c r="N1066" s="21">
        <f t="shared" si="49"/>
        <v>2.3786407766990158E-2</v>
      </c>
      <c r="P1066" s="1">
        <v>10</v>
      </c>
      <c r="Q1066" s="24">
        <v>3.9959999999999987</v>
      </c>
      <c r="R1066" s="24">
        <v>29.303999999999998</v>
      </c>
      <c r="S1066" s="21">
        <f t="shared" si="50"/>
        <v>-5.1650485436893212E-2</v>
      </c>
    </row>
    <row r="1067" spans="2:19" ht="11.4" customHeight="1" x14ac:dyDescent="0.2">
      <c r="B1067" s="24"/>
      <c r="C1067" s="7">
        <v>4116</v>
      </c>
      <c r="D1067" s="18" t="s">
        <v>1123</v>
      </c>
      <c r="E1067" s="18" t="s">
        <v>1117</v>
      </c>
      <c r="F1067" s="17">
        <v>15</v>
      </c>
      <c r="G1067" s="18" t="s">
        <v>23</v>
      </c>
      <c r="H1067" s="17">
        <v>32.200000000000003</v>
      </c>
      <c r="I1067" s="8">
        <v>42.5</v>
      </c>
      <c r="J1067" s="21">
        <f t="shared" si="48"/>
        <v>0.31987577639751541</v>
      </c>
      <c r="K1067" s="1">
        <v>4</v>
      </c>
      <c r="L1067" s="24">
        <v>2.1</v>
      </c>
      <c r="M1067" s="24">
        <v>40.375</v>
      </c>
      <c r="N1067" s="21">
        <f t="shared" si="49"/>
        <v>0.25388198757763963</v>
      </c>
      <c r="P1067" s="1">
        <v>10</v>
      </c>
      <c r="Q1067" s="24">
        <v>5.1000000000000014</v>
      </c>
      <c r="R1067" s="24">
        <v>37.4</v>
      </c>
      <c r="S1067" s="21">
        <f t="shared" si="50"/>
        <v>0.16149068322981353</v>
      </c>
    </row>
    <row r="1068" spans="2:19" ht="11.4" customHeight="1" x14ac:dyDescent="0.2">
      <c r="B1068" s="24"/>
      <c r="C1068" s="7">
        <v>27802</v>
      </c>
      <c r="D1068" s="18" t="s">
        <v>1124</v>
      </c>
      <c r="E1068" s="18" t="s">
        <v>1117</v>
      </c>
      <c r="F1068" s="17">
        <v>6</v>
      </c>
      <c r="G1068" s="18" t="s">
        <v>23</v>
      </c>
      <c r="H1068" s="17">
        <v>48.5</v>
      </c>
      <c r="I1068" s="8">
        <v>46.2</v>
      </c>
      <c r="J1068" s="21">
        <f t="shared" si="48"/>
        <v>-4.7422680412371077E-2</v>
      </c>
      <c r="K1068" s="1">
        <v>4</v>
      </c>
      <c r="L1068" s="24">
        <v>2.2999999999999998</v>
      </c>
      <c r="M1068" s="24">
        <v>43.89</v>
      </c>
      <c r="N1068" s="21">
        <f t="shared" si="49"/>
        <v>-9.5051546391752562E-2</v>
      </c>
      <c r="P1068" s="1">
        <v>10</v>
      </c>
      <c r="Q1068" s="24">
        <v>5.5439999999999969</v>
      </c>
      <c r="R1068" s="24">
        <v>40.656000000000006</v>
      </c>
      <c r="S1068" s="21">
        <f t="shared" si="50"/>
        <v>-0.16173195876288649</v>
      </c>
    </row>
    <row r="1069" spans="2:19" ht="11.4" customHeight="1" x14ac:dyDescent="0.2">
      <c r="B1069" s="24"/>
      <c r="C1069" s="7">
        <v>4113</v>
      </c>
      <c r="D1069" s="18" t="s">
        <v>1125</v>
      </c>
      <c r="E1069" s="18" t="s">
        <v>1117</v>
      </c>
      <c r="F1069" s="17">
        <v>10</v>
      </c>
      <c r="G1069" s="18" t="s">
        <v>23</v>
      </c>
      <c r="H1069" s="17">
        <v>36.5</v>
      </c>
      <c r="I1069" s="8">
        <v>47.9</v>
      </c>
      <c r="J1069" s="21">
        <f t="shared" si="48"/>
        <v>0.31232876712328761</v>
      </c>
      <c r="K1069" s="1">
        <v>4</v>
      </c>
      <c r="L1069" s="24">
        <v>2.2999999999999998</v>
      </c>
      <c r="M1069" s="24">
        <v>45.504999999999995</v>
      </c>
      <c r="N1069" s="21">
        <f t="shared" si="49"/>
        <v>0.24671232876712315</v>
      </c>
      <c r="P1069" s="1">
        <v>10</v>
      </c>
      <c r="Q1069" s="24">
        <v>5.7479999999999976</v>
      </c>
      <c r="R1069" s="24">
        <v>42.152000000000001</v>
      </c>
      <c r="S1069" s="21">
        <f t="shared" si="50"/>
        <v>0.15484931506849317</v>
      </c>
    </row>
    <row r="1070" spans="2:19" ht="11.4" customHeight="1" x14ac:dyDescent="0.2">
      <c r="B1070" s="24"/>
      <c r="C1070" s="7">
        <v>36887</v>
      </c>
      <c r="D1070" s="18" t="s">
        <v>1126</v>
      </c>
      <c r="E1070" s="18" t="s">
        <v>1117</v>
      </c>
      <c r="F1070" s="17">
        <v>6</v>
      </c>
      <c r="G1070" s="18" t="s">
        <v>23</v>
      </c>
      <c r="H1070" s="17">
        <v>30.5</v>
      </c>
      <c r="I1070" s="8">
        <v>29.1</v>
      </c>
      <c r="J1070" s="21">
        <f t="shared" si="48"/>
        <v>-4.5901639344262252E-2</v>
      </c>
      <c r="K1070" s="1">
        <v>4</v>
      </c>
      <c r="L1070" s="24">
        <v>1.4</v>
      </c>
      <c r="M1070" s="24">
        <v>27.645</v>
      </c>
      <c r="N1070" s="21">
        <f t="shared" si="49"/>
        <v>-9.360655737704919E-2</v>
      </c>
      <c r="P1070" s="1">
        <v>10</v>
      </c>
      <c r="Q1070" s="24">
        <v>3.4920000000000009</v>
      </c>
      <c r="R1070" s="24">
        <v>25.608000000000001</v>
      </c>
      <c r="S1070" s="21">
        <f t="shared" si="50"/>
        <v>-0.1603934426229508</v>
      </c>
    </row>
    <row r="1071" spans="2:19" ht="11.4" customHeight="1" x14ac:dyDescent="0.2">
      <c r="B1071" s="24"/>
      <c r="C1071" s="7">
        <v>10038</v>
      </c>
      <c r="D1071" s="18" t="s">
        <v>1127</v>
      </c>
      <c r="E1071" s="18" t="s">
        <v>1128</v>
      </c>
      <c r="F1071" s="17">
        <v>10</v>
      </c>
      <c r="G1071" s="18" t="s">
        <v>23</v>
      </c>
      <c r="H1071" s="17">
        <v>21.9</v>
      </c>
      <c r="I1071" s="8">
        <v>28.5</v>
      </c>
      <c r="J1071" s="21">
        <f t="shared" si="48"/>
        <v>0.30136986301369872</v>
      </c>
      <c r="K1071" s="1">
        <v>4</v>
      </c>
      <c r="L1071" s="24">
        <v>1.4</v>
      </c>
      <c r="M1071" s="24">
        <v>27.074999999999999</v>
      </c>
      <c r="N1071" s="21">
        <f t="shared" si="49"/>
        <v>0.23630136986301375</v>
      </c>
      <c r="P1071" s="1">
        <v>10</v>
      </c>
      <c r="Q1071" s="24">
        <v>3.4199999999999982</v>
      </c>
      <c r="R1071" s="24">
        <v>25.080000000000002</v>
      </c>
      <c r="S1071" s="21">
        <f t="shared" si="50"/>
        <v>0.14520547945205495</v>
      </c>
    </row>
    <row r="1072" spans="2:19" ht="11.4" customHeight="1" x14ac:dyDescent="0.2">
      <c r="B1072" s="24"/>
      <c r="C1072" s="7">
        <v>10003</v>
      </c>
      <c r="D1072" s="18" t="s">
        <v>1129</v>
      </c>
      <c r="E1072" s="18" t="s">
        <v>1128</v>
      </c>
      <c r="F1072" s="17">
        <v>25</v>
      </c>
      <c r="G1072" s="18" t="s">
        <v>902</v>
      </c>
      <c r="H1072" s="17">
        <v>14.4</v>
      </c>
      <c r="I1072" s="8">
        <v>18.899999999999999</v>
      </c>
      <c r="J1072" s="21">
        <f t="shared" si="48"/>
        <v>0.31249999999999989</v>
      </c>
      <c r="K1072" s="1">
        <v>1</v>
      </c>
      <c r="L1072" s="24">
        <v>0.9</v>
      </c>
      <c r="M1072" s="24">
        <v>17.954999999999998</v>
      </c>
      <c r="N1072" s="21">
        <f t="shared" si="49"/>
        <v>0.24687499999999984</v>
      </c>
      <c r="P1072" s="1">
        <v>4</v>
      </c>
      <c r="Q1072" s="24">
        <v>1.8900000000000006</v>
      </c>
      <c r="R1072" s="24">
        <v>17.009999999999998</v>
      </c>
      <c r="S1072" s="21">
        <f t="shared" si="50"/>
        <v>0.18124999999999983</v>
      </c>
    </row>
    <row r="1073" spans="2:19" ht="11.4" customHeight="1" x14ac:dyDescent="0.2">
      <c r="B1073" s="24"/>
      <c r="C1073" s="7">
        <v>5645</v>
      </c>
      <c r="D1073" s="18" t="s">
        <v>1130</v>
      </c>
      <c r="E1073" s="18" t="s">
        <v>1128</v>
      </c>
      <c r="F1073" s="17">
        <v>10</v>
      </c>
      <c r="G1073" s="18" t="s">
        <v>23</v>
      </c>
      <c r="H1073" s="17">
        <v>17.5</v>
      </c>
      <c r="I1073" s="8">
        <v>21.2</v>
      </c>
      <c r="J1073" s="21">
        <f t="shared" si="48"/>
        <v>0.21142857142857138</v>
      </c>
      <c r="K1073" s="1">
        <v>4</v>
      </c>
      <c r="L1073" s="24">
        <v>1</v>
      </c>
      <c r="M1073" s="24">
        <v>20.139999999999997</v>
      </c>
      <c r="N1073" s="21">
        <f t="shared" si="49"/>
        <v>0.15085714285714269</v>
      </c>
      <c r="P1073" s="1">
        <v>10</v>
      </c>
      <c r="Q1073" s="24">
        <v>2.5440000000000005</v>
      </c>
      <c r="R1073" s="24">
        <v>18.655999999999999</v>
      </c>
      <c r="S1073" s="21">
        <f t="shared" si="50"/>
        <v>6.6057142857142787E-2</v>
      </c>
    </row>
    <row r="1074" spans="2:19" ht="11.4" customHeight="1" x14ac:dyDescent="0.2">
      <c r="B1074" s="24"/>
      <c r="C1074" s="7">
        <v>41965</v>
      </c>
      <c r="D1074" s="18" t="s">
        <v>1131</v>
      </c>
      <c r="E1074" s="18" t="s">
        <v>1128</v>
      </c>
      <c r="F1074" s="17">
        <v>12</v>
      </c>
      <c r="G1074" s="18" t="s">
        <v>23</v>
      </c>
      <c r="H1074" s="17">
        <v>18.899999999999999</v>
      </c>
      <c r="I1074" s="8">
        <v>25.5</v>
      </c>
      <c r="J1074" s="21">
        <f t="shared" si="48"/>
        <v>0.3492063492063493</v>
      </c>
      <c r="K1074" s="1">
        <v>4</v>
      </c>
      <c r="L1074" s="24">
        <v>1.2</v>
      </c>
      <c r="M1074" s="24">
        <v>24.224999999999998</v>
      </c>
      <c r="N1074" s="21">
        <f t="shared" si="49"/>
        <v>0.28174603174603174</v>
      </c>
      <c r="P1074" s="1">
        <v>10</v>
      </c>
      <c r="Q1074" s="24">
        <v>3.0599999999999987</v>
      </c>
      <c r="R1074" s="24">
        <v>22.44</v>
      </c>
      <c r="S1074" s="21">
        <f t="shared" si="50"/>
        <v>0.18730158730158747</v>
      </c>
    </row>
    <row r="1075" spans="2:19" ht="11.4" customHeight="1" x14ac:dyDescent="0.2">
      <c r="B1075" s="24"/>
      <c r="C1075" s="7">
        <v>39185</v>
      </c>
      <c r="D1075" s="18" t="s">
        <v>1132</v>
      </c>
      <c r="E1075" s="18" t="s">
        <v>1128</v>
      </c>
      <c r="F1075" s="17">
        <v>10</v>
      </c>
      <c r="G1075" s="18" t="s">
        <v>23</v>
      </c>
      <c r="H1075" s="17">
        <v>22.08</v>
      </c>
      <c r="I1075" s="8">
        <v>30.9</v>
      </c>
      <c r="J1075" s="21">
        <f t="shared" si="48"/>
        <v>0.39945652173913049</v>
      </c>
      <c r="K1075" s="1">
        <v>4</v>
      </c>
      <c r="L1075" s="24">
        <v>1.5</v>
      </c>
      <c r="M1075" s="24">
        <v>29.354999999999997</v>
      </c>
      <c r="N1075" s="21">
        <f t="shared" si="49"/>
        <v>0.32948369565217389</v>
      </c>
      <c r="P1075" s="1">
        <v>10</v>
      </c>
      <c r="Q1075" s="24">
        <v>3.7079999999999984</v>
      </c>
      <c r="R1075" s="24">
        <v>27.192</v>
      </c>
      <c r="S1075" s="21">
        <f t="shared" si="50"/>
        <v>0.23152173913043489</v>
      </c>
    </row>
    <row r="1076" spans="2:19" ht="11.4" customHeight="1" x14ac:dyDescent="0.2">
      <c r="B1076" s="24"/>
      <c r="C1076" s="7">
        <v>33689</v>
      </c>
      <c r="D1076" s="18" t="s">
        <v>1133</v>
      </c>
      <c r="E1076" s="18" t="s">
        <v>1025</v>
      </c>
      <c r="F1076" s="17">
        <v>16</v>
      </c>
      <c r="G1076" s="18" t="s">
        <v>23</v>
      </c>
      <c r="H1076" s="17">
        <v>86.5</v>
      </c>
      <c r="I1076" s="8">
        <v>86.5</v>
      </c>
      <c r="J1076" s="21">
        <f t="shared" si="48"/>
        <v>0</v>
      </c>
      <c r="K1076" s="1">
        <v>4</v>
      </c>
      <c r="L1076" s="24">
        <v>4.3</v>
      </c>
      <c r="M1076" s="24">
        <v>82.174999999999997</v>
      </c>
      <c r="N1076" s="21">
        <f t="shared" si="49"/>
        <v>-5.0000000000000031E-2</v>
      </c>
      <c r="P1076" s="1">
        <v>10</v>
      </c>
      <c r="Q1076" s="24">
        <v>10.379999999999995</v>
      </c>
      <c r="R1076" s="24">
        <v>76.12</v>
      </c>
      <c r="S1076" s="21">
        <f t="shared" si="50"/>
        <v>-0.11999999999999995</v>
      </c>
    </row>
    <row r="1077" spans="2:19" ht="11.4" customHeight="1" x14ac:dyDescent="0.2">
      <c r="B1077" s="24"/>
      <c r="C1077" s="7">
        <v>39090</v>
      </c>
      <c r="D1077" s="18" t="s">
        <v>1134</v>
      </c>
      <c r="E1077" s="18" t="s">
        <v>1135</v>
      </c>
      <c r="F1077" s="17">
        <v>12</v>
      </c>
      <c r="G1077" s="18" t="s">
        <v>23</v>
      </c>
      <c r="H1077" s="17">
        <v>67.5</v>
      </c>
      <c r="I1077" s="8">
        <v>67.5</v>
      </c>
      <c r="J1077" s="21">
        <f t="shared" si="48"/>
        <v>0</v>
      </c>
      <c r="K1077" s="1">
        <v>4</v>
      </c>
      <c r="L1077" s="24">
        <v>3.3</v>
      </c>
      <c r="M1077" s="24">
        <v>64.125</v>
      </c>
      <c r="N1077" s="21">
        <f t="shared" si="49"/>
        <v>-0.05</v>
      </c>
      <c r="P1077" s="1">
        <v>10</v>
      </c>
      <c r="Q1077" s="24">
        <v>8.1000000000000014</v>
      </c>
      <c r="R1077" s="24">
        <v>59.4</v>
      </c>
      <c r="S1077" s="21">
        <f t="shared" si="50"/>
        <v>-0.12000000000000002</v>
      </c>
    </row>
    <row r="1078" spans="2:19" ht="11.4" customHeight="1" x14ac:dyDescent="0.2">
      <c r="B1078" s="24"/>
      <c r="C1078" s="7">
        <v>44841</v>
      </c>
      <c r="D1078" s="18" t="s">
        <v>1136</v>
      </c>
      <c r="E1078" s="18" t="s">
        <v>1135</v>
      </c>
      <c r="F1078" s="17">
        <v>20</v>
      </c>
      <c r="G1078" s="18" t="s">
        <v>23</v>
      </c>
      <c r="H1078" s="17">
        <v>90.36</v>
      </c>
      <c r="I1078" s="8">
        <v>139.9</v>
      </c>
      <c r="J1078" s="21">
        <f t="shared" si="48"/>
        <v>0.54825143868968573</v>
      </c>
      <c r="K1078" s="1">
        <v>4</v>
      </c>
      <c r="L1078" s="24">
        <v>6.9</v>
      </c>
      <c r="M1078" s="24">
        <v>132.905</v>
      </c>
      <c r="N1078" s="21">
        <f t="shared" si="49"/>
        <v>0.47083886675520142</v>
      </c>
      <c r="P1078" s="1">
        <v>10</v>
      </c>
      <c r="Q1078" s="24">
        <v>16.787999999999997</v>
      </c>
      <c r="R1078" s="24">
        <v>123.11200000000001</v>
      </c>
      <c r="S1078" s="21">
        <f t="shared" si="50"/>
        <v>0.36246126604692352</v>
      </c>
    </row>
    <row r="1079" spans="2:19" ht="11.4" customHeight="1" x14ac:dyDescent="0.2">
      <c r="B1079" s="24"/>
      <c r="C1079" s="7">
        <v>33686</v>
      </c>
      <c r="D1079" s="18" t="s">
        <v>1137</v>
      </c>
      <c r="E1079" s="18" t="s">
        <v>1025</v>
      </c>
      <c r="F1079" s="17">
        <v>12</v>
      </c>
      <c r="G1079" s="18" t="s">
        <v>23</v>
      </c>
      <c r="H1079" s="17">
        <v>72.900000000000006</v>
      </c>
      <c r="I1079" s="8">
        <v>72.900000000000006</v>
      </c>
      <c r="J1079" s="21">
        <f t="shared" si="48"/>
        <v>0</v>
      </c>
      <c r="K1079" s="1">
        <v>4</v>
      </c>
      <c r="L1079" s="24">
        <v>3.6</v>
      </c>
      <c r="M1079" s="24">
        <v>69.254999999999995</v>
      </c>
      <c r="N1079" s="21">
        <f t="shared" si="49"/>
        <v>-5.0000000000000135E-2</v>
      </c>
      <c r="P1079" s="1">
        <v>10</v>
      </c>
      <c r="Q1079" s="24">
        <v>8.7480000000000047</v>
      </c>
      <c r="R1079" s="24">
        <v>64.152000000000001</v>
      </c>
      <c r="S1079" s="21">
        <f t="shared" si="50"/>
        <v>-0.12000000000000005</v>
      </c>
    </row>
    <row r="1080" spans="2:19" ht="11.4" customHeight="1" x14ac:dyDescent="0.2">
      <c r="B1080" s="24"/>
      <c r="C1080" s="7">
        <v>23439</v>
      </c>
      <c r="D1080" s="18" t="s">
        <v>1138</v>
      </c>
      <c r="E1080" s="18" t="s">
        <v>1139</v>
      </c>
      <c r="F1080" s="17">
        <v>10</v>
      </c>
      <c r="G1080" s="18" t="s">
        <v>23</v>
      </c>
      <c r="H1080" s="17">
        <v>90.5</v>
      </c>
      <c r="I1080" s="8">
        <v>109.9</v>
      </c>
      <c r="J1080" s="21">
        <f t="shared" si="48"/>
        <v>0.21436464088397797</v>
      </c>
      <c r="K1080" s="1">
        <v>4</v>
      </c>
      <c r="L1080" s="24">
        <v>5.4</v>
      </c>
      <c r="M1080" s="24">
        <v>104.405</v>
      </c>
      <c r="N1080" s="21">
        <f t="shared" si="49"/>
        <v>0.15364640883977901</v>
      </c>
      <c r="P1080" s="1">
        <v>10</v>
      </c>
      <c r="Q1080" s="24">
        <v>13.188000000000002</v>
      </c>
      <c r="R1080" s="24">
        <v>96.712000000000003</v>
      </c>
      <c r="S1080" s="21">
        <f t="shared" si="50"/>
        <v>6.8640883977900594E-2</v>
      </c>
    </row>
    <row r="1081" spans="2:19" ht="11.4" customHeight="1" x14ac:dyDescent="0.2">
      <c r="B1081" s="24"/>
      <c r="C1081" s="7">
        <v>44835</v>
      </c>
      <c r="D1081" s="18" t="s">
        <v>1140</v>
      </c>
      <c r="E1081" s="18" t="s">
        <v>1139</v>
      </c>
      <c r="F1081" s="17">
        <v>20</v>
      </c>
      <c r="G1081" s="18" t="s">
        <v>23</v>
      </c>
      <c r="H1081" s="17">
        <v>61.68</v>
      </c>
      <c r="I1081" s="8">
        <v>83.3</v>
      </c>
      <c r="J1081" s="21">
        <f t="shared" si="48"/>
        <v>0.35051880674448765</v>
      </c>
      <c r="K1081" s="1">
        <v>4</v>
      </c>
      <c r="L1081" s="24">
        <v>4.0999999999999996</v>
      </c>
      <c r="M1081" s="24">
        <v>79.134999999999991</v>
      </c>
      <c r="N1081" s="21">
        <f t="shared" si="49"/>
        <v>0.28299286640726318</v>
      </c>
      <c r="P1081" s="1">
        <v>10</v>
      </c>
      <c r="Q1081" s="24">
        <v>9.9959999999999951</v>
      </c>
      <c r="R1081" s="24">
        <v>73.304000000000002</v>
      </c>
      <c r="S1081" s="21">
        <f t="shared" si="50"/>
        <v>0.18845654993514921</v>
      </c>
    </row>
    <row r="1082" spans="2:19" ht="11.4" customHeight="1" x14ac:dyDescent="0.2">
      <c r="B1082" s="24"/>
      <c r="C1082" s="7">
        <v>44797</v>
      </c>
      <c r="D1082" s="18" t="s">
        <v>1141</v>
      </c>
      <c r="E1082" s="18" t="s">
        <v>1139</v>
      </c>
      <c r="F1082" s="17">
        <v>20</v>
      </c>
      <c r="G1082" s="18" t="s">
        <v>23</v>
      </c>
      <c r="H1082" s="17">
        <v>65.819999999999993</v>
      </c>
      <c r="I1082" s="8">
        <v>88.9</v>
      </c>
      <c r="J1082" s="21">
        <f t="shared" si="48"/>
        <v>0.35065329687025243</v>
      </c>
      <c r="K1082" s="1">
        <v>4</v>
      </c>
      <c r="L1082" s="24">
        <v>4.4000000000000004</v>
      </c>
      <c r="M1082" s="24">
        <v>84.454999999999998</v>
      </c>
      <c r="N1082" s="21">
        <f t="shared" si="49"/>
        <v>0.2831206320267397</v>
      </c>
      <c r="P1082" s="1">
        <v>10</v>
      </c>
      <c r="Q1082" s="24">
        <v>10.668000000000006</v>
      </c>
      <c r="R1082" s="24">
        <v>78.231999999999999</v>
      </c>
      <c r="S1082" s="21">
        <f t="shared" si="50"/>
        <v>0.18857490124582205</v>
      </c>
    </row>
    <row r="1083" spans="2:19" ht="11.4" customHeight="1" x14ac:dyDescent="0.2">
      <c r="B1083" s="24"/>
      <c r="C1083" s="7">
        <v>10040</v>
      </c>
      <c r="D1083" s="18" t="s">
        <v>1142</v>
      </c>
      <c r="E1083" s="18" t="s">
        <v>1139</v>
      </c>
      <c r="F1083" s="17">
        <v>15</v>
      </c>
      <c r="G1083" s="18" t="s">
        <v>23</v>
      </c>
      <c r="H1083" s="17">
        <v>76.099999999999994</v>
      </c>
      <c r="I1083" s="8">
        <v>102.8</v>
      </c>
      <c r="J1083" s="21">
        <f t="shared" si="48"/>
        <v>0.35085413929040743</v>
      </c>
      <c r="K1083" s="1">
        <v>4</v>
      </c>
      <c r="L1083" s="24">
        <v>5.0999999999999996</v>
      </c>
      <c r="M1083" s="24">
        <v>97.66</v>
      </c>
      <c r="N1083" s="21">
        <f t="shared" si="49"/>
        <v>0.28331143232588707</v>
      </c>
      <c r="P1083" s="1">
        <v>10</v>
      </c>
      <c r="Q1083" s="24">
        <v>12.335999999999999</v>
      </c>
      <c r="R1083" s="24">
        <v>90.463999999999999</v>
      </c>
      <c r="S1083" s="21">
        <f t="shared" si="50"/>
        <v>0.18875164257555854</v>
      </c>
    </row>
    <row r="1084" spans="2:19" ht="11.4" customHeight="1" x14ac:dyDescent="0.2">
      <c r="B1084" s="24"/>
      <c r="C1084" s="7">
        <v>44831</v>
      </c>
      <c r="D1084" s="18" t="s">
        <v>1143</v>
      </c>
      <c r="E1084" s="18" t="s">
        <v>1139</v>
      </c>
      <c r="F1084" s="17">
        <v>20</v>
      </c>
      <c r="G1084" s="18" t="s">
        <v>23</v>
      </c>
      <c r="H1084" s="17">
        <v>60</v>
      </c>
      <c r="I1084" s="8">
        <v>83.3</v>
      </c>
      <c r="J1084" s="21">
        <f t="shared" si="48"/>
        <v>0.38833333333333331</v>
      </c>
      <c r="K1084" s="1">
        <v>4</v>
      </c>
      <c r="L1084" s="24">
        <v>4.0999999999999996</v>
      </c>
      <c r="M1084" s="24">
        <v>79.134999999999991</v>
      </c>
      <c r="N1084" s="21">
        <f t="shared" si="49"/>
        <v>0.31891666666666652</v>
      </c>
      <c r="P1084" s="1">
        <v>10</v>
      </c>
      <c r="Q1084" s="24">
        <v>9.9959999999999951</v>
      </c>
      <c r="R1084" s="24">
        <v>73.304000000000002</v>
      </c>
      <c r="S1084" s="21">
        <f t="shared" si="50"/>
        <v>0.22173333333333337</v>
      </c>
    </row>
    <row r="1085" spans="2:19" ht="11.4" customHeight="1" x14ac:dyDescent="0.2">
      <c r="B1085" s="24"/>
      <c r="C1085" s="7">
        <v>44808</v>
      </c>
      <c r="D1085" s="18" t="s">
        <v>1144</v>
      </c>
      <c r="E1085" s="18" t="s">
        <v>1139</v>
      </c>
      <c r="F1085" s="17">
        <v>20</v>
      </c>
      <c r="G1085" s="18" t="s">
        <v>23</v>
      </c>
      <c r="H1085" s="17">
        <v>65.819999999999993</v>
      </c>
      <c r="I1085" s="8">
        <v>88.9</v>
      </c>
      <c r="J1085" s="21">
        <f t="shared" si="48"/>
        <v>0.35065329687025243</v>
      </c>
      <c r="K1085" s="1">
        <v>4</v>
      </c>
      <c r="L1085" s="24">
        <v>4.4000000000000004</v>
      </c>
      <c r="M1085" s="24">
        <v>84.454999999999998</v>
      </c>
      <c r="N1085" s="21">
        <f t="shared" si="49"/>
        <v>0.2831206320267397</v>
      </c>
      <c r="P1085" s="1">
        <v>10</v>
      </c>
      <c r="Q1085" s="24">
        <v>10.668000000000006</v>
      </c>
      <c r="R1085" s="24">
        <v>78.231999999999999</v>
      </c>
      <c r="S1085" s="21">
        <f t="shared" si="50"/>
        <v>0.18857490124582205</v>
      </c>
    </row>
    <row r="1086" spans="2:19" ht="11.4" customHeight="1" x14ac:dyDescent="0.2">
      <c r="B1086" s="24"/>
      <c r="C1086" s="7">
        <v>44812</v>
      </c>
      <c r="D1086" s="18" t="s">
        <v>1145</v>
      </c>
      <c r="E1086" s="18" t="s">
        <v>1139</v>
      </c>
      <c r="F1086" s="17">
        <v>20</v>
      </c>
      <c r="G1086" s="18" t="s">
        <v>23</v>
      </c>
      <c r="H1086" s="17">
        <v>69.900000000000006</v>
      </c>
      <c r="I1086" s="8">
        <v>94.4</v>
      </c>
      <c r="J1086" s="21">
        <f t="shared" si="48"/>
        <v>0.35050071530758226</v>
      </c>
      <c r="K1086" s="1">
        <v>4</v>
      </c>
      <c r="L1086" s="24">
        <v>4.7</v>
      </c>
      <c r="M1086" s="24">
        <v>89.68</v>
      </c>
      <c r="N1086" s="21">
        <f t="shared" si="49"/>
        <v>0.28297567954220315</v>
      </c>
      <c r="P1086" s="1">
        <v>10</v>
      </c>
      <c r="Q1086" s="24">
        <v>11.328000000000003</v>
      </c>
      <c r="R1086" s="24">
        <v>83.072000000000003</v>
      </c>
      <c r="S1086" s="21">
        <f t="shared" si="50"/>
        <v>0.18844062947067233</v>
      </c>
    </row>
    <row r="1087" spans="2:19" ht="11.4" customHeight="1" x14ac:dyDescent="0.2">
      <c r="B1087" s="24"/>
      <c r="C1087" s="7">
        <v>23440</v>
      </c>
      <c r="D1087" s="18" t="s">
        <v>1146</v>
      </c>
      <c r="E1087" s="18" t="s">
        <v>1139</v>
      </c>
      <c r="F1087" s="17">
        <v>10</v>
      </c>
      <c r="G1087" s="18" t="s">
        <v>23</v>
      </c>
      <c r="H1087" s="17">
        <v>60.5</v>
      </c>
      <c r="I1087" s="8">
        <v>73.900000000000006</v>
      </c>
      <c r="J1087" s="21">
        <f t="shared" si="48"/>
        <v>0.22148760330578521</v>
      </c>
      <c r="K1087" s="1">
        <v>4</v>
      </c>
      <c r="L1087" s="24">
        <v>3.6</v>
      </c>
      <c r="M1087" s="24">
        <v>70.204999999999998</v>
      </c>
      <c r="N1087" s="21">
        <f t="shared" si="49"/>
        <v>0.16041322314049583</v>
      </c>
      <c r="P1087" s="1">
        <v>10</v>
      </c>
      <c r="Q1087" s="24">
        <v>8.867999999999995</v>
      </c>
      <c r="R1087" s="24">
        <v>65.032000000000011</v>
      </c>
      <c r="S1087" s="21">
        <f t="shared" si="50"/>
        <v>7.4909090909091092E-2</v>
      </c>
    </row>
    <row r="1088" spans="2:19" ht="11.4" customHeight="1" x14ac:dyDescent="0.2">
      <c r="B1088" s="24"/>
      <c r="C1088" s="7">
        <v>44813</v>
      </c>
      <c r="D1088" s="18" t="s">
        <v>1147</v>
      </c>
      <c r="E1088" s="18" t="s">
        <v>1139</v>
      </c>
      <c r="F1088" s="17">
        <v>20</v>
      </c>
      <c r="G1088" s="18" t="s">
        <v>23</v>
      </c>
      <c r="H1088" s="17">
        <v>50.64</v>
      </c>
      <c r="I1088" s="8">
        <v>70.3</v>
      </c>
      <c r="J1088" s="21">
        <f t="shared" si="48"/>
        <v>0.38823064770932064</v>
      </c>
      <c r="K1088" s="1">
        <v>4</v>
      </c>
      <c r="L1088" s="24">
        <v>3.5</v>
      </c>
      <c r="M1088" s="24">
        <v>66.784999999999997</v>
      </c>
      <c r="N1088" s="21">
        <f t="shared" si="49"/>
        <v>0.3188191153238546</v>
      </c>
      <c r="P1088" s="1">
        <v>10</v>
      </c>
      <c r="Q1088" s="24">
        <v>8.4359999999999999</v>
      </c>
      <c r="R1088" s="24">
        <v>61.863999999999997</v>
      </c>
      <c r="S1088" s="21">
        <f t="shared" si="50"/>
        <v>0.22164296998420213</v>
      </c>
    </row>
    <row r="1089" spans="2:19" ht="11.4" customHeight="1" x14ac:dyDescent="0.2">
      <c r="B1089" s="24"/>
      <c r="C1089" s="7">
        <v>44848</v>
      </c>
      <c r="D1089" s="18" t="s">
        <v>1148</v>
      </c>
      <c r="E1089" s="18" t="s">
        <v>1139</v>
      </c>
      <c r="F1089" s="17">
        <v>20</v>
      </c>
      <c r="G1089" s="18" t="s">
        <v>23</v>
      </c>
      <c r="H1089" s="17">
        <v>48.6</v>
      </c>
      <c r="I1089" s="8">
        <v>67.8</v>
      </c>
      <c r="J1089" s="21">
        <f t="shared" si="48"/>
        <v>0.39506172839506165</v>
      </c>
      <c r="K1089" s="1">
        <v>4</v>
      </c>
      <c r="L1089" s="24">
        <v>3.3</v>
      </c>
      <c r="M1089" s="24">
        <v>64.41</v>
      </c>
      <c r="N1089" s="21">
        <f t="shared" si="49"/>
        <v>0.32530864197530851</v>
      </c>
      <c r="P1089" s="1">
        <v>10</v>
      </c>
      <c r="Q1089" s="24">
        <v>8.1360000000000028</v>
      </c>
      <c r="R1089" s="24">
        <v>59.663999999999994</v>
      </c>
      <c r="S1089" s="21">
        <f t="shared" si="50"/>
        <v>0.22765432098765417</v>
      </c>
    </row>
    <row r="1090" spans="2:19" ht="11.4" customHeight="1" x14ac:dyDescent="0.2">
      <c r="B1090" s="24"/>
      <c r="C1090" s="7">
        <v>44830</v>
      </c>
      <c r="D1090" s="18" t="s">
        <v>1149</v>
      </c>
      <c r="E1090" s="18" t="s">
        <v>1139</v>
      </c>
      <c r="F1090" s="17">
        <v>20</v>
      </c>
      <c r="G1090" s="18" t="s">
        <v>23</v>
      </c>
      <c r="H1090" s="17">
        <v>55.68</v>
      </c>
      <c r="I1090" s="8">
        <v>75.2</v>
      </c>
      <c r="J1090" s="21">
        <f t="shared" si="48"/>
        <v>0.35057471264367823</v>
      </c>
      <c r="K1090" s="1">
        <v>4</v>
      </c>
      <c r="L1090" s="24">
        <v>3.7</v>
      </c>
      <c r="M1090" s="24">
        <v>71.44</v>
      </c>
      <c r="N1090" s="21">
        <f t="shared" si="49"/>
        <v>0.2830459770114942</v>
      </c>
      <c r="P1090" s="1">
        <v>10</v>
      </c>
      <c r="Q1090" s="24">
        <v>9.0240000000000009</v>
      </c>
      <c r="R1090" s="24">
        <v>66.176000000000002</v>
      </c>
      <c r="S1090" s="21">
        <f t="shared" si="50"/>
        <v>0.18850574712643683</v>
      </c>
    </row>
    <row r="1091" spans="2:19" ht="11.4" customHeight="1" x14ac:dyDescent="0.2">
      <c r="B1091" s="24"/>
      <c r="C1091" s="7">
        <v>39173</v>
      </c>
      <c r="D1091" s="18" t="s">
        <v>1150</v>
      </c>
      <c r="E1091" s="18" t="s">
        <v>1139</v>
      </c>
      <c r="F1091" s="17">
        <v>15</v>
      </c>
      <c r="G1091" s="18" t="s">
        <v>23</v>
      </c>
      <c r="H1091" s="17">
        <v>52.5</v>
      </c>
      <c r="I1091" s="8">
        <v>42.9</v>
      </c>
      <c r="J1091" s="21">
        <f t="shared" ref="J1091:J1154" si="51">(I1091-H1091)/H1091</f>
        <v>-0.18285714285714288</v>
      </c>
      <c r="K1091" s="1">
        <v>4</v>
      </c>
      <c r="L1091" s="24">
        <v>2.1</v>
      </c>
      <c r="M1091" s="24">
        <v>40.754999999999995</v>
      </c>
      <c r="N1091" s="21">
        <f t="shared" ref="N1091:N1154" si="52">(M1091-H1091)/H1091</f>
        <v>-0.22371428571428581</v>
      </c>
      <c r="P1091" s="1">
        <v>10</v>
      </c>
      <c r="Q1091" s="24">
        <v>5.1479999999999961</v>
      </c>
      <c r="R1091" s="24">
        <v>37.752000000000002</v>
      </c>
      <c r="S1091" s="21">
        <f t="shared" ref="S1091:S1154" si="53">(R1091-H1091)/H1091</f>
        <v>-0.28091428571428567</v>
      </c>
    </row>
    <row r="1092" spans="2:19" ht="11.4" customHeight="1" x14ac:dyDescent="0.2">
      <c r="B1092" s="24"/>
      <c r="C1092" s="7">
        <v>39000</v>
      </c>
      <c r="D1092" s="18" t="s">
        <v>1151</v>
      </c>
      <c r="E1092" s="18" t="s">
        <v>1152</v>
      </c>
      <c r="F1092" s="17">
        <v>20</v>
      </c>
      <c r="G1092" s="18" t="s">
        <v>23</v>
      </c>
      <c r="H1092" s="17">
        <v>49.5</v>
      </c>
      <c r="I1092" s="8">
        <v>49.5</v>
      </c>
      <c r="J1092" s="21">
        <f t="shared" si="51"/>
        <v>0</v>
      </c>
      <c r="K1092" s="1">
        <v>4</v>
      </c>
      <c r="L1092" s="24">
        <v>2.4</v>
      </c>
      <c r="M1092" s="24">
        <v>47.024999999999999</v>
      </c>
      <c r="N1092" s="21">
        <f t="shared" si="52"/>
        <v>-5.0000000000000031E-2</v>
      </c>
      <c r="P1092" s="1">
        <v>10</v>
      </c>
      <c r="Q1092" s="24">
        <v>5.9399999999999977</v>
      </c>
      <c r="R1092" s="24">
        <v>43.56</v>
      </c>
      <c r="S1092" s="21">
        <f t="shared" si="53"/>
        <v>-0.11999999999999995</v>
      </c>
    </row>
    <row r="1093" spans="2:19" ht="11.4" customHeight="1" x14ac:dyDescent="0.2">
      <c r="B1093" s="24"/>
      <c r="C1093" s="7">
        <v>39001</v>
      </c>
      <c r="D1093" s="18" t="s">
        <v>1153</v>
      </c>
      <c r="E1093" s="18" t="s">
        <v>1152</v>
      </c>
      <c r="F1093" s="17">
        <v>10</v>
      </c>
      <c r="G1093" s="18" t="s">
        <v>23</v>
      </c>
      <c r="H1093" s="17">
        <v>66.5</v>
      </c>
      <c r="I1093" s="8">
        <v>66.5</v>
      </c>
      <c r="J1093" s="21">
        <f t="shared" si="51"/>
        <v>0</v>
      </c>
      <c r="K1093" s="1">
        <v>4</v>
      </c>
      <c r="L1093" s="24">
        <v>3.3</v>
      </c>
      <c r="M1093" s="24">
        <v>63.174999999999997</v>
      </c>
      <c r="N1093" s="21">
        <f t="shared" si="52"/>
        <v>-5.0000000000000044E-2</v>
      </c>
      <c r="P1093" s="1">
        <v>10</v>
      </c>
      <c r="Q1093" s="24">
        <v>7.9799999999999969</v>
      </c>
      <c r="R1093" s="24">
        <v>58.52</v>
      </c>
      <c r="S1093" s="21">
        <f t="shared" si="53"/>
        <v>-0.11999999999999995</v>
      </c>
    </row>
    <row r="1094" spans="2:19" ht="11.4" customHeight="1" x14ac:dyDescent="0.2">
      <c r="B1094" s="24"/>
      <c r="C1094" s="7">
        <v>35896</v>
      </c>
      <c r="D1094" s="18" t="s">
        <v>1154</v>
      </c>
      <c r="E1094" s="18" t="s">
        <v>1152</v>
      </c>
      <c r="F1094" s="17">
        <v>12</v>
      </c>
      <c r="G1094" s="18" t="s">
        <v>23</v>
      </c>
      <c r="H1094" s="17">
        <v>80.5</v>
      </c>
      <c r="I1094" s="8">
        <v>87.9</v>
      </c>
      <c r="J1094" s="21">
        <f t="shared" si="51"/>
        <v>9.1925465838509385E-2</v>
      </c>
      <c r="K1094" s="1">
        <v>4</v>
      </c>
      <c r="L1094" s="24">
        <v>4.3</v>
      </c>
      <c r="M1094" s="24">
        <v>83.504999999999995</v>
      </c>
      <c r="N1094" s="21">
        <f t="shared" si="52"/>
        <v>3.7329192546583796E-2</v>
      </c>
      <c r="P1094" s="1">
        <v>10</v>
      </c>
      <c r="Q1094" s="24">
        <v>10.548000000000002</v>
      </c>
      <c r="R1094" s="24">
        <v>77.352000000000004</v>
      </c>
      <c r="S1094" s="21">
        <f t="shared" si="53"/>
        <v>-3.9105590062111756E-2</v>
      </c>
    </row>
    <row r="1095" spans="2:19" ht="11.4" customHeight="1" x14ac:dyDescent="0.2">
      <c r="B1095" s="24"/>
      <c r="C1095" s="7">
        <v>44804</v>
      </c>
      <c r="D1095" s="18" t="s">
        <v>1155</v>
      </c>
      <c r="E1095" s="18" t="s">
        <v>1139</v>
      </c>
      <c r="F1095" s="17">
        <v>10</v>
      </c>
      <c r="G1095" s="18" t="s">
        <v>23</v>
      </c>
      <c r="H1095" s="17">
        <v>61.44</v>
      </c>
      <c r="I1095" s="8">
        <v>82.9</v>
      </c>
      <c r="J1095" s="21">
        <f t="shared" si="51"/>
        <v>0.3492838541666668</v>
      </c>
      <c r="K1095" s="1">
        <v>4</v>
      </c>
      <c r="L1095" s="24">
        <v>4.0999999999999996</v>
      </c>
      <c r="M1095" s="24">
        <v>78.754999999999995</v>
      </c>
      <c r="N1095" s="21">
        <f t="shared" si="52"/>
        <v>0.28181966145833331</v>
      </c>
      <c r="P1095" s="1">
        <v>10</v>
      </c>
      <c r="Q1095" s="24">
        <v>9.9479999999999933</v>
      </c>
      <c r="R1095" s="24">
        <v>72.952000000000012</v>
      </c>
      <c r="S1095" s="21">
        <f t="shared" si="53"/>
        <v>0.18736979166666692</v>
      </c>
    </row>
    <row r="1096" spans="2:19" ht="11.4" customHeight="1" x14ac:dyDescent="0.2">
      <c r="B1096" s="24"/>
      <c r="C1096" s="7">
        <v>9724</v>
      </c>
      <c r="D1096" s="18" t="s">
        <v>1156</v>
      </c>
      <c r="E1096" s="18" t="s">
        <v>1139</v>
      </c>
      <c r="F1096" s="17">
        <v>25</v>
      </c>
      <c r="G1096" s="18" t="s">
        <v>902</v>
      </c>
      <c r="H1096" s="17">
        <v>48.6</v>
      </c>
      <c r="I1096" s="8">
        <v>49.9</v>
      </c>
      <c r="J1096" s="21">
        <f t="shared" si="51"/>
        <v>2.6748971193415579E-2</v>
      </c>
      <c r="K1096" s="1">
        <v>1</v>
      </c>
      <c r="L1096" s="24">
        <v>2.4</v>
      </c>
      <c r="M1096" s="24">
        <v>47.404999999999994</v>
      </c>
      <c r="N1096" s="21">
        <f t="shared" si="52"/>
        <v>-2.4588477366255294E-2</v>
      </c>
      <c r="P1096" s="1">
        <v>4</v>
      </c>
      <c r="Q1096" s="24">
        <v>4.990000000000002</v>
      </c>
      <c r="R1096" s="24">
        <v>44.91</v>
      </c>
      <c r="S1096" s="21">
        <f t="shared" si="53"/>
        <v>-7.5925925925926022E-2</v>
      </c>
    </row>
    <row r="1097" spans="2:19" ht="11.4" customHeight="1" x14ac:dyDescent="0.2">
      <c r="B1097" s="24"/>
      <c r="C1097" s="7">
        <v>44803</v>
      </c>
      <c r="D1097" s="18" t="s">
        <v>1157</v>
      </c>
      <c r="E1097" s="18" t="s">
        <v>1139</v>
      </c>
      <c r="F1097" s="17">
        <v>10</v>
      </c>
      <c r="G1097" s="18" t="s">
        <v>23</v>
      </c>
      <c r="H1097" s="17">
        <v>61.44</v>
      </c>
      <c r="I1097" s="8">
        <v>82.9</v>
      </c>
      <c r="J1097" s="21">
        <f t="shared" si="51"/>
        <v>0.3492838541666668</v>
      </c>
      <c r="K1097" s="1">
        <v>4</v>
      </c>
      <c r="L1097" s="24">
        <v>4.0999999999999996</v>
      </c>
      <c r="M1097" s="24">
        <v>78.754999999999995</v>
      </c>
      <c r="N1097" s="21">
        <f t="shared" si="52"/>
        <v>0.28181966145833331</v>
      </c>
      <c r="P1097" s="1">
        <v>10</v>
      </c>
      <c r="Q1097" s="24">
        <v>9.9479999999999933</v>
      </c>
      <c r="R1097" s="24">
        <v>72.952000000000012</v>
      </c>
      <c r="S1097" s="21">
        <f t="shared" si="53"/>
        <v>0.18736979166666692</v>
      </c>
    </row>
    <row r="1098" spans="2:19" ht="11.4" customHeight="1" x14ac:dyDescent="0.2">
      <c r="B1098" s="24"/>
      <c r="C1098" s="7">
        <v>13882</v>
      </c>
      <c r="D1098" s="18" t="s">
        <v>1158</v>
      </c>
      <c r="E1098" s="18" t="s">
        <v>1139</v>
      </c>
      <c r="F1098" s="17">
        <v>10</v>
      </c>
      <c r="G1098" s="18" t="s">
        <v>23</v>
      </c>
      <c r="H1098" s="17">
        <v>37.299999999999997</v>
      </c>
      <c r="I1098" s="8">
        <v>50.9</v>
      </c>
      <c r="J1098" s="21">
        <f t="shared" si="51"/>
        <v>0.36461126005361938</v>
      </c>
      <c r="K1098" s="1">
        <v>4</v>
      </c>
      <c r="L1098" s="24">
        <v>2.5</v>
      </c>
      <c r="M1098" s="24">
        <v>48.354999999999997</v>
      </c>
      <c r="N1098" s="21">
        <f t="shared" si="52"/>
        <v>0.29638069705093834</v>
      </c>
      <c r="P1098" s="1">
        <v>10</v>
      </c>
      <c r="Q1098" s="24">
        <v>6.107999999999997</v>
      </c>
      <c r="R1098" s="24">
        <v>44.792000000000002</v>
      </c>
      <c r="S1098" s="21">
        <f t="shared" si="53"/>
        <v>0.20085790884718513</v>
      </c>
    </row>
    <row r="1099" spans="2:19" ht="11.4" customHeight="1" x14ac:dyDescent="0.2">
      <c r="B1099" s="24"/>
      <c r="C1099" s="7">
        <v>14184</v>
      </c>
      <c r="D1099" s="18" t="s">
        <v>1159</v>
      </c>
      <c r="E1099" s="18" t="s">
        <v>1139</v>
      </c>
      <c r="F1099" s="17">
        <v>10</v>
      </c>
      <c r="G1099" s="18" t="s">
        <v>23</v>
      </c>
      <c r="H1099" s="17">
        <v>52.7</v>
      </c>
      <c r="I1099" s="8">
        <v>52.9</v>
      </c>
      <c r="J1099" s="21">
        <f t="shared" si="51"/>
        <v>3.7950664136621581E-3</v>
      </c>
      <c r="K1099" s="1">
        <v>4</v>
      </c>
      <c r="L1099" s="24">
        <v>2.6</v>
      </c>
      <c r="M1099" s="24">
        <v>50.254999999999995</v>
      </c>
      <c r="N1099" s="21">
        <f t="shared" si="52"/>
        <v>-4.6394686907021011E-2</v>
      </c>
      <c r="P1099" s="1">
        <v>10</v>
      </c>
      <c r="Q1099" s="24">
        <v>6.347999999999999</v>
      </c>
      <c r="R1099" s="24">
        <v>46.552</v>
      </c>
      <c r="S1099" s="21">
        <f t="shared" si="53"/>
        <v>-0.11666034155597728</v>
      </c>
    </row>
    <row r="1100" spans="2:19" ht="11.4" customHeight="1" x14ac:dyDescent="0.2">
      <c r="B1100" s="24"/>
      <c r="C1100" s="7">
        <v>44850</v>
      </c>
      <c r="D1100" s="18" t="s">
        <v>1160</v>
      </c>
      <c r="E1100" s="18" t="s">
        <v>1139</v>
      </c>
      <c r="F1100" s="17">
        <v>20</v>
      </c>
      <c r="G1100" s="18" t="s">
        <v>23</v>
      </c>
      <c r="H1100" s="17">
        <v>43.2</v>
      </c>
      <c r="I1100" s="8">
        <v>58.3</v>
      </c>
      <c r="J1100" s="21">
        <f t="shared" si="51"/>
        <v>0.34953703703703687</v>
      </c>
      <c r="K1100" s="1">
        <v>4</v>
      </c>
      <c r="L1100" s="24">
        <v>2.9</v>
      </c>
      <c r="M1100" s="24">
        <v>55.384999999999998</v>
      </c>
      <c r="N1100" s="21">
        <f t="shared" si="52"/>
        <v>0.28206018518518505</v>
      </c>
      <c r="P1100" s="1">
        <v>10</v>
      </c>
      <c r="Q1100" s="24">
        <v>6.9960000000000022</v>
      </c>
      <c r="R1100" s="24">
        <v>51.303999999999995</v>
      </c>
      <c r="S1100" s="21">
        <f t="shared" si="53"/>
        <v>0.18759259259259239</v>
      </c>
    </row>
    <row r="1101" spans="2:19" ht="11.4" customHeight="1" x14ac:dyDescent="0.2">
      <c r="B1101" s="24"/>
      <c r="C1101" s="7">
        <v>38381</v>
      </c>
      <c r="D1101" s="18" t="s">
        <v>1161</v>
      </c>
      <c r="E1101" s="18" t="s">
        <v>1139</v>
      </c>
      <c r="F1101" s="17">
        <v>6</v>
      </c>
      <c r="G1101" s="18" t="s">
        <v>23</v>
      </c>
      <c r="H1101" s="17">
        <v>109.5</v>
      </c>
      <c r="I1101" s="8">
        <v>144.80000000000001</v>
      </c>
      <c r="J1101" s="21">
        <f t="shared" si="51"/>
        <v>0.32237442922374437</v>
      </c>
      <c r="K1101" s="1">
        <v>4</v>
      </c>
      <c r="L1101" s="24">
        <v>7.2</v>
      </c>
      <c r="M1101" s="24">
        <v>137.56</v>
      </c>
      <c r="N1101" s="21">
        <f t="shared" si="52"/>
        <v>0.25625570776255707</v>
      </c>
      <c r="P1101" s="1">
        <v>10</v>
      </c>
      <c r="Q1101" s="24">
        <v>17.376000000000005</v>
      </c>
      <c r="R1101" s="24">
        <v>127.42400000000001</v>
      </c>
      <c r="S1101" s="21">
        <f t="shared" si="53"/>
        <v>0.16368949771689503</v>
      </c>
    </row>
    <row r="1102" spans="2:19" ht="11.4" customHeight="1" x14ac:dyDescent="0.2">
      <c r="B1102" s="24"/>
      <c r="C1102" s="7">
        <v>44832</v>
      </c>
      <c r="D1102" s="18" t="s">
        <v>1162</v>
      </c>
      <c r="E1102" s="18" t="s">
        <v>1139</v>
      </c>
      <c r="F1102" s="17">
        <v>20</v>
      </c>
      <c r="G1102" s="18" t="s">
        <v>23</v>
      </c>
      <c r="H1102" s="17">
        <v>41.94</v>
      </c>
      <c r="I1102" s="8">
        <v>56.6</v>
      </c>
      <c r="J1102" s="21">
        <f t="shared" si="51"/>
        <v>0.34954697186456851</v>
      </c>
      <c r="K1102" s="1">
        <v>4</v>
      </c>
      <c r="L1102" s="24">
        <v>2.8</v>
      </c>
      <c r="M1102" s="24">
        <v>53.769999999999996</v>
      </c>
      <c r="N1102" s="21">
        <f t="shared" si="52"/>
        <v>0.28206962327134</v>
      </c>
      <c r="P1102" s="1">
        <v>10</v>
      </c>
      <c r="Q1102" s="24">
        <v>6.7920000000000016</v>
      </c>
      <c r="R1102" s="24">
        <v>49.808</v>
      </c>
      <c r="S1102" s="21">
        <f t="shared" si="53"/>
        <v>0.18760133524082029</v>
      </c>
    </row>
    <row r="1103" spans="2:19" ht="11.4" customHeight="1" x14ac:dyDescent="0.2">
      <c r="B1103" s="24"/>
      <c r="C1103" s="7">
        <v>4108</v>
      </c>
      <c r="D1103" s="18" t="s">
        <v>1163</v>
      </c>
      <c r="E1103" s="18" t="s">
        <v>1139</v>
      </c>
      <c r="F1103" s="17">
        <v>10</v>
      </c>
      <c r="G1103" s="18" t="s">
        <v>23</v>
      </c>
      <c r="H1103" s="17">
        <v>74.739999999999995</v>
      </c>
      <c r="I1103" s="8">
        <v>99.9</v>
      </c>
      <c r="J1103" s="21">
        <f t="shared" si="51"/>
        <v>0.33663366336633682</v>
      </c>
      <c r="K1103" s="1">
        <v>4</v>
      </c>
      <c r="L1103" s="24">
        <v>4.9000000000000004</v>
      </c>
      <c r="M1103" s="24">
        <v>94.905000000000001</v>
      </c>
      <c r="N1103" s="21">
        <f t="shared" si="52"/>
        <v>0.26980198019801993</v>
      </c>
      <c r="P1103" s="1">
        <v>10</v>
      </c>
      <c r="Q1103" s="24">
        <v>11.988</v>
      </c>
      <c r="R1103" s="24">
        <v>87.912000000000006</v>
      </c>
      <c r="S1103" s="21">
        <f t="shared" si="53"/>
        <v>0.17623762376237639</v>
      </c>
    </row>
    <row r="1104" spans="2:19" ht="11.4" customHeight="1" x14ac:dyDescent="0.2">
      <c r="B1104" s="24"/>
      <c r="C1104" s="7">
        <v>44846</v>
      </c>
      <c r="D1104" s="18" t="s">
        <v>1164</v>
      </c>
      <c r="E1104" s="18" t="s">
        <v>1139</v>
      </c>
      <c r="F1104" s="17">
        <v>10</v>
      </c>
      <c r="G1104" s="18" t="s">
        <v>23</v>
      </c>
      <c r="H1104" s="17">
        <v>66.599999999999994</v>
      </c>
      <c r="I1104" s="8">
        <v>89.9</v>
      </c>
      <c r="J1104" s="21">
        <f t="shared" si="51"/>
        <v>0.34984984984985007</v>
      </c>
      <c r="K1104" s="1">
        <v>4</v>
      </c>
      <c r="L1104" s="24">
        <v>4.4000000000000004</v>
      </c>
      <c r="M1104" s="24">
        <v>85.405000000000001</v>
      </c>
      <c r="N1104" s="21">
        <f t="shared" si="52"/>
        <v>0.28235735735735751</v>
      </c>
      <c r="P1104" s="1">
        <v>10</v>
      </c>
      <c r="Q1104" s="24">
        <v>10.787999999999997</v>
      </c>
      <c r="R1104" s="24">
        <v>79.112000000000009</v>
      </c>
      <c r="S1104" s="21">
        <f t="shared" si="53"/>
        <v>0.1878678678678681</v>
      </c>
    </row>
    <row r="1105" spans="2:19" ht="11.4" customHeight="1" x14ac:dyDescent="0.2">
      <c r="B1105" s="24"/>
      <c r="C1105" s="7">
        <v>38380</v>
      </c>
      <c r="D1105" s="18" t="s">
        <v>1165</v>
      </c>
      <c r="E1105" s="18" t="s">
        <v>1139</v>
      </c>
      <c r="F1105" s="17">
        <v>6</v>
      </c>
      <c r="G1105" s="18" t="s">
        <v>23</v>
      </c>
      <c r="H1105" s="17">
        <v>109.5</v>
      </c>
      <c r="I1105" s="8">
        <v>144.80000000000001</v>
      </c>
      <c r="J1105" s="21">
        <f t="shared" si="51"/>
        <v>0.32237442922374437</v>
      </c>
      <c r="K1105" s="1">
        <v>4</v>
      </c>
      <c r="L1105" s="24">
        <v>7.2</v>
      </c>
      <c r="M1105" s="24">
        <v>137.56</v>
      </c>
      <c r="N1105" s="21">
        <f t="shared" si="52"/>
        <v>0.25625570776255707</v>
      </c>
      <c r="P1105" s="1">
        <v>10</v>
      </c>
      <c r="Q1105" s="24">
        <v>17.376000000000005</v>
      </c>
      <c r="R1105" s="24">
        <v>127.42400000000001</v>
      </c>
      <c r="S1105" s="21">
        <f t="shared" si="53"/>
        <v>0.16368949771689503</v>
      </c>
    </row>
    <row r="1106" spans="2:19" ht="11.4" customHeight="1" x14ac:dyDescent="0.2">
      <c r="B1106" s="24"/>
      <c r="C1106" s="7">
        <v>2009</v>
      </c>
      <c r="D1106" s="18" t="s">
        <v>1166</v>
      </c>
      <c r="E1106" s="18" t="s">
        <v>1139</v>
      </c>
      <c r="F1106" s="17">
        <v>12</v>
      </c>
      <c r="G1106" s="18" t="s">
        <v>23</v>
      </c>
      <c r="H1106" s="17">
        <v>67.5</v>
      </c>
      <c r="I1106" s="8">
        <v>68.900000000000006</v>
      </c>
      <c r="J1106" s="21">
        <f t="shared" si="51"/>
        <v>2.0740740740740823E-2</v>
      </c>
      <c r="K1106" s="1">
        <v>4</v>
      </c>
      <c r="L1106" s="24">
        <v>3.4</v>
      </c>
      <c r="M1106" s="24">
        <v>65.454999999999998</v>
      </c>
      <c r="N1106" s="21">
        <f t="shared" si="52"/>
        <v>-3.0296296296296321E-2</v>
      </c>
      <c r="P1106" s="1">
        <v>10</v>
      </c>
      <c r="Q1106" s="24">
        <v>8.2680000000000007</v>
      </c>
      <c r="R1106" s="24">
        <v>60.632000000000005</v>
      </c>
      <c r="S1106" s="21">
        <f t="shared" si="53"/>
        <v>-0.10174814814814807</v>
      </c>
    </row>
    <row r="1107" spans="2:19" ht="11.4" customHeight="1" x14ac:dyDescent="0.2">
      <c r="B1107" s="24"/>
      <c r="C1107" s="7">
        <v>21118</v>
      </c>
      <c r="D1107" s="18" t="s">
        <v>1167</v>
      </c>
      <c r="E1107" s="18" t="s">
        <v>1139</v>
      </c>
      <c r="F1107" s="17">
        <v>10</v>
      </c>
      <c r="G1107" s="18" t="s">
        <v>23</v>
      </c>
      <c r="H1107" s="17">
        <v>44.5</v>
      </c>
      <c r="I1107" s="8">
        <v>50.7</v>
      </c>
      <c r="J1107" s="21">
        <f t="shared" si="51"/>
        <v>0.13932584269662929</v>
      </c>
      <c r="K1107" s="1">
        <v>4</v>
      </c>
      <c r="L1107" s="24">
        <v>2.5</v>
      </c>
      <c r="M1107" s="24">
        <v>48.164999999999999</v>
      </c>
      <c r="N1107" s="21">
        <f t="shared" si="52"/>
        <v>8.2359550561797737E-2</v>
      </c>
      <c r="P1107" s="1">
        <v>10</v>
      </c>
      <c r="Q1107" s="24">
        <v>6.0840000000000032</v>
      </c>
      <c r="R1107" s="24">
        <v>44.616</v>
      </c>
      <c r="S1107" s="21">
        <f t="shared" si="53"/>
        <v>2.6067415730337E-3</v>
      </c>
    </row>
    <row r="1108" spans="2:19" ht="11.4" customHeight="1" x14ac:dyDescent="0.2">
      <c r="B1108" s="24"/>
      <c r="C1108" s="7">
        <v>44800</v>
      </c>
      <c r="D1108" s="18" t="s">
        <v>1168</v>
      </c>
      <c r="E1108" s="18" t="s">
        <v>1139</v>
      </c>
      <c r="F1108" s="17">
        <v>20</v>
      </c>
      <c r="G1108" s="18" t="s">
        <v>23</v>
      </c>
      <c r="H1108" s="17">
        <v>49.8</v>
      </c>
      <c r="I1108" s="8">
        <v>67.2</v>
      </c>
      <c r="J1108" s="21">
        <f t="shared" si="51"/>
        <v>0.34939759036144591</v>
      </c>
      <c r="K1108" s="1">
        <v>4</v>
      </c>
      <c r="L1108" s="24">
        <v>3.3</v>
      </c>
      <c r="M1108" s="24">
        <v>63.839999999999996</v>
      </c>
      <c r="N1108" s="21">
        <f t="shared" si="52"/>
        <v>0.28192771084337348</v>
      </c>
      <c r="P1108" s="1">
        <v>10</v>
      </c>
      <c r="Q1108" s="24">
        <v>8.0640000000000001</v>
      </c>
      <c r="R1108" s="24">
        <v>59.136000000000003</v>
      </c>
      <c r="S1108" s="21">
        <f t="shared" si="53"/>
        <v>0.18746987951807242</v>
      </c>
    </row>
    <row r="1109" spans="2:19" ht="11.4" customHeight="1" x14ac:dyDescent="0.2">
      <c r="B1109" s="24"/>
      <c r="C1109" s="7">
        <v>44834</v>
      </c>
      <c r="D1109" s="18" t="s">
        <v>1169</v>
      </c>
      <c r="E1109" s="18" t="s">
        <v>1139</v>
      </c>
      <c r="F1109" s="17">
        <v>20</v>
      </c>
      <c r="G1109" s="18" t="s">
        <v>23</v>
      </c>
      <c r="H1109" s="17">
        <v>48.3</v>
      </c>
      <c r="I1109" s="8">
        <v>65.2</v>
      </c>
      <c r="J1109" s="21">
        <f t="shared" si="51"/>
        <v>0.34989648033126308</v>
      </c>
      <c r="K1109" s="1">
        <v>4</v>
      </c>
      <c r="L1109" s="24">
        <v>3.2</v>
      </c>
      <c r="M1109" s="24">
        <v>61.94</v>
      </c>
      <c r="N1109" s="21">
        <f t="shared" si="52"/>
        <v>0.28240165631469982</v>
      </c>
      <c r="P1109" s="1">
        <v>10</v>
      </c>
      <c r="Q1109" s="24">
        <v>7.8239999999999981</v>
      </c>
      <c r="R1109" s="24">
        <v>57.376000000000005</v>
      </c>
      <c r="S1109" s="21">
        <f t="shared" si="53"/>
        <v>0.18790890269151156</v>
      </c>
    </row>
    <row r="1110" spans="2:19" ht="11.4" customHeight="1" x14ac:dyDescent="0.2">
      <c r="B1110" s="24"/>
      <c r="C1110" s="7">
        <v>44811</v>
      </c>
      <c r="D1110" s="18" t="s">
        <v>1170</v>
      </c>
      <c r="E1110" s="18" t="s">
        <v>1139</v>
      </c>
      <c r="F1110" s="17">
        <v>20</v>
      </c>
      <c r="G1110" s="18" t="s">
        <v>23</v>
      </c>
      <c r="H1110" s="17">
        <v>53.28</v>
      </c>
      <c r="I1110" s="8">
        <v>71.900000000000006</v>
      </c>
      <c r="J1110" s="21">
        <f t="shared" si="51"/>
        <v>0.34947447447447455</v>
      </c>
      <c r="K1110" s="1">
        <v>4</v>
      </c>
      <c r="L1110" s="24">
        <v>3.5</v>
      </c>
      <c r="M1110" s="24">
        <v>68.305000000000007</v>
      </c>
      <c r="N1110" s="21">
        <f t="shared" si="52"/>
        <v>0.28200075075075087</v>
      </c>
      <c r="P1110" s="1">
        <v>10</v>
      </c>
      <c r="Q1110" s="24">
        <v>8.6280000000000001</v>
      </c>
      <c r="R1110" s="24">
        <v>63.272000000000006</v>
      </c>
      <c r="S1110" s="21">
        <f t="shared" si="53"/>
        <v>0.18753753753753763</v>
      </c>
    </row>
    <row r="1111" spans="2:19" ht="11.4" customHeight="1" x14ac:dyDescent="0.2">
      <c r="B1111" s="24"/>
      <c r="C1111" s="7">
        <v>12718</v>
      </c>
      <c r="D1111" s="18" t="s">
        <v>1171</v>
      </c>
      <c r="E1111" s="18" t="s">
        <v>1139</v>
      </c>
      <c r="F1111" s="17">
        <v>15</v>
      </c>
      <c r="G1111" s="18" t="s">
        <v>23</v>
      </c>
      <c r="H1111" s="17">
        <v>64.8</v>
      </c>
      <c r="I1111" s="8">
        <v>85.9</v>
      </c>
      <c r="J1111" s="21">
        <f t="shared" si="51"/>
        <v>0.32561728395061745</v>
      </c>
      <c r="K1111" s="1">
        <v>4</v>
      </c>
      <c r="L1111" s="24">
        <v>4.2</v>
      </c>
      <c r="M1111" s="24">
        <v>81.605000000000004</v>
      </c>
      <c r="N1111" s="21">
        <f t="shared" si="52"/>
        <v>0.25933641975308652</v>
      </c>
      <c r="P1111" s="1">
        <v>10</v>
      </c>
      <c r="Q1111" s="24">
        <v>10.308000000000007</v>
      </c>
      <c r="R1111" s="24">
        <v>75.591999999999999</v>
      </c>
      <c r="S1111" s="21">
        <f t="shared" si="53"/>
        <v>0.16654320987654325</v>
      </c>
    </row>
    <row r="1112" spans="2:19" ht="11.4" customHeight="1" x14ac:dyDescent="0.2">
      <c r="B1112" s="24"/>
      <c r="C1112" s="7">
        <v>38382</v>
      </c>
      <c r="D1112" s="18" t="s">
        <v>1172</v>
      </c>
      <c r="E1112" s="18" t="s">
        <v>1139</v>
      </c>
      <c r="F1112" s="17">
        <v>6</v>
      </c>
      <c r="G1112" s="18" t="s">
        <v>23</v>
      </c>
      <c r="H1112" s="17">
        <v>109.5</v>
      </c>
      <c r="I1112" s="8">
        <v>144.80000000000001</v>
      </c>
      <c r="J1112" s="21">
        <f t="shared" si="51"/>
        <v>0.32237442922374437</v>
      </c>
      <c r="K1112" s="1">
        <v>4</v>
      </c>
      <c r="L1112" s="24">
        <v>7.2</v>
      </c>
      <c r="M1112" s="24">
        <v>137.56</v>
      </c>
      <c r="N1112" s="21">
        <f t="shared" si="52"/>
        <v>0.25625570776255707</v>
      </c>
      <c r="P1112" s="1">
        <v>10</v>
      </c>
      <c r="Q1112" s="24">
        <v>17.376000000000005</v>
      </c>
      <c r="R1112" s="24">
        <v>127.42400000000001</v>
      </c>
      <c r="S1112" s="21">
        <f t="shared" si="53"/>
        <v>0.16368949771689503</v>
      </c>
    </row>
    <row r="1113" spans="2:19" ht="11.4" customHeight="1" x14ac:dyDescent="0.2">
      <c r="B1113" s="24"/>
      <c r="C1113" s="7">
        <v>44836</v>
      </c>
      <c r="D1113" s="18" t="s">
        <v>1173</v>
      </c>
      <c r="E1113" s="18" t="s">
        <v>1139</v>
      </c>
      <c r="F1113" s="17">
        <v>20</v>
      </c>
      <c r="G1113" s="18" t="s">
        <v>23</v>
      </c>
      <c r="H1113" s="17">
        <v>44.16</v>
      </c>
      <c r="I1113" s="8">
        <v>61.8</v>
      </c>
      <c r="J1113" s="21">
        <f t="shared" si="51"/>
        <v>0.39945652173913049</v>
      </c>
      <c r="K1113" s="1">
        <v>4</v>
      </c>
      <c r="L1113" s="24">
        <v>3</v>
      </c>
      <c r="M1113" s="24">
        <v>58.709999999999994</v>
      </c>
      <c r="N1113" s="21">
        <f t="shared" si="52"/>
        <v>0.32948369565217389</v>
      </c>
      <c r="P1113" s="1">
        <v>10</v>
      </c>
      <c r="Q1113" s="24">
        <v>7.4159999999999968</v>
      </c>
      <c r="R1113" s="24">
        <v>54.384</v>
      </c>
      <c r="S1113" s="21">
        <f t="shared" si="53"/>
        <v>0.23152173913043489</v>
      </c>
    </row>
    <row r="1114" spans="2:19" ht="11.4" customHeight="1" x14ac:dyDescent="0.2">
      <c r="B1114" s="24"/>
      <c r="C1114" s="7">
        <v>44821</v>
      </c>
      <c r="D1114" s="18" t="s">
        <v>1174</v>
      </c>
      <c r="E1114" s="18" t="s">
        <v>1139</v>
      </c>
      <c r="F1114" s="17">
        <v>20</v>
      </c>
      <c r="G1114" s="18" t="s">
        <v>23</v>
      </c>
      <c r="H1114" s="17">
        <v>50.1</v>
      </c>
      <c r="I1114" s="8">
        <v>67.599999999999994</v>
      </c>
      <c r="J1114" s="21">
        <f t="shared" si="51"/>
        <v>0.34930139720558867</v>
      </c>
      <c r="K1114" s="1">
        <v>4</v>
      </c>
      <c r="L1114" s="24">
        <v>3.3</v>
      </c>
      <c r="M1114" s="24">
        <v>64.219999999999985</v>
      </c>
      <c r="N1114" s="21">
        <f t="shared" si="52"/>
        <v>0.28183632734530906</v>
      </c>
      <c r="P1114" s="1">
        <v>10</v>
      </c>
      <c r="Q1114" s="24">
        <v>8.1120000000000019</v>
      </c>
      <c r="R1114" s="24">
        <v>59.487999999999992</v>
      </c>
      <c r="S1114" s="21">
        <f t="shared" si="53"/>
        <v>0.18738522954091799</v>
      </c>
    </row>
    <row r="1115" spans="2:19" ht="11.4" customHeight="1" x14ac:dyDescent="0.2">
      <c r="B1115" s="24"/>
      <c r="C1115" s="7">
        <v>44842</v>
      </c>
      <c r="D1115" s="18" t="s">
        <v>1175</v>
      </c>
      <c r="E1115" s="18" t="s">
        <v>1139</v>
      </c>
      <c r="F1115" s="17">
        <v>10</v>
      </c>
      <c r="G1115" s="18" t="s">
        <v>23</v>
      </c>
      <c r="H1115" s="17">
        <v>84.96</v>
      </c>
      <c r="I1115" s="8">
        <v>114.7</v>
      </c>
      <c r="J1115" s="21">
        <f t="shared" si="51"/>
        <v>0.3500470809792845</v>
      </c>
      <c r="K1115" s="1">
        <v>4</v>
      </c>
      <c r="L1115" s="24">
        <v>5.7</v>
      </c>
      <c r="M1115" s="24">
        <v>108.965</v>
      </c>
      <c r="N1115" s="21">
        <f t="shared" si="52"/>
        <v>0.28254472693032029</v>
      </c>
      <c r="P1115" s="1">
        <v>10</v>
      </c>
      <c r="Q1115" s="24">
        <v>13.763999999999996</v>
      </c>
      <c r="R1115" s="24">
        <v>100.93600000000001</v>
      </c>
      <c r="S1115" s="21">
        <f t="shared" si="53"/>
        <v>0.18804143126177042</v>
      </c>
    </row>
    <row r="1116" spans="2:19" ht="11.4" customHeight="1" x14ac:dyDescent="0.2">
      <c r="B1116" s="24"/>
      <c r="C1116" s="7">
        <v>44801</v>
      </c>
      <c r="D1116" s="18" t="s">
        <v>1176</v>
      </c>
      <c r="E1116" s="18" t="s">
        <v>1139</v>
      </c>
      <c r="F1116" s="17">
        <v>10</v>
      </c>
      <c r="G1116" s="18" t="s">
        <v>23</v>
      </c>
      <c r="H1116" s="17">
        <v>72.72</v>
      </c>
      <c r="I1116" s="8">
        <v>98.2</v>
      </c>
      <c r="J1116" s="21">
        <f t="shared" si="51"/>
        <v>0.35038503850385044</v>
      </c>
      <c r="K1116" s="1">
        <v>4</v>
      </c>
      <c r="L1116" s="24">
        <v>4.9000000000000004</v>
      </c>
      <c r="M1116" s="24">
        <v>93.289999999999992</v>
      </c>
      <c r="N1116" s="21">
        <f t="shared" si="52"/>
        <v>0.2828657865786578</v>
      </c>
      <c r="P1116" s="1">
        <v>10</v>
      </c>
      <c r="Q1116" s="24">
        <v>11.784000000000006</v>
      </c>
      <c r="R1116" s="24">
        <v>86.415999999999997</v>
      </c>
      <c r="S1116" s="21">
        <f t="shared" si="53"/>
        <v>0.18833883388338832</v>
      </c>
    </row>
    <row r="1117" spans="2:19" ht="11.4" customHeight="1" x14ac:dyDescent="0.2">
      <c r="B1117" s="24"/>
      <c r="C1117" s="7">
        <v>24098</v>
      </c>
      <c r="D1117" s="18" t="s">
        <v>1177</v>
      </c>
      <c r="E1117" s="18" t="s">
        <v>1139</v>
      </c>
      <c r="F1117" s="17">
        <v>16</v>
      </c>
      <c r="G1117" s="18" t="s">
        <v>23</v>
      </c>
      <c r="H1117" s="17">
        <v>76.599999999999994</v>
      </c>
      <c r="I1117" s="8">
        <v>76.599999999999994</v>
      </c>
      <c r="J1117" s="21">
        <f t="shared" si="51"/>
        <v>0</v>
      </c>
      <c r="K1117" s="1">
        <v>4</v>
      </c>
      <c r="L1117" s="24">
        <v>3.8</v>
      </c>
      <c r="M1117" s="24">
        <v>72.77</v>
      </c>
      <c r="N1117" s="21">
        <f t="shared" si="52"/>
        <v>-4.9999999999999982E-2</v>
      </c>
      <c r="P1117" s="1">
        <v>10</v>
      </c>
      <c r="Q1117" s="24">
        <v>9.1919999999999931</v>
      </c>
      <c r="R1117" s="24">
        <v>67.408000000000001</v>
      </c>
      <c r="S1117" s="21">
        <f t="shared" si="53"/>
        <v>-0.11999999999999991</v>
      </c>
    </row>
    <row r="1118" spans="2:19" ht="11.4" customHeight="1" x14ac:dyDescent="0.2">
      <c r="B1118" s="24"/>
      <c r="C1118" s="7">
        <v>4117</v>
      </c>
      <c r="D1118" s="18" t="s">
        <v>1178</v>
      </c>
      <c r="E1118" s="18" t="s">
        <v>1139</v>
      </c>
      <c r="F1118" s="17">
        <v>15</v>
      </c>
      <c r="G1118" s="18" t="s">
        <v>23</v>
      </c>
      <c r="H1118" s="17">
        <v>51.2</v>
      </c>
      <c r="I1118" s="8">
        <v>68.2</v>
      </c>
      <c r="J1118" s="21">
        <f t="shared" si="51"/>
        <v>0.33203125</v>
      </c>
      <c r="K1118" s="1">
        <v>4</v>
      </c>
      <c r="L1118" s="24">
        <v>3.4</v>
      </c>
      <c r="M1118" s="24">
        <v>64.790000000000006</v>
      </c>
      <c r="N1118" s="21">
        <f t="shared" si="52"/>
        <v>0.26542968750000007</v>
      </c>
      <c r="P1118" s="1">
        <v>10</v>
      </c>
      <c r="Q1118" s="24">
        <v>8.1839999999999975</v>
      </c>
      <c r="R1118" s="24">
        <v>60.016000000000005</v>
      </c>
      <c r="S1118" s="21">
        <f t="shared" si="53"/>
        <v>0.17218750000000005</v>
      </c>
    </row>
    <row r="1119" spans="2:19" ht="11.4" customHeight="1" x14ac:dyDescent="0.2">
      <c r="B1119" s="24"/>
      <c r="C1119" s="7">
        <v>9777</v>
      </c>
      <c r="D1119" s="18" t="s">
        <v>1179</v>
      </c>
      <c r="E1119" s="18" t="s">
        <v>1139</v>
      </c>
      <c r="F1119" s="17">
        <v>25</v>
      </c>
      <c r="G1119" s="18" t="s">
        <v>902</v>
      </c>
      <c r="H1119" s="17">
        <v>47.1</v>
      </c>
      <c r="I1119" s="8">
        <v>50.5</v>
      </c>
      <c r="J1119" s="21">
        <f t="shared" si="51"/>
        <v>7.2186836518046679E-2</v>
      </c>
      <c r="K1119" s="1">
        <v>1</v>
      </c>
      <c r="L1119" s="24">
        <v>2.5</v>
      </c>
      <c r="M1119" s="24">
        <v>47.974999999999994</v>
      </c>
      <c r="N1119" s="21">
        <f t="shared" si="52"/>
        <v>1.8577494692144224E-2</v>
      </c>
      <c r="P1119" s="1">
        <v>4</v>
      </c>
      <c r="Q1119" s="24">
        <v>5.0499999999999972</v>
      </c>
      <c r="R1119" s="24">
        <v>45.45</v>
      </c>
      <c r="S1119" s="21">
        <f t="shared" si="53"/>
        <v>-3.5031847133757933E-2</v>
      </c>
    </row>
    <row r="1120" spans="2:19" ht="11.4" customHeight="1" x14ac:dyDescent="0.2">
      <c r="B1120" s="24"/>
      <c r="C1120" s="7">
        <v>14183</v>
      </c>
      <c r="D1120" s="18" t="s">
        <v>1180</v>
      </c>
      <c r="E1120" s="18" t="s">
        <v>1139</v>
      </c>
      <c r="F1120" s="17">
        <v>10</v>
      </c>
      <c r="G1120" s="18" t="s">
        <v>23</v>
      </c>
      <c r="H1120" s="17">
        <v>54.6</v>
      </c>
      <c r="I1120" s="8">
        <v>50.7</v>
      </c>
      <c r="J1120" s="21">
        <f t="shared" si="51"/>
        <v>-7.1428571428571397E-2</v>
      </c>
      <c r="K1120" s="1">
        <v>4</v>
      </c>
      <c r="L1120" s="24">
        <v>2.5</v>
      </c>
      <c r="M1120" s="24">
        <v>48.164999999999999</v>
      </c>
      <c r="N1120" s="21">
        <f t="shared" si="52"/>
        <v>-0.1178571428571429</v>
      </c>
      <c r="P1120" s="1">
        <v>10</v>
      </c>
      <c r="Q1120" s="24">
        <v>6.0840000000000032</v>
      </c>
      <c r="R1120" s="24">
        <v>44.616</v>
      </c>
      <c r="S1120" s="21">
        <f t="shared" si="53"/>
        <v>-0.18285714285714288</v>
      </c>
    </row>
    <row r="1121" spans="2:19" ht="11.4" customHeight="1" x14ac:dyDescent="0.2">
      <c r="B1121" s="24"/>
      <c r="C1121" s="7">
        <v>23817</v>
      </c>
      <c r="D1121" s="18" t="s">
        <v>1181</v>
      </c>
      <c r="E1121" s="18" t="s">
        <v>1139</v>
      </c>
      <c r="F1121" s="17">
        <v>10</v>
      </c>
      <c r="G1121" s="18" t="s">
        <v>23</v>
      </c>
      <c r="H1121" s="17">
        <v>30.7</v>
      </c>
      <c r="I1121" s="8">
        <v>34.5</v>
      </c>
      <c r="J1121" s="21">
        <f t="shared" si="51"/>
        <v>0.12377850162866452</v>
      </c>
      <c r="K1121" s="1">
        <v>4</v>
      </c>
      <c r="L1121" s="24">
        <v>1.7</v>
      </c>
      <c r="M1121" s="24">
        <v>32.774999999999999</v>
      </c>
      <c r="N1121" s="21">
        <f t="shared" si="52"/>
        <v>6.7589576547231245E-2</v>
      </c>
      <c r="P1121" s="1">
        <v>10</v>
      </c>
      <c r="Q1121" s="24">
        <v>4.1400000000000006</v>
      </c>
      <c r="R1121" s="24">
        <v>30.36</v>
      </c>
      <c r="S1121" s="21">
        <f t="shared" si="53"/>
        <v>-1.1074918566775239E-2</v>
      </c>
    </row>
    <row r="1122" spans="2:19" ht="11.4" customHeight="1" x14ac:dyDescent="0.2">
      <c r="B1122" s="24"/>
      <c r="C1122" s="7">
        <v>4111</v>
      </c>
      <c r="D1122" s="18" t="s">
        <v>1182</v>
      </c>
      <c r="E1122" s="18" t="s">
        <v>1139</v>
      </c>
      <c r="F1122" s="17">
        <v>10</v>
      </c>
      <c r="G1122" s="18" t="s">
        <v>23</v>
      </c>
      <c r="H1122" s="17">
        <v>81.2</v>
      </c>
      <c r="I1122" s="8">
        <v>104.5</v>
      </c>
      <c r="J1122" s="21">
        <f t="shared" si="51"/>
        <v>0.28694581280788173</v>
      </c>
      <c r="K1122" s="1">
        <v>4</v>
      </c>
      <c r="L1122" s="24">
        <v>5.2</v>
      </c>
      <c r="M1122" s="24">
        <v>99.274999999999991</v>
      </c>
      <c r="N1122" s="21">
        <f t="shared" si="52"/>
        <v>0.22259852216748754</v>
      </c>
      <c r="P1122" s="1">
        <v>10</v>
      </c>
      <c r="Q1122" s="24">
        <v>12.540000000000006</v>
      </c>
      <c r="R1122" s="24">
        <v>91.96</v>
      </c>
      <c r="S1122" s="21">
        <f t="shared" si="53"/>
        <v>0.13251231527093585</v>
      </c>
    </row>
    <row r="1123" spans="2:19" ht="11.4" customHeight="1" x14ac:dyDescent="0.2">
      <c r="B1123" s="24"/>
      <c r="C1123" s="7">
        <v>44847</v>
      </c>
      <c r="D1123" s="18" t="s">
        <v>1183</v>
      </c>
      <c r="E1123" s="18" t="s">
        <v>1139</v>
      </c>
      <c r="F1123" s="17">
        <v>10</v>
      </c>
      <c r="G1123" s="18" t="s">
        <v>23</v>
      </c>
      <c r="H1123" s="17">
        <v>78.78</v>
      </c>
      <c r="I1123" s="8">
        <v>106.4</v>
      </c>
      <c r="J1123" s="21">
        <f t="shared" si="51"/>
        <v>0.35059659812135063</v>
      </c>
      <c r="K1123" s="1">
        <v>4</v>
      </c>
      <c r="L1123" s="24">
        <v>5.3</v>
      </c>
      <c r="M1123" s="24">
        <v>101.08</v>
      </c>
      <c r="N1123" s="21">
        <f t="shared" si="52"/>
        <v>0.28306676821528304</v>
      </c>
      <c r="P1123" s="1">
        <v>10</v>
      </c>
      <c r="Q1123" s="24">
        <v>12.768000000000001</v>
      </c>
      <c r="R1123" s="24">
        <v>93.632000000000005</v>
      </c>
      <c r="S1123" s="21">
        <f t="shared" si="53"/>
        <v>0.18852500634678857</v>
      </c>
    </row>
    <row r="1124" spans="2:19" ht="11.4" customHeight="1" x14ac:dyDescent="0.2">
      <c r="B1124" s="24"/>
      <c r="C1124" s="7">
        <v>38386</v>
      </c>
      <c r="D1124" s="18" t="s">
        <v>1184</v>
      </c>
      <c r="E1124" s="18" t="s">
        <v>1139</v>
      </c>
      <c r="F1124" s="17">
        <v>6</v>
      </c>
      <c r="G1124" s="18" t="s">
        <v>23</v>
      </c>
      <c r="H1124" s="17">
        <v>109.9</v>
      </c>
      <c r="I1124" s="8">
        <v>144.80000000000001</v>
      </c>
      <c r="J1124" s="21">
        <f t="shared" si="51"/>
        <v>0.31756141947224753</v>
      </c>
      <c r="K1124" s="1">
        <v>4</v>
      </c>
      <c r="L1124" s="24">
        <v>7.2</v>
      </c>
      <c r="M1124" s="24">
        <v>137.56</v>
      </c>
      <c r="N1124" s="21">
        <f t="shared" si="52"/>
        <v>0.25168334849863505</v>
      </c>
      <c r="P1124" s="1">
        <v>10</v>
      </c>
      <c r="Q1124" s="24">
        <v>17.376000000000005</v>
      </c>
      <c r="R1124" s="24">
        <v>127.42400000000001</v>
      </c>
      <c r="S1124" s="21">
        <f t="shared" si="53"/>
        <v>0.15945404913557779</v>
      </c>
    </row>
    <row r="1125" spans="2:19" ht="11.4" customHeight="1" x14ac:dyDescent="0.2">
      <c r="B1125" s="24"/>
      <c r="C1125" s="7">
        <v>44046</v>
      </c>
      <c r="D1125" s="18" t="s">
        <v>1185</v>
      </c>
      <c r="E1125" s="18" t="s">
        <v>1139</v>
      </c>
      <c r="F1125" s="17">
        <v>10</v>
      </c>
      <c r="G1125" s="18" t="s">
        <v>23</v>
      </c>
      <c r="H1125" s="17">
        <v>53.28</v>
      </c>
      <c r="I1125" s="8">
        <v>71.900000000000006</v>
      </c>
      <c r="J1125" s="21">
        <f t="shared" si="51"/>
        <v>0.34947447447447455</v>
      </c>
      <c r="K1125" s="1">
        <v>4</v>
      </c>
      <c r="L1125" s="24">
        <v>3.5</v>
      </c>
      <c r="M1125" s="24">
        <v>68.305000000000007</v>
      </c>
      <c r="N1125" s="21">
        <f t="shared" si="52"/>
        <v>0.28200075075075087</v>
      </c>
      <c r="P1125" s="1">
        <v>10</v>
      </c>
      <c r="Q1125" s="24">
        <v>8.6280000000000001</v>
      </c>
      <c r="R1125" s="24">
        <v>63.272000000000006</v>
      </c>
      <c r="S1125" s="21">
        <f t="shared" si="53"/>
        <v>0.18753753753753763</v>
      </c>
    </row>
    <row r="1126" spans="2:19" ht="11.4" customHeight="1" x14ac:dyDescent="0.2">
      <c r="B1126" s="24"/>
      <c r="C1126" s="7">
        <v>9533</v>
      </c>
      <c r="D1126" s="18" t="s">
        <v>1186</v>
      </c>
      <c r="E1126" s="18" t="s">
        <v>1139</v>
      </c>
      <c r="F1126" s="17">
        <v>16</v>
      </c>
      <c r="G1126" s="18" t="s">
        <v>23</v>
      </c>
      <c r="H1126" s="17">
        <v>78.2</v>
      </c>
      <c r="I1126" s="8">
        <v>77.900000000000006</v>
      </c>
      <c r="J1126" s="21">
        <f t="shared" si="51"/>
        <v>-3.8363171355498358E-3</v>
      </c>
      <c r="K1126" s="1">
        <v>4</v>
      </c>
      <c r="L1126" s="24">
        <v>3.8</v>
      </c>
      <c r="M1126" s="24">
        <v>74.004999999999995</v>
      </c>
      <c r="N1126" s="21">
        <f t="shared" si="52"/>
        <v>-5.3644501278772468E-2</v>
      </c>
      <c r="P1126" s="1">
        <v>10</v>
      </c>
      <c r="Q1126" s="24">
        <v>9.347999999999999</v>
      </c>
      <c r="R1126" s="24">
        <v>68.552000000000007</v>
      </c>
      <c r="S1126" s="21">
        <f t="shared" si="53"/>
        <v>-0.12337595907928384</v>
      </c>
    </row>
    <row r="1127" spans="2:19" ht="11.4" customHeight="1" x14ac:dyDescent="0.2">
      <c r="B1127" s="24"/>
      <c r="C1127" s="7">
        <v>10823</v>
      </c>
      <c r="D1127" s="18" t="s">
        <v>1187</v>
      </c>
      <c r="E1127" s="18" t="s">
        <v>1139</v>
      </c>
      <c r="F1127" s="17">
        <v>12</v>
      </c>
      <c r="G1127" s="18" t="s">
        <v>23</v>
      </c>
      <c r="H1127" s="17">
        <v>67.5</v>
      </c>
      <c r="I1127" s="8">
        <v>79.900000000000006</v>
      </c>
      <c r="J1127" s="21">
        <f t="shared" si="51"/>
        <v>0.18370370370370379</v>
      </c>
      <c r="K1127" s="1">
        <v>4</v>
      </c>
      <c r="L1127" s="24">
        <v>3.9</v>
      </c>
      <c r="M1127" s="24">
        <v>75.905000000000001</v>
      </c>
      <c r="N1127" s="21">
        <f t="shared" si="52"/>
        <v>0.12451851851851854</v>
      </c>
      <c r="P1127" s="1">
        <v>10</v>
      </c>
      <c r="Q1127" s="24">
        <v>9.5879999999999939</v>
      </c>
      <c r="R1127" s="24">
        <v>70.312000000000012</v>
      </c>
      <c r="S1127" s="21">
        <f t="shared" si="53"/>
        <v>4.1659259259259437E-2</v>
      </c>
    </row>
    <row r="1128" spans="2:19" ht="11.4" customHeight="1" x14ac:dyDescent="0.2">
      <c r="B1128" s="24"/>
      <c r="C1128" s="7">
        <v>44045</v>
      </c>
      <c r="D1128" s="18" t="s">
        <v>1188</v>
      </c>
      <c r="E1128" s="18" t="s">
        <v>1139</v>
      </c>
      <c r="F1128" s="17">
        <v>6</v>
      </c>
      <c r="G1128" s="18" t="s">
        <v>23</v>
      </c>
      <c r="H1128" s="17">
        <v>42</v>
      </c>
      <c r="I1128" s="8">
        <v>56.9</v>
      </c>
      <c r="J1128" s="21">
        <f t="shared" si="51"/>
        <v>0.35476190476190472</v>
      </c>
      <c r="K1128" s="1">
        <v>4</v>
      </c>
      <c r="L1128" s="24">
        <v>2.8</v>
      </c>
      <c r="M1128" s="24">
        <v>54.054999999999993</v>
      </c>
      <c r="N1128" s="21">
        <f t="shared" si="52"/>
        <v>0.28702380952380935</v>
      </c>
      <c r="P1128" s="1">
        <v>10</v>
      </c>
      <c r="Q1128" s="24">
        <v>6.828000000000003</v>
      </c>
      <c r="R1128" s="24">
        <v>50.071999999999996</v>
      </c>
      <c r="S1128" s="21">
        <f t="shared" si="53"/>
        <v>0.19219047619047608</v>
      </c>
    </row>
    <row r="1129" spans="2:19" ht="11.4" customHeight="1" x14ac:dyDescent="0.2">
      <c r="B1129" s="24"/>
      <c r="C1129" s="7">
        <v>38383</v>
      </c>
      <c r="D1129" s="18" t="s">
        <v>1189</v>
      </c>
      <c r="E1129" s="18" t="s">
        <v>1139</v>
      </c>
      <c r="F1129" s="17">
        <v>6</v>
      </c>
      <c r="G1129" s="18" t="s">
        <v>23</v>
      </c>
      <c r="H1129" s="17">
        <v>139.9</v>
      </c>
      <c r="I1129" s="8">
        <v>170.8</v>
      </c>
      <c r="J1129" s="21">
        <f t="shared" si="51"/>
        <v>0.22087205146533243</v>
      </c>
      <c r="K1129" s="1">
        <v>4</v>
      </c>
      <c r="L1129" s="24">
        <v>8.5</v>
      </c>
      <c r="M1129" s="24">
        <v>162.26</v>
      </c>
      <c r="N1129" s="21">
        <f t="shared" si="52"/>
        <v>0.15982844889206566</v>
      </c>
      <c r="P1129" s="1">
        <v>10</v>
      </c>
      <c r="Q1129" s="24">
        <v>20.496000000000009</v>
      </c>
      <c r="R1129" s="24">
        <v>150.304</v>
      </c>
      <c r="S1129" s="21">
        <f t="shared" si="53"/>
        <v>7.4367405289492469E-2</v>
      </c>
    </row>
    <row r="1130" spans="2:19" ht="11.4" customHeight="1" x14ac:dyDescent="0.2">
      <c r="B1130" s="24"/>
      <c r="C1130" s="7">
        <v>44044</v>
      </c>
      <c r="D1130" s="18" t="s">
        <v>1190</v>
      </c>
      <c r="E1130" s="18" t="s">
        <v>1139</v>
      </c>
      <c r="F1130" s="17">
        <v>10</v>
      </c>
      <c r="G1130" s="18" t="s">
        <v>23</v>
      </c>
      <c r="H1130" s="17">
        <v>75.959999999999994</v>
      </c>
      <c r="I1130" s="8">
        <v>102.5</v>
      </c>
      <c r="J1130" s="21">
        <f t="shared" si="51"/>
        <v>0.34939441811479738</v>
      </c>
      <c r="K1130" s="1">
        <v>4</v>
      </c>
      <c r="L1130" s="24">
        <v>5.0999999999999996</v>
      </c>
      <c r="M1130" s="24">
        <v>97.375</v>
      </c>
      <c r="N1130" s="21">
        <f t="shared" si="52"/>
        <v>0.2819246972090575</v>
      </c>
      <c r="P1130" s="1">
        <v>10</v>
      </c>
      <c r="Q1130" s="24">
        <v>12.299999999999997</v>
      </c>
      <c r="R1130" s="24">
        <v>90.2</v>
      </c>
      <c r="S1130" s="21">
        <f t="shared" si="53"/>
        <v>0.18746708794102174</v>
      </c>
    </row>
    <row r="1131" spans="2:19" ht="11.4" customHeight="1" x14ac:dyDescent="0.2">
      <c r="B1131" s="24"/>
      <c r="C1131" s="7">
        <v>44844</v>
      </c>
      <c r="D1131" s="18" t="s">
        <v>1191</v>
      </c>
      <c r="E1131" s="18" t="s">
        <v>1139</v>
      </c>
      <c r="F1131" s="17">
        <v>20</v>
      </c>
      <c r="G1131" s="18" t="s">
        <v>23</v>
      </c>
      <c r="H1131" s="17">
        <v>40.68</v>
      </c>
      <c r="I1131" s="8">
        <v>54.9</v>
      </c>
      <c r="J1131" s="21">
        <f t="shared" si="51"/>
        <v>0.34955752212389379</v>
      </c>
      <c r="K1131" s="1">
        <v>4</v>
      </c>
      <c r="L1131" s="24">
        <v>2.7</v>
      </c>
      <c r="M1131" s="24">
        <v>52.154999999999994</v>
      </c>
      <c r="N1131" s="21">
        <f t="shared" si="52"/>
        <v>0.28207964601769897</v>
      </c>
      <c r="P1131" s="1">
        <v>10</v>
      </c>
      <c r="Q1131" s="24">
        <v>6.588000000000001</v>
      </c>
      <c r="R1131" s="24">
        <v>48.311999999999998</v>
      </c>
      <c r="S1131" s="21">
        <f t="shared" si="53"/>
        <v>0.18761061946902649</v>
      </c>
    </row>
    <row r="1132" spans="2:19" ht="11.4" customHeight="1" x14ac:dyDescent="0.2">
      <c r="B1132" s="24"/>
      <c r="C1132" s="7">
        <v>38384</v>
      </c>
      <c r="D1132" s="18" t="s">
        <v>1192</v>
      </c>
      <c r="E1132" s="18" t="s">
        <v>1139</v>
      </c>
      <c r="F1132" s="17">
        <v>6</v>
      </c>
      <c r="G1132" s="18" t="s">
        <v>23</v>
      </c>
      <c r="H1132" s="17">
        <v>139.9</v>
      </c>
      <c r="I1132" s="8">
        <v>169.5</v>
      </c>
      <c r="J1132" s="21">
        <f t="shared" si="51"/>
        <v>0.21157969978556107</v>
      </c>
      <c r="K1132" s="1">
        <v>4</v>
      </c>
      <c r="L1132" s="24">
        <v>8.4</v>
      </c>
      <c r="M1132" s="24">
        <v>161.02500000000001</v>
      </c>
      <c r="N1132" s="21">
        <f t="shared" si="52"/>
        <v>0.15100071479628305</v>
      </c>
      <c r="P1132" s="1">
        <v>10</v>
      </c>
      <c r="Q1132" s="24">
        <v>20.340000000000003</v>
      </c>
      <c r="R1132" s="24">
        <v>149.16</v>
      </c>
      <c r="S1132" s="21">
        <f t="shared" si="53"/>
        <v>6.619013581129371E-2</v>
      </c>
    </row>
    <row r="1133" spans="2:19" ht="11.4" customHeight="1" x14ac:dyDescent="0.2">
      <c r="B1133" s="24"/>
      <c r="C1133" s="7">
        <v>38385</v>
      </c>
      <c r="D1133" s="18" t="s">
        <v>1193</v>
      </c>
      <c r="E1133" s="18" t="s">
        <v>1139</v>
      </c>
      <c r="F1133" s="17">
        <v>6</v>
      </c>
      <c r="G1133" s="18" t="s">
        <v>23</v>
      </c>
      <c r="H1133" s="17">
        <v>109.5</v>
      </c>
      <c r="I1133" s="8">
        <v>144.80000000000001</v>
      </c>
      <c r="J1133" s="21">
        <f t="shared" si="51"/>
        <v>0.32237442922374437</v>
      </c>
      <c r="K1133" s="1">
        <v>4</v>
      </c>
      <c r="L1133" s="24">
        <v>7.2</v>
      </c>
      <c r="M1133" s="24">
        <v>137.56</v>
      </c>
      <c r="N1133" s="21">
        <f t="shared" si="52"/>
        <v>0.25625570776255707</v>
      </c>
      <c r="P1133" s="1">
        <v>10</v>
      </c>
      <c r="Q1133" s="24">
        <v>17.376000000000005</v>
      </c>
      <c r="R1133" s="24">
        <v>127.42400000000001</v>
      </c>
      <c r="S1133" s="21">
        <f t="shared" si="53"/>
        <v>0.16368949771689503</v>
      </c>
    </row>
    <row r="1134" spans="2:19" ht="11.4" customHeight="1" x14ac:dyDescent="0.2">
      <c r="B1134" s="24"/>
      <c r="C1134" s="7">
        <v>44843</v>
      </c>
      <c r="D1134" s="18" t="s">
        <v>1194</v>
      </c>
      <c r="E1134" s="18" t="s">
        <v>1139</v>
      </c>
      <c r="F1134" s="17">
        <v>20</v>
      </c>
      <c r="G1134" s="18" t="s">
        <v>23</v>
      </c>
      <c r="H1134" s="17">
        <v>40.68</v>
      </c>
      <c r="I1134" s="8">
        <v>54.9</v>
      </c>
      <c r="J1134" s="21">
        <f t="shared" si="51"/>
        <v>0.34955752212389379</v>
      </c>
      <c r="K1134" s="1">
        <v>4</v>
      </c>
      <c r="L1134" s="24">
        <v>2.7</v>
      </c>
      <c r="M1134" s="24">
        <v>52.154999999999994</v>
      </c>
      <c r="N1134" s="21">
        <f t="shared" si="52"/>
        <v>0.28207964601769897</v>
      </c>
      <c r="P1134" s="1">
        <v>10</v>
      </c>
      <c r="Q1134" s="24">
        <v>6.588000000000001</v>
      </c>
      <c r="R1134" s="24">
        <v>48.311999999999998</v>
      </c>
      <c r="S1134" s="21">
        <f t="shared" si="53"/>
        <v>0.18761061946902649</v>
      </c>
    </row>
    <row r="1135" spans="2:19" ht="11.4" customHeight="1" x14ac:dyDescent="0.2">
      <c r="B1135" s="24"/>
      <c r="C1135" s="7">
        <v>44824</v>
      </c>
      <c r="D1135" s="18" t="s">
        <v>1195</v>
      </c>
      <c r="E1135" s="18" t="s">
        <v>1025</v>
      </c>
      <c r="F1135" s="17">
        <v>20</v>
      </c>
      <c r="G1135" s="18" t="s">
        <v>23</v>
      </c>
      <c r="H1135" s="17">
        <v>58.08</v>
      </c>
      <c r="I1135" s="8">
        <v>78.400000000000006</v>
      </c>
      <c r="J1135" s="21">
        <f t="shared" si="51"/>
        <v>0.34986225895316819</v>
      </c>
      <c r="K1135" s="1">
        <v>4</v>
      </c>
      <c r="L1135" s="24">
        <v>3.9</v>
      </c>
      <c r="M1135" s="24">
        <v>74.48</v>
      </c>
      <c r="N1135" s="21">
        <f t="shared" si="52"/>
        <v>0.28236914600550977</v>
      </c>
      <c r="P1135" s="1">
        <v>10</v>
      </c>
      <c r="Q1135" s="24">
        <v>9.4080000000000013</v>
      </c>
      <c r="R1135" s="24">
        <v>68.992000000000004</v>
      </c>
      <c r="S1135" s="21">
        <f t="shared" si="53"/>
        <v>0.18787878787878798</v>
      </c>
    </row>
    <row r="1136" spans="2:19" ht="11.4" customHeight="1" x14ac:dyDescent="0.2">
      <c r="B1136" s="24"/>
      <c r="C1136" s="7">
        <v>23163</v>
      </c>
      <c r="D1136" s="18" t="s">
        <v>1196</v>
      </c>
      <c r="E1136" s="18" t="s">
        <v>1025</v>
      </c>
      <c r="F1136" s="18"/>
      <c r="G1136" s="18" t="s">
        <v>902</v>
      </c>
      <c r="H1136" s="17">
        <v>55</v>
      </c>
      <c r="I1136" s="8">
        <v>97.6</v>
      </c>
      <c r="J1136" s="21">
        <f t="shared" si="51"/>
        <v>0.77454545454545443</v>
      </c>
      <c r="K1136" s="1">
        <v>1</v>
      </c>
      <c r="L1136" s="24">
        <v>4.8</v>
      </c>
      <c r="M1136" s="24">
        <v>92.719999999999985</v>
      </c>
      <c r="N1136" s="21">
        <f t="shared" si="52"/>
        <v>0.68581818181818155</v>
      </c>
      <c r="P1136" s="1">
        <v>4</v>
      </c>
      <c r="Q1136" s="24">
        <v>9.7599999999999909</v>
      </c>
      <c r="R1136" s="24">
        <v>87.84</v>
      </c>
      <c r="S1136" s="21">
        <f t="shared" si="53"/>
        <v>0.59709090909090912</v>
      </c>
    </row>
    <row r="1137" spans="2:19" ht="11.4" customHeight="1" x14ac:dyDescent="0.2">
      <c r="B1137" s="24"/>
      <c r="C1137" s="7">
        <v>23442</v>
      </c>
      <c r="D1137" s="18" t="s">
        <v>1197</v>
      </c>
      <c r="E1137" s="18" t="s">
        <v>1025</v>
      </c>
      <c r="F1137" s="17">
        <v>6</v>
      </c>
      <c r="G1137" s="18" t="s">
        <v>23</v>
      </c>
      <c r="H1137" s="17">
        <v>40.020000000000003</v>
      </c>
      <c r="I1137" s="8">
        <v>53.9</v>
      </c>
      <c r="J1137" s="21">
        <f t="shared" si="51"/>
        <v>0.34682658670664651</v>
      </c>
      <c r="K1137" s="1">
        <v>4</v>
      </c>
      <c r="L1137" s="24">
        <v>2.6</v>
      </c>
      <c r="M1137" s="24">
        <v>51.204999999999998</v>
      </c>
      <c r="N1137" s="21">
        <f t="shared" si="52"/>
        <v>0.27948525737131419</v>
      </c>
      <c r="P1137" s="1">
        <v>10</v>
      </c>
      <c r="Q1137" s="24">
        <v>6.4679999999999964</v>
      </c>
      <c r="R1137" s="24">
        <v>47.432000000000002</v>
      </c>
      <c r="S1137" s="21">
        <f t="shared" si="53"/>
        <v>0.18520739630184904</v>
      </c>
    </row>
    <row r="1138" spans="2:19" ht="11.4" customHeight="1" x14ac:dyDescent="0.2">
      <c r="B1138" s="24"/>
      <c r="C1138" s="7">
        <v>44814</v>
      </c>
      <c r="D1138" s="18" t="s">
        <v>1198</v>
      </c>
      <c r="E1138" s="18" t="s">
        <v>1025</v>
      </c>
      <c r="F1138" s="17">
        <v>10</v>
      </c>
      <c r="G1138" s="18" t="s">
        <v>23</v>
      </c>
      <c r="H1138" s="17">
        <v>54.36</v>
      </c>
      <c r="I1138" s="8">
        <v>73.400000000000006</v>
      </c>
      <c r="J1138" s="21">
        <f t="shared" si="51"/>
        <v>0.35025754231052258</v>
      </c>
      <c r="K1138" s="1">
        <v>4</v>
      </c>
      <c r="L1138" s="24">
        <v>3.6</v>
      </c>
      <c r="M1138" s="24">
        <v>69.73</v>
      </c>
      <c r="N1138" s="21">
        <f t="shared" si="52"/>
        <v>0.28274466519499641</v>
      </c>
      <c r="P1138" s="1">
        <v>10</v>
      </c>
      <c r="Q1138" s="24">
        <v>8.8080000000000069</v>
      </c>
      <c r="R1138" s="24">
        <v>64.591999999999999</v>
      </c>
      <c r="S1138" s="21">
        <f t="shared" si="53"/>
        <v>0.18822663723325975</v>
      </c>
    </row>
    <row r="1139" spans="2:19" ht="11.4" customHeight="1" x14ac:dyDescent="0.2">
      <c r="B1139" s="24"/>
      <c r="C1139" s="7">
        <v>23162</v>
      </c>
      <c r="D1139" s="18" t="s">
        <v>1199</v>
      </c>
      <c r="E1139" s="18" t="s">
        <v>1025</v>
      </c>
      <c r="F1139" s="18"/>
      <c r="G1139" s="18" t="s">
        <v>902</v>
      </c>
      <c r="H1139" s="17">
        <v>65</v>
      </c>
      <c r="I1139" s="8">
        <v>97.6</v>
      </c>
      <c r="J1139" s="21">
        <f t="shared" si="51"/>
        <v>0.50153846153846149</v>
      </c>
      <c r="K1139" s="1">
        <v>1</v>
      </c>
      <c r="L1139" s="24">
        <v>4.8</v>
      </c>
      <c r="M1139" s="24">
        <v>92.719999999999985</v>
      </c>
      <c r="N1139" s="21">
        <f t="shared" si="52"/>
        <v>0.42646153846153823</v>
      </c>
      <c r="P1139" s="1">
        <v>4</v>
      </c>
      <c r="Q1139" s="24">
        <v>9.7599999999999909</v>
      </c>
      <c r="R1139" s="24">
        <v>87.84</v>
      </c>
      <c r="S1139" s="21">
        <f t="shared" si="53"/>
        <v>0.35138461538461546</v>
      </c>
    </row>
    <row r="1140" spans="2:19" ht="11.4" customHeight="1" x14ac:dyDescent="0.2">
      <c r="B1140" s="24"/>
      <c r="C1140" s="7">
        <v>33687</v>
      </c>
      <c r="D1140" s="18" t="s">
        <v>1200</v>
      </c>
      <c r="E1140" s="18" t="s">
        <v>1025</v>
      </c>
      <c r="F1140" s="17">
        <v>16</v>
      </c>
      <c r="G1140" s="18" t="s">
        <v>23</v>
      </c>
      <c r="H1140" s="17">
        <v>61.9</v>
      </c>
      <c r="I1140" s="8">
        <v>61.9</v>
      </c>
      <c r="J1140" s="21">
        <f t="shared" si="51"/>
        <v>0</v>
      </c>
      <c r="K1140" s="1">
        <v>4</v>
      </c>
      <c r="L1140" s="24">
        <v>3</v>
      </c>
      <c r="M1140" s="24">
        <v>58.804999999999993</v>
      </c>
      <c r="N1140" s="21">
        <f t="shared" si="52"/>
        <v>-5.00000000000001E-2</v>
      </c>
      <c r="P1140" s="1">
        <v>10</v>
      </c>
      <c r="Q1140" s="24">
        <v>7.4279999999999973</v>
      </c>
      <c r="R1140" s="24">
        <v>54.472000000000001</v>
      </c>
      <c r="S1140" s="21">
        <f t="shared" si="53"/>
        <v>-0.11999999999999995</v>
      </c>
    </row>
    <row r="1141" spans="2:19" ht="11.4" customHeight="1" x14ac:dyDescent="0.2">
      <c r="B1141" s="24"/>
      <c r="C1141" s="7">
        <v>23443</v>
      </c>
      <c r="D1141" s="18" t="s">
        <v>1201</v>
      </c>
      <c r="E1141" s="18" t="s">
        <v>1025</v>
      </c>
      <c r="F1141" s="17">
        <v>6</v>
      </c>
      <c r="G1141" s="18" t="s">
        <v>23</v>
      </c>
      <c r="H1141" s="17">
        <v>40.4</v>
      </c>
      <c r="I1141" s="8">
        <v>50.9</v>
      </c>
      <c r="J1141" s="21">
        <f t="shared" si="51"/>
        <v>0.25990099009900991</v>
      </c>
      <c r="K1141" s="1">
        <v>4</v>
      </c>
      <c r="L1141" s="24">
        <v>2.5</v>
      </c>
      <c r="M1141" s="24">
        <v>48.354999999999997</v>
      </c>
      <c r="N1141" s="21">
        <f t="shared" si="52"/>
        <v>0.19690594059405936</v>
      </c>
      <c r="P1141" s="1">
        <v>10</v>
      </c>
      <c r="Q1141" s="24">
        <v>6.107999999999997</v>
      </c>
      <c r="R1141" s="24">
        <v>44.792000000000002</v>
      </c>
      <c r="S1141" s="21">
        <f t="shared" si="53"/>
        <v>0.1087128712871288</v>
      </c>
    </row>
    <row r="1142" spans="2:19" ht="11.4" customHeight="1" x14ac:dyDescent="0.2">
      <c r="B1142" s="24"/>
      <c r="C1142" s="7">
        <v>44851</v>
      </c>
      <c r="D1142" s="18" t="s">
        <v>1202</v>
      </c>
      <c r="E1142" s="18" t="s">
        <v>1033</v>
      </c>
      <c r="F1142" s="17">
        <v>20</v>
      </c>
      <c r="G1142" s="18" t="s">
        <v>23</v>
      </c>
      <c r="H1142" s="17">
        <v>42.54</v>
      </c>
      <c r="I1142" s="8">
        <v>58.5</v>
      </c>
      <c r="J1142" s="21">
        <f t="shared" si="51"/>
        <v>0.3751763046544429</v>
      </c>
      <c r="K1142" s="1">
        <v>4</v>
      </c>
      <c r="L1142" s="24">
        <v>2.9</v>
      </c>
      <c r="M1142" s="24">
        <v>55.574999999999996</v>
      </c>
      <c r="N1142" s="21">
        <f t="shared" si="52"/>
        <v>0.30641748942172065</v>
      </c>
      <c r="P1142" s="1">
        <v>10</v>
      </c>
      <c r="Q1142" s="24">
        <v>7.0200000000000031</v>
      </c>
      <c r="R1142" s="24">
        <v>51.48</v>
      </c>
      <c r="S1142" s="21">
        <f t="shared" si="53"/>
        <v>0.21015514809590968</v>
      </c>
    </row>
    <row r="1143" spans="2:19" ht="11.4" customHeight="1" x14ac:dyDescent="0.2">
      <c r="B1143" s="24"/>
      <c r="C1143" s="7">
        <v>44823</v>
      </c>
      <c r="D1143" s="18" t="s">
        <v>1203</v>
      </c>
      <c r="E1143" s="18" t="s">
        <v>1033</v>
      </c>
      <c r="F1143" s="17">
        <v>20</v>
      </c>
      <c r="G1143" s="18" t="s">
        <v>23</v>
      </c>
      <c r="H1143" s="17">
        <v>34.5</v>
      </c>
      <c r="I1143" s="8">
        <v>46.6</v>
      </c>
      <c r="J1143" s="21">
        <f t="shared" si="51"/>
        <v>0.35072463768115947</v>
      </c>
      <c r="K1143" s="1">
        <v>4</v>
      </c>
      <c r="L1143" s="24">
        <v>2.2999999999999998</v>
      </c>
      <c r="M1143" s="24">
        <v>44.269999999999996</v>
      </c>
      <c r="N1143" s="21">
        <f t="shared" si="52"/>
        <v>0.28318840579710136</v>
      </c>
      <c r="P1143" s="1">
        <v>10</v>
      </c>
      <c r="Q1143" s="24">
        <v>5.5919999999999987</v>
      </c>
      <c r="R1143" s="24">
        <v>41.008000000000003</v>
      </c>
      <c r="S1143" s="21">
        <f t="shared" si="53"/>
        <v>0.18863768115942037</v>
      </c>
    </row>
    <row r="1144" spans="2:19" ht="11.4" customHeight="1" x14ac:dyDescent="0.2">
      <c r="B1144" s="24"/>
      <c r="C1144" s="7">
        <v>44829</v>
      </c>
      <c r="D1144" s="18" t="s">
        <v>1204</v>
      </c>
      <c r="E1144" s="18" t="s">
        <v>1033</v>
      </c>
      <c r="F1144" s="17">
        <v>20</v>
      </c>
      <c r="G1144" s="18" t="s">
        <v>23</v>
      </c>
      <c r="H1144" s="17">
        <v>34.5</v>
      </c>
      <c r="I1144" s="8">
        <v>46.6</v>
      </c>
      <c r="J1144" s="21">
        <f t="shared" si="51"/>
        <v>0.35072463768115947</v>
      </c>
      <c r="K1144" s="1">
        <v>4</v>
      </c>
      <c r="L1144" s="24">
        <v>2.2999999999999998</v>
      </c>
      <c r="M1144" s="24">
        <v>44.269999999999996</v>
      </c>
      <c r="N1144" s="21">
        <f t="shared" si="52"/>
        <v>0.28318840579710136</v>
      </c>
      <c r="P1144" s="1">
        <v>10</v>
      </c>
      <c r="Q1144" s="24">
        <v>5.5919999999999987</v>
      </c>
      <c r="R1144" s="24">
        <v>41.008000000000003</v>
      </c>
      <c r="S1144" s="21">
        <f t="shared" si="53"/>
        <v>0.18863768115942037</v>
      </c>
    </row>
    <row r="1145" spans="2:19" ht="11.4" customHeight="1" x14ac:dyDescent="0.2">
      <c r="B1145" s="24"/>
      <c r="C1145" s="7">
        <v>44852</v>
      </c>
      <c r="D1145" s="18" t="s">
        <v>1205</v>
      </c>
      <c r="E1145" s="18" t="s">
        <v>1139</v>
      </c>
      <c r="F1145" s="17">
        <v>20</v>
      </c>
      <c r="G1145" s="18" t="s">
        <v>23</v>
      </c>
      <c r="H1145" s="17">
        <v>50.1</v>
      </c>
      <c r="I1145" s="8">
        <v>68.5</v>
      </c>
      <c r="J1145" s="21">
        <f t="shared" si="51"/>
        <v>0.36726546906187618</v>
      </c>
      <c r="K1145" s="1">
        <v>4</v>
      </c>
      <c r="L1145" s="24">
        <v>3.4</v>
      </c>
      <c r="M1145" s="24">
        <v>65.075000000000003</v>
      </c>
      <c r="N1145" s="21">
        <f t="shared" si="52"/>
        <v>0.29890219560878245</v>
      </c>
      <c r="P1145" s="1">
        <v>10</v>
      </c>
      <c r="Q1145" s="24">
        <v>8.2199999999999989</v>
      </c>
      <c r="R1145" s="24">
        <v>60.28</v>
      </c>
      <c r="S1145" s="21">
        <f t="shared" si="53"/>
        <v>0.20319361277445108</v>
      </c>
    </row>
    <row r="1146" spans="2:19" ht="11.4" customHeight="1" x14ac:dyDescent="0.2">
      <c r="B1146" s="24"/>
      <c r="C1146" s="7">
        <v>44854</v>
      </c>
      <c r="D1146" s="18" t="s">
        <v>1206</v>
      </c>
      <c r="E1146" s="18" t="s">
        <v>1033</v>
      </c>
      <c r="F1146" s="17">
        <v>20</v>
      </c>
      <c r="G1146" s="18" t="s">
        <v>23</v>
      </c>
      <c r="H1146" s="17">
        <v>38.58</v>
      </c>
      <c r="I1146" s="8">
        <v>52.2</v>
      </c>
      <c r="J1146" s="21">
        <f t="shared" si="51"/>
        <v>0.35303265940902034</v>
      </c>
      <c r="K1146" s="1">
        <v>4</v>
      </c>
      <c r="L1146" s="24">
        <v>2.6</v>
      </c>
      <c r="M1146" s="24">
        <v>49.59</v>
      </c>
      <c r="N1146" s="21">
        <f t="shared" si="52"/>
        <v>0.28538102643856933</v>
      </c>
      <c r="P1146" s="1">
        <v>10</v>
      </c>
      <c r="Q1146" s="24">
        <v>6.2640000000000029</v>
      </c>
      <c r="R1146" s="24">
        <v>45.936</v>
      </c>
      <c r="S1146" s="21">
        <f t="shared" si="53"/>
        <v>0.19066874027993785</v>
      </c>
    </row>
    <row r="1147" spans="2:19" ht="11.4" customHeight="1" x14ac:dyDescent="0.2">
      <c r="B1147" s="24"/>
      <c r="C1147" s="7">
        <v>44866</v>
      </c>
      <c r="D1147" s="18" t="s">
        <v>1207</v>
      </c>
      <c r="E1147" s="18" t="s">
        <v>1033</v>
      </c>
      <c r="F1147" s="17">
        <v>20</v>
      </c>
      <c r="G1147" s="18" t="s">
        <v>23</v>
      </c>
      <c r="H1147" s="17">
        <v>34.619999999999997</v>
      </c>
      <c r="I1147" s="8">
        <v>45.5</v>
      </c>
      <c r="J1147" s="21">
        <f t="shared" si="51"/>
        <v>0.3142692085499712</v>
      </c>
      <c r="K1147" s="1">
        <v>4</v>
      </c>
      <c r="L1147" s="24">
        <v>2.2000000000000002</v>
      </c>
      <c r="M1147" s="24">
        <v>43.225000000000001</v>
      </c>
      <c r="N1147" s="21">
        <f t="shared" si="52"/>
        <v>0.24855574812247269</v>
      </c>
      <c r="P1147" s="1">
        <v>10</v>
      </c>
      <c r="Q1147" s="24">
        <v>5.4600000000000009</v>
      </c>
      <c r="R1147" s="24">
        <v>40.04</v>
      </c>
      <c r="S1147" s="21">
        <f t="shared" si="53"/>
        <v>0.15655690352397464</v>
      </c>
    </row>
    <row r="1148" spans="2:19" ht="11.4" customHeight="1" x14ac:dyDescent="0.2">
      <c r="B1148" s="24"/>
      <c r="C1148" s="7">
        <v>44865</v>
      </c>
      <c r="D1148" s="18" t="s">
        <v>1208</v>
      </c>
      <c r="E1148" s="18" t="s">
        <v>1079</v>
      </c>
      <c r="F1148" s="17">
        <v>20</v>
      </c>
      <c r="G1148" s="18" t="s">
        <v>23</v>
      </c>
      <c r="H1148" s="17">
        <v>47.46</v>
      </c>
      <c r="I1148" s="8">
        <v>68.3</v>
      </c>
      <c r="J1148" s="21">
        <f t="shared" si="51"/>
        <v>0.43910661609776647</v>
      </c>
      <c r="K1148" s="1">
        <v>4</v>
      </c>
      <c r="L1148" s="24">
        <v>3.4</v>
      </c>
      <c r="M1148" s="24">
        <v>64.884999999999991</v>
      </c>
      <c r="N1148" s="21">
        <f t="shared" si="52"/>
        <v>0.36715128529287799</v>
      </c>
      <c r="P1148" s="1">
        <v>10</v>
      </c>
      <c r="Q1148" s="24">
        <v>8.195999999999998</v>
      </c>
      <c r="R1148" s="24">
        <v>60.103999999999999</v>
      </c>
      <c r="S1148" s="21">
        <f t="shared" si="53"/>
        <v>0.26641382216603454</v>
      </c>
    </row>
    <row r="1149" spans="2:19" ht="11.4" customHeight="1" x14ac:dyDescent="0.2">
      <c r="B1149" s="24"/>
      <c r="C1149" s="7">
        <v>45096</v>
      </c>
      <c r="D1149" s="18" t="s">
        <v>1209</v>
      </c>
      <c r="E1149" s="18" t="s">
        <v>1079</v>
      </c>
      <c r="F1149" s="17">
        <v>20</v>
      </c>
      <c r="G1149" s="18" t="s">
        <v>23</v>
      </c>
      <c r="H1149" s="17">
        <v>45</v>
      </c>
      <c r="I1149" s="8">
        <v>65</v>
      </c>
      <c r="J1149" s="21">
        <f t="shared" si="51"/>
        <v>0.44444444444444442</v>
      </c>
      <c r="K1149" s="1">
        <v>4</v>
      </c>
      <c r="L1149" s="24">
        <v>3.2</v>
      </c>
      <c r="M1149" s="24">
        <v>61.75</v>
      </c>
      <c r="N1149" s="21">
        <f t="shared" si="52"/>
        <v>0.37222222222222223</v>
      </c>
      <c r="P1149" s="1">
        <v>10</v>
      </c>
      <c r="Q1149" s="24">
        <v>7.7999999999999972</v>
      </c>
      <c r="R1149" s="24">
        <v>57.2</v>
      </c>
      <c r="S1149" s="21">
        <f t="shared" si="53"/>
        <v>0.27111111111111119</v>
      </c>
    </row>
    <row r="1150" spans="2:19" ht="11.4" customHeight="1" x14ac:dyDescent="0.2">
      <c r="B1150" s="24"/>
      <c r="C1150" s="7">
        <v>44862</v>
      </c>
      <c r="D1150" s="18" t="s">
        <v>1210</v>
      </c>
      <c r="E1150" s="18" t="s">
        <v>1139</v>
      </c>
      <c r="F1150" s="17">
        <v>20</v>
      </c>
      <c r="G1150" s="18" t="s">
        <v>23</v>
      </c>
      <c r="H1150" s="17">
        <v>57.12</v>
      </c>
      <c r="I1150" s="8">
        <v>77.099999999999994</v>
      </c>
      <c r="J1150" s="21">
        <f t="shared" si="51"/>
        <v>0.34978991596638653</v>
      </c>
      <c r="K1150" s="1">
        <v>4</v>
      </c>
      <c r="L1150" s="24">
        <v>3.8</v>
      </c>
      <c r="M1150" s="24">
        <v>73.24499999999999</v>
      </c>
      <c r="N1150" s="21">
        <f t="shared" si="52"/>
        <v>0.28230042016806711</v>
      </c>
      <c r="P1150" s="1">
        <v>10</v>
      </c>
      <c r="Q1150" s="24">
        <v>9.2519999999999953</v>
      </c>
      <c r="R1150" s="24">
        <v>67.847999999999999</v>
      </c>
      <c r="S1150" s="21">
        <f t="shared" si="53"/>
        <v>0.18781512605042019</v>
      </c>
    </row>
    <row r="1151" spans="2:19" ht="11.4" customHeight="1" x14ac:dyDescent="0.2">
      <c r="B1151" s="24"/>
      <c r="C1151" s="7">
        <v>44856</v>
      </c>
      <c r="D1151" s="18" t="s">
        <v>1211</v>
      </c>
      <c r="E1151" s="18" t="s">
        <v>1212</v>
      </c>
      <c r="F1151" s="17">
        <v>20</v>
      </c>
      <c r="G1151" s="18" t="s">
        <v>23</v>
      </c>
      <c r="H1151" s="17">
        <v>39.479999999999997</v>
      </c>
      <c r="I1151" s="8">
        <v>58</v>
      </c>
      <c r="J1151" s="21">
        <f t="shared" si="51"/>
        <v>0.46909827760891604</v>
      </c>
      <c r="K1151" s="1">
        <v>4</v>
      </c>
      <c r="L1151" s="24">
        <v>2.9</v>
      </c>
      <c r="M1151" s="24">
        <v>55.099999999999994</v>
      </c>
      <c r="N1151" s="21">
        <f t="shared" si="52"/>
        <v>0.39564336372847009</v>
      </c>
      <c r="P1151" s="1">
        <v>10</v>
      </c>
      <c r="Q1151" s="24">
        <v>6.9600000000000009</v>
      </c>
      <c r="R1151" s="24">
        <v>51.04</v>
      </c>
      <c r="S1151" s="21">
        <f t="shared" si="53"/>
        <v>0.2928064842958461</v>
      </c>
    </row>
    <row r="1152" spans="2:19" ht="11.4" customHeight="1" x14ac:dyDescent="0.2">
      <c r="B1152" s="24"/>
      <c r="C1152" s="7">
        <v>44858</v>
      </c>
      <c r="D1152" s="18" t="s">
        <v>1213</v>
      </c>
      <c r="E1152" s="18" t="s">
        <v>1212</v>
      </c>
      <c r="F1152" s="17">
        <v>20</v>
      </c>
      <c r="G1152" s="18" t="s">
        <v>23</v>
      </c>
      <c r="H1152" s="17">
        <v>39.299999999999997</v>
      </c>
      <c r="I1152" s="8">
        <v>57.8</v>
      </c>
      <c r="J1152" s="21">
        <f t="shared" si="51"/>
        <v>0.47073791348600513</v>
      </c>
      <c r="K1152" s="1">
        <v>4</v>
      </c>
      <c r="L1152" s="24">
        <v>2.8</v>
      </c>
      <c r="M1152" s="24">
        <v>54.91</v>
      </c>
      <c r="N1152" s="21">
        <f t="shared" si="52"/>
        <v>0.39720101781170486</v>
      </c>
      <c r="P1152" s="1">
        <v>10</v>
      </c>
      <c r="Q1152" s="24">
        <v>6.9359999999999999</v>
      </c>
      <c r="R1152" s="24">
        <v>50.863999999999997</v>
      </c>
      <c r="S1152" s="21">
        <f t="shared" si="53"/>
        <v>0.29424936386768452</v>
      </c>
    </row>
    <row r="1153" spans="2:19" ht="11.4" customHeight="1" x14ac:dyDescent="0.2">
      <c r="B1153" s="24"/>
      <c r="C1153" s="7">
        <v>37902</v>
      </c>
      <c r="D1153" s="18" t="s">
        <v>1214</v>
      </c>
      <c r="E1153" s="18" t="s">
        <v>1215</v>
      </c>
      <c r="F1153" s="17">
        <v>56</v>
      </c>
      <c r="G1153" s="18" t="s">
        <v>23</v>
      </c>
      <c r="H1153" s="17">
        <v>19.5</v>
      </c>
      <c r="I1153" s="8">
        <v>21.7</v>
      </c>
      <c r="J1153" s="21">
        <f t="shared" si="51"/>
        <v>0.11282051282051278</v>
      </c>
      <c r="K1153" s="1">
        <v>4</v>
      </c>
      <c r="L1153" s="24">
        <v>1</v>
      </c>
      <c r="M1153" s="24">
        <v>20.614999999999998</v>
      </c>
      <c r="N1153" s="21">
        <f t="shared" si="52"/>
        <v>5.71794871794871E-2</v>
      </c>
      <c r="P1153" s="1">
        <v>10</v>
      </c>
      <c r="Q1153" s="24">
        <v>2.6039999999999992</v>
      </c>
      <c r="R1153" s="24">
        <v>19.096</v>
      </c>
      <c r="S1153" s="21">
        <f t="shared" si="53"/>
        <v>-2.0717948717948714E-2</v>
      </c>
    </row>
    <row r="1154" spans="2:19" ht="11.4" customHeight="1" x14ac:dyDescent="0.2">
      <c r="B1154" s="24"/>
      <c r="C1154" s="7">
        <v>37899</v>
      </c>
      <c r="D1154" s="18" t="s">
        <v>1216</v>
      </c>
      <c r="E1154" s="18" t="s">
        <v>1215</v>
      </c>
      <c r="F1154" s="17">
        <v>56</v>
      </c>
      <c r="G1154" s="18" t="s">
        <v>23</v>
      </c>
      <c r="H1154" s="17">
        <v>19.5</v>
      </c>
      <c r="I1154" s="8">
        <v>21.7</v>
      </c>
      <c r="J1154" s="21">
        <f t="shared" si="51"/>
        <v>0.11282051282051278</v>
      </c>
      <c r="K1154" s="1">
        <v>4</v>
      </c>
      <c r="L1154" s="24">
        <v>1</v>
      </c>
      <c r="M1154" s="24">
        <v>20.614999999999998</v>
      </c>
      <c r="N1154" s="21">
        <f t="shared" si="52"/>
        <v>5.71794871794871E-2</v>
      </c>
      <c r="P1154" s="1">
        <v>10</v>
      </c>
      <c r="Q1154" s="24">
        <v>2.6039999999999992</v>
      </c>
      <c r="R1154" s="24">
        <v>19.096</v>
      </c>
      <c r="S1154" s="21">
        <f t="shared" si="53"/>
        <v>-2.0717948717948714E-2</v>
      </c>
    </row>
    <row r="1155" spans="2:19" ht="11.4" customHeight="1" x14ac:dyDescent="0.2">
      <c r="B1155" s="24"/>
      <c r="C1155" s="7">
        <v>8223</v>
      </c>
      <c r="D1155" s="18" t="s">
        <v>1217</v>
      </c>
      <c r="E1155" s="18" t="s">
        <v>1215</v>
      </c>
      <c r="F1155" s="17">
        <v>48</v>
      </c>
      <c r="G1155" s="18" t="s">
        <v>23</v>
      </c>
      <c r="H1155" s="17">
        <v>4.3</v>
      </c>
      <c r="I1155" s="8">
        <v>4.8</v>
      </c>
      <c r="J1155" s="21">
        <f t="shared" ref="J1155:J1218" si="54">(I1155-H1155)/H1155</f>
        <v>0.11627906976744186</v>
      </c>
      <c r="K1155" s="1">
        <v>4</v>
      </c>
      <c r="L1155" s="24">
        <v>0.2</v>
      </c>
      <c r="M1155" s="24">
        <v>4.5599999999999996</v>
      </c>
      <c r="N1155" s="21">
        <f t="shared" ref="N1155:N1218" si="55">(M1155-H1155)/H1155</f>
        <v>6.0465116279069718E-2</v>
      </c>
      <c r="P1155" s="1">
        <v>10</v>
      </c>
      <c r="Q1155" s="24">
        <v>0.57599999999999962</v>
      </c>
      <c r="R1155" s="24">
        <v>4.2240000000000002</v>
      </c>
      <c r="S1155" s="21">
        <f t="shared" ref="S1155:S1218" si="56">(R1155-H1155)/H1155</f>
        <v>-1.7674418604651077E-2</v>
      </c>
    </row>
    <row r="1156" spans="2:19" ht="11.4" customHeight="1" x14ac:dyDescent="0.2">
      <c r="B1156" s="24"/>
      <c r="C1156" s="7">
        <v>36324</v>
      </c>
      <c r="D1156" s="18" t="s">
        <v>1218</v>
      </c>
      <c r="E1156" s="18" t="s">
        <v>1215</v>
      </c>
      <c r="F1156" s="17">
        <v>48</v>
      </c>
      <c r="G1156" s="18" t="s">
        <v>23</v>
      </c>
      <c r="H1156" s="17">
        <v>4.3</v>
      </c>
      <c r="I1156" s="8">
        <v>4.8</v>
      </c>
      <c r="J1156" s="21">
        <f t="shared" si="54"/>
        <v>0.11627906976744186</v>
      </c>
      <c r="K1156" s="1">
        <v>4</v>
      </c>
      <c r="L1156" s="24">
        <v>0.2</v>
      </c>
      <c r="M1156" s="24">
        <v>4.5599999999999996</v>
      </c>
      <c r="N1156" s="21">
        <f t="shared" si="55"/>
        <v>6.0465116279069718E-2</v>
      </c>
      <c r="P1156" s="1">
        <v>10</v>
      </c>
      <c r="Q1156" s="24">
        <v>0.57599999999999962</v>
      </c>
      <c r="R1156" s="24">
        <v>4.2240000000000002</v>
      </c>
      <c r="S1156" s="21">
        <f t="shared" si="56"/>
        <v>-1.7674418604651077E-2</v>
      </c>
    </row>
    <row r="1157" spans="2:19" ht="11.4" customHeight="1" x14ac:dyDescent="0.2">
      <c r="B1157" s="24"/>
      <c r="C1157" s="7">
        <v>37900</v>
      </c>
      <c r="D1157" s="18" t="s">
        <v>1219</v>
      </c>
      <c r="E1157" s="18" t="s">
        <v>1215</v>
      </c>
      <c r="F1157" s="17">
        <v>56</v>
      </c>
      <c r="G1157" s="18" t="s">
        <v>23</v>
      </c>
      <c r="H1157" s="17">
        <v>19.5</v>
      </c>
      <c r="I1157" s="8">
        <v>21.7</v>
      </c>
      <c r="J1157" s="21">
        <f t="shared" si="54"/>
        <v>0.11282051282051278</v>
      </c>
      <c r="K1157" s="1">
        <v>4</v>
      </c>
      <c r="L1157" s="24">
        <v>1</v>
      </c>
      <c r="M1157" s="24">
        <v>20.614999999999998</v>
      </c>
      <c r="N1157" s="21">
        <f t="shared" si="55"/>
        <v>5.71794871794871E-2</v>
      </c>
      <c r="P1157" s="1">
        <v>10</v>
      </c>
      <c r="Q1157" s="24">
        <v>2.6039999999999992</v>
      </c>
      <c r="R1157" s="24">
        <v>19.096</v>
      </c>
      <c r="S1157" s="21">
        <f t="shared" si="56"/>
        <v>-2.0717948717948714E-2</v>
      </c>
    </row>
    <row r="1158" spans="2:19" ht="11.4" customHeight="1" x14ac:dyDescent="0.2">
      <c r="B1158" s="24"/>
      <c r="C1158" s="7">
        <v>37901</v>
      </c>
      <c r="D1158" s="18" t="s">
        <v>1220</v>
      </c>
      <c r="E1158" s="18" t="s">
        <v>1215</v>
      </c>
      <c r="F1158" s="17">
        <v>56</v>
      </c>
      <c r="G1158" s="18" t="s">
        <v>23</v>
      </c>
      <c r="H1158" s="17">
        <v>19.5</v>
      </c>
      <c r="I1158" s="8">
        <v>21.7</v>
      </c>
      <c r="J1158" s="21">
        <f t="shared" si="54"/>
        <v>0.11282051282051278</v>
      </c>
      <c r="K1158" s="1">
        <v>4</v>
      </c>
      <c r="L1158" s="24">
        <v>1</v>
      </c>
      <c r="M1158" s="24">
        <v>20.614999999999998</v>
      </c>
      <c r="N1158" s="21">
        <f t="shared" si="55"/>
        <v>5.71794871794871E-2</v>
      </c>
      <c r="P1158" s="1">
        <v>10</v>
      </c>
      <c r="Q1158" s="24">
        <v>2.6039999999999992</v>
      </c>
      <c r="R1158" s="24">
        <v>19.096</v>
      </c>
      <c r="S1158" s="21">
        <f t="shared" si="56"/>
        <v>-2.0717948717948714E-2</v>
      </c>
    </row>
    <row r="1159" spans="2:19" ht="11.4" customHeight="1" x14ac:dyDescent="0.2">
      <c r="B1159" s="24"/>
      <c r="C1159" s="7">
        <v>38391</v>
      </c>
      <c r="D1159" s="18" t="s">
        <v>1221</v>
      </c>
      <c r="E1159" s="18" t="s">
        <v>1215</v>
      </c>
      <c r="F1159" s="17">
        <v>32</v>
      </c>
      <c r="G1159" s="18" t="s">
        <v>23</v>
      </c>
      <c r="H1159" s="17">
        <v>29.9</v>
      </c>
      <c r="I1159" s="8">
        <v>29.9</v>
      </c>
      <c r="J1159" s="21">
        <f t="shared" si="54"/>
        <v>0</v>
      </c>
      <c r="K1159" s="1">
        <v>4</v>
      </c>
      <c r="L1159" s="24">
        <v>1.4</v>
      </c>
      <c r="M1159" s="24">
        <v>28.404999999999998</v>
      </c>
      <c r="N1159" s="21">
        <f t="shared" si="55"/>
        <v>-5.0000000000000037E-2</v>
      </c>
      <c r="P1159" s="1">
        <v>10</v>
      </c>
      <c r="Q1159" s="24">
        <v>3.588000000000001</v>
      </c>
      <c r="R1159" s="24">
        <v>26.311999999999998</v>
      </c>
      <c r="S1159" s="21">
        <f t="shared" si="56"/>
        <v>-0.12000000000000004</v>
      </c>
    </row>
    <row r="1160" spans="2:19" ht="11.4" customHeight="1" x14ac:dyDescent="0.2">
      <c r="B1160" s="24"/>
      <c r="C1160" s="7">
        <v>10300</v>
      </c>
      <c r="D1160" s="18" t="s">
        <v>1222</v>
      </c>
      <c r="E1160" s="18" t="s">
        <v>1223</v>
      </c>
      <c r="F1160" s="17">
        <v>72</v>
      </c>
      <c r="G1160" s="18" t="s">
        <v>23</v>
      </c>
      <c r="H1160" s="17">
        <v>16</v>
      </c>
      <c r="I1160" s="8">
        <v>17.8</v>
      </c>
      <c r="J1160" s="21">
        <f t="shared" si="54"/>
        <v>0.11250000000000004</v>
      </c>
      <c r="K1160" s="1">
        <v>4</v>
      </c>
      <c r="L1160" s="24">
        <v>0.8</v>
      </c>
      <c r="M1160" s="24">
        <v>16.91</v>
      </c>
      <c r="N1160" s="21">
        <f t="shared" si="55"/>
        <v>5.6875000000000009E-2</v>
      </c>
      <c r="P1160" s="1">
        <v>10</v>
      </c>
      <c r="Q1160" s="24">
        <v>2.1359999999999992</v>
      </c>
      <c r="R1160" s="24">
        <v>15.664000000000001</v>
      </c>
      <c r="S1160" s="21">
        <f t="shared" si="56"/>
        <v>-2.0999999999999908E-2</v>
      </c>
    </row>
    <row r="1161" spans="2:19" ht="11.4" customHeight="1" x14ac:dyDescent="0.2">
      <c r="B1161" s="24"/>
      <c r="C1161" s="7">
        <v>17047</v>
      </c>
      <c r="D1161" s="18" t="s">
        <v>1224</v>
      </c>
      <c r="E1161" s="18" t="s">
        <v>1223</v>
      </c>
      <c r="F1161" s="17">
        <v>72</v>
      </c>
      <c r="G1161" s="18" t="s">
        <v>23</v>
      </c>
      <c r="H1161" s="17">
        <v>16</v>
      </c>
      <c r="I1161" s="8">
        <v>17.8</v>
      </c>
      <c r="J1161" s="21">
        <f t="shared" si="54"/>
        <v>0.11250000000000004</v>
      </c>
      <c r="K1161" s="1">
        <v>4</v>
      </c>
      <c r="L1161" s="24">
        <v>0.8</v>
      </c>
      <c r="M1161" s="24">
        <v>16.91</v>
      </c>
      <c r="N1161" s="21">
        <f t="shared" si="55"/>
        <v>5.6875000000000009E-2</v>
      </c>
      <c r="P1161" s="1">
        <v>10</v>
      </c>
      <c r="Q1161" s="24">
        <v>2.1359999999999992</v>
      </c>
      <c r="R1161" s="24">
        <v>15.664000000000001</v>
      </c>
      <c r="S1161" s="21">
        <f t="shared" si="56"/>
        <v>-2.0999999999999908E-2</v>
      </c>
    </row>
    <row r="1162" spans="2:19" ht="11.4" customHeight="1" x14ac:dyDescent="0.2">
      <c r="B1162" s="24"/>
      <c r="C1162" s="7">
        <v>32352</v>
      </c>
      <c r="D1162" s="18" t="s">
        <v>1225</v>
      </c>
      <c r="E1162" s="18" t="s">
        <v>1223</v>
      </c>
      <c r="F1162" s="17">
        <v>60</v>
      </c>
      <c r="G1162" s="18" t="s">
        <v>23</v>
      </c>
      <c r="H1162" s="17">
        <v>15.1</v>
      </c>
      <c r="I1162" s="8">
        <v>18.600000000000001</v>
      </c>
      <c r="J1162" s="21">
        <f t="shared" si="54"/>
        <v>0.2317880794701988</v>
      </c>
      <c r="K1162" s="1">
        <v>4</v>
      </c>
      <c r="L1162" s="24">
        <v>0.9</v>
      </c>
      <c r="M1162" s="24">
        <v>17.670000000000002</v>
      </c>
      <c r="N1162" s="21">
        <f t="shared" si="55"/>
        <v>0.17019867549668888</v>
      </c>
      <c r="P1162" s="1">
        <v>10</v>
      </c>
      <c r="Q1162" s="24">
        <v>2.2319999999999993</v>
      </c>
      <c r="R1162" s="24">
        <v>16.368000000000002</v>
      </c>
      <c r="S1162" s="21">
        <f t="shared" si="56"/>
        <v>8.3973509933775003E-2</v>
      </c>
    </row>
    <row r="1163" spans="2:19" ht="11.4" customHeight="1" x14ac:dyDescent="0.2">
      <c r="B1163" s="24"/>
      <c r="C1163" s="7">
        <v>10110</v>
      </c>
      <c r="D1163" s="18" t="s">
        <v>1226</v>
      </c>
      <c r="E1163" s="18" t="s">
        <v>1223</v>
      </c>
      <c r="F1163" s="17">
        <v>104</v>
      </c>
      <c r="G1163" s="18" t="s">
        <v>23</v>
      </c>
      <c r="H1163" s="17">
        <v>5.9</v>
      </c>
      <c r="I1163" s="8">
        <v>7.9</v>
      </c>
      <c r="J1163" s="21">
        <f t="shared" si="54"/>
        <v>0.33898305084745761</v>
      </c>
      <c r="K1163" s="1">
        <v>4</v>
      </c>
      <c r="L1163" s="24">
        <v>0.3</v>
      </c>
      <c r="M1163" s="24">
        <v>7.5049999999999999</v>
      </c>
      <c r="N1163" s="21">
        <f t="shared" si="55"/>
        <v>0.27203389830508468</v>
      </c>
      <c r="P1163" s="1">
        <v>10</v>
      </c>
      <c r="Q1163" s="24">
        <v>0.9480000000000004</v>
      </c>
      <c r="R1163" s="24">
        <v>6.952</v>
      </c>
      <c r="S1163" s="21">
        <f t="shared" si="56"/>
        <v>0.17830508474576262</v>
      </c>
    </row>
    <row r="1164" spans="2:19" ht="11.4" customHeight="1" x14ac:dyDescent="0.2">
      <c r="B1164" s="24"/>
      <c r="C1164" s="7">
        <v>34965</v>
      </c>
      <c r="D1164" s="18" t="s">
        <v>1227</v>
      </c>
      <c r="E1164" s="18" t="s">
        <v>1223</v>
      </c>
      <c r="F1164" s="17">
        <v>60</v>
      </c>
      <c r="G1164" s="18" t="s">
        <v>23</v>
      </c>
      <c r="H1164" s="17">
        <v>15.1</v>
      </c>
      <c r="I1164" s="8">
        <v>18.600000000000001</v>
      </c>
      <c r="J1164" s="21">
        <f t="shared" si="54"/>
        <v>0.2317880794701988</v>
      </c>
      <c r="K1164" s="1">
        <v>4</v>
      </c>
      <c r="L1164" s="24">
        <v>0.9</v>
      </c>
      <c r="M1164" s="24">
        <v>17.670000000000002</v>
      </c>
      <c r="N1164" s="21">
        <f t="shared" si="55"/>
        <v>0.17019867549668888</v>
      </c>
      <c r="P1164" s="1">
        <v>10</v>
      </c>
      <c r="Q1164" s="24">
        <v>2.2319999999999993</v>
      </c>
      <c r="R1164" s="24">
        <v>16.368000000000002</v>
      </c>
      <c r="S1164" s="21">
        <f t="shared" si="56"/>
        <v>8.3973509933775003E-2</v>
      </c>
    </row>
    <row r="1165" spans="2:19" ht="11.4" customHeight="1" x14ac:dyDescent="0.2">
      <c r="B1165" s="24"/>
      <c r="C1165" s="7">
        <v>10113</v>
      </c>
      <c r="D1165" s="18" t="s">
        <v>1228</v>
      </c>
      <c r="E1165" s="18" t="s">
        <v>1223</v>
      </c>
      <c r="F1165" s="17">
        <v>104</v>
      </c>
      <c r="G1165" s="18" t="s">
        <v>23</v>
      </c>
      <c r="H1165" s="17">
        <v>5.9</v>
      </c>
      <c r="I1165" s="8">
        <v>7.9</v>
      </c>
      <c r="J1165" s="21">
        <f t="shared" si="54"/>
        <v>0.33898305084745761</v>
      </c>
      <c r="K1165" s="1">
        <v>4</v>
      </c>
      <c r="L1165" s="24">
        <v>0.3</v>
      </c>
      <c r="M1165" s="24">
        <v>7.5049999999999999</v>
      </c>
      <c r="N1165" s="21">
        <f t="shared" si="55"/>
        <v>0.27203389830508468</v>
      </c>
      <c r="P1165" s="1">
        <v>10</v>
      </c>
      <c r="Q1165" s="24">
        <v>0.9480000000000004</v>
      </c>
      <c r="R1165" s="24">
        <v>6.952</v>
      </c>
      <c r="S1165" s="21">
        <f t="shared" si="56"/>
        <v>0.17830508474576262</v>
      </c>
    </row>
    <row r="1166" spans="2:19" ht="11.4" customHeight="1" x14ac:dyDescent="0.2">
      <c r="B1166" s="24"/>
      <c r="C1166" s="7">
        <v>32342</v>
      </c>
      <c r="D1166" s="18" t="s">
        <v>1229</v>
      </c>
      <c r="E1166" s="18" t="s">
        <v>1223</v>
      </c>
      <c r="F1166" s="17">
        <v>60</v>
      </c>
      <c r="G1166" s="18" t="s">
        <v>23</v>
      </c>
      <c r="H1166" s="17">
        <v>15.1</v>
      </c>
      <c r="I1166" s="8">
        <v>18.600000000000001</v>
      </c>
      <c r="J1166" s="21">
        <f t="shared" si="54"/>
        <v>0.2317880794701988</v>
      </c>
      <c r="K1166" s="1">
        <v>4</v>
      </c>
      <c r="L1166" s="24">
        <v>0.9</v>
      </c>
      <c r="M1166" s="24">
        <v>17.670000000000002</v>
      </c>
      <c r="N1166" s="21">
        <f t="shared" si="55"/>
        <v>0.17019867549668888</v>
      </c>
      <c r="P1166" s="1">
        <v>10</v>
      </c>
      <c r="Q1166" s="24">
        <v>2.2319999999999993</v>
      </c>
      <c r="R1166" s="24">
        <v>16.368000000000002</v>
      </c>
      <c r="S1166" s="21">
        <f t="shared" si="56"/>
        <v>8.3973509933775003E-2</v>
      </c>
    </row>
    <row r="1167" spans="2:19" ht="11.4" customHeight="1" x14ac:dyDescent="0.2">
      <c r="B1167" s="24"/>
      <c r="C1167" s="7">
        <v>10114</v>
      </c>
      <c r="D1167" s="18" t="s">
        <v>1230</v>
      </c>
      <c r="E1167" s="18" t="s">
        <v>1223</v>
      </c>
      <c r="F1167" s="17">
        <v>104</v>
      </c>
      <c r="G1167" s="18" t="s">
        <v>23</v>
      </c>
      <c r="H1167" s="17">
        <v>5.9</v>
      </c>
      <c r="I1167" s="8">
        <v>7.9</v>
      </c>
      <c r="J1167" s="21">
        <f t="shared" si="54"/>
        <v>0.33898305084745761</v>
      </c>
      <c r="K1167" s="1">
        <v>4</v>
      </c>
      <c r="L1167" s="24">
        <v>0.3</v>
      </c>
      <c r="M1167" s="24">
        <v>7.5049999999999999</v>
      </c>
      <c r="N1167" s="21">
        <f t="shared" si="55"/>
        <v>0.27203389830508468</v>
      </c>
      <c r="P1167" s="1">
        <v>10</v>
      </c>
      <c r="Q1167" s="24">
        <v>0.9480000000000004</v>
      </c>
      <c r="R1167" s="24">
        <v>6.952</v>
      </c>
      <c r="S1167" s="21">
        <f t="shared" si="56"/>
        <v>0.17830508474576262</v>
      </c>
    </row>
    <row r="1168" spans="2:19" ht="11.4" customHeight="1" x14ac:dyDescent="0.2">
      <c r="B1168" s="24"/>
      <c r="C1168" s="7">
        <v>38827</v>
      </c>
      <c r="D1168" s="18" t="s">
        <v>1231</v>
      </c>
      <c r="E1168" s="18" t="s">
        <v>1223</v>
      </c>
      <c r="F1168" s="17">
        <v>60</v>
      </c>
      <c r="G1168" s="18" t="s">
        <v>23</v>
      </c>
      <c r="H1168" s="17">
        <v>15.1</v>
      </c>
      <c r="I1168" s="8">
        <v>18.600000000000001</v>
      </c>
      <c r="J1168" s="21">
        <f t="shared" si="54"/>
        <v>0.2317880794701988</v>
      </c>
      <c r="K1168" s="1">
        <v>4</v>
      </c>
      <c r="L1168" s="24">
        <v>0.9</v>
      </c>
      <c r="M1168" s="24">
        <v>17.670000000000002</v>
      </c>
      <c r="N1168" s="21">
        <f t="shared" si="55"/>
        <v>0.17019867549668888</v>
      </c>
      <c r="P1168" s="1">
        <v>10</v>
      </c>
      <c r="Q1168" s="24">
        <v>2.2319999999999993</v>
      </c>
      <c r="R1168" s="24">
        <v>16.368000000000002</v>
      </c>
      <c r="S1168" s="21">
        <f t="shared" si="56"/>
        <v>8.3973509933775003E-2</v>
      </c>
    </row>
    <row r="1169" spans="2:19" ht="11.4" customHeight="1" x14ac:dyDescent="0.2">
      <c r="B1169" s="24"/>
      <c r="C1169" s="7">
        <v>44937</v>
      </c>
      <c r="D1169" s="18" t="s">
        <v>1232</v>
      </c>
      <c r="E1169" s="18" t="s">
        <v>1223</v>
      </c>
      <c r="F1169" s="17">
        <v>60</v>
      </c>
      <c r="G1169" s="18" t="s">
        <v>23</v>
      </c>
      <c r="H1169" s="17">
        <v>8.4</v>
      </c>
      <c r="I1169" s="8">
        <v>13.9</v>
      </c>
      <c r="J1169" s="21">
        <f t="shared" si="54"/>
        <v>0.65476190476190477</v>
      </c>
      <c r="K1169" s="1">
        <v>4</v>
      </c>
      <c r="L1169" s="24">
        <v>0.6</v>
      </c>
      <c r="M1169" s="24">
        <v>13.205</v>
      </c>
      <c r="N1169" s="21">
        <f t="shared" si="55"/>
        <v>0.57202380952380949</v>
      </c>
      <c r="P1169" s="1">
        <v>10</v>
      </c>
      <c r="Q1169" s="24">
        <v>1.6679999999999993</v>
      </c>
      <c r="R1169" s="24">
        <v>12.232000000000001</v>
      </c>
      <c r="S1169" s="21">
        <f t="shared" si="56"/>
        <v>0.45619047619047626</v>
      </c>
    </row>
    <row r="1170" spans="2:19" ht="11.4" customHeight="1" x14ac:dyDescent="0.2">
      <c r="B1170" s="24"/>
      <c r="C1170" s="7">
        <v>44941</v>
      </c>
      <c r="D1170" s="18" t="s">
        <v>1233</v>
      </c>
      <c r="E1170" s="18" t="s">
        <v>1223</v>
      </c>
      <c r="F1170" s="17">
        <v>60</v>
      </c>
      <c r="G1170" s="18" t="s">
        <v>23</v>
      </c>
      <c r="H1170" s="17">
        <v>8.4</v>
      </c>
      <c r="I1170" s="8">
        <v>13.9</v>
      </c>
      <c r="J1170" s="21">
        <f t="shared" si="54"/>
        <v>0.65476190476190477</v>
      </c>
      <c r="K1170" s="1">
        <v>4</v>
      </c>
      <c r="L1170" s="24">
        <v>0.6</v>
      </c>
      <c r="M1170" s="24">
        <v>13.205</v>
      </c>
      <c r="N1170" s="21">
        <f t="shared" si="55"/>
        <v>0.57202380952380949</v>
      </c>
      <c r="P1170" s="1">
        <v>10</v>
      </c>
      <c r="Q1170" s="24">
        <v>1.6679999999999993</v>
      </c>
      <c r="R1170" s="24">
        <v>12.232000000000001</v>
      </c>
      <c r="S1170" s="21">
        <f t="shared" si="56"/>
        <v>0.45619047619047626</v>
      </c>
    </row>
    <row r="1171" spans="2:19" ht="11.4" customHeight="1" x14ac:dyDescent="0.2">
      <c r="B1171" s="24"/>
      <c r="C1171" s="7">
        <v>32351</v>
      </c>
      <c r="D1171" s="18" t="s">
        <v>1234</v>
      </c>
      <c r="E1171" s="18" t="s">
        <v>1212</v>
      </c>
      <c r="F1171" s="17">
        <v>28</v>
      </c>
      <c r="G1171" s="18" t="s">
        <v>23</v>
      </c>
      <c r="H1171" s="17">
        <v>13.86</v>
      </c>
      <c r="I1171" s="8">
        <v>18</v>
      </c>
      <c r="J1171" s="21">
        <f t="shared" si="54"/>
        <v>0.29870129870129875</v>
      </c>
      <c r="K1171" s="1">
        <v>4</v>
      </c>
      <c r="L1171" s="24">
        <v>0.9</v>
      </c>
      <c r="M1171" s="24">
        <v>17.099999999999998</v>
      </c>
      <c r="N1171" s="21">
        <f t="shared" si="55"/>
        <v>0.23376623376623365</v>
      </c>
      <c r="P1171" s="1">
        <v>10</v>
      </c>
      <c r="Q1171" s="24">
        <v>2.16</v>
      </c>
      <c r="R1171" s="24">
        <v>15.84</v>
      </c>
      <c r="S1171" s="21">
        <f t="shared" si="56"/>
        <v>0.1428571428571429</v>
      </c>
    </row>
    <row r="1172" spans="2:19" ht="11.4" customHeight="1" x14ac:dyDescent="0.2">
      <c r="B1172" s="24"/>
      <c r="C1172" s="7">
        <v>34970</v>
      </c>
      <c r="D1172" s="18" t="s">
        <v>1235</v>
      </c>
      <c r="E1172" s="18" t="s">
        <v>1212</v>
      </c>
      <c r="F1172" s="17">
        <v>28</v>
      </c>
      <c r="G1172" s="18" t="s">
        <v>23</v>
      </c>
      <c r="H1172" s="17">
        <v>13.86</v>
      </c>
      <c r="I1172" s="8">
        <v>18</v>
      </c>
      <c r="J1172" s="21">
        <f t="shared" si="54"/>
        <v>0.29870129870129875</v>
      </c>
      <c r="K1172" s="1">
        <v>4</v>
      </c>
      <c r="L1172" s="24">
        <v>0.9</v>
      </c>
      <c r="M1172" s="24">
        <v>17.099999999999998</v>
      </c>
      <c r="N1172" s="21">
        <f t="shared" si="55"/>
        <v>0.23376623376623365</v>
      </c>
      <c r="P1172" s="1">
        <v>10</v>
      </c>
      <c r="Q1172" s="24">
        <v>2.16</v>
      </c>
      <c r="R1172" s="24">
        <v>15.84</v>
      </c>
      <c r="S1172" s="21">
        <f t="shared" si="56"/>
        <v>0.1428571428571429</v>
      </c>
    </row>
    <row r="1173" spans="2:19" ht="11.4" customHeight="1" x14ac:dyDescent="0.2">
      <c r="B1173" s="24"/>
      <c r="C1173" s="7">
        <v>34971</v>
      </c>
      <c r="D1173" s="18" t="s">
        <v>1236</v>
      </c>
      <c r="E1173" s="18" t="s">
        <v>1212</v>
      </c>
      <c r="F1173" s="17">
        <v>28</v>
      </c>
      <c r="G1173" s="18" t="s">
        <v>23</v>
      </c>
      <c r="H1173" s="17">
        <v>13.86</v>
      </c>
      <c r="I1173" s="8">
        <v>18</v>
      </c>
      <c r="J1173" s="21">
        <f t="shared" si="54"/>
        <v>0.29870129870129875</v>
      </c>
      <c r="K1173" s="1">
        <v>4</v>
      </c>
      <c r="L1173" s="24">
        <v>0.9</v>
      </c>
      <c r="M1173" s="24">
        <v>17.099999999999998</v>
      </c>
      <c r="N1173" s="21">
        <f t="shared" si="55"/>
        <v>0.23376623376623365</v>
      </c>
      <c r="P1173" s="1">
        <v>10</v>
      </c>
      <c r="Q1173" s="24">
        <v>2.16</v>
      </c>
      <c r="R1173" s="24">
        <v>15.84</v>
      </c>
      <c r="S1173" s="21">
        <f t="shared" si="56"/>
        <v>0.1428571428571429</v>
      </c>
    </row>
    <row r="1174" spans="2:19" ht="11.4" customHeight="1" x14ac:dyDescent="0.2">
      <c r="B1174" s="24"/>
      <c r="C1174" s="7">
        <v>34972</v>
      </c>
      <c r="D1174" s="18" t="s">
        <v>1237</v>
      </c>
      <c r="E1174" s="18" t="s">
        <v>1212</v>
      </c>
      <c r="F1174" s="17">
        <v>28</v>
      </c>
      <c r="G1174" s="18" t="s">
        <v>23</v>
      </c>
      <c r="H1174" s="17">
        <v>13.8</v>
      </c>
      <c r="I1174" s="8">
        <v>17.2</v>
      </c>
      <c r="J1174" s="21">
        <f t="shared" si="54"/>
        <v>0.24637681159420277</v>
      </c>
      <c r="K1174" s="1">
        <v>4</v>
      </c>
      <c r="L1174" s="24">
        <v>0.8</v>
      </c>
      <c r="M1174" s="24">
        <v>16.34</v>
      </c>
      <c r="N1174" s="21">
        <f t="shared" si="55"/>
        <v>0.18405797101449267</v>
      </c>
      <c r="P1174" s="1">
        <v>10</v>
      </c>
      <c r="Q1174" s="24">
        <v>2.0640000000000001</v>
      </c>
      <c r="R1174" s="24">
        <v>15.135999999999999</v>
      </c>
      <c r="S1174" s="21">
        <f t="shared" si="56"/>
        <v>9.6811594202898435E-2</v>
      </c>
    </row>
    <row r="1175" spans="2:19" ht="11.4" customHeight="1" x14ac:dyDescent="0.2">
      <c r="B1175" s="24"/>
      <c r="C1175" s="7">
        <v>43055</v>
      </c>
      <c r="D1175" s="18" t="s">
        <v>1238</v>
      </c>
      <c r="E1175" s="18" t="s">
        <v>1223</v>
      </c>
      <c r="F1175" s="17">
        <v>18</v>
      </c>
      <c r="G1175" s="18" t="s">
        <v>23</v>
      </c>
      <c r="H1175" s="17">
        <v>49.26</v>
      </c>
      <c r="I1175" s="8">
        <v>64</v>
      </c>
      <c r="J1175" s="21">
        <f t="shared" si="54"/>
        <v>0.29922858302882671</v>
      </c>
      <c r="K1175" s="1">
        <v>4</v>
      </c>
      <c r="L1175" s="24">
        <v>3.2</v>
      </c>
      <c r="M1175" s="24">
        <v>60.8</v>
      </c>
      <c r="N1175" s="21">
        <f t="shared" si="55"/>
        <v>0.23426715387738528</v>
      </c>
      <c r="P1175" s="1">
        <v>10</v>
      </c>
      <c r="Q1175" s="24">
        <v>7.68</v>
      </c>
      <c r="R1175" s="24">
        <v>56.32</v>
      </c>
      <c r="S1175" s="21">
        <f t="shared" si="56"/>
        <v>0.1433211530653675</v>
      </c>
    </row>
    <row r="1176" spans="2:19" ht="11.4" customHeight="1" x14ac:dyDescent="0.2">
      <c r="B1176" s="24"/>
      <c r="C1176" s="7">
        <v>43053</v>
      </c>
      <c r="D1176" s="18" t="s">
        <v>1239</v>
      </c>
      <c r="E1176" s="18" t="s">
        <v>1223</v>
      </c>
      <c r="F1176" s="17">
        <v>18</v>
      </c>
      <c r="G1176" s="18" t="s">
        <v>23</v>
      </c>
      <c r="H1176" s="17">
        <v>49.26</v>
      </c>
      <c r="I1176" s="8">
        <v>64</v>
      </c>
      <c r="J1176" s="21">
        <f t="shared" si="54"/>
        <v>0.29922858302882671</v>
      </c>
      <c r="K1176" s="1">
        <v>4</v>
      </c>
      <c r="L1176" s="24">
        <v>3.2</v>
      </c>
      <c r="M1176" s="24">
        <v>60.8</v>
      </c>
      <c r="N1176" s="21">
        <f t="shared" si="55"/>
        <v>0.23426715387738528</v>
      </c>
      <c r="P1176" s="1">
        <v>10</v>
      </c>
      <c r="Q1176" s="24">
        <v>7.68</v>
      </c>
      <c r="R1176" s="24">
        <v>56.32</v>
      </c>
      <c r="S1176" s="21">
        <f t="shared" si="56"/>
        <v>0.1433211530653675</v>
      </c>
    </row>
    <row r="1177" spans="2:19" ht="11.4" customHeight="1" x14ac:dyDescent="0.2">
      <c r="B1177" s="24"/>
      <c r="C1177" s="7">
        <v>43054</v>
      </c>
      <c r="D1177" s="18" t="s">
        <v>1240</v>
      </c>
      <c r="E1177" s="18" t="s">
        <v>1223</v>
      </c>
      <c r="F1177" s="17">
        <v>18</v>
      </c>
      <c r="G1177" s="18" t="s">
        <v>23</v>
      </c>
      <c r="H1177" s="17">
        <v>49.26</v>
      </c>
      <c r="I1177" s="8">
        <v>64</v>
      </c>
      <c r="J1177" s="21">
        <f t="shared" si="54"/>
        <v>0.29922858302882671</v>
      </c>
      <c r="K1177" s="1">
        <v>4</v>
      </c>
      <c r="L1177" s="24">
        <v>3.2</v>
      </c>
      <c r="M1177" s="24">
        <v>60.8</v>
      </c>
      <c r="N1177" s="21">
        <f t="shared" si="55"/>
        <v>0.23426715387738528</v>
      </c>
      <c r="P1177" s="1">
        <v>10</v>
      </c>
      <c r="Q1177" s="24">
        <v>7.68</v>
      </c>
      <c r="R1177" s="24">
        <v>56.32</v>
      </c>
      <c r="S1177" s="21">
        <f t="shared" si="56"/>
        <v>0.1433211530653675</v>
      </c>
    </row>
    <row r="1178" spans="2:19" ht="11.4" customHeight="1" x14ac:dyDescent="0.2">
      <c r="B1178" s="24"/>
      <c r="C1178" s="7">
        <v>43057</v>
      </c>
      <c r="D1178" s="18" t="s">
        <v>1241</v>
      </c>
      <c r="E1178" s="18" t="s">
        <v>1223</v>
      </c>
      <c r="F1178" s="17">
        <v>18</v>
      </c>
      <c r="G1178" s="18" t="s">
        <v>23</v>
      </c>
      <c r="H1178" s="17">
        <v>40.200000000000003</v>
      </c>
      <c r="I1178" s="8">
        <v>52.3</v>
      </c>
      <c r="J1178" s="21">
        <f t="shared" si="54"/>
        <v>0.30099502487562174</v>
      </c>
      <c r="K1178" s="1">
        <v>4</v>
      </c>
      <c r="L1178" s="24">
        <v>2.6</v>
      </c>
      <c r="M1178" s="24">
        <v>49.684999999999995</v>
      </c>
      <c r="N1178" s="21">
        <f t="shared" si="55"/>
        <v>0.23594527363184059</v>
      </c>
      <c r="P1178" s="1">
        <v>10</v>
      </c>
      <c r="Q1178" s="24">
        <v>6.2759999999999962</v>
      </c>
      <c r="R1178" s="24">
        <v>46.024000000000001</v>
      </c>
      <c r="S1178" s="21">
        <f t="shared" si="56"/>
        <v>0.1448756218905472</v>
      </c>
    </row>
    <row r="1179" spans="2:19" ht="11.4" customHeight="1" x14ac:dyDescent="0.2">
      <c r="B1179" s="24"/>
      <c r="C1179" s="7">
        <v>43060</v>
      </c>
      <c r="D1179" s="18" t="s">
        <v>1242</v>
      </c>
      <c r="E1179" s="18" t="s">
        <v>1223</v>
      </c>
      <c r="F1179" s="17">
        <v>18</v>
      </c>
      <c r="G1179" s="18" t="s">
        <v>23</v>
      </c>
      <c r="H1179" s="17">
        <v>45.66</v>
      </c>
      <c r="I1179" s="8">
        <v>59.4</v>
      </c>
      <c r="J1179" s="21">
        <f t="shared" si="54"/>
        <v>0.30091984231274643</v>
      </c>
      <c r="K1179" s="1">
        <v>4</v>
      </c>
      <c r="L1179" s="24">
        <v>2.9</v>
      </c>
      <c r="M1179" s="24">
        <v>56.429999999999993</v>
      </c>
      <c r="N1179" s="21">
        <f t="shared" si="55"/>
        <v>0.23587385019710899</v>
      </c>
      <c r="P1179" s="1">
        <v>10</v>
      </c>
      <c r="Q1179" s="24">
        <v>7.1280000000000001</v>
      </c>
      <c r="R1179" s="24">
        <v>52.271999999999998</v>
      </c>
      <c r="S1179" s="21">
        <f t="shared" si="56"/>
        <v>0.14480946123521687</v>
      </c>
    </row>
    <row r="1180" spans="2:19" ht="11.4" customHeight="1" x14ac:dyDescent="0.2">
      <c r="B1180" s="24"/>
      <c r="C1180" s="7">
        <v>38104</v>
      </c>
      <c r="D1180" s="18" t="s">
        <v>1243</v>
      </c>
      <c r="E1180" s="18" t="s">
        <v>1223</v>
      </c>
      <c r="F1180" s="17">
        <v>24</v>
      </c>
      <c r="G1180" s="18" t="s">
        <v>23</v>
      </c>
      <c r="H1180" s="17">
        <v>37.9</v>
      </c>
      <c r="I1180" s="8">
        <v>45</v>
      </c>
      <c r="J1180" s="21">
        <f t="shared" si="54"/>
        <v>0.18733509234828499</v>
      </c>
      <c r="K1180" s="1">
        <v>4</v>
      </c>
      <c r="L1180" s="24">
        <v>2.2000000000000002</v>
      </c>
      <c r="M1180" s="24">
        <v>42.75</v>
      </c>
      <c r="N1180" s="21">
        <f t="shared" si="55"/>
        <v>0.12796833773087077</v>
      </c>
      <c r="P1180" s="1">
        <v>10</v>
      </c>
      <c r="Q1180" s="24">
        <v>5.3999999999999986</v>
      </c>
      <c r="R1180" s="24">
        <v>39.6</v>
      </c>
      <c r="S1180" s="21">
        <f t="shared" si="56"/>
        <v>4.4854881266490843E-2</v>
      </c>
    </row>
    <row r="1181" spans="2:19" ht="11.4" customHeight="1" x14ac:dyDescent="0.2">
      <c r="B1181" s="24"/>
      <c r="C1181" s="7">
        <v>34966</v>
      </c>
      <c r="D1181" s="18" t="s">
        <v>1244</v>
      </c>
      <c r="E1181" s="18" t="s">
        <v>1223</v>
      </c>
      <c r="F1181" s="17">
        <v>20</v>
      </c>
      <c r="G1181" s="18" t="s">
        <v>23</v>
      </c>
      <c r="H1181" s="17">
        <v>24.7</v>
      </c>
      <c r="I1181" s="8">
        <v>28.9</v>
      </c>
      <c r="J1181" s="21">
        <f t="shared" si="54"/>
        <v>0.17004048582995948</v>
      </c>
      <c r="K1181" s="1">
        <v>4</v>
      </c>
      <c r="L1181" s="24">
        <v>1.4</v>
      </c>
      <c r="M1181" s="24">
        <v>27.454999999999998</v>
      </c>
      <c r="N1181" s="21">
        <f t="shared" si="55"/>
        <v>0.1115384615384615</v>
      </c>
      <c r="P1181" s="1">
        <v>10</v>
      </c>
      <c r="Q1181" s="24">
        <v>3.468</v>
      </c>
      <c r="R1181" s="24">
        <v>25.431999999999999</v>
      </c>
      <c r="S1181" s="21">
        <f t="shared" si="56"/>
        <v>2.9635627530364347E-2</v>
      </c>
    </row>
    <row r="1182" spans="2:19" ht="11.4" customHeight="1" x14ac:dyDescent="0.2">
      <c r="B1182" s="24"/>
      <c r="C1182" s="7">
        <v>33256</v>
      </c>
      <c r="D1182" s="18" t="s">
        <v>1245</v>
      </c>
      <c r="E1182" s="18" t="s">
        <v>1223</v>
      </c>
      <c r="F1182" s="17">
        <v>24</v>
      </c>
      <c r="G1182" s="18" t="s">
        <v>23</v>
      </c>
      <c r="H1182" s="17">
        <v>37.9</v>
      </c>
      <c r="I1182" s="8">
        <v>45</v>
      </c>
      <c r="J1182" s="21">
        <f t="shared" si="54"/>
        <v>0.18733509234828499</v>
      </c>
      <c r="K1182" s="1">
        <v>4</v>
      </c>
      <c r="L1182" s="24">
        <v>2.2000000000000002</v>
      </c>
      <c r="M1182" s="24">
        <v>42.75</v>
      </c>
      <c r="N1182" s="21">
        <f t="shared" si="55"/>
        <v>0.12796833773087077</v>
      </c>
      <c r="P1182" s="1">
        <v>10</v>
      </c>
      <c r="Q1182" s="24">
        <v>5.3999999999999986</v>
      </c>
      <c r="R1182" s="24">
        <v>39.6</v>
      </c>
      <c r="S1182" s="21">
        <f t="shared" si="56"/>
        <v>4.4854881266490843E-2</v>
      </c>
    </row>
    <row r="1183" spans="2:19" ht="11.4" customHeight="1" x14ac:dyDescent="0.2">
      <c r="B1183" s="24"/>
      <c r="C1183" s="7">
        <v>38105</v>
      </c>
      <c r="D1183" s="18" t="s">
        <v>1246</v>
      </c>
      <c r="E1183" s="18" t="s">
        <v>1223</v>
      </c>
      <c r="F1183" s="17">
        <v>24</v>
      </c>
      <c r="G1183" s="18" t="s">
        <v>23</v>
      </c>
      <c r="H1183" s="17">
        <v>37.9</v>
      </c>
      <c r="I1183" s="8">
        <v>45</v>
      </c>
      <c r="J1183" s="21">
        <f t="shared" si="54"/>
        <v>0.18733509234828499</v>
      </c>
      <c r="K1183" s="1">
        <v>4</v>
      </c>
      <c r="L1183" s="24">
        <v>2.2000000000000002</v>
      </c>
      <c r="M1183" s="24">
        <v>42.75</v>
      </c>
      <c r="N1183" s="21">
        <f t="shared" si="55"/>
        <v>0.12796833773087077</v>
      </c>
      <c r="P1183" s="1">
        <v>10</v>
      </c>
      <c r="Q1183" s="24">
        <v>5.3999999999999986</v>
      </c>
      <c r="R1183" s="24">
        <v>39.6</v>
      </c>
      <c r="S1183" s="21">
        <f t="shared" si="56"/>
        <v>4.4854881266490843E-2</v>
      </c>
    </row>
    <row r="1184" spans="2:19" ht="11.4" customHeight="1" x14ac:dyDescent="0.2">
      <c r="B1184" s="24"/>
      <c r="C1184" s="7">
        <v>34967</v>
      </c>
      <c r="D1184" s="18" t="s">
        <v>1247</v>
      </c>
      <c r="E1184" s="18" t="s">
        <v>1223</v>
      </c>
      <c r="F1184" s="17">
        <v>20</v>
      </c>
      <c r="G1184" s="18" t="s">
        <v>23</v>
      </c>
      <c r="H1184" s="17">
        <v>24.7</v>
      </c>
      <c r="I1184" s="8">
        <v>30.7</v>
      </c>
      <c r="J1184" s="21">
        <f t="shared" si="54"/>
        <v>0.24291497975708504</v>
      </c>
      <c r="K1184" s="1">
        <v>4</v>
      </c>
      <c r="L1184" s="24">
        <v>1.5</v>
      </c>
      <c r="M1184" s="24">
        <v>29.164999999999999</v>
      </c>
      <c r="N1184" s="21">
        <f t="shared" si="55"/>
        <v>0.18076923076923077</v>
      </c>
      <c r="P1184" s="1">
        <v>10</v>
      </c>
      <c r="Q1184" s="24">
        <v>3.6840000000000011</v>
      </c>
      <c r="R1184" s="24">
        <v>27.015999999999998</v>
      </c>
      <c r="S1184" s="21">
        <f t="shared" si="56"/>
        <v>9.376518218623478E-2</v>
      </c>
    </row>
    <row r="1185" spans="2:19" ht="11.4" customHeight="1" x14ac:dyDescent="0.2">
      <c r="B1185" s="24"/>
      <c r="C1185" s="7">
        <v>38103</v>
      </c>
      <c r="D1185" s="18" t="s">
        <v>1248</v>
      </c>
      <c r="E1185" s="18" t="s">
        <v>1223</v>
      </c>
      <c r="F1185" s="17">
        <v>24</v>
      </c>
      <c r="G1185" s="18" t="s">
        <v>23</v>
      </c>
      <c r="H1185" s="17">
        <v>37.9</v>
      </c>
      <c r="I1185" s="8">
        <v>45</v>
      </c>
      <c r="J1185" s="21">
        <f t="shared" si="54"/>
        <v>0.18733509234828499</v>
      </c>
      <c r="K1185" s="1">
        <v>4</v>
      </c>
      <c r="L1185" s="24">
        <v>2.2000000000000002</v>
      </c>
      <c r="M1185" s="24">
        <v>42.75</v>
      </c>
      <c r="N1185" s="21">
        <f t="shared" si="55"/>
        <v>0.12796833773087077</v>
      </c>
      <c r="P1185" s="1">
        <v>10</v>
      </c>
      <c r="Q1185" s="24">
        <v>5.3999999999999986</v>
      </c>
      <c r="R1185" s="24">
        <v>39.6</v>
      </c>
      <c r="S1185" s="21">
        <f t="shared" si="56"/>
        <v>4.4854881266490843E-2</v>
      </c>
    </row>
    <row r="1186" spans="2:19" ht="11.4" customHeight="1" x14ac:dyDescent="0.2">
      <c r="B1186" s="24"/>
      <c r="C1186" s="7">
        <v>43056</v>
      </c>
      <c r="D1186" s="18" t="s">
        <v>1249</v>
      </c>
      <c r="E1186" s="18" t="s">
        <v>1223</v>
      </c>
      <c r="F1186" s="17">
        <v>20</v>
      </c>
      <c r="G1186" s="18" t="s">
        <v>23</v>
      </c>
      <c r="H1186" s="17">
        <v>25.2</v>
      </c>
      <c r="I1186" s="8">
        <v>32.799999999999997</v>
      </c>
      <c r="J1186" s="21">
        <f t="shared" si="54"/>
        <v>0.30158730158730152</v>
      </c>
      <c r="K1186" s="1">
        <v>4</v>
      </c>
      <c r="L1186" s="24">
        <v>1.6</v>
      </c>
      <c r="M1186" s="24">
        <v>31.159999999999997</v>
      </c>
      <c r="N1186" s="21">
        <f t="shared" si="55"/>
        <v>0.23650793650793642</v>
      </c>
      <c r="P1186" s="1">
        <v>10</v>
      </c>
      <c r="Q1186" s="24">
        <v>3.9359999999999999</v>
      </c>
      <c r="R1186" s="24">
        <v>28.863999999999997</v>
      </c>
      <c r="S1186" s="21">
        <f t="shared" si="56"/>
        <v>0.14539682539682533</v>
      </c>
    </row>
    <row r="1187" spans="2:19" ht="11.4" customHeight="1" x14ac:dyDescent="0.2">
      <c r="B1187" s="24"/>
      <c r="C1187" s="7">
        <v>43058</v>
      </c>
      <c r="D1187" s="18" t="s">
        <v>1250</v>
      </c>
      <c r="E1187" s="18" t="s">
        <v>1223</v>
      </c>
      <c r="F1187" s="17">
        <v>20</v>
      </c>
      <c r="G1187" s="18" t="s">
        <v>23</v>
      </c>
      <c r="H1187" s="17">
        <v>25.2</v>
      </c>
      <c r="I1187" s="8">
        <v>32.799999999999997</v>
      </c>
      <c r="J1187" s="21">
        <f t="shared" si="54"/>
        <v>0.30158730158730152</v>
      </c>
      <c r="K1187" s="1">
        <v>4</v>
      </c>
      <c r="L1187" s="24">
        <v>1.6</v>
      </c>
      <c r="M1187" s="24">
        <v>31.159999999999997</v>
      </c>
      <c r="N1187" s="21">
        <f t="shared" si="55"/>
        <v>0.23650793650793642</v>
      </c>
      <c r="P1187" s="1">
        <v>10</v>
      </c>
      <c r="Q1187" s="24">
        <v>3.9359999999999999</v>
      </c>
      <c r="R1187" s="24">
        <v>28.863999999999997</v>
      </c>
      <c r="S1187" s="21">
        <f t="shared" si="56"/>
        <v>0.14539682539682533</v>
      </c>
    </row>
    <row r="1188" spans="2:19" ht="11.4" customHeight="1" x14ac:dyDescent="0.2">
      <c r="B1188" s="24"/>
      <c r="C1188" s="7">
        <v>43059</v>
      </c>
      <c r="D1188" s="18" t="s">
        <v>1251</v>
      </c>
      <c r="E1188" s="18" t="s">
        <v>1223</v>
      </c>
      <c r="F1188" s="17">
        <v>18</v>
      </c>
      <c r="G1188" s="18" t="s">
        <v>23</v>
      </c>
      <c r="H1188" s="17">
        <v>40.200000000000003</v>
      </c>
      <c r="I1188" s="8">
        <v>52.3</v>
      </c>
      <c r="J1188" s="21">
        <f t="shared" si="54"/>
        <v>0.30099502487562174</v>
      </c>
      <c r="K1188" s="1">
        <v>4</v>
      </c>
      <c r="L1188" s="24">
        <v>2.6</v>
      </c>
      <c r="M1188" s="24">
        <v>49.684999999999995</v>
      </c>
      <c r="N1188" s="21">
        <f t="shared" si="55"/>
        <v>0.23594527363184059</v>
      </c>
      <c r="P1188" s="1">
        <v>10</v>
      </c>
      <c r="Q1188" s="24">
        <v>6.2759999999999962</v>
      </c>
      <c r="R1188" s="24">
        <v>46.024000000000001</v>
      </c>
      <c r="S1188" s="21">
        <f t="shared" si="56"/>
        <v>0.1448756218905472</v>
      </c>
    </row>
    <row r="1189" spans="2:19" ht="11.4" customHeight="1" x14ac:dyDescent="0.2">
      <c r="B1189" s="24"/>
      <c r="C1189" s="7">
        <v>37908</v>
      </c>
      <c r="D1189" s="18" t="s">
        <v>1252</v>
      </c>
      <c r="E1189" s="18" t="s">
        <v>1212</v>
      </c>
      <c r="F1189" s="17">
        <v>30</v>
      </c>
      <c r="G1189" s="18" t="s">
        <v>23</v>
      </c>
      <c r="H1189" s="17">
        <v>13.9</v>
      </c>
      <c r="I1189" s="8">
        <v>13.9</v>
      </c>
      <c r="J1189" s="21">
        <f t="shared" si="54"/>
        <v>0</v>
      </c>
      <c r="K1189" s="1">
        <v>4</v>
      </c>
      <c r="L1189" s="24">
        <v>0.6</v>
      </c>
      <c r="M1189" s="24">
        <v>13.205</v>
      </c>
      <c r="N1189" s="21">
        <f t="shared" si="55"/>
        <v>-5.0000000000000017E-2</v>
      </c>
      <c r="P1189" s="1">
        <v>10</v>
      </c>
      <c r="Q1189" s="24">
        <v>1.6679999999999993</v>
      </c>
      <c r="R1189" s="24">
        <v>12.232000000000001</v>
      </c>
      <c r="S1189" s="21">
        <f t="shared" si="56"/>
        <v>-0.11999999999999994</v>
      </c>
    </row>
    <row r="1190" spans="2:19" ht="11.4" customHeight="1" x14ac:dyDescent="0.2">
      <c r="B1190" s="24"/>
      <c r="C1190" s="7">
        <v>37907</v>
      </c>
      <c r="D1190" s="18" t="s">
        <v>1253</v>
      </c>
      <c r="E1190" s="18" t="s">
        <v>1212</v>
      </c>
      <c r="F1190" s="17">
        <v>30</v>
      </c>
      <c r="G1190" s="18" t="s">
        <v>23</v>
      </c>
      <c r="H1190" s="17">
        <v>13.9</v>
      </c>
      <c r="I1190" s="8">
        <v>13.9</v>
      </c>
      <c r="J1190" s="21">
        <f t="shared" si="54"/>
        <v>0</v>
      </c>
      <c r="K1190" s="1">
        <v>4</v>
      </c>
      <c r="L1190" s="24">
        <v>0.6</v>
      </c>
      <c r="M1190" s="24">
        <v>13.205</v>
      </c>
      <c r="N1190" s="21">
        <f t="shared" si="55"/>
        <v>-5.0000000000000017E-2</v>
      </c>
      <c r="P1190" s="1">
        <v>10</v>
      </c>
      <c r="Q1190" s="24">
        <v>1.6679999999999993</v>
      </c>
      <c r="R1190" s="24">
        <v>12.232000000000001</v>
      </c>
      <c r="S1190" s="21">
        <f t="shared" si="56"/>
        <v>-0.11999999999999994</v>
      </c>
    </row>
    <row r="1191" spans="2:19" ht="11.4" customHeight="1" x14ac:dyDescent="0.2">
      <c r="B1191" s="24"/>
      <c r="C1191" s="7">
        <v>28823</v>
      </c>
      <c r="D1191" s="18" t="s">
        <v>1254</v>
      </c>
      <c r="E1191" s="18" t="s">
        <v>1212</v>
      </c>
      <c r="F1191" s="17">
        <v>24</v>
      </c>
      <c r="G1191" s="18" t="s">
        <v>23</v>
      </c>
      <c r="H1191" s="17">
        <v>20.7</v>
      </c>
      <c r="I1191" s="8">
        <v>25.7</v>
      </c>
      <c r="J1191" s="21">
        <f t="shared" si="54"/>
        <v>0.24154589371980678</v>
      </c>
      <c r="K1191" s="1">
        <v>4</v>
      </c>
      <c r="L1191" s="24">
        <v>1.2</v>
      </c>
      <c r="M1191" s="24">
        <v>24.414999999999999</v>
      </c>
      <c r="N1191" s="21">
        <f t="shared" si="55"/>
        <v>0.17946859903381643</v>
      </c>
      <c r="P1191" s="1">
        <v>10</v>
      </c>
      <c r="Q1191" s="24">
        <v>3.0839999999999996</v>
      </c>
      <c r="R1191" s="24">
        <v>22.616</v>
      </c>
      <c r="S1191" s="21">
        <f t="shared" si="56"/>
        <v>9.256038647342997E-2</v>
      </c>
    </row>
    <row r="1192" spans="2:19" ht="11.4" customHeight="1" x14ac:dyDescent="0.2">
      <c r="B1192" s="24"/>
      <c r="C1192" s="7">
        <v>36322</v>
      </c>
      <c r="D1192" s="18" t="s">
        <v>1255</v>
      </c>
      <c r="E1192" s="18" t="s">
        <v>1212</v>
      </c>
      <c r="F1192" s="17">
        <v>40</v>
      </c>
      <c r="G1192" s="18" t="s">
        <v>23</v>
      </c>
      <c r="H1192" s="17">
        <v>13.8</v>
      </c>
      <c r="I1192" s="8">
        <v>15.9</v>
      </c>
      <c r="J1192" s="21">
        <f t="shared" si="54"/>
        <v>0.15217391304347822</v>
      </c>
      <c r="K1192" s="1">
        <v>4</v>
      </c>
      <c r="L1192" s="24">
        <v>0.7</v>
      </c>
      <c r="M1192" s="24">
        <v>15.105</v>
      </c>
      <c r="N1192" s="21">
        <f t="shared" si="55"/>
        <v>9.4565217391304329E-2</v>
      </c>
      <c r="P1192" s="1">
        <v>10</v>
      </c>
      <c r="Q1192" s="24">
        <v>1.9079999999999995</v>
      </c>
      <c r="R1192" s="24">
        <v>13.992000000000001</v>
      </c>
      <c r="S1192" s="21">
        <f t="shared" si="56"/>
        <v>1.391304347826088E-2</v>
      </c>
    </row>
    <row r="1193" spans="2:19" ht="11.4" customHeight="1" x14ac:dyDescent="0.2">
      <c r="B1193" s="24"/>
      <c r="C1193" s="7">
        <v>37906</v>
      </c>
      <c r="D1193" s="18" t="s">
        <v>1256</v>
      </c>
      <c r="E1193" s="18" t="s">
        <v>1212</v>
      </c>
      <c r="F1193" s="17">
        <v>30</v>
      </c>
      <c r="G1193" s="18" t="s">
        <v>23</v>
      </c>
      <c r="H1193" s="17">
        <v>13.9</v>
      </c>
      <c r="I1193" s="8">
        <v>13.9</v>
      </c>
      <c r="J1193" s="21">
        <f t="shared" si="54"/>
        <v>0</v>
      </c>
      <c r="K1193" s="1">
        <v>4</v>
      </c>
      <c r="L1193" s="24">
        <v>0.6</v>
      </c>
      <c r="M1193" s="24">
        <v>13.205</v>
      </c>
      <c r="N1193" s="21">
        <f t="shared" si="55"/>
        <v>-5.0000000000000017E-2</v>
      </c>
      <c r="P1193" s="1">
        <v>10</v>
      </c>
      <c r="Q1193" s="24">
        <v>1.6679999999999993</v>
      </c>
      <c r="R1193" s="24">
        <v>12.232000000000001</v>
      </c>
      <c r="S1193" s="21">
        <f t="shared" si="56"/>
        <v>-0.11999999999999994</v>
      </c>
    </row>
    <row r="1194" spans="2:19" ht="11.4" customHeight="1" x14ac:dyDescent="0.2">
      <c r="B1194" s="24"/>
      <c r="C1194" s="7">
        <v>10674</v>
      </c>
      <c r="D1194" s="18" t="s">
        <v>1257</v>
      </c>
      <c r="E1194" s="18" t="s">
        <v>1212</v>
      </c>
      <c r="F1194" s="17">
        <v>30</v>
      </c>
      <c r="G1194" s="18" t="s">
        <v>23</v>
      </c>
      <c r="H1194" s="17">
        <v>21.4</v>
      </c>
      <c r="I1194" s="8">
        <v>21.7</v>
      </c>
      <c r="J1194" s="21">
        <f t="shared" si="54"/>
        <v>1.4018691588785081E-2</v>
      </c>
      <c r="K1194" s="1">
        <v>4</v>
      </c>
      <c r="L1194" s="24">
        <v>1</v>
      </c>
      <c r="M1194" s="24">
        <v>20.614999999999998</v>
      </c>
      <c r="N1194" s="21">
        <f t="shared" si="55"/>
        <v>-3.6682242990654215E-2</v>
      </c>
      <c r="P1194" s="1">
        <v>10</v>
      </c>
      <c r="Q1194" s="24">
        <v>2.6039999999999992</v>
      </c>
      <c r="R1194" s="24">
        <v>19.096</v>
      </c>
      <c r="S1194" s="21">
        <f t="shared" si="56"/>
        <v>-0.10766355140186909</v>
      </c>
    </row>
    <row r="1195" spans="2:19" ht="11.4" customHeight="1" x14ac:dyDescent="0.2">
      <c r="B1195" s="24"/>
      <c r="C1195" s="7">
        <v>36323</v>
      </c>
      <c r="D1195" s="18" t="s">
        <v>1258</v>
      </c>
      <c r="E1195" s="18" t="s">
        <v>1212</v>
      </c>
      <c r="F1195" s="17">
        <v>40</v>
      </c>
      <c r="G1195" s="18" t="s">
        <v>23</v>
      </c>
      <c r="H1195" s="17">
        <v>13.8</v>
      </c>
      <c r="I1195" s="8">
        <v>15.9</v>
      </c>
      <c r="J1195" s="21">
        <f t="shared" si="54"/>
        <v>0.15217391304347822</v>
      </c>
      <c r="K1195" s="1">
        <v>4</v>
      </c>
      <c r="L1195" s="24">
        <v>0.7</v>
      </c>
      <c r="M1195" s="24">
        <v>15.105</v>
      </c>
      <c r="N1195" s="21">
        <f t="shared" si="55"/>
        <v>9.4565217391304329E-2</v>
      </c>
      <c r="P1195" s="1">
        <v>10</v>
      </c>
      <c r="Q1195" s="24">
        <v>1.9079999999999995</v>
      </c>
      <c r="R1195" s="24">
        <v>13.992000000000001</v>
      </c>
      <c r="S1195" s="21">
        <f t="shared" si="56"/>
        <v>1.391304347826088E-2</v>
      </c>
    </row>
    <row r="1196" spans="2:19" ht="11.4" customHeight="1" x14ac:dyDescent="0.2">
      <c r="B1196" s="24"/>
      <c r="C1196" s="7">
        <v>34974</v>
      </c>
      <c r="D1196" s="18" t="s">
        <v>1259</v>
      </c>
      <c r="E1196" s="18" t="s">
        <v>1212</v>
      </c>
      <c r="F1196" s="17">
        <v>24</v>
      </c>
      <c r="G1196" s="18" t="s">
        <v>23</v>
      </c>
      <c r="H1196" s="17">
        <v>20.7</v>
      </c>
      <c r="I1196" s="8">
        <v>25.7</v>
      </c>
      <c r="J1196" s="21">
        <f t="shared" si="54"/>
        <v>0.24154589371980678</v>
      </c>
      <c r="K1196" s="1">
        <v>4</v>
      </c>
      <c r="L1196" s="24">
        <v>1.2</v>
      </c>
      <c r="M1196" s="24">
        <v>24.414999999999999</v>
      </c>
      <c r="N1196" s="21">
        <f t="shared" si="55"/>
        <v>0.17946859903381643</v>
      </c>
      <c r="P1196" s="1">
        <v>10</v>
      </c>
      <c r="Q1196" s="24">
        <v>3.0839999999999996</v>
      </c>
      <c r="R1196" s="24">
        <v>22.616</v>
      </c>
      <c r="S1196" s="21">
        <f t="shared" si="56"/>
        <v>9.256038647342997E-2</v>
      </c>
    </row>
    <row r="1197" spans="2:19" ht="11.4" customHeight="1" x14ac:dyDescent="0.2">
      <c r="B1197" s="24"/>
      <c r="C1197" s="7">
        <v>32433</v>
      </c>
      <c r="D1197" s="18" t="s">
        <v>1260</v>
      </c>
      <c r="E1197" s="18" t="s">
        <v>1212</v>
      </c>
      <c r="F1197" s="17">
        <v>24</v>
      </c>
      <c r="G1197" s="18" t="s">
        <v>23</v>
      </c>
      <c r="H1197" s="17">
        <v>20.7</v>
      </c>
      <c r="I1197" s="8">
        <v>25.7</v>
      </c>
      <c r="J1197" s="21">
        <f t="shared" si="54"/>
        <v>0.24154589371980678</v>
      </c>
      <c r="K1197" s="1">
        <v>4</v>
      </c>
      <c r="L1197" s="24">
        <v>1.2</v>
      </c>
      <c r="M1197" s="24">
        <v>24.414999999999999</v>
      </c>
      <c r="N1197" s="21">
        <f t="shared" si="55"/>
        <v>0.17946859903381643</v>
      </c>
      <c r="P1197" s="1">
        <v>10</v>
      </c>
      <c r="Q1197" s="24">
        <v>3.0839999999999996</v>
      </c>
      <c r="R1197" s="24">
        <v>22.616</v>
      </c>
      <c r="S1197" s="21">
        <f t="shared" si="56"/>
        <v>9.256038647342997E-2</v>
      </c>
    </row>
    <row r="1198" spans="2:19" ht="11.4" customHeight="1" x14ac:dyDescent="0.2">
      <c r="B1198" s="24"/>
      <c r="C1198" s="7">
        <v>2030</v>
      </c>
      <c r="D1198" s="18" t="s">
        <v>1261</v>
      </c>
      <c r="E1198" s="18" t="s">
        <v>1212</v>
      </c>
      <c r="F1198" s="17">
        <v>30</v>
      </c>
      <c r="G1198" s="18" t="s">
        <v>23</v>
      </c>
      <c r="H1198" s="17">
        <v>21.4</v>
      </c>
      <c r="I1198" s="8">
        <v>21.7</v>
      </c>
      <c r="J1198" s="21">
        <f t="shared" si="54"/>
        <v>1.4018691588785081E-2</v>
      </c>
      <c r="K1198" s="1">
        <v>4</v>
      </c>
      <c r="L1198" s="24">
        <v>1</v>
      </c>
      <c r="M1198" s="24">
        <v>20.614999999999998</v>
      </c>
      <c r="N1198" s="21">
        <f t="shared" si="55"/>
        <v>-3.6682242990654215E-2</v>
      </c>
      <c r="P1198" s="1">
        <v>10</v>
      </c>
      <c r="Q1198" s="24">
        <v>2.6039999999999992</v>
      </c>
      <c r="R1198" s="24">
        <v>19.096</v>
      </c>
      <c r="S1198" s="21">
        <f t="shared" si="56"/>
        <v>-0.10766355140186909</v>
      </c>
    </row>
    <row r="1199" spans="2:19" ht="11.4" customHeight="1" x14ac:dyDescent="0.2">
      <c r="B1199" s="24"/>
      <c r="C1199" s="7">
        <v>26557</v>
      </c>
      <c r="D1199" s="18" t="s">
        <v>1262</v>
      </c>
      <c r="E1199" s="18" t="s">
        <v>1212</v>
      </c>
      <c r="F1199" s="17">
        <v>32</v>
      </c>
      <c r="G1199" s="18" t="s">
        <v>23</v>
      </c>
      <c r="H1199" s="17">
        <v>15.6</v>
      </c>
      <c r="I1199" s="8">
        <v>21.1</v>
      </c>
      <c r="J1199" s="21">
        <f t="shared" si="54"/>
        <v>0.3525641025641027</v>
      </c>
      <c r="K1199" s="1">
        <v>4</v>
      </c>
      <c r="L1199" s="24">
        <v>1</v>
      </c>
      <c r="M1199" s="24">
        <v>20.045000000000002</v>
      </c>
      <c r="N1199" s="21">
        <f t="shared" si="55"/>
        <v>0.28493589743589759</v>
      </c>
      <c r="P1199" s="1">
        <v>10</v>
      </c>
      <c r="Q1199" s="24">
        <v>2.532</v>
      </c>
      <c r="R1199" s="24">
        <v>18.568000000000001</v>
      </c>
      <c r="S1199" s="21">
        <f t="shared" si="56"/>
        <v>0.19025641025641038</v>
      </c>
    </row>
    <row r="1200" spans="2:19" ht="11.4" customHeight="1" x14ac:dyDescent="0.2">
      <c r="B1200" s="24"/>
      <c r="C1200" s="7">
        <v>26556</v>
      </c>
      <c r="D1200" s="18" t="s">
        <v>1263</v>
      </c>
      <c r="E1200" s="18" t="s">
        <v>1212</v>
      </c>
      <c r="F1200" s="17">
        <v>32</v>
      </c>
      <c r="G1200" s="18" t="s">
        <v>23</v>
      </c>
      <c r="H1200" s="17">
        <v>20.94</v>
      </c>
      <c r="I1200" s="8">
        <v>28.5</v>
      </c>
      <c r="J1200" s="21">
        <f t="shared" si="54"/>
        <v>0.36103151862464172</v>
      </c>
      <c r="K1200" s="1">
        <v>4</v>
      </c>
      <c r="L1200" s="24">
        <v>1.4</v>
      </c>
      <c r="M1200" s="24">
        <v>27.074999999999999</v>
      </c>
      <c r="N1200" s="21">
        <f t="shared" si="55"/>
        <v>0.29297994269340966</v>
      </c>
      <c r="P1200" s="1">
        <v>10</v>
      </c>
      <c r="Q1200" s="24">
        <v>3.4199999999999982</v>
      </c>
      <c r="R1200" s="24">
        <v>25.080000000000002</v>
      </c>
      <c r="S1200" s="21">
        <f t="shared" si="56"/>
        <v>0.19770773638968483</v>
      </c>
    </row>
    <row r="1201" spans="2:19" ht="11.4" customHeight="1" x14ac:dyDescent="0.2">
      <c r="B1201" s="24"/>
      <c r="C1201" s="7">
        <v>37904</v>
      </c>
      <c r="D1201" s="18" t="s">
        <v>1264</v>
      </c>
      <c r="E1201" s="18" t="s">
        <v>1212</v>
      </c>
      <c r="F1201" s="17">
        <v>15</v>
      </c>
      <c r="G1201" s="18" t="s">
        <v>23</v>
      </c>
      <c r="H1201" s="17">
        <v>8.9</v>
      </c>
      <c r="I1201" s="8">
        <v>8.9</v>
      </c>
      <c r="J1201" s="21">
        <f t="shared" si="54"/>
        <v>0</v>
      </c>
      <c r="K1201" s="1">
        <v>4</v>
      </c>
      <c r="L1201" s="24">
        <v>0.4</v>
      </c>
      <c r="M1201" s="24">
        <v>8.4550000000000001</v>
      </c>
      <c r="N1201" s="21">
        <f t="shared" si="55"/>
        <v>-5.0000000000000031E-2</v>
      </c>
      <c r="P1201" s="1">
        <v>10</v>
      </c>
      <c r="Q1201" s="24">
        <v>1.0679999999999996</v>
      </c>
      <c r="R1201" s="24">
        <v>7.8320000000000007</v>
      </c>
      <c r="S1201" s="21">
        <f t="shared" si="56"/>
        <v>-0.11999999999999995</v>
      </c>
    </row>
    <row r="1202" spans="2:19" ht="11.4" customHeight="1" x14ac:dyDescent="0.2">
      <c r="B1202" s="24"/>
      <c r="C1202" s="7">
        <v>37905</v>
      </c>
      <c r="D1202" s="18" t="s">
        <v>1265</v>
      </c>
      <c r="E1202" s="18" t="s">
        <v>1212</v>
      </c>
      <c r="F1202" s="17">
        <v>15</v>
      </c>
      <c r="G1202" s="18" t="s">
        <v>23</v>
      </c>
      <c r="H1202" s="17">
        <v>8.9</v>
      </c>
      <c r="I1202" s="8">
        <v>8.9</v>
      </c>
      <c r="J1202" s="21">
        <f t="shared" si="54"/>
        <v>0</v>
      </c>
      <c r="K1202" s="1">
        <v>4</v>
      </c>
      <c r="L1202" s="24">
        <v>0.4</v>
      </c>
      <c r="M1202" s="24">
        <v>8.4550000000000001</v>
      </c>
      <c r="N1202" s="21">
        <f t="shared" si="55"/>
        <v>-5.0000000000000031E-2</v>
      </c>
      <c r="P1202" s="1">
        <v>10</v>
      </c>
      <c r="Q1202" s="24">
        <v>1.0679999999999996</v>
      </c>
      <c r="R1202" s="24">
        <v>7.8320000000000007</v>
      </c>
      <c r="S1202" s="21">
        <f t="shared" si="56"/>
        <v>-0.11999999999999995</v>
      </c>
    </row>
    <row r="1203" spans="2:19" ht="11.4" customHeight="1" x14ac:dyDescent="0.2">
      <c r="B1203" s="24"/>
      <c r="C1203" s="7">
        <v>37903</v>
      </c>
      <c r="D1203" s="18" t="s">
        <v>1266</v>
      </c>
      <c r="E1203" s="18" t="s">
        <v>1212</v>
      </c>
      <c r="F1203" s="17">
        <v>35</v>
      </c>
      <c r="G1203" s="18" t="s">
        <v>23</v>
      </c>
      <c r="H1203" s="17">
        <v>8.9</v>
      </c>
      <c r="I1203" s="8">
        <v>8.9</v>
      </c>
      <c r="J1203" s="21">
        <f t="shared" si="54"/>
        <v>0</v>
      </c>
      <c r="K1203" s="1">
        <v>4</v>
      </c>
      <c r="L1203" s="24">
        <v>0.4</v>
      </c>
      <c r="M1203" s="24">
        <v>8.4550000000000001</v>
      </c>
      <c r="N1203" s="21">
        <f t="shared" si="55"/>
        <v>-5.0000000000000031E-2</v>
      </c>
      <c r="P1203" s="1">
        <v>10</v>
      </c>
      <c r="Q1203" s="24">
        <v>1.0679999999999996</v>
      </c>
      <c r="R1203" s="24">
        <v>7.8320000000000007</v>
      </c>
      <c r="S1203" s="21">
        <f t="shared" si="56"/>
        <v>-0.11999999999999995</v>
      </c>
    </row>
    <row r="1204" spans="2:19" ht="11.4" customHeight="1" x14ac:dyDescent="0.2">
      <c r="B1204" s="24"/>
      <c r="C1204" s="7">
        <v>43655</v>
      </c>
      <c r="D1204" s="18" t="s">
        <v>1267</v>
      </c>
      <c r="E1204" s="18" t="s">
        <v>1212</v>
      </c>
      <c r="F1204" s="17">
        <v>35</v>
      </c>
      <c r="G1204" s="18" t="s">
        <v>23</v>
      </c>
      <c r="H1204" s="17">
        <v>5.2</v>
      </c>
      <c r="I1204" s="8">
        <v>8.9</v>
      </c>
      <c r="J1204" s="21">
        <f t="shared" si="54"/>
        <v>0.71153846153846156</v>
      </c>
      <c r="K1204" s="1">
        <v>4</v>
      </c>
      <c r="L1204" s="24">
        <v>0.4</v>
      </c>
      <c r="M1204" s="24">
        <v>8.4550000000000001</v>
      </c>
      <c r="N1204" s="21">
        <f t="shared" si="55"/>
        <v>0.62596153846153846</v>
      </c>
      <c r="P1204" s="1">
        <v>10</v>
      </c>
      <c r="Q1204" s="24">
        <v>1.0679999999999996</v>
      </c>
      <c r="R1204" s="24">
        <v>7.8320000000000007</v>
      </c>
      <c r="S1204" s="21">
        <f t="shared" si="56"/>
        <v>0.50615384615384629</v>
      </c>
    </row>
    <row r="1205" spans="2:19" ht="11.4" customHeight="1" x14ac:dyDescent="0.2">
      <c r="B1205" s="24"/>
      <c r="C1205" s="7">
        <v>44293</v>
      </c>
      <c r="D1205" s="18" t="s">
        <v>1268</v>
      </c>
      <c r="E1205" s="18" t="s">
        <v>1269</v>
      </c>
      <c r="F1205" s="17">
        <v>24</v>
      </c>
      <c r="G1205" s="18" t="s">
        <v>23</v>
      </c>
      <c r="H1205" s="17">
        <v>51.96</v>
      </c>
      <c r="I1205" s="8">
        <v>79.5</v>
      </c>
      <c r="J1205" s="21">
        <f t="shared" si="54"/>
        <v>0.53002309468822173</v>
      </c>
      <c r="K1205" s="1">
        <v>4</v>
      </c>
      <c r="L1205" s="24">
        <v>3.9</v>
      </c>
      <c r="M1205" s="24">
        <v>75.524999999999991</v>
      </c>
      <c r="N1205" s="21">
        <f t="shared" si="55"/>
        <v>0.45352193995381046</v>
      </c>
      <c r="P1205" s="1">
        <v>10</v>
      </c>
      <c r="Q1205" s="24">
        <v>9.5400000000000063</v>
      </c>
      <c r="R1205" s="24">
        <v>69.959999999999994</v>
      </c>
      <c r="S1205" s="21">
        <f t="shared" si="56"/>
        <v>0.34642032332563494</v>
      </c>
    </row>
    <row r="1206" spans="2:19" ht="11.4" customHeight="1" x14ac:dyDescent="0.2">
      <c r="B1206" s="24"/>
      <c r="C1206" s="7">
        <v>39022</v>
      </c>
      <c r="D1206" s="18" t="s">
        <v>1270</v>
      </c>
      <c r="E1206" s="18" t="s">
        <v>1271</v>
      </c>
      <c r="F1206" s="17">
        <v>10</v>
      </c>
      <c r="G1206" s="18" t="s">
        <v>23</v>
      </c>
      <c r="H1206" s="17">
        <v>69.900000000000006</v>
      </c>
      <c r="I1206" s="8">
        <v>69.900000000000006</v>
      </c>
      <c r="J1206" s="21">
        <f t="shared" si="54"/>
        <v>0</v>
      </c>
      <c r="K1206" s="1">
        <v>4</v>
      </c>
      <c r="L1206" s="24">
        <v>3.4</v>
      </c>
      <c r="M1206" s="24">
        <v>66.405000000000001</v>
      </c>
      <c r="N1206" s="21">
        <f t="shared" si="55"/>
        <v>-5.0000000000000058E-2</v>
      </c>
      <c r="P1206" s="1">
        <v>10</v>
      </c>
      <c r="Q1206" s="24">
        <v>8.3879999999999981</v>
      </c>
      <c r="R1206" s="24">
        <v>61.512000000000008</v>
      </c>
      <c r="S1206" s="21">
        <f t="shared" si="56"/>
        <v>-0.11999999999999997</v>
      </c>
    </row>
    <row r="1207" spans="2:19" ht="11.4" customHeight="1" x14ac:dyDescent="0.2">
      <c r="B1207" s="24"/>
      <c r="C1207" s="7">
        <v>39025</v>
      </c>
      <c r="D1207" s="18" t="s">
        <v>1272</v>
      </c>
      <c r="E1207" s="18" t="s">
        <v>1271</v>
      </c>
      <c r="F1207" s="17">
        <v>20</v>
      </c>
      <c r="G1207" s="18" t="s">
        <v>23</v>
      </c>
      <c r="H1207" s="17">
        <v>89.9</v>
      </c>
      <c r="I1207" s="8">
        <v>89.9</v>
      </c>
      <c r="J1207" s="21">
        <f t="shared" si="54"/>
        <v>0</v>
      </c>
      <c r="K1207" s="1">
        <v>4</v>
      </c>
      <c r="L1207" s="24">
        <v>4.4000000000000004</v>
      </c>
      <c r="M1207" s="24">
        <v>85.405000000000001</v>
      </c>
      <c r="N1207" s="21">
        <f t="shared" si="55"/>
        <v>-5.0000000000000044E-2</v>
      </c>
      <c r="P1207" s="1">
        <v>10</v>
      </c>
      <c r="Q1207" s="24">
        <v>10.787999999999997</v>
      </c>
      <c r="R1207" s="24">
        <v>79.112000000000009</v>
      </c>
      <c r="S1207" s="21">
        <f t="shared" si="56"/>
        <v>-0.11999999999999995</v>
      </c>
    </row>
    <row r="1208" spans="2:19" ht="11.4" customHeight="1" x14ac:dyDescent="0.2">
      <c r="B1208" s="24"/>
      <c r="C1208" s="7">
        <v>39018</v>
      </c>
      <c r="D1208" s="18" t="s">
        <v>1273</v>
      </c>
      <c r="E1208" s="18" t="s">
        <v>1271</v>
      </c>
      <c r="F1208" s="17">
        <v>30</v>
      </c>
      <c r="G1208" s="18" t="s">
        <v>23</v>
      </c>
      <c r="H1208" s="17">
        <v>69.900000000000006</v>
      </c>
      <c r="I1208" s="8">
        <v>79.5</v>
      </c>
      <c r="J1208" s="21">
        <f t="shared" si="54"/>
        <v>0.13733905579399133</v>
      </c>
      <c r="K1208" s="1">
        <v>4</v>
      </c>
      <c r="L1208" s="24">
        <v>3.9</v>
      </c>
      <c r="M1208" s="24">
        <v>75.524999999999991</v>
      </c>
      <c r="N1208" s="21">
        <f t="shared" si="55"/>
        <v>8.047210300429164E-2</v>
      </c>
      <c r="P1208" s="1">
        <v>10</v>
      </c>
      <c r="Q1208" s="24">
        <v>9.5400000000000063</v>
      </c>
      <c r="R1208" s="24">
        <v>69.959999999999994</v>
      </c>
      <c r="S1208" s="21">
        <f t="shared" si="56"/>
        <v>8.5836909871227554E-4</v>
      </c>
    </row>
    <row r="1209" spans="2:19" ht="11.4" customHeight="1" x14ac:dyDescent="0.2">
      <c r="B1209" s="24"/>
      <c r="C1209" s="7">
        <v>39017</v>
      </c>
      <c r="D1209" s="18" t="s">
        <v>1274</v>
      </c>
      <c r="E1209" s="18" t="s">
        <v>1271</v>
      </c>
      <c r="F1209" s="17">
        <v>30</v>
      </c>
      <c r="G1209" s="18" t="s">
        <v>23</v>
      </c>
      <c r="H1209" s="17">
        <v>69.900000000000006</v>
      </c>
      <c r="I1209" s="8">
        <v>79.5</v>
      </c>
      <c r="J1209" s="21">
        <f t="shared" si="54"/>
        <v>0.13733905579399133</v>
      </c>
      <c r="K1209" s="1">
        <v>4</v>
      </c>
      <c r="L1209" s="24">
        <v>3.9</v>
      </c>
      <c r="M1209" s="24">
        <v>75.524999999999991</v>
      </c>
      <c r="N1209" s="21">
        <f t="shared" si="55"/>
        <v>8.047210300429164E-2</v>
      </c>
      <c r="P1209" s="1">
        <v>10</v>
      </c>
      <c r="Q1209" s="24">
        <v>9.5400000000000063</v>
      </c>
      <c r="R1209" s="24">
        <v>69.959999999999994</v>
      </c>
      <c r="S1209" s="21">
        <f t="shared" si="56"/>
        <v>8.5836909871227554E-4</v>
      </c>
    </row>
    <row r="1210" spans="2:19" ht="11.4" customHeight="1" x14ac:dyDescent="0.2">
      <c r="B1210" s="24"/>
      <c r="C1210" s="7">
        <v>39019</v>
      </c>
      <c r="D1210" s="18" t="s">
        <v>1275</v>
      </c>
      <c r="E1210" s="18" t="s">
        <v>1271</v>
      </c>
      <c r="F1210" s="17">
        <v>30</v>
      </c>
      <c r="G1210" s="18" t="s">
        <v>23</v>
      </c>
      <c r="H1210" s="17">
        <v>69.900000000000006</v>
      </c>
      <c r="I1210" s="8">
        <v>69.900000000000006</v>
      </c>
      <c r="J1210" s="21">
        <f t="shared" si="54"/>
        <v>0</v>
      </c>
      <c r="K1210" s="1">
        <v>4</v>
      </c>
      <c r="L1210" s="24">
        <v>3.4</v>
      </c>
      <c r="M1210" s="24">
        <v>66.405000000000001</v>
      </c>
      <c r="N1210" s="21">
        <f t="shared" si="55"/>
        <v>-5.0000000000000058E-2</v>
      </c>
      <c r="P1210" s="1">
        <v>10</v>
      </c>
      <c r="Q1210" s="24">
        <v>8.3879999999999981</v>
      </c>
      <c r="R1210" s="24">
        <v>61.512000000000008</v>
      </c>
      <c r="S1210" s="21">
        <f t="shared" si="56"/>
        <v>-0.11999999999999997</v>
      </c>
    </row>
    <row r="1211" spans="2:19" ht="11.4" customHeight="1" x14ac:dyDescent="0.2">
      <c r="B1211" s="24"/>
      <c r="C1211" s="7">
        <v>39023</v>
      </c>
      <c r="D1211" s="18" t="s">
        <v>1276</v>
      </c>
      <c r="E1211" s="18" t="s">
        <v>1271</v>
      </c>
      <c r="F1211" s="17">
        <v>20</v>
      </c>
      <c r="G1211" s="18" t="s">
        <v>23</v>
      </c>
      <c r="H1211" s="17">
        <v>59.9</v>
      </c>
      <c r="I1211" s="8">
        <v>71.5</v>
      </c>
      <c r="J1211" s="21">
        <f t="shared" si="54"/>
        <v>0.19365609348914861</v>
      </c>
      <c r="K1211" s="1">
        <v>4</v>
      </c>
      <c r="L1211" s="24">
        <v>3.5</v>
      </c>
      <c r="M1211" s="24">
        <v>67.924999999999997</v>
      </c>
      <c r="N1211" s="21">
        <f t="shared" si="55"/>
        <v>0.13397328881469114</v>
      </c>
      <c r="P1211" s="1">
        <v>10</v>
      </c>
      <c r="Q1211" s="24">
        <v>8.5799999999999983</v>
      </c>
      <c r="R1211" s="24">
        <v>62.92</v>
      </c>
      <c r="S1211" s="21">
        <f t="shared" si="56"/>
        <v>5.0417362270450808E-2</v>
      </c>
    </row>
    <row r="1212" spans="2:19" ht="11.4" customHeight="1" x14ac:dyDescent="0.2">
      <c r="B1212" s="24"/>
      <c r="C1212" s="7">
        <v>39291</v>
      </c>
      <c r="D1212" s="18" t="s">
        <v>1277</v>
      </c>
      <c r="E1212" s="18" t="s">
        <v>1271</v>
      </c>
      <c r="F1212" s="17">
        <v>12</v>
      </c>
      <c r="G1212" s="18" t="s">
        <v>23</v>
      </c>
      <c r="H1212" s="17">
        <v>179.9</v>
      </c>
      <c r="I1212" s="8">
        <v>271.5</v>
      </c>
      <c r="J1212" s="21">
        <f t="shared" si="54"/>
        <v>0.50917176209005</v>
      </c>
      <c r="K1212" s="1">
        <v>4</v>
      </c>
      <c r="L1212" s="24">
        <v>13.5</v>
      </c>
      <c r="M1212" s="24">
        <v>257.92500000000001</v>
      </c>
      <c r="N1212" s="21">
        <f t="shared" si="55"/>
        <v>0.43371317398554754</v>
      </c>
      <c r="P1212" s="1">
        <v>10</v>
      </c>
      <c r="Q1212" s="24">
        <v>32.580000000000013</v>
      </c>
      <c r="R1212" s="24">
        <v>238.92</v>
      </c>
      <c r="S1212" s="21">
        <f t="shared" si="56"/>
        <v>0.32807115063924391</v>
      </c>
    </row>
    <row r="1213" spans="2:19" ht="11.4" customHeight="1" x14ac:dyDescent="0.2">
      <c r="B1213" s="24"/>
      <c r="C1213" s="7">
        <v>39292</v>
      </c>
      <c r="D1213" s="18" t="s">
        <v>1278</v>
      </c>
      <c r="E1213" s="18" t="s">
        <v>1271</v>
      </c>
      <c r="F1213" s="17">
        <v>12</v>
      </c>
      <c r="G1213" s="18" t="s">
        <v>23</v>
      </c>
      <c r="H1213" s="17">
        <v>159.9</v>
      </c>
      <c r="I1213" s="8">
        <v>218.5</v>
      </c>
      <c r="J1213" s="21">
        <f t="shared" si="54"/>
        <v>0.36647904940587861</v>
      </c>
      <c r="K1213" s="1">
        <v>4</v>
      </c>
      <c r="L1213" s="24">
        <v>10.9</v>
      </c>
      <c r="M1213" s="24">
        <v>207.57499999999999</v>
      </c>
      <c r="N1213" s="21">
        <f t="shared" si="55"/>
        <v>0.29815509693558462</v>
      </c>
      <c r="P1213" s="1">
        <v>10</v>
      </c>
      <c r="Q1213" s="24">
        <v>26.22</v>
      </c>
      <c r="R1213" s="24">
        <v>192.28</v>
      </c>
      <c r="S1213" s="21">
        <f t="shared" si="56"/>
        <v>0.20250156347717319</v>
      </c>
    </row>
    <row r="1214" spans="2:19" ht="11.4" customHeight="1" x14ac:dyDescent="0.2">
      <c r="B1214" s="24"/>
      <c r="C1214" s="7">
        <v>39020</v>
      </c>
      <c r="D1214" s="18" t="s">
        <v>1279</v>
      </c>
      <c r="E1214" s="18" t="s">
        <v>1271</v>
      </c>
      <c r="F1214" s="17">
        <v>30</v>
      </c>
      <c r="G1214" s="18" t="s">
        <v>23</v>
      </c>
      <c r="H1214" s="17">
        <v>69.900000000000006</v>
      </c>
      <c r="I1214" s="8">
        <v>95</v>
      </c>
      <c r="J1214" s="21">
        <f t="shared" si="54"/>
        <v>0.35908440629470662</v>
      </c>
      <c r="K1214" s="1">
        <v>4</v>
      </c>
      <c r="L1214" s="24">
        <v>4.7</v>
      </c>
      <c r="M1214" s="24">
        <v>90.25</v>
      </c>
      <c r="N1214" s="21">
        <f t="shared" si="55"/>
        <v>0.29113018597997126</v>
      </c>
      <c r="P1214" s="1">
        <v>10</v>
      </c>
      <c r="Q1214" s="24">
        <v>11.400000000000006</v>
      </c>
      <c r="R1214" s="24">
        <v>83.6</v>
      </c>
      <c r="S1214" s="21">
        <f t="shared" si="56"/>
        <v>0.19599427753934173</v>
      </c>
    </row>
    <row r="1215" spans="2:19" ht="11.4" customHeight="1" x14ac:dyDescent="0.2">
      <c r="B1215" s="24"/>
      <c r="C1215" s="7">
        <v>17057</v>
      </c>
      <c r="D1215" s="18" t="s">
        <v>1280</v>
      </c>
      <c r="E1215" s="18" t="s">
        <v>1269</v>
      </c>
      <c r="F1215" s="18"/>
      <c r="G1215" s="18" t="s">
        <v>23</v>
      </c>
      <c r="H1215" s="17">
        <v>55.5</v>
      </c>
      <c r="I1215" s="8">
        <v>79.900000000000006</v>
      </c>
      <c r="J1215" s="21">
        <f t="shared" si="54"/>
        <v>0.43963963963963976</v>
      </c>
      <c r="K1215" s="1">
        <v>4</v>
      </c>
      <c r="L1215" s="24">
        <v>3.9</v>
      </c>
      <c r="M1215" s="24">
        <v>75.905000000000001</v>
      </c>
      <c r="N1215" s="21">
        <f t="shared" si="55"/>
        <v>0.36765765765765768</v>
      </c>
      <c r="P1215" s="1">
        <v>10</v>
      </c>
      <c r="Q1215" s="24">
        <v>9.5879999999999939</v>
      </c>
      <c r="R1215" s="24">
        <v>70.312000000000012</v>
      </c>
      <c r="S1215" s="21">
        <f t="shared" si="56"/>
        <v>0.26688288288288309</v>
      </c>
    </row>
    <row r="1216" spans="2:19" ht="11.4" customHeight="1" x14ac:dyDescent="0.2">
      <c r="B1216" s="24"/>
      <c r="C1216" s="7">
        <v>8358</v>
      </c>
      <c r="D1216" s="18" t="s">
        <v>1281</v>
      </c>
      <c r="E1216" s="18" t="s">
        <v>1282</v>
      </c>
      <c r="F1216" s="17">
        <v>20</v>
      </c>
      <c r="G1216" s="18" t="s">
        <v>902</v>
      </c>
      <c r="H1216" s="17">
        <v>20.3</v>
      </c>
      <c r="I1216" s="8">
        <v>27.9</v>
      </c>
      <c r="J1216" s="21">
        <f t="shared" si="54"/>
        <v>0.37438423645320185</v>
      </c>
      <c r="K1216" s="1">
        <v>1</v>
      </c>
      <c r="L1216" s="24">
        <v>1.3</v>
      </c>
      <c r="M1216" s="24">
        <v>26.504999999999999</v>
      </c>
      <c r="N1216" s="21">
        <f t="shared" si="55"/>
        <v>0.30566502463054179</v>
      </c>
      <c r="P1216" s="1">
        <v>4</v>
      </c>
      <c r="Q1216" s="24">
        <v>2.7899999999999991</v>
      </c>
      <c r="R1216" s="24">
        <v>25.11</v>
      </c>
      <c r="S1216" s="21">
        <f t="shared" si="56"/>
        <v>0.23694581280788171</v>
      </c>
    </row>
    <row r="1217" spans="2:19" ht="11.4" customHeight="1" x14ac:dyDescent="0.2">
      <c r="B1217" s="24"/>
      <c r="C1217" s="7">
        <v>8433</v>
      </c>
      <c r="D1217" s="18" t="s">
        <v>1283</v>
      </c>
      <c r="E1217" s="18" t="s">
        <v>1282</v>
      </c>
      <c r="F1217" s="17">
        <v>20</v>
      </c>
      <c r="G1217" s="18" t="s">
        <v>902</v>
      </c>
      <c r="H1217" s="17">
        <v>20.3</v>
      </c>
      <c r="I1217" s="8">
        <v>27.9</v>
      </c>
      <c r="J1217" s="21">
        <f t="shared" si="54"/>
        <v>0.37438423645320185</v>
      </c>
      <c r="K1217" s="1">
        <v>1</v>
      </c>
      <c r="L1217" s="24">
        <v>1.3</v>
      </c>
      <c r="M1217" s="24">
        <v>26.504999999999999</v>
      </c>
      <c r="N1217" s="21">
        <f t="shared" si="55"/>
        <v>0.30566502463054179</v>
      </c>
      <c r="P1217" s="1">
        <v>4</v>
      </c>
      <c r="Q1217" s="24">
        <v>2.7899999999999991</v>
      </c>
      <c r="R1217" s="24">
        <v>25.11</v>
      </c>
      <c r="S1217" s="21">
        <f t="shared" si="56"/>
        <v>0.23694581280788171</v>
      </c>
    </row>
    <row r="1218" spans="2:19" ht="11.4" customHeight="1" x14ac:dyDescent="0.2">
      <c r="B1218" s="24"/>
      <c r="C1218" s="7">
        <v>4893</v>
      </c>
      <c r="D1218" s="18" t="s">
        <v>1284</v>
      </c>
      <c r="E1218" s="18" t="s">
        <v>1269</v>
      </c>
      <c r="F1218" s="17">
        <v>20</v>
      </c>
      <c r="G1218" s="18" t="s">
        <v>23</v>
      </c>
      <c r="H1218" s="17">
        <v>42.3</v>
      </c>
      <c r="I1218" s="8">
        <v>49.9</v>
      </c>
      <c r="J1218" s="21">
        <f t="shared" si="54"/>
        <v>0.17966903073286056</v>
      </c>
      <c r="K1218" s="1">
        <v>4</v>
      </c>
      <c r="L1218" s="24">
        <v>2.4</v>
      </c>
      <c r="M1218" s="24">
        <v>47.404999999999994</v>
      </c>
      <c r="N1218" s="21">
        <f t="shared" si="55"/>
        <v>0.12068557919621743</v>
      </c>
      <c r="P1218" s="1">
        <v>10</v>
      </c>
      <c r="Q1218" s="24">
        <v>5.9879999999999995</v>
      </c>
      <c r="R1218" s="24">
        <v>43.911999999999999</v>
      </c>
      <c r="S1218" s="21">
        <f t="shared" si="56"/>
        <v>3.8108747044917304E-2</v>
      </c>
    </row>
    <row r="1219" spans="2:19" ht="11.4" customHeight="1" x14ac:dyDescent="0.2">
      <c r="B1219" s="24"/>
      <c r="C1219" s="7">
        <v>34057</v>
      </c>
      <c r="D1219" s="18" t="s">
        <v>1285</v>
      </c>
      <c r="E1219" s="18" t="s">
        <v>1282</v>
      </c>
      <c r="F1219" s="17">
        <v>10</v>
      </c>
      <c r="G1219" s="18" t="s">
        <v>23</v>
      </c>
      <c r="H1219" s="17">
        <v>22.9</v>
      </c>
      <c r="I1219" s="8">
        <v>31.2</v>
      </c>
      <c r="J1219" s="21">
        <f t="shared" ref="J1219:J1282" si="57">(I1219-H1219)/H1219</f>
        <v>0.36244541484716164</v>
      </c>
      <c r="K1219" s="1">
        <v>4</v>
      </c>
      <c r="L1219" s="24">
        <v>1.5</v>
      </c>
      <c r="M1219" s="24">
        <v>29.639999999999997</v>
      </c>
      <c r="N1219" s="21">
        <f t="shared" ref="N1219:N1282" si="58">(M1219-H1219)/H1219</f>
        <v>0.29432314410480342</v>
      </c>
      <c r="P1219" s="1">
        <v>10</v>
      </c>
      <c r="Q1219" s="24">
        <v>3.7439999999999998</v>
      </c>
      <c r="R1219" s="24">
        <v>27.456</v>
      </c>
      <c r="S1219" s="21">
        <f t="shared" ref="S1219:S1282" si="59">(R1219-H1219)/H1219</f>
        <v>0.19895196506550222</v>
      </c>
    </row>
    <row r="1220" spans="2:19" ht="11.4" customHeight="1" x14ac:dyDescent="0.2">
      <c r="B1220" s="24"/>
      <c r="C1220" s="7">
        <v>9043</v>
      </c>
      <c r="D1220" s="18" t="s">
        <v>1286</v>
      </c>
      <c r="E1220" s="18" t="s">
        <v>1269</v>
      </c>
      <c r="F1220" s="17">
        <v>24</v>
      </c>
      <c r="G1220" s="18" t="s">
        <v>23</v>
      </c>
      <c r="H1220" s="17">
        <v>44.9</v>
      </c>
      <c r="I1220" s="8">
        <v>51</v>
      </c>
      <c r="J1220" s="21">
        <f t="shared" si="57"/>
        <v>0.13585746102449892</v>
      </c>
      <c r="K1220" s="1">
        <v>4</v>
      </c>
      <c r="L1220" s="24">
        <v>2.5</v>
      </c>
      <c r="M1220" s="24">
        <v>48.449999999999996</v>
      </c>
      <c r="N1220" s="21">
        <f t="shared" si="58"/>
        <v>7.9064587973273884E-2</v>
      </c>
      <c r="P1220" s="1">
        <v>10</v>
      </c>
      <c r="Q1220" s="24">
        <v>6.1199999999999974</v>
      </c>
      <c r="R1220" s="24">
        <v>44.88</v>
      </c>
      <c r="S1220" s="21">
        <f t="shared" si="59"/>
        <v>-4.4543429844089133E-4</v>
      </c>
    </row>
    <row r="1221" spans="2:19" ht="11.4" customHeight="1" x14ac:dyDescent="0.2">
      <c r="B1221" s="24"/>
      <c r="C1221" s="7">
        <v>8428</v>
      </c>
      <c r="D1221" s="18" t="s">
        <v>1287</v>
      </c>
      <c r="E1221" s="18" t="s">
        <v>1269</v>
      </c>
      <c r="F1221" s="17">
        <v>24</v>
      </c>
      <c r="G1221" s="18" t="s">
        <v>23</v>
      </c>
      <c r="H1221" s="17">
        <v>51.96</v>
      </c>
      <c r="I1221" s="8">
        <v>79.5</v>
      </c>
      <c r="J1221" s="21">
        <f t="shared" si="57"/>
        <v>0.53002309468822173</v>
      </c>
      <c r="K1221" s="1">
        <v>4</v>
      </c>
      <c r="L1221" s="24">
        <v>3.9</v>
      </c>
      <c r="M1221" s="24">
        <v>75.524999999999991</v>
      </c>
      <c r="N1221" s="21">
        <f t="shared" si="58"/>
        <v>0.45352193995381046</v>
      </c>
      <c r="P1221" s="1">
        <v>10</v>
      </c>
      <c r="Q1221" s="24">
        <v>9.5400000000000063</v>
      </c>
      <c r="R1221" s="24">
        <v>69.959999999999994</v>
      </c>
      <c r="S1221" s="21">
        <f t="shared" si="59"/>
        <v>0.34642032332563494</v>
      </c>
    </row>
    <row r="1222" spans="2:19" ht="11.4" customHeight="1" x14ac:dyDescent="0.2">
      <c r="B1222" s="24"/>
      <c r="C1222" s="7">
        <v>4014</v>
      </c>
      <c r="D1222" s="18" t="s">
        <v>1288</v>
      </c>
      <c r="E1222" s="18" t="s">
        <v>1269</v>
      </c>
      <c r="F1222" s="18"/>
      <c r="G1222" s="18" t="s">
        <v>23</v>
      </c>
      <c r="H1222" s="17">
        <v>44.9</v>
      </c>
      <c r="I1222" s="8">
        <v>51</v>
      </c>
      <c r="J1222" s="21">
        <f t="shared" si="57"/>
        <v>0.13585746102449892</v>
      </c>
      <c r="K1222" s="1">
        <v>4</v>
      </c>
      <c r="L1222" s="24">
        <v>2.5</v>
      </c>
      <c r="M1222" s="24">
        <v>48.449999999999996</v>
      </c>
      <c r="N1222" s="21">
        <f t="shared" si="58"/>
        <v>7.9064587973273884E-2</v>
      </c>
      <c r="P1222" s="1">
        <v>10</v>
      </c>
      <c r="Q1222" s="24">
        <v>6.1199999999999974</v>
      </c>
      <c r="R1222" s="24">
        <v>44.88</v>
      </c>
      <c r="S1222" s="21">
        <f t="shared" si="59"/>
        <v>-4.4543429844089133E-4</v>
      </c>
    </row>
    <row r="1223" spans="2:19" ht="11.4" customHeight="1" x14ac:dyDescent="0.2">
      <c r="B1223" s="24"/>
      <c r="C1223" s="7">
        <v>40877</v>
      </c>
      <c r="D1223" s="18" t="s">
        <v>1289</v>
      </c>
      <c r="E1223" s="18" t="s">
        <v>1269</v>
      </c>
      <c r="F1223" s="17">
        <v>22</v>
      </c>
      <c r="G1223" s="18" t="s">
        <v>23</v>
      </c>
      <c r="H1223" s="17">
        <v>24.9</v>
      </c>
      <c r="I1223" s="8">
        <v>39.9</v>
      </c>
      <c r="J1223" s="21">
        <f t="shared" si="57"/>
        <v>0.60240963855421692</v>
      </c>
      <c r="K1223" s="1">
        <v>4</v>
      </c>
      <c r="L1223" s="24">
        <v>1.9</v>
      </c>
      <c r="M1223" s="24">
        <v>37.904999999999994</v>
      </c>
      <c r="N1223" s="21">
        <f t="shared" si="58"/>
        <v>0.52228915662650588</v>
      </c>
      <c r="P1223" s="1">
        <v>10</v>
      </c>
      <c r="Q1223" s="24">
        <v>4.7879999999999967</v>
      </c>
      <c r="R1223" s="24">
        <v>35.112000000000002</v>
      </c>
      <c r="S1223" s="21">
        <f t="shared" si="59"/>
        <v>0.410120481927711</v>
      </c>
    </row>
    <row r="1224" spans="2:19" ht="11.4" customHeight="1" x14ac:dyDescent="0.2">
      <c r="B1224" s="24"/>
      <c r="C1224" s="7">
        <v>40875</v>
      </c>
      <c r="D1224" s="18" t="s">
        <v>1290</v>
      </c>
      <c r="E1224" s="18" t="s">
        <v>1269</v>
      </c>
      <c r="F1224" s="17">
        <v>24</v>
      </c>
      <c r="G1224" s="18" t="s">
        <v>23</v>
      </c>
      <c r="H1224" s="17">
        <v>24.54</v>
      </c>
      <c r="I1224" s="8">
        <v>29.9</v>
      </c>
      <c r="J1224" s="21">
        <f t="shared" si="57"/>
        <v>0.21841890790546045</v>
      </c>
      <c r="K1224" s="1">
        <v>4</v>
      </c>
      <c r="L1224" s="24">
        <v>1.4</v>
      </c>
      <c r="M1224" s="24">
        <v>28.404999999999998</v>
      </c>
      <c r="N1224" s="21">
        <f t="shared" si="58"/>
        <v>0.15749796251018738</v>
      </c>
      <c r="P1224" s="1">
        <v>10</v>
      </c>
      <c r="Q1224" s="24">
        <v>3.588000000000001</v>
      </c>
      <c r="R1224" s="24">
        <v>26.311999999999998</v>
      </c>
      <c r="S1224" s="21">
        <f t="shared" si="59"/>
        <v>7.2208638956805155E-2</v>
      </c>
    </row>
    <row r="1225" spans="2:19" ht="11.4" customHeight="1" x14ac:dyDescent="0.2">
      <c r="B1225" s="24"/>
      <c r="C1225" s="7">
        <v>44149</v>
      </c>
      <c r="D1225" s="18" t="s">
        <v>1291</v>
      </c>
      <c r="E1225" s="18" t="s">
        <v>1269</v>
      </c>
      <c r="F1225" s="18"/>
      <c r="G1225" s="18" t="s">
        <v>23</v>
      </c>
      <c r="H1225" s="17">
        <v>111.84</v>
      </c>
      <c r="I1225" s="8">
        <v>159.9</v>
      </c>
      <c r="J1225" s="21">
        <f t="shared" si="57"/>
        <v>0.42972103004291845</v>
      </c>
      <c r="K1225" s="1">
        <v>4</v>
      </c>
      <c r="L1225" s="24">
        <v>7.9</v>
      </c>
      <c r="M1225" s="24">
        <v>151.905</v>
      </c>
      <c r="N1225" s="21">
        <f t="shared" si="58"/>
        <v>0.35823497854077252</v>
      </c>
      <c r="P1225" s="1">
        <v>10</v>
      </c>
      <c r="Q1225" s="24">
        <v>19.187999999999988</v>
      </c>
      <c r="R1225" s="24">
        <v>140.71200000000002</v>
      </c>
      <c r="S1225" s="21">
        <f t="shared" si="59"/>
        <v>0.25815450643776838</v>
      </c>
    </row>
    <row r="1226" spans="2:19" ht="11.4" customHeight="1" x14ac:dyDescent="0.2">
      <c r="B1226" s="24"/>
      <c r="C1226" s="7">
        <v>44115</v>
      </c>
      <c r="D1226" s="18" t="s">
        <v>1292</v>
      </c>
      <c r="E1226" s="18" t="s">
        <v>1269</v>
      </c>
      <c r="F1226" s="18"/>
      <c r="G1226" s="18" t="s">
        <v>23</v>
      </c>
      <c r="H1226" s="17">
        <v>172.98</v>
      </c>
      <c r="I1226" s="8">
        <v>239.9</v>
      </c>
      <c r="J1226" s="21">
        <f t="shared" si="57"/>
        <v>0.3868655335876981</v>
      </c>
      <c r="K1226" s="1">
        <v>4</v>
      </c>
      <c r="L1226" s="24">
        <v>11.9</v>
      </c>
      <c r="M1226" s="24">
        <v>227.905</v>
      </c>
      <c r="N1226" s="21">
        <f t="shared" si="58"/>
        <v>0.31752225690831321</v>
      </c>
      <c r="P1226" s="1">
        <v>10</v>
      </c>
      <c r="Q1226" s="24">
        <v>28.788000000000011</v>
      </c>
      <c r="R1226" s="24">
        <v>211.11199999999999</v>
      </c>
      <c r="S1226" s="21">
        <f t="shared" si="59"/>
        <v>0.22044166955717429</v>
      </c>
    </row>
    <row r="1227" spans="2:19" ht="11.4" customHeight="1" x14ac:dyDescent="0.2">
      <c r="B1227" s="24"/>
      <c r="C1227" s="7">
        <v>44148</v>
      </c>
      <c r="D1227" s="18" t="s">
        <v>1293</v>
      </c>
      <c r="E1227" s="18" t="s">
        <v>1269</v>
      </c>
      <c r="F1227" s="18"/>
      <c r="G1227" s="18" t="s">
        <v>23</v>
      </c>
      <c r="H1227" s="17">
        <v>111.72</v>
      </c>
      <c r="I1227" s="8">
        <v>159.9</v>
      </c>
      <c r="J1227" s="21">
        <f t="shared" si="57"/>
        <v>0.43125671321160047</v>
      </c>
      <c r="K1227" s="1">
        <v>4</v>
      </c>
      <c r="L1227" s="24">
        <v>7.9</v>
      </c>
      <c r="M1227" s="24">
        <v>151.905</v>
      </c>
      <c r="N1227" s="21">
        <f t="shared" si="58"/>
        <v>0.35969387755102045</v>
      </c>
      <c r="P1227" s="1">
        <v>10</v>
      </c>
      <c r="Q1227" s="24">
        <v>19.187999999999988</v>
      </c>
      <c r="R1227" s="24">
        <v>140.71200000000002</v>
      </c>
      <c r="S1227" s="21">
        <f t="shared" si="59"/>
        <v>0.25950590762620857</v>
      </c>
    </row>
    <row r="1228" spans="2:19" ht="11.4" customHeight="1" x14ac:dyDescent="0.2">
      <c r="B1228" s="24"/>
      <c r="C1228" s="7">
        <v>8820</v>
      </c>
      <c r="D1228" s="18" t="s">
        <v>1294</v>
      </c>
      <c r="E1228" s="18" t="s">
        <v>1282</v>
      </c>
      <c r="F1228" s="17">
        <v>20</v>
      </c>
      <c r="G1228" s="18" t="s">
        <v>23</v>
      </c>
      <c r="H1228" s="17">
        <v>48.9</v>
      </c>
      <c r="I1228" s="8">
        <v>53.9</v>
      </c>
      <c r="J1228" s="21">
        <f t="shared" si="57"/>
        <v>0.10224948875255624</v>
      </c>
      <c r="K1228" s="1">
        <v>4</v>
      </c>
      <c r="L1228" s="24">
        <v>2.6</v>
      </c>
      <c r="M1228" s="24">
        <v>51.204999999999998</v>
      </c>
      <c r="N1228" s="21">
        <f t="shared" si="58"/>
        <v>4.7137014314928422E-2</v>
      </c>
      <c r="P1228" s="1">
        <v>10</v>
      </c>
      <c r="Q1228" s="24">
        <v>6.4679999999999964</v>
      </c>
      <c r="R1228" s="24">
        <v>47.432000000000002</v>
      </c>
      <c r="S1228" s="21">
        <f t="shared" si="59"/>
        <v>-3.0020449897750438E-2</v>
      </c>
    </row>
    <row r="1229" spans="2:19" ht="11.4" customHeight="1" x14ac:dyDescent="0.2">
      <c r="B1229" s="24"/>
      <c r="C1229" s="7">
        <v>7125</v>
      </c>
      <c r="D1229" s="18" t="s">
        <v>1295</v>
      </c>
      <c r="E1229" s="18" t="s">
        <v>1269</v>
      </c>
      <c r="F1229" s="17">
        <v>24</v>
      </c>
      <c r="G1229" s="18" t="s">
        <v>23</v>
      </c>
      <c r="H1229" s="17">
        <v>34.5</v>
      </c>
      <c r="I1229" s="8">
        <v>51</v>
      </c>
      <c r="J1229" s="21">
        <f t="shared" si="57"/>
        <v>0.47826086956521741</v>
      </c>
      <c r="K1229" s="1">
        <v>4</v>
      </c>
      <c r="L1229" s="24">
        <v>2.5</v>
      </c>
      <c r="M1229" s="24">
        <v>48.449999999999996</v>
      </c>
      <c r="N1229" s="21">
        <f t="shared" si="58"/>
        <v>0.40434782608695641</v>
      </c>
      <c r="P1229" s="1">
        <v>10</v>
      </c>
      <c r="Q1229" s="24">
        <v>6.1199999999999974</v>
      </c>
      <c r="R1229" s="24">
        <v>44.88</v>
      </c>
      <c r="S1229" s="21">
        <f t="shared" si="59"/>
        <v>0.30086956521739139</v>
      </c>
    </row>
    <row r="1230" spans="2:19" ht="11.4" customHeight="1" x14ac:dyDescent="0.2">
      <c r="B1230" s="24"/>
      <c r="C1230" s="7">
        <v>44291</v>
      </c>
      <c r="D1230" s="18" t="s">
        <v>1296</v>
      </c>
      <c r="E1230" s="18" t="s">
        <v>1269</v>
      </c>
      <c r="F1230" s="17">
        <v>12</v>
      </c>
      <c r="G1230" s="18" t="s">
        <v>23</v>
      </c>
      <c r="H1230" s="17">
        <v>48</v>
      </c>
      <c r="I1230" s="8">
        <v>79.5</v>
      </c>
      <c r="J1230" s="21">
        <f t="shared" si="57"/>
        <v>0.65625</v>
      </c>
      <c r="K1230" s="1">
        <v>4</v>
      </c>
      <c r="L1230" s="24">
        <v>3.9</v>
      </c>
      <c r="M1230" s="24">
        <v>75.524999999999991</v>
      </c>
      <c r="N1230" s="21">
        <f t="shared" si="58"/>
        <v>0.57343749999999982</v>
      </c>
      <c r="P1230" s="1">
        <v>10</v>
      </c>
      <c r="Q1230" s="24">
        <v>9.5400000000000063</v>
      </c>
      <c r="R1230" s="24">
        <v>69.959999999999994</v>
      </c>
      <c r="S1230" s="21">
        <f t="shared" si="59"/>
        <v>0.45749999999999985</v>
      </c>
    </row>
    <row r="1231" spans="2:19" ht="11.4" customHeight="1" x14ac:dyDescent="0.2">
      <c r="B1231" s="24"/>
      <c r="C1231" s="7">
        <v>33777</v>
      </c>
      <c r="D1231" s="18" t="s">
        <v>1297</v>
      </c>
      <c r="E1231" s="18" t="s">
        <v>1269</v>
      </c>
      <c r="F1231" s="17">
        <v>12</v>
      </c>
      <c r="G1231" s="18" t="s">
        <v>23</v>
      </c>
      <c r="H1231" s="17">
        <v>119.5</v>
      </c>
      <c r="I1231" s="8">
        <v>133.5</v>
      </c>
      <c r="J1231" s="21">
        <f t="shared" si="57"/>
        <v>0.11715481171548117</v>
      </c>
      <c r="K1231" s="1">
        <v>4</v>
      </c>
      <c r="L1231" s="24">
        <v>6.6</v>
      </c>
      <c r="M1231" s="24">
        <v>126.82499999999999</v>
      </c>
      <c r="N1231" s="21">
        <f t="shared" si="58"/>
        <v>6.1297071129707018E-2</v>
      </c>
      <c r="P1231" s="1">
        <v>10</v>
      </c>
      <c r="Q1231" s="24">
        <v>16.019999999999996</v>
      </c>
      <c r="R1231" s="24">
        <v>117.48</v>
      </c>
      <c r="S1231" s="21">
        <f t="shared" si="59"/>
        <v>-1.6903765690376535E-2</v>
      </c>
    </row>
    <row r="1232" spans="2:19" ht="11.4" customHeight="1" x14ac:dyDescent="0.2">
      <c r="B1232" s="24"/>
      <c r="C1232" s="7">
        <v>9215</v>
      </c>
      <c r="D1232" s="18" t="s">
        <v>1298</v>
      </c>
      <c r="E1232" s="18" t="s">
        <v>1269</v>
      </c>
      <c r="F1232" s="17">
        <v>24</v>
      </c>
      <c r="G1232" s="18" t="s">
        <v>23</v>
      </c>
      <c r="H1232" s="17">
        <v>34.5</v>
      </c>
      <c r="I1232" s="8">
        <v>51</v>
      </c>
      <c r="J1232" s="21">
        <f t="shared" si="57"/>
        <v>0.47826086956521741</v>
      </c>
      <c r="K1232" s="1">
        <v>4</v>
      </c>
      <c r="L1232" s="24">
        <v>2.5</v>
      </c>
      <c r="M1232" s="24">
        <v>48.449999999999996</v>
      </c>
      <c r="N1232" s="21">
        <f t="shared" si="58"/>
        <v>0.40434782608695641</v>
      </c>
      <c r="P1232" s="1">
        <v>10</v>
      </c>
      <c r="Q1232" s="24">
        <v>6.1199999999999974</v>
      </c>
      <c r="R1232" s="24">
        <v>44.88</v>
      </c>
      <c r="S1232" s="21">
        <f t="shared" si="59"/>
        <v>0.30086956521739139</v>
      </c>
    </row>
    <row r="1233" spans="2:19" ht="11.4" customHeight="1" x14ac:dyDescent="0.2">
      <c r="B1233" s="24"/>
      <c r="C1233" s="7">
        <v>16076</v>
      </c>
      <c r="D1233" s="18" t="s">
        <v>1299</v>
      </c>
      <c r="E1233" s="18" t="s">
        <v>1269</v>
      </c>
      <c r="F1233" s="17">
        <v>24</v>
      </c>
      <c r="G1233" s="18" t="s">
        <v>23</v>
      </c>
      <c r="H1233" s="17">
        <v>59.9</v>
      </c>
      <c r="I1233" s="8">
        <v>79.900000000000006</v>
      </c>
      <c r="J1233" s="21">
        <f t="shared" si="57"/>
        <v>0.33388981636060111</v>
      </c>
      <c r="K1233" s="1">
        <v>4</v>
      </c>
      <c r="L1233" s="24">
        <v>3.9</v>
      </c>
      <c r="M1233" s="24">
        <v>75.905000000000001</v>
      </c>
      <c r="N1233" s="21">
        <f t="shared" si="58"/>
        <v>0.26719532554257103</v>
      </c>
      <c r="P1233" s="1">
        <v>10</v>
      </c>
      <c r="Q1233" s="24">
        <v>9.5879999999999939</v>
      </c>
      <c r="R1233" s="24">
        <v>70.312000000000012</v>
      </c>
      <c r="S1233" s="21">
        <f t="shared" si="59"/>
        <v>0.1738230383973291</v>
      </c>
    </row>
    <row r="1234" spans="2:19" ht="11.4" customHeight="1" x14ac:dyDescent="0.2">
      <c r="B1234" s="24"/>
      <c r="C1234" s="7">
        <v>44775</v>
      </c>
      <c r="D1234" s="18" t="s">
        <v>1300</v>
      </c>
      <c r="E1234" s="18" t="s">
        <v>1269</v>
      </c>
      <c r="F1234" s="17">
        <v>24</v>
      </c>
      <c r="G1234" s="18" t="s">
        <v>23</v>
      </c>
      <c r="H1234" s="17">
        <v>43.5</v>
      </c>
      <c r="I1234" s="8">
        <v>65.5</v>
      </c>
      <c r="J1234" s="21">
        <f t="shared" si="57"/>
        <v>0.50574712643678166</v>
      </c>
      <c r="K1234" s="1">
        <v>4</v>
      </c>
      <c r="L1234" s="24">
        <v>3.2</v>
      </c>
      <c r="M1234" s="24">
        <v>62.224999999999994</v>
      </c>
      <c r="N1234" s="21">
        <f t="shared" si="58"/>
        <v>0.43045977011494241</v>
      </c>
      <c r="P1234" s="1">
        <v>10</v>
      </c>
      <c r="Q1234" s="24">
        <v>7.8599999999999994</v>
      </c>
      <c r="R1234" s="24">
        <v>57.64</v>
      </c>
      <c r="S1234" s="21">
        <f t="shared" si="59"/>
        <v>0.32505747126436785</v>
      </c>
    </row>
    <row r="1235" spans="2:19" ht="11.4" customHeight="1" x14ac:dyDescent="0.2">
      <c r="B1235" s="24"/>
      <c r="C1235" s="7">
        <v>14242</v>
      </c>
      <c r="D1235" s="18" t="s">
        <v>1301</v>
      </c>
      <c r="E1235" s="18" t="s">
        <v>1269</v>
      </c>
      <c r="F1235" s="17">
        <v>24</v>
      </c>
      <c r="G1235" s="18" t="s">
        <v>23</v>
      </c>
      <c r="H1235" s="17">
        <v>34.5</v>
      </c>
      <c r="I1235" s="8">
        <v>51</v>
      </c>
      <c r="J1235" s="21">
        <f t="shared" si="57"/>
        <v>0.47826086956521741</v>
      </c>
      <c r="K1235" s="1">
        <v>4</v>
      </c>
      <c r="L1235" s="24">
        <v>2.5</v>
      </c>
      <c r="M1235" s="24">
        <v>48.449999999999996</v>
      </c>
      <c r="N1235" s="21">
        <f t="shared" si="58"/>
        <v>0.40434782608695641</v>
      </c>
      <c r="P1235" s="1">
        <v>10</v>
      </c>
      <c r="Q1235" s="24">
        <v>6.1199999999999974</v>
      </c>
      <c r="R1235" s="24">
        <v>44.88</v>
      </c>
      <c r="S1235" s="21">
        <f t="shared" si="59"/>
        <v>0.30086956521739139</v>
      </c>
    </row>
    <row r="1236" spans="2:19" ht="11.4" customHeight="1" x14ac:dyDescent="0.2">
      <c r="B1236" s="24"/>
      <c r="C1236" s="7">
        <v>20491</v>
      </c>
      <c r="D1236" s="18" t="s">
        <v>1302</v>
      </c>
      <c r="E1236" s="18" t="s">
        <v>1282</v>
      </c>
      <c r="F1236" s="17">
        <v>10</v>
      </c>
      <c r="G1236" s="18" t="s">
        <v>23</v>
      </c>
      <c r="H1236" s="17">
        <v>34.5</v>
      </c>
      <c r="I1236" s="8">
        <v>45.5</v>
      </c>
      <c r="J1236" s="21">
        <f t="shared" si="57"/>
        <v>0.3188405797101449</v>
      </c>
      <c r="K1236" s="1">
        <v>4</v>
      </c>
      <c r="L1236" s="24">
        <v>2.2000000000000002</v>
      </c>
      <c r="M1236" s="24">
        <v>43.225000000000001</v>
      </c>
      <c r="N1236" s="21">
        <f t="shared" si="58"/>
        <v>0.25289855072463774</v>
      </c>
      <c r="P1236" s="1">
        <v>10</v>
      </c>
      <c r="Q1236" s="24">
        <v>5.4600000000000009</v>
      </c>
      <c r="R1236" s="24">
        <v>40.04</v>
      </c>
      <c r="S1236" s="21">
        <f t="shared" si="59"/>
        <v>0.1605797101449275</v>
      </c>
    </row>
    <row r="1237" spans="2:19" ht="11.4" customHeight="1" x14ac:dyDescent="0.2">
      <c r="B1237" s="24"/>
      <c r="C1237" s="7">
        <v>8491</v>
      </c>
      <c r="D1237" s="18" t="s">
        <v>1303</v>
      </c>
      <c r="E1237" s="18" t="s">
        <v>1269</v>
      </c>
      <c r="F1237" s="17">
        <v>24</v>
      </c>
      <c r="G1237" s="18" t="s">
        <v>23</v>
      </c>
      <c r="H1237" s="17">
        <v>69.5</v>
      </c>
      <c r="I1237" s="8">
        <v>90.5</v>
      </c>
      <c r="J1237" s="21">
        <f t="shared" si="57"/>
        <v>0.30215827338129497</v>
      </c>
      <c r="K1237" s="1">
        <v>4</v>
      </c>
      <c r="L1237" s="24">
        <v>4.5</v>
      </c>
      <c r="M1237" s="24">
        <v>85.974999999999994</v>
      </c>
      <c r="N1237" s="21">
        <f t="shared" si="58"/>
        <v>0.23705035971223012</v>
      </c>
      <c r="P1237" s="1">
        <v>10</v>
      </c>
      <c r="Q1237" s="24">
        <v>10.86</v>
      </c>
      <c r="R1237" s="24">
        <v>79.64</v>
      </c>
      <c r="S1237" s="21">
        <f t="shared" si="59"/>
        <v>0.14589928057553958</v>
      </c>
    </row>
    <row r="1238" spans="2:19" ht="11.4" customHeight="1" x14ac:dyDescent="0.2">
      <c r="B1238" s="24"/>
      <c r="C1238" s="7">
        <v>5667</v>
      </c>
      <c r="D1238" s="18" t="s">
        <v>1304</v>
      </c>
      <c r="E1238" s="18" t="s">
        <v>1269</v>
      </c>
      <c r="F1238" s="17">
        <v>24</v>
      </c>
      <c r="G1238" s="18" t="s">
        <v>23</v>
      </c>
      <c r="H1238" s="17">
        <v>44.9</v>
      </c>
      <c r="I1238" s="8">
        <v>51</v>
      </c>
      <c r="J1238" s="21">
        <f t="shared" si="57"/>
        <v>0.13585746102449892</v>
      </c>
      <c r="K1238" s="1">
        <v>4</v>
      </c>
      <c r="L1238" s="24">
        <v>2.5</v>
      </c>
      <c r="M1238" s="24">
        <v>48.449999999999996</v>
      </c>
      <c r="N1238" s="21">
        <f t="shared" si="58"/>
        <v>7.9064587973273884E-2</v>
      </c>
      <c r="P1238" s="1">
        <v>10</v>
      </c>
      <c r="Q1238" s="24">
        <v>6.1199999999999974</v>
      </c>
      <c r="R1238" s="24">
        <v>44.88</v>
      </c>
      <c r="S1238" s="21">
        <f t="shared" si="59"/>
        <v>-4.4543429844089133E-4</v>
      </c>
    </row>
    <row r="1239" spans="2:19" ht="11.4" customHeight="1" x14ac:dyDescent="0.2">
      <c r="B1239" s="24"/>
      <c r="C1239" s="7">
        <v>26560</v>
      </c>
      <c r="D1239" s="18" t="s">
        <v>1305</v>
      </c>
      <c r="E1239" s="18" t="s">
        <v>1269</v>
      </c>
      <c r="F1239" s="17">
        <v>15</v>
      </c>
      <c r="G1239" s="18" t="s">
        <v>23</v>
      </c>
      <c r="H1239" s="17">
        <v>40.14</v>
      </c>
      <c r="I1239" s="8">
        <v>54.2</v>
      </c>
      <c r="J1239" s="21">
        <f t="shared" si="57"/>
        <v>0.35027404085700053</v>
      </c>
      <c r="K1239" s="1">
        <v>4</v>
      </c>
      <c r="L1239" s="24">
        <v>2.7</v>
      </c>
      <c r="M1239" s="24">
        <v>51.49</v>
      </c>
      <c r="N1239" s="21">
        <f t="shared" si="58"/>
        <v>0.28276033881415052</v>
      </c>
      <c r="P1239" s="1">
        <v>10</v>
      </c>
      <c r="Q1239" s="24">
        <v>6.5039999999999978</v>
      </c>
      <c r="R1239" s="24">
        <v>47.696000000000005</v>
      </c>
      <c r="S1239" s="21">
        <f t="shared" si="59"/>
        <v>0.18824115595416055</v>
      </c>
    </row>
    <row r="1240" spans="2:19" ht="11.4" customHeight="1" x14ac:dyDescent="0.2">
      <c r="B1240" s="24"/>
      <c r="C1240" s="7">
        <v>10314</v>
      </c>
      <c r="D1240" s="18" t="s">
        <v>1306</v>
      </c>
      <c r="E1240" s="18" t="s">
        <v>1269</v>
      </c>
      <c r="F1240" s="17">
        <v>24</v>
      </c>
      <c r="G1240" s="18" t="s">
        <v>23</v>
      </c>
      <c r="H1240" s="17">
        <v>38.4</v>
      </c>
      <c r="I1240" s="8">
        <v>62.2</v>
      </c>
      <c r="J1240" s="21">
        <f t="shared" si="57"/>
        <v>0.61979166666666685</v>
      </c>
      <c r="K1240" s="1">
        <v>4</v>
      </c>
      <c r="L1240" s="24">
        <v>3.1</v>
      </c>
      <c r="M1240" s="24">
        <v>59.09</v>
      </c>
      <c r="N1240" s="21">
        <f t="shared" si="58"/>
        <v>0.53880208333333346</v>
      </c>
      <c r="P1240" s="1">
        <v>10</v>
      </c>
      <c r="Q1240" s="24">
        <v>7.4639999999999986</v>
      </c>
      <c r="R1240" s="24">
        <v>54.736000000000004</v>
      </c>
      <c r="S1240" s="21">
        <f t="shared" si="59"/>
        <v>0.42541666666666683</v>
      </c>
    </row>
    <row r="1241" spans="2:19" ht="11.4" customHeight="1" x14ac:dyDescent="0.2">
      <c r="B1241" s="24"/>
      <c r="C1241" s="7">
        <v>1820</v>
      </c>
      <c r="D1241" s="18" t="s">
        <v>1307</v>
      </c>
      <c r="E1241" s="18" t="s">
        <v>1269</v>
      </c>
      <c r="F1241" s="17">
        <v>24</v>
      </c>
      <c r="G1241" s="18" t="s">
        <v>23</v>
      </c>
      <c r="H1241" s="17">
        <v>42.9</v>
      </c>
      <c r="I1241" s="8">
        <v>62.2</v>
      </c>
      <c r="J1241" s="21">
        <f t="shared" si="57"/>
        <v>0.44988344988344997</v>
      </c>
      <c r="K1241" s="1">
        <v>4</v>
      </c>
      <c r="L1241" s="24">
        <v>3.1</v>
      </c>
      <c r="M1241" s="24">
        <v>59.09</v>
      </c>
      <c r="N1241" s="21">
        <f t="shared" si="58"/>
        <v>0.37738927738927752</v>
      </c>
      <c r="P1241" s="1">
        <v>10</v>
      </c>
      <c r="Q1241" s="24">
        <v>7.4639999999999986</v>
      </c>
      <c r="R1241" s="24">
        <v>54.736000000000004</v>
      </c>
      <c r="S1241" s="21">
        <f t="shared" si="59"/>
        <v>0.27589743589743604</v>
      </c>
    </row>
    <row r="1242" spans="2:19" ht="11.4" customHeight="1" x14ac:dyDescent="0.2">
      <c r="B1242" s="24"/>
      <c r="C1242" s="7">
        <v>14022</v>
      </c>
      <c r="D1242" s="18" t="s">
        <v>1308</v>
      </c>
      <c r="E1242" s="18" t="s">
        <v>1269</v>
      </c>
      <c r="F1242" s="17">
        <v>12</v>
      </c>
      <c r="G1242" s="18" t="s">
        <v>23</v>
      </c>
      <c r="H1242" s="17">
        <v>67.2</v>
      </c>
      <c r="I1242" s="8">
        <v>90.9</v>
      </c>
      <c r="J1242" s="21">
        <f t="shared" si="57"/>
        <v>0.35267857142857145</v>
      </c>
      <c r="K1242" s="1">
        <v>4</v>
      </c>
      <c r="L1242" s="24">
        <v>4.5</v>
      </c>
      <c r="M1242" s="24">
        <v>86.355000000000004</v>
      </c>
      <c r="N1242" s="21">
        <f t="shared" si="58"/>
        <v>0.28504464285714287</v>
      </c>
      <c r="P1242" s="1">
        <v>10</v>
      </c>
      <c r="Q1242" s="24">
        <v>10.908000000000001</v>
      </c>
      <c r="R1242" s="24">
        <v>79.992000000000004</v>
      </c>
      <c r="S1242" s="21">
        <f t="shared" si="59"/>
        <v>0.19035714285714286</v>
      </c>
    </row>
    <row r="1243" spans="2:19" ht="11.4" customHeight="1" x14ac:dyDescent="0.2">
      <c r="B1243" s="24"/>
      <c r="C1243" s="7">
        <v>5135</v>
      </c>
      <c r="D1243" s="18" t="s">
        <v>1309</v>
      </c>
      <c r="E1243" s="18" t="s">
        <v>1282</v>
      </c>
      <c r="F1243" s="17">
        <v>24</v>
      </c>
      <c r="G1243" s="18" t="s">
        <v>23</v>
      </c>
      <c r="H1243" s="17">
        <v>51.5</v>
      </c>
      <c r="I1243" s="8">
        <v>53.9</v>
      </c>
      <c r="J1243" s="21">
        <f t="shared" si="57"/>
        <v>4.6601941747572789E-2</v>
      </c>
      <c r="K1243" s="1">
        <v>4</v>
      </c>
      <c r="L1243" s="24">
        <v>2.6</v>
      </c>
      <c r="M1243" s="24">
        <v>51.204999999999998</v>
      </c>
      <c r="N1243" s="21">
        <f t="shared" si="58"/>
        <v>-5.7281553398058583E-3</v>
      </c>
      <c r="P1243" s="1">
        <v>10</v>
      </c>
      <c r="Q1243" s="24">
        <v>6.4679999999999964</v>
      </c>
      <c r="R1243" s="24">
        <v>47.432000000000002</v>
      </c>
      <c r="S1243" s="21">
        <f t="shared" si="59"/>
        <v>-7.8990291262135887E-2</v>
      </c>
    </row>
    <row r="1244" spans="2:19" ht="11.4" customHeight="1" x14ac:dyDescent="0.2">
      <c r="B1244" s="24"/>
      <c r="C1244" s="7">
        <v>9044</v>
      </c>
      <c r="D1244" s="18" t="s">
        <v>1310</v>
      </c>
      <c r="E1244" s="18" t="s">
        <v>1269</v>
      </c>
      <c r="F1244" s="17">
        <v>24</v>
      </c>
      <c r="G1244" s="18" t="s">
        <v>23</v>
      </c>
      <c r="H1244" s="17">
        <v>44.9</v>
      </c>
      <c r="I1244" s="8">
        <v>51</v>
      </c>
      <c r="J1244" s="21">
        <f t="shared" si="57"/>
        <v>0.13585746102449892</v>
      </c>
      <c r="K1244" s="1">
        <v>4</v>
      </c>
      <c r="L1244" s="24">
        <v>2.5</v>
      </c>
      <c r="M1244" s="24">
        <v>48.449999999999996</v>
      </c>
      <c r="N1244" s="21">
        <f t="shared" si="58"/>
        <v>7.9064587973273884E-2</v>
      </c>
      <c r="P1244" s="1">
        <v>10</v>
      </c>
      <c r="Q1244" s="24">
        <v>6.1199999999999974</v>
      </c>
      <c r="R1244" s="24">
        <v>44.88</v>
      </c>
      <c r="S1244" s="21">
        <f t="shared" si="59"/>
        <v>-4.4543429844089133E-4</v>
      </c>
    </row>
    <row r="1245" spans="2:19" ht="11.4" customHeight="1" x14ac:dyDescent="0.2">
      <c r="B1245" s="24"/>
      <c r="C1245" s="7">
        <v>11478</v>
      </c>
      <c r="D1245" s="18" t="s">
        <v>1311</v>
      </c>
      <c r="E1245" s="18" t="s">
        <v>1282</v>
      </c>
      <c r="F1245" s="17">
        <v>10</v>
      </c>
      <c r="G1245" s="18" t="s">
        <v>23</v>
      </c>
      <c r="H1245" s="17">
        <v>34.5</v>
      </c>
      <c r="I1245" s="8">
        <v>45.5</v>
      </c>
      <c r="J1245" s="21">
        <f t="shared" si="57"/>
        <v>0.3188405797101449</v>
      </c>
      <c r="K1245" s="1">
        <v>4</v>
      </c>
      <c r="L1245" s="24">
        <v>2.2000000000000002</v>
      </c>
      <c r="M1245" s="24">
        <v>43.225000000000001</v>
      </c>
      <c r="N1245" s="21">
        <f t="shared" si="58"/>
        <v>0.25289855072463774</v>
      </c>
      <c r="P1245" s="1">
        <v>10</v>
      </c>
      <c r="Q1245" s="24">
        <v>5.4600000000000009</v>
      </c>
      <c r="R1245" s="24">
        <v>40.04</v>
      </c>
      <c r="S1245" s="21">
        <f t="shared" si="59"/>
        <v>0.1605797101449275</v>
      </c>
    </row>
    <row r="1246" spans="2:19" ht="11.4" customHeight="1" x14ac:dyDescent="0.2">
      <c r="B1246" s="24"/>
      <c r="C1246" s="7">
        <v>36319</v>
      </c>
      <c r="D1246" s="18" t="s">
        <v>1312</v>
      </c>
      <c r="E1246" s="18" t="s">
        <v>1269</v>
      </c>
      <c r="F1246" s="17">
        <v>24</v>
      </c>
      <c r="G1246" s="18" t="s">
        <v>23</v>
      </c>
      <c r="H1246" s="17">
        <v>46.1</v>
      </c>
      <c r="I1246" s="8">
        <v>58.2</v>
      </c>
      <c r="J1246" s="21">
        <f t="shared" si="57"/>
        <v>0.26247288503253796</v>
      </c>
      <c r="K1246" s="1">
        <v>4</v>
      </c>
      <c r="L1246" s="24">
        <v>2.9</v>
      </c>
      <c r="M1246" s="24">
        <v>55.29</v>
      </c>
      <c r="N1246" s="21">
        <f t="shared" si="58"/>
        <v>0.19934924078091101</v>
      </c>
      <c r="P1246" s="1">
        <v>10</v>
      </c>
      <c r="Q1246" s="24">
        <v>6.9840000000000018</v>
      </c>
      <c r="R1246" s="24">
        <v>51.216000000000001</v>
      </c>
      <c r="S1246" s="21">
        <f t="shared" si="59"/>
        <v>0.1109761388286334</v>
      </c>
    </row>
    <row r="1247" spans="2:19" ht="11.4" customHeight="1" x14ac:dyDescent="0.2">
      <c r="B1247" s="24"/>
      <c r="C1247" s="7">
        <v>44779</v>
      </c>
      <c r="D1247" s="18" t="s">
        <v>1313</v>
      </c>
      <c r="E1247" s="18" t="s">
        <v>1269</v>
      </c>
      <c r="F1247" s="17">
        <v>12</v>
      </c>
      <c r="G1247" s="18" t="s">
        <v>23</v>
      </c>
      <c r="H1247" s="17">
        <v>57.36</v>
      </c>
      <c r="I1247" s="8">
        <v>86</v>
      </c>
      <c r="J1247" s="21">
        <f t="shared" si="57"/>
        <v>0.49930264993026502</v>
      </c>
      <c r="K1247" s="1">
        <v>4</v>
      </c>
      <c r="L1247" s="24">
        <v>4.3</v>
      </c>
      <c r="M1247" s="24">
        <v>81.7</v>
      </c>
      <c r="N1247" s="21">
        <f t="shared" si="58"/>
        <v>0.42433751743375181</v>
      </c>
      <c r="P1247" s="1">
        <v>10</v>
      </c>
      <c r="Q1247" s="24">
        <v>10.319999999999993</v>
      </c>
      <c r="R1247" s="24">
        <v>75.680000000000007</v>
      </c>
      <c r="S1247" s="21">
        <f t="shared" si="59"/>
        <v>0.31938633193863331</v>
      </c>
    </row>
    <row r="1248" spans="2:19" ht="11.4" customHeight="1" x14ac:dyDescent="0.2">
      <c r="B1248" s="24"/>
      <c r="C1248" s="7">
        <v>44780</v>
      </c>
      <c r="D1248" s="18" t="s">
        <v>1314</v>
      </c>
      <c r="E1248" s="18" t="s">
        <v>1269</v>
      </c>
      <c r="F1248" s="17">
        <v>12</v>
      </c>
      <c r="G1248" s="18" t="s">
        <v>23</v>
      </c>
      <c r="H1248" s="17">
        <v>47.34</v>
      </c>
      <c r="I1248" s="8">
        <v>71</v>
      </c>
      <c r="J1248" s="21">
        <f t="shared" si="57"/>
        <v>0.49978876214617651</v>
      </c>
      <c r="K1248" s="1">
        <v>4</v>
      </c>
      <c r="L1248" s="24">
        <v>3.5</v>
      </c>
      <c r="M1248" s="24">
        <v>67.45</v>
      </c>
      <c r="N1248" s="21">
        <f t="shared" si="58"/>
        <v>0.42479932403886772</v>
      </c>
      <c r="P1248" s="1">
        <v>10</v>
      </c>
      <c r="Q1248" s="24">
        <v>8.5200000000000031</v>
      </c>
      <c r="R1248" s="24">
        <v>62.48</v>
      </c>
      <c r="S1248" s="21">
        <f t="shared" si="59"/>
        <v>0.31981411068863524</v>
      </c>
    </row>
    <row r="1249" spans="2:19" ht="11.4" customHeight="1" x14ac:dyDescent="0.2">
      <c r="B1249" s="24"/>
      <c r="C1249" s="7">
        <v>8330</v>
      </c>
      <c r="D1249" s="18" t="s">
        <v>1315</v>
      </c>
      <c r="E1249" s="18" t="s">
        <v>1269</v>
      </c>
      <c r="F1249" s="17">
        <v>20</v>
      </c>
      <c r="G1249" s="18" t="s">
        <v>23</v>
      </c>
      <c r="H1249" s="17">
        <v>42.3</v>
      </c>
      <c r="I1249" s="8">
        <v>49.9</v>
      </c>
      <c r="J1249" s="21">
        <f t="shared" si="57"/>
        <v>0.17966903073286056</v>
      </c>
      <c r="K1249" s="1">
        <v>4</v>
      </c>
      <c r="L1249" s="24">
        <v>2.4</v>
      </c>
      <c r="M1249" s="24">
        <v>47.404999999999994</v>
      </c>
      <c r="N1249" s="21">
        <f t="shared" si="58"/>
        <v>0.12068557919621743</v>
      </c>
      <c r="P1249" s="1">
        <v>10</v>
      </c>
      <c r="Q1249" s="24">
        <v>5.9879999999999995</v>
      </c>
      <c r="R1249" s="24">
        <v>43.911999999999999</v>
      </c>
      <c r="S1249" s="21">
        <f t="shared" si="59"/>
        <v>3.8108747044917304E-2</v>
      </c>
    </row>
    <row r="1250" spans="2:19" ht="11.4" customHeight="1" x14ac:dyDescent="0.2">
      <c r="B1250" s="24"/>
      <c r="C1250" s="7">
        <v>39297</v>
      </c>
      <c r="D1250" s="18" t="s">
        <v>1316</v>
      </c>
      <c r="E1250" s="18" t="s">
        <v>1269</v>
      </c>
      <c r="F1250" s="17">
        <v>12</v>
      </c>
      <c r="G1250" s="18" t="s">
        <v>23</v>
      </c>
      <c r="H1250" s="17">
        <v>99.5</v>
      </c>
      <c r="I1250" s="8">
        <v>128</v>
      </c>
      <c r="J1250" s="21">
        <f t="shared" si="57"/>
        <v>0.28643216080402012</v>
      </c>
      <c r="K1250" s="1">
        <v>4</v>
      </c>
      <c r="L1250" s="24">
        <v>6.4</v>
      </c>
      <c r="M1250" s="24">
        <v>121.6</v>
      </c>
      <c r="N1250" s="21">
        <f t="shared" si="58"/>
        <v>0.22211055276381902</v>
      </c>
      <c r="P1250" s="1">
        <v>10</v>
      </c>
      <c r="Q1250" s="24">
        <v>15.36</v>
      </c>
      <c r="R1250" s="24">
        <v>112.64</v>
      </c>
      <c r="S1250" s="21">
        <f t="shared" si="59"/>
        <v>0.1320603015075377</v>
      </c>
    </row>
    <row r="1251" spans="2:19" ht="11.4" customHeight="1" x14ac:dyDescent="0.2">
      <c r="B1251" s="24"/>
      <c r="C1251" s="7">
        <v>36321</v>
      </c>
      <c r="D1251" s="18" t="s">
        <v>1317</v>
      </c>
      <c r="E1251" s="18" t="s">
        <v>1282</v>
      </c>
      <c r="F1251" s="17">
        <v>10</v>
      </c>
      <c r="G1251" s="18" t="s">
        <v>23</v>
      </c>
      <c r="H1251" s="17">
        <v>37.299999999999997</v>
      </c>
      <c r="I1251" s="8">
        <v>42.9</v>
      </c>
      <c r="J1251" s="21">
        <f t="shared" si="57"/>
        <v>0.1501340482573727</v>
      </c>
      <c r="K1251" s="1">
        <v>4</v>
      </c>
      <c r="L1251" s="24">
        <v>2.1</v>
      </c>
      <c r="M1251" s="24">
        <v>40.754999999999995</v>
      </c>
      <c r="N1251" s="21">
        <f t="shared" si="58"/>
        <v>9.262734584450398E-2</v>
      </c>
      <c r="P1251" s="1">
        <v>10</v>
      </c>
      <c r="Q1251" s="24">
        <v>5.1479999999999961</v>
      </c>
      <c r="R1251" s="24">
        <v>37.752000000000002</v>
      </c>
      <c r="S1251" s="21">
        <f t="shared" si="59"/>
        <v>1.2117962466488079E-2</v>
      </c>
    </row>
    <row r="1252" spans="2:19" ht="11.4" customHeight="1" x14ac:dyDescent="0.2">
      <c r="B1252" s="24"/>
      <c r="C1252" s="7">
        <v>11454</v>
      </c>
      <c r="D1252" s="18" t="s">
        <v>1318</v>
      </c>
      <c r="E1252" s="18" t="s">
        <v>1282</v>
      </c>
      <c r="F1252" s="17">
        <v>10</v>
      </c>
      <c r="G1252" s="18" t="s">
        <v>23</v>
      </c>
      <c r="H1252" s="17">
        <v>34.5</v>
      </c>
      <c r="I1252" s="8">
        <v>45.5</v>
      </c>
      <c r="J1252" s="21">
        <f t="shared" si="57"/>
        <v>0.3188405797101449</v>
      </c>
      <c r="K1252" s="1">
        <v>4</v>
      </c>
      <c r="L1252" s="24">
        <v>2.2000000000000002</v>
      </c>
      <c r="M1252" s="24">
        <v>43.225000000000001</v>
      </c>
      <c r="N1252" s="21">
        <f t="shared" si="58"/>
        <v>0.25289855072463774</v>
      </c>
      <c r="P1252" s="1">
        <v>10</v>
      </c>
      <c r="Q1252" s="24">
        <v>5.4600000000000009</v>
      </c>
      <c r="R1252" s="24">
        <v>40.04</v>
      </c>
      <c r="S1252" s="21">
        <f t="shared" si="59"/>
        <v>0.1605797101449275</v>
      </c>
    </row>
    <row r="1253" spans="2:19" ht="11.4" customHeight="1" x14ac:dyDescent="0.2">
      <c r="B1253" s="24"/>
      <c r="C1253" s="7">
        <v>4013</v>
      </c>
      <c r="D1253" s="18" t="s">
        <v>1319</v>
      </c>
      <c r="E1253" s="18" t="s">
        <v>1269</v>
      </c>
      <c r="F1253" s="17">
        <v>24</v>
      </c>
      <c r="G1253" s="18" t="s">
        <v>23</v>
      </c>
      <c r="H1253" s="17">
        <v>44.9</v>
      </c>
      <c r="I1253" s="8">
        <v>51</v>
      </c>
      <c r="J1253" s="21">
        <f t="shared" si="57"/>
        <v>0.13585746102449892</v>
      </c>
      <c r="K1253" s="1">
        <v>4</v>
      </c>
      <c r="L1253" s="24">
        <v>2.5</v>
      </c>
      <c r="M1253" s="24">
        <v>48.449999999999996</v>
      </c>
      <c r="N1253" s="21">
        <f t="shared" si="58"/>
        <v>7.9064587973273884E-2</v>
      </c>
      <c r="P1253" s="1">
        <v>10</v>
      </c>
      <c r="Q1253" s="24">
        <v>6.1199999999999974</v>
      </c>
      <c r="R1253" s="24">
        <v>44.88</v>
      </c>
      <c r="S1253" s="21">
        <f t="shared" si="59"/>
        <v>-4.4543429844089133E-4</v>
      </c>
    </row>
    <row r="1254" spans="2:19" ht="11.4" customHeight="1" x14ac:dyDescent="0.2">
      <c r="B1254" s="24"/>
      <c r="C1254" s="7">
        <v>9302</v>
      </c>
      <c r="D1254" s="18" t="s">
        <v>1320</v>
      </c>
      <c r="E1254" s="18" t="s">
        <v>1269</v>
      </c>
      <c r="F1254" s="17">
        <v>24</v>
      </c>
      <c r="G1254" s="18" t="s">
        <v>23</v>
      </c>
      <c r="H1254" s="17">
        <v>44.9</v>
      </c>
      <c r="I1254" s="8">
        <v>51</v>
      </c>
      <c r="J1254" s="21">
        <f t="shared" si="57"/>
        <v>0.13585746102449892</v>
      </c>
      <c r="K1254" s="1">
        <v>4</v>
      </c>
      <c r="L1254" s="24">
        <v>2.5</v>
      </c>
      <c r="M1254" s="24">
        <v>48.449999999999996</v>
      </c>
      <c r="N1254" s="21">
        <f t="shared" si="58"/>
        <v>7.9064587973273884E-2</v>
      </c>
      <c r="P1254" s="1">
        <v>10</v>
      </c>
      <c r="Q1254" s="24">
        <v>6.1199999999999974</v>
      </c>
      <c r="R1254" s="24">
        <v>44.88</v>
      </c>
      <c r="S1254" s="21">
        <f t="shared" si="59"/>
        <v>-4.4543429844089133E-4</v>
      </c>
    </row>
    <row r="1255" spans="2:19" ht="11.4" customHeight="1" x14ac:dyDescent="0.2">
      <c r="B1255" s="24"/>
      <c r="C1255" s="7">
        <v>10861</v>
      </c>
      <c r="D1255" s="18" t="s">
        <v>1321</v>
      </c>
      <c r="E1255" s="18" t="s">
        <v>1269</v>
      </c>
      <c r="F1255" s="17">
        <v>12</v>
      </c>
      <c r="G1255" s="18" t="s">
        <v>23</v>
      </c>
      <c r="H1255" s="17">
        <v>59.9</v>
      </c>
      <c r="I1255" s="8">
        <v>79.900000000000006</v>
      </c>
      <c r="J1255" s="21">
        <f t="shared" si="57"/>
        <v>0.33388981636060111</v>
      </c>
      <c r="K1255" s="1">
        <v>4</v>
      </c>
      <c r="L1255" s="24">
        <v>3.9</v>
      </c>
      <c r="M1255" s="24">
        <v>75.905000000000001</v>
      </c>
      <c r="N1255" s="21">
        <f t="shared" si="58"/>
        <v>0.26719532554257103</v>
      </c>
      <c r="P1255" s="1">
        <v>10</v>
      </c>
      <c r="Q1255" s="24">
        <v>9.5879999999999939</v>
      </c>
      <c r="R1255" s="24">
        <v>70.312000000000012</v>
      </c>
      <c r="S1255" s="21">
        <f t="shared" si="59"/>
        <v>0.1738230383973291</v>
      </c>
    </row>
    <row r="1256" spans="2:19" ht="11.4" customHeight="1" x14ac:dyDescent="0.2">
      <c r="B1256" s="24"/>
      <c r="C1256" s="7">
        <v>34055</v>
      </c>
      <c r="D1256" s="18" t="s">
        <v>1322</v>
      </c>
      <c r="E1256" s="18" t="s">
        <v>1282</v>
      </c>
      <c r="F1256" s="17">
        <v>10</v>
      </c>
      <c r="G1256" s="18" t="s">
        <v>23</v>
      </c>
      <c r="H1256" s="17">
        <v>22.9</v>
      </c>
      <c r="I1256" s="8">
        <v>31.2</v>
      </c>
      <c r="J1256" s="21">
        <f t="shared" si="57"/>
        <v>0.36244541484716164</v>
      </c>
      <c r="K1256" s="1">
        <v>4</v>
      </c>
      <c r="L1256" s="24">
        <v>1.5</v>
      </c>
      <c r="M1256" s="24">
        <v>29.639999999999997</v>
      </c>
      <c r="N1256" s="21">
        <f t="shared" si="58"/>
        <v>0.29432314410480342</v>
      </c>
      <c r="P1256" s="1">
        <v>10</v>
      </c>
      <c r="Q1256" s="24">
        <v>3.7439999999999998</v>
      </c>
      <c r="R1256" s="24">
        <v>27.456</v>
      </c>
      <c r="S1256" s="21">
        <f t="shared" si="59"/>
        <v>0.19895196506550222</v>
      </c>
    </row>
    <row r="1257" spans="2:19" ht="11.4" customHeight="1" x14ac:dyDescent="0.2">
      <c r="B1257" s="24"/>
      <c r="C1257" s="7">
        <v>36331</v>
      </c>
      <c r="D1257" s="18" t="s">
        <v>1323</v>
      </c>
      <c r="E1257" s="18" t="s">
        <v>1269</v>
      </c>
      <c r="F1257" s="17">
        <v>20</v>
      </c>
      <c r="G1257" s="18" t="s">
        <v>23</v>
      </c>
      <c r="H1257" s="17">
        <v>46.7</v>
      </c>
      <c r="I1257" s="8">
        <v>55.6</v>
      </c>
      <c r="J1257" s="21">
        <f t="shared" si="57"/>
        <v>0.19057815845824408</v>
      </c>
      <c r="K1257" s="1">
        <v>4</v>
      </c>
      <c r="L1257" s="24">
        <v>2.7</v>
      </c>
      <c r="M1257" s="24">
        <v>52.82</v>
      </c>
      <c r="N1257" s="21">
        <f t="shared" si="58"/>
        <v>0.13104925053533184</v>
      </c>
      <c r="P1257" s="1">
        <v>10</v>
      </c>
      <c r="Q1257" s="24">
        <v>6.671999999999997</v>
      </c>
      <c r="R1257" s="24">
        <v>48.928000000000004</v>
      </c>
      <c r="S1257" s="21">
        <f t="shared" si="59"/>
        <v>4.7708779443254849E-2</v>
      </c>
    </row>
    <row r="1258" spans="2:19" ht="11.4" customHeight="1" x14ac:dyDescent="0.2">
      <c r="B1258" s="24"/>
      <c r="C1258" s="7">
        <v>36330</v>
      </c>
      <c r="D1258" s="18" t="s">
        <v>1324</v>
      </c>
      <c r="E1258" s="18" t="s">
        <v>1269</v>
      </c>
      <c r="F1258" s="17">
        <v>22</v>
      </c>
      <c r="G1258" s="18" t="s">
        <v>23</v>
      </c>
      <c r="H1258" s="17">
        <v>53.9</v>
      </c>
      <c r="I1258" s="8">
        <v>69</v>
      </c>
      <c r="J1258" s="21">
        <f t="shared" si="57"/>
        <v>0.28014842300556592</v>
      </c>
      <c r="K1258" s="1">
        <v>4</v>
      </c>
      <c r="L1258" s="24">
        <v>3.4</v>
      </c>
      <c r="M1258" s="24">
        <v>65.55</v>
      </c>
      <c r="N1258" s="21">
        <f t="shared" si="58"/>
        <v>0.21614100185528756</v>
      </c>
      <c r="P1258" s="1">
        <v>10</v>
      </c>
      <c r="Q1258" s="24">
        <v>8.2800000000000011</v>
      </c>
      <c r="R1258" s="24">
        <v>60.72</v>
      </c>
      <c r="S1258" s="21">
        <f t="shared" si="59"/>
        <v>0.12653061224489798</v>
      </c>
    </row>
    <row r="1259" spans="2:19" ht="11.4" customHeight="1" x14ac:dyDescent="0.2">
      <c r="B1259" s="24"/>
      <c r="C1259" s="7">
        <v>36332</v>
      </c>
      <c r="D1259" s="18" t="s">
        <v>1325</v>
      </c>
      <c r="E1259" s="18" t="s">
        <v>1269</v>
      </c>
      <c r="F1259" s="17">
        <v>20</v>
      </c>
      <c r="G1259" s="18" t="s">
        <v>23</v>
      </c>
      <c r="H1259" s="17">
        <v>46.7</v>
      </c>
      <c r="I1259" s="8">
        <v>55.6</v>
      </c>
      <c r="J1259" s="21">
        <f t="shared" si="57"/>
        <v>0.19057815845824408</v>
      </c>
      <c r="K1259" s="1">
        <v>4</v>
      </c>
      <c r="L1259" s="24">
        <v>2.7</v>
      </c>
      <c r="M1259" s="24">
        <v>52.82</v>
      </c>
      <c r="N1259" s="21">
        <f t="shared" si="58"/>
        <v>0.13104925053533184</v>
      </c>
      <c r="P1259" s="1">
        <v>10</v>
      </c>
      <c r="Q1259" s="24">
        <v>6.671999999999997</v>
      </c>
      <c r="R1259" s="24">
        <v>48.928000000000004</v>
      </c>
      <c r="S1259" s="21">
        <f t="shared" si="59"/>
        <v>4.7708779443254849E-2</v>
      </c>
    </row>
    <row r="1260" spans="2:19" ht="11.4" customHeight="1" x14ac:dyDescent="0.2">
      <c r="B1260" s="24"/>
      <c r="C1260" s="7">
        <v>34056</v>
      </c>
      <c r="D1260" s="18" t="s">
        <v>1326</v>
      </c>
      <c r="E1260" s="18" t="s">
        <v>1282</v>
      </c>
      <c r="F1260" s="17">
        <v>10</v>
      </c>
      <c r="G1260" s="18" t="s">
        <v>23</v>
      </c>
      <c r="H1260" s="17">
        <v>22.9</v>
      </c>
      <c r="I1260" s="8">
        <v>26.9</v>
      </c>
      <c r="J1260" s="21">
        <f t="shared" si="57"/>
        <v>0.17467248908296945</v>
      </c>
      <c r="K1260" s="1">
        <v>4</v>
      </c>
      <c r="L1260" s="24">
        <v>1.3</v>
      </c>
      <c r="M1260" s="24">
        <v>25.554999999999996</v>
      </c>
      <c r="N1260" s="21">
        <f t="shared" si="58"/>
        <v>0.11593886462882086</v>
      </c>
      <c r="P1260" s="1">
        <v>10</v>
      </c>
      <c r="Q1260" s="24">
        <v>3.227999999999998</v>
      </c>
      <c r="R1260" s="24">
        <v>23.672000000000001</v>
      </c>
      <c r="S1260" s="21">
        <f t="shared" si="59"/>
        <v>3.371179039301319E-2</v>
      </c>
    </row>
    <row r="1261" spans="2:19" ht="11.4" customHeight="1" x14ac:dyDescent="0.2">
      <c r="B1261" s="24"/>
      <c r="C1261" s="7">
        <v>40129</v>
      </c>
      <c r="D1261" s="18" t="s">
        <v>1327</v>
      </c>
      <c r="E1261" s="18" t="s">
        <v>1269</v>
      </c>
      <c r="F1261" s="17">
        <v>24</v>
      </c>
      <c r="G1261" s="18" t="s">
        <v>23</v>
      </c>
      <c r="H1261" s="17">
        <v>34.5</v>
      </c>
      <c r="I1261" s="8">
        <v>51</v>
      </c>
      <c r="J1261" s="21">
        <f t="shared" si="57"/>
        <v>0.47826086956521741</v>
      </c>
      <c r="K1261" s="1">
        <v>4</v>
      </c>
      <c r="L1261" s="24">
        <v>2.5</v>
      </c>
      <c r="M1261" s="24">
        <v>48.449999999999996</v>
      </c>
      <c r="N1261" s="21">
        <f t="shared" si="58"/>
        <v>0.40434782608695641</v>
      </c>
      <c r="P1261" s="1">
        <v>10</v>
      </c>
      <c r="Q1261" s="24">
        <v>6.1199999999999974</v>
      </c>
      <c r="R1261" s="24">
        <v>44.88</v>
      </c>
      <c r="S1261" s="21">
        <f t="shared" si="59"/>
        <v>0.30086956521739139</v>
      </c>
    </row>
    <row r="1262" spans="2:19" ht="11.4" customHeight="1" x14ac:dyDescent="0.2">
      <c r="B1262" s="24"/>
      <c r="C1262" s="7">
        <v>11481</v>
      </c>
      <c r="D1262" s="18" t="s">
        <v>1328</v>
      </c>
      <c r="E1262" s="18" t="s">
        <v>1282</v>
      </c>
      <c r="F1262" s="17">
        <v>10</v>
      </c>
      <c r="G1262" s="18" t="s">
        <v>23</v>
      </c>
      <c r="H1262" s="17">
        <v>34.5</v>
      </c>
      <c r="I1262" s="8">
        <v>45.5</v>
      </c>
      <c r="J1262" s="21">
        <f t="shared" si="57"/>
        <v>0.3188405797101449</v>
      </c>
      <c r="K1262" s="1">
        <v>4</v>
      </c>
      <c r="L1262" s="24">
        <v>2.2000000000000002</v>
      </c>
      <c r="M1262" s="24">
        <v>43.225000000000001</v>
      </c>
      <c r="N1262" s="21">
        <f t="shared" si="58"/>
        <v>0.25289855072463774</v>
      </c>
      <c r="P1262" s="1">
        <v>10</v>
      </c>
      <c r="Q1262" s="24">
        <v>5.4600000000000009</v>
      </c>
      <c r="R1262" s="24">
        <v>40.04</v>
      </c>
      <c r="S1262" s="21">
        <f t="shared" si="59"/>
        <v>0.1605797101449275</v>
      </c>
    </row>
    <row r="1263" spans="2:19" ht="11.4" customHeight="1" x14ac:dyDescent="0.2">
      <c r="B1263" s="24"/>
      <c r="C1263" s="7">
        <v>34054</v>
      </c>
      <c r="D1263" s="18" t="s">
        <v>1329</v>
      </c>
      <c r="E1263" s="18" t="s">
        <v>1282</v>
      </c>
      <c r="F1263" s="17">
        <v>10</v>
      </c>
      <c r="G1263" s="18" t="s">
        <v>23</v>
      </c>
      <c r="H1263" s="17">
        <v>22.9</v>
      </c>
      <c r="I1263" s="8">
        <v>31.2</v>
      </c>
      <c r="J1263" s="21">
        <f t="shared" si="57"/>
        <v>0.36244541484716164</v>
      </c>
      <c r="K1263" s="1">
        <v>4</v>
      </c>
      <c r="L1263" s="24">
        <v>1.5</v>
      </c>
      <c r="M1263" s="24">
        <v>29.639999999999997</v>
      </c>
      <c r="N1263" s="21">
        <f t="shared" si="58"/>
        <v>0.29432314410480342</v>
      </c>
      <c r="P1263" s="1">
        <v>10</v>
      </c>
      <c r="Q1263" s="24">
        <v>3.7439999999999998</v>
      </c>
      <c r="R1263" s="24">
        <v>27.456</v>
      </c>
      <c r="S1263" s="21">
        <f t="shared" si="59"/>
        <v>0.19895196506550222</v>
      </c>
    </row>
    <row r="1264" spans="2:19" ht="11.4" customHeight="1" x14ac:dyDescent="0.2">
      <c r="B1264" s="24"/>
      <c r="C1264" s="7">
        <v>22378</v>
      </c>
      <c r="D1264" s="18" t="s">
        <v>1330</v>
      </c>
      <c r="E1264" s="18" t="s">
        <v>1282</v>
      </c>
      <c r="F1264" s="17">
        <v>10</v>
      </c>
      <c r="G1264" s="18" t="s">
        <v>23</v>
      </c>
      <c r="H1264" s="17">
        <v>37.299999999999997</v>
      </c>
      <c r="I1264" s="8">
        <v>53.5</v>
      </c>
      <c r="J1264" s="21">
        <f t="shared" si="57"/>
        <v>0.43431635388739959</v>
      </c>
      <c r="K1264" s="1">
        <v>4</v>
      </c>
      <c r="L1264" s="24">
        <v>2.6</v>
      </c>
      <c r="M1264" s="24">
        <v>50.824999999999996</v>
      </c>
      <c r="N1264" s="21">
        <f t="shared" si="58"/>
        <v>0.36260053619302945</v>
      </c>
      <c r="P1264" s="1">
        <v>10</v>
      </c>
      <c r="Q1264" s="24">
        <v>6.4200000000000017</v>
      </c>
      <c r="R1264" s="24">
        <v>47.08</v>
      </c>
      <c r="S1264" s="21">
        <f t="shared" si="59"/>
        <v>0.26219839142091156</v>
      </c>
    </row>
    <row r="1265" spans="2:19" ht="11.4" customHeight="1" x14ac:dyDescent="0.2">
      <c r="B1265" s="24"/>
      <c r="C1265" s="7">
        <v>16293</v>
      </c>
      <c r="D1265" s="18" t="s">
        <v>1331</v>
      </c>
      <c r="E1265" s="18" t="s">
        <v>1269</v>
      </c>
      <c r="F1265" s="17">
        <v>24</v>
      </c>
      <c r="G1265" s="18" t="s">
        <v>23</v>
      </c>
      <c r="H1265" s="17">
        <v>59.9</v>
      </c>
      <c r="I1265" s="8">
        <v>79.900000000000006</v>
      </c>
      <c r="J1265" s="21">
        <f t="shared" si="57"/>
        <v>0.33388981636060111</v>
      </c>
      <c r="K1265" s="1">
        <v>4</v>
      </c>
      <c r="L1265" s="24">
        <v>3.9</v>
      </c>
      <c r="M1265" s="24">
        <v>75.905000000000001</v>
      </c>
      <c r="N1265" s="21">
        <f t="shared" si="58"/>
        <v>0.26719532554257103</v>
      </c>
      <c r="P1265" s="1">
        <v>10</v>
      </c>
      <c r="Q1265" s="24">
        <v>9.5879999999999939</v>
      </c>
      <c r="R1265" s="24">
        <v>70.312000000000012</v>
      </c>
      <c r="S1265" s="21">
        <f t="shared" si="59"/>
        <v>0.1738230383973291</v>
      </c>
    </row>
    <row r="1266" spans="2:19" ht="11.4" customHeight="1" x14ac:dyDescent="0.2">
      <c r="B1266" s="24"/>
      <c r="C1266" s="7">
        <v>44781</v>
      </c>
      <c r="D1266" s="18" t="s">
        <v>1332</v>
      </c>
      <c r="E1266" s="18" t="s">
        <v>1269</v>
      </c>
      <c r="F1266" s="17">
        <v>24</v>
      </c>
      <c r="G1266" s="18" t="s">
        <v>23</v>
      </c>
      <c r="H1266" s="17">
        <v>43.5</v>
      </c>
      <c r="I1266" s="8">
        <v>65.5</v>
      </c>
      <c r="J1266" s="21">
        <f t="shared" si="57"/>
        <v>0.50574712643678166</v>
      </c>
      <c r="K1266" s="1">
        <v>4</v>
      </c>
      <c r="L1266" s="24">
        <v>3.2</v>
      </c>
      <c r="M1266" s="24">
        <v>62.224999999999994</v>
      </c>
      <c r="N1266" s="21">
        <f t="shared" si="58"/>
        <v>0.43045977011494241</v>
      </c>
      <c r="P1266" s="1">
        <v>10</v>
      </c>
      <c r="Q1266" s="24">
        <v>7.8599999999999994</v>
      </c>
      <c r="R1266" s="24">
        <v>57.64</v>
      </c>
      <c r="S1266" s="21">
        <f t="shared" si="59"/>
        <v>0.32505747126436785</v>
      </c>
    </row>
    <row r="1267" spans="2:19" ht="11.4" customHeight="1" x14ac:dyDescent="0.2">
      <c r="B1267" s="24"/>
      <c r="C1267" s="7">
        <v>4896</v>
      </c>
      <c r="D1267" s="18" t="s">
        <v>1333</v>
      </c>
      <c r="E1267" s="18" t="s">
        <v>1269</v>
      </c>
      <c r="F1267" s="17">
        <v>24</v>
      </c>
      <c r="G1267" s="18" t="s">
        <v>23</v>
      </c>
      <c r="H1267" s="17">
        <v>43.3</v>
      </c>
      <c r="I1267" s="8">
        <v>48.6</v>
      </c>
      <c r="J1267" s="21">
        <f t="shared" si="57"/>
        <v>0.12240184757505784</v>
      </c>
      <c r="K1267" s="1">
        <v>4</v>
      </c>
      <c r="L1267" s="24">
        <v>2.4</v>
      </c>
      <c r="M1267" s="24">
        <v>46.17</v>
      </c>
      <c r="N1267" s="21">
        <f t="shared" si="58"/>
        <v>6.6281755196304956E-2</v>
      </c>
      <c r="P1267" s="1">
        <v>10</v>
      </c>
      <c r="Q1267" s="24">
        <v>5.8320000000000007</v>
      </c>
      <c r="R1267" s="24">
        <v>42.768000000000001</v>
      </c>
      <c r="S1267" s="21">
        <f t="shared" si="59"/>
        <v>-1.2286374133949111E-2</v>
      </c>
    </row>
    <row r="1268" spans="2:19" ht="11.4" customHeight="1" x14ac:dyDescent="0.2">
      <c r="B1268" s="24"/>
      <c r="C1268" s="7">
        <v>4921</v>
      </c>
      <c r="D1268" s="18" t="s">
        <v>1334</v>
      </c>
      <c r="E1268" s="18" t="s">
        <v>1269</v>
      </c>
      <c r="F1268" s="17">
        <v>24</v>
      </c>
      <c r="G1268" s="18" t="s">
        <v>23</v>
      </c>
      <c r="H1268" s="17">
        <v>44.9</v>
      </c>
      <c r="I1268" s="8">
        <v>49.9</v>
      </c>
      <c r="J1268" s="21">
        <f t="shared" si="57"/>
        <v>0.111358574610245</v>
      </c>
      <c r="K1268" s="1">
        <v>4</v>
      </c>
      <c r="L1268" s="24">
        <v>2.4</v>
      </c>
      <c r="M1268" s="24">
        <v>47.404999999999994</v>
      </c>
      <c r="N1268" s="21">
        <f t="shared" si="58"/>
        <v>5.5790645879732641E-2</v>
      </c>
      <c r="P1268" s="1">
        <v>10</v>
      </c>
      <c r="Q1268" s="24">
        <v>5.9879999999999995</v>
      </c>
      <c r="R1268" s="24">
        <v>43.911999999999999</v>
      </c>
      <c r="S1268" s="21">
        <f t="shared" si="59"/>
        <v>-2.2004454342984401E-2</v>
      </c>
    </row>
    <row r="1269" spans="2:19" ht="11.4" customHeight="1" x14ac:dyDescent="0.2">
      <c r="B1269" s="24"/>
      <c r="C1269" s="7">
        <v>13600</v>
      </c>
      <c r="D1269" s="18" t="s">
        <v>1335</v>
      </c>
      <c r="E1269" s="18" t="s">
        <v>1282</v>
      </c>
      <c r="F1269" s="17">
        <v>40</v>
      </c>
      <c r="G1269" s="18" t="s">
        <v>23</v>
      </c>
      <c r="H1269" s="17">
        <v>23.1</v>
      </c>
      <c r="I1269" s="8">
        <v>29.7</v>
      </c>
      <c r="J1269" s="21">
        <f t="shared" si="57"/>
        <v>0.28571428571428559</v>
      </c>
      <c r="K1269" s="1">
        <v>4</v>
      </c>
      <c r="L1269" s="24">
        <v>1.4</v>
      </c>
      <c r="M1269" s="24">
        <v>28.214999999999996</v>
      </c>
      <c r="N1269" s="21">
        <f t="shared" si="58"/>
        <v>0.2214285714285712</v>
      </c>
      <c r="P1269" s="1">
        <v>10</v>
      </c>
      <c r="Q1269" s="24">
        <v>3.5640000000000001</v>
      </c>
      <c r="R1269" s="24">
        <v>26.135999999999999</v>
      </c>
      <c r="S1269" s="21">
        <f t="shared" si="59"/>
        <v>0.13142857142857134</v>
      </c>
    </row>
    <row r="1270" spans="2:19" ht="11.4" customHeight="1" x14ac:dyDescent="0.2">
      <c r="B1270" s="24"/>
      <c r="C1270" s="7">
        <v>20859</v>
      </c>
      <c r="D1270" s="18" t="s">
        <v>1336</v>
      </c>
      <c r="E1270" s="18" t="s">
        <v>1282</v>
      </c>
      <c r="F1270" s="17">
        <v>24</v>
      </c>
      <c r="G1270" s="18" t="s">
        <v>23</v>
      </c>
      <c r="H1270" s="17">
        <v>35.700000000000003</v>
      </c>
      <c r="I1270" s="8">
        <v>45.9</v>
      </c>
      <c r="J1270" s="21">
        <f t="shared" si="57"/>
        <v>0.28571428571428559</v>
      </c>
      <c r="K1270" s="1">
        <v>4</v>
      </c>
      <c r="L1270" s="24">
        <v>2.2000000000000002</v>
      </c>
      <c r="M1270" s="24">
        <v>43.604999999999997</v>
      </c>
      <c r="N1270" s="21">
        <f t="shared" si="58"/>
        <v>0.22142857142857125</v>
      </c>
      <c r="P1270" s="1">
        <v>10</v>
      </c>
      <c r="Q1270" s="24">
        <v>5.5080000000000027</v>
      </c>
      <c r="R1270" s="24">
        <v>40.391999999999996</v>
      </c>
      <c r="S1270" s="21">
        <f t="shared" si="59"/>
        <v>0.13142857142857123</v>
      </c>
    </row>
    <row r="1271" spans="2:19" ht="11.4" customHeight="1" x14ac:dyDescent="0.2">
      <c r="B1271" s="24"/>
      <c r="C1271" s="7">
        <v>38739</v>
      </c>
      <c r="D1271" s="18" t="s">
        <v>1337</v>
      </c>
      <c r="E1271" s="18" t="s">
        <v>1282</v>
      </c>
      <c r="F1271" s="17">
        <v>10</v>
      </c>
      <c r="G1271" s="18" t="s">
        <v>23</v>
      </c>
      <c r="H1271" s="17">
        <v>34.5</v>
      </c>
      <c r="I1271" s="8">
        <v>45.5</v>
      </c>
      <c r="J1271" s="21">
        <f t="shared" si="57"/>
        <v>0.3188405797101449</v>
      </c>
      <c r="K1271" s="1">
        <v>4</v>
      </c>
      <c r="L1271" s="24">
        <v>2.2000000000000002</v>
      </c>
      <c r="M1271" s="24">
        <v>43.225000000000001</v>
      </c>
      <c r="N1271" s="21">
        <f t="shared" si="58"/>
        <v>0.25289855072463774</v>
      </c>
      <c r="P1271" s="1">
        <v>10</v>
      </c>
      <c r="Q1271" s="24">
        <v>5.4600000000000009</v>
      </c>
      <c r="R1271" s="24">
        <v>40.04</v>
      </c>
      <c r="S1271" s="21">
        <f t="shared" si="59"/>
        <v>0.1605797101449275</v>
      </c>
    </row>
    <row r="1272" spans="2:19" ht="11.4" customHeight="1" x14ac:dyDescent="0.2">
      <c r="B1272" s="24"/>
      <c r="C1272" s="7">
        <v>24093</v>
      </c>
      <c r="D1272" s="18" t="s">
        <v>1338</v>
      </c>
      <c r="E1272" s="18" t="s">
        <v>1269</v>
      </c>
      <c r="F1272" s="17">
        <v>24</v>
      </c>
      <c r="G1272" s="18" t="s">
        <v>23</v>
      </c>
      <c r="H1272" s="17">
        <v>59.9</v>
      </c>
      <c r="I1272" s="8">
        <v>79.900000000000006</v>
      </c>
      <c r="J1272" s="21">
        <f t="shared" si="57"/>
        <v>0.33388981636060111</v>
      </c>
      <c r="K1272" s="1">
        <v>4</v>
      </c>
      <c r="L1272" s="24">
        <v>3.9</v>
      </c>
      <c r="M1272" s="24">
        <v>75.905000000000001</v>
      </c>
      <c r="N1272" s="21">
        <f t="shared" si="58"/>
        <v>0.26719532554257103</v>
      </c>
      <c r="P1272" s="1">
        <v>10</v>
      </c>
      <c r="Q1272" s="24">
        <v>9.5879999999999939</v>
      </c>
      <c r="R1272" s="24">
        <v>70.312000000000012</v>
      </c>
      <c r="S1272" s="21">
        <f t="shared" si="59"/>
        <v>0.1738230383973291</v>
      </c>
    </row>
    <row r="1273" spans="2:19" ht="11.4" customHeight="1" x14ac:dyDescent="0.2">
      <c r="B1273" s="24"/>
      <c r="C1273" s="7">
        <v>39294</v>
      </c>
      <c r="D1273" s="18" t="s">
        <v>1339</v>
      </c>
      <c r="E1273" s="18" t="s">
        <v>1269</v>
      </c>
      <c r="F1273" s="17">
        <v>12</v>
      </c>
      <c r="G1273" s="18" t="s">
        <v>23</v>
      </c>
      <c r="H1273" s="17">
        <v>99.5</v>
      </c>
      <c r="I1273" s="8">
        <v>128</v>
      </c>
      <c r="J1273" s="21">
        <f t="shared" si="57"/>
        <v>0.28643216080402012</v>
      </c>
      <c r="K1273" s="1">
        <v>4</v>
      </c>
      <c r="L1273" s="24">
        <v>6.4</v>
      </c>
      <c r="M1273" s="24">
        <v>121.6</v>
      </c>
      <c r="N1273" s="21">
        <f t="shared" si="58"/>
        <v>0.22211055276381902</v>
      </c>
      <c r="P1273" s="1">
        <v>10</v>
      </c>
      <c r="Q1273" s="24">
        <v>15.36</v>
      </c>
      <c r="R1273" s="24">
        <v>112.64</v>
      </c>
      <c r="S1273" s="21">
        <f t="shared" si="59"/>
        <v>0.1320603015075377</v>
      </c>
    </row>
    <row r="1274" spans="2:19" ht="11.4" customHeight="1" x14ac:dyDescent="0.2">
      <c r="B1274" s="24"/>
      <c r="C1274" s="7">
        <v>5134</v>
      </c>
      <c r="D1274" s="18" t="s">
        <v>1340</v>
      </c>
      <c r="E1274" s="18" t="s">
        <v>1282</v>
      </c>
      <c r="F1274" s="17">
        <v>28</v>
      </c>
      <c r="G1274" s="18" t="s">
        <v>23</v>
      </c>
      <c r="H1274" s="17">
        <v>48.9</v>
      </c>
      <c r="I1274" s="8">
        <v>53.9</v>
      </c>
      <c r="J1274" s="21">
        <f t="shared" si="57"/>
        <v>0.10224948875255624</v>
      </c>
      <c r="K1274" s="1">
        <v>4</v>
      </c>
      <c r="L1274" s="24">
        <v>2.6</v>
      </c>
      <c r="M1274" s="24">
        <v>51.204999999999998</v>
      </c>
      <c r="N1274" s="21">
        <f t="shared" si="58"/>
        <v>4.7137014314928422E-2</v>
      </c>
      <c r="P1274" s="1">
        <v>10</v>
      </c>
      <c r="Q1274" s="24">
        <v>6.4679999999999964</v>
      </c>
      <c r="R1274" s="24">
        <v>47.432000000000002</v>
      </c>
      <c r="S1274" s="21">
        <f t="shared" si="59"/>
        <v>-3.0020449897750438E-2</v>
      </c>
    </row>
    <row r="1275" spans="2:19" ht="11.4" customHeight="1" x14ac:dyDescent="0.2">
      <c r="B1275" s="24"/>
      <c r="C1275" s="7">
        <v>14021</v>
      </c>
      <c r="D1275" s="18" t="s">
        <v>1341</v>
      </c>
      <c r="E1275" s="18" t="s">
        <v>1269</v>
      </c>
      <c r="F1275" s="17">
        <v>12</v>
      </c>
      <c r="G1275" s="18" t="s">
        <v>23</v>
      </c>
      <c r="H1275" s="17">
        <v>59.9</v>
      </c>
      <c r="I1275" s="8">
        <v>79.900000000000006</v>
      </c>
      <c r="J1275" s="21">
        <f t="shared" si="57"/>
        <v>0.33388981636060111</v>
      </c>
      <c r="K1275" s="1">
        <v>4</v>
      </c>
      <c r="L1275" s="24">
        <v>3.9</v>
      </c>
      <c r="M1275" s="24">
        <v>75.905000000000001</v>
      </c>
      <c r="N1275" s="21">
        <f t="shared" si="58"/>
        <v>0.26719532554257103</v>
      </c>
      <c r="P1275" s="1">
        <v>10</v>
      </c>
      <c r="Q1275" s="24">
        <v>9.5879999999999939</v>
      </c>
      <c r="R1275" s="24">
        <v>70.312000000000012</v>
      </c>
      <c r="S1275" s="21">
        <f t="shared" si="59"/>
        <v>0.1738230383973291</v>
      </c>
    </row>
    <row r="1276" spans="2:19" ht="11.4" customHeight="1" x14ac:dyDescent="0.2">
      <c r="B1276" s="24"/>
      <c r="C1276" s="7">
        <v>34053</v>
      </c>
      <c r="D1276" s="18" t="s">
        <v>1342</v>
      </c>
      <c r="E1276" s="18" t="s">
        <v>1282</v>
      </c>
      <c r="F1276" s="17">
        <v>10</v>
      </c>
      <c r="G1276" s="18" t="s">
        <v>23</v>
      </c>
      <c r="H1276" s="17">
        <v>22.9</v>
      </c>
      <c r="I1276" s="8">
        <v>31.2</v>
      </c>
      <c r="J1276" s="21">
        <f t="shared" si="57"/>
        <v>0.36244541484716164</v>
      </c>
      <c r="K1276" s="1">
        <v>4</v>
      </c>
      <c r="L1276" s="24">
        <v>1.5</v>
      </c>
      <c r="M1276" s="24">
        <v>29.639999999999997</v>
      </c>
      <c r="N1276" s="21">
        <f t="shared" si="58"/>
        <v>0.29432314410480342</v>
      </c>
      <c r="P1276" s="1">
        <v>10</v>
      </c>
      <c r="Q1276" s="24">
        <v>3.7439999999999998</v>
      </c>
      <c r="R1276" s="24">
        <v>27.456</v>
      </c>
      <c r="S1276" s="21">
        <f t="shared" si="59"/>
        <v>0.19895196506550222</v>
      </c>
    </row>
    <row r="1277" spans="2:19" ht="11.4" customHeight="1" x14ac:dyDescent="0.2">
      <c r="B1277" s="24"/>
      <c r="C1277" s="7">
        <v>5138</v>
      </c>
      <c r="D1277" s="18" t="s">
        <v>1343</v>
      </c>
      <c r="E1277" s="18" t="s">
        <v>1282</v>
      </c>
      <c r="F1277" s="17">
        <v>20</v>
      </c>
      <c r="G1277" s="18" t="s">
        <v>23</v>
      </c>
      <c r="H1277" s="17">
        <v>48.9</v>
      </c>
      <c r="I1277" s="8">
        <v>62.9</v>
      </c>
      <c r="J1277" s="21">
        <f t="shared" si="57"/>
        <v>0.28629856850715746</v>
      </c>
      <c r="K1277" s="1">
        <v>4</v>
      </c>
      <c r="L1277" s="24">
        <v>3.1</v>
      </c>
      <c r="M1277" s="24">
        <v>59.754999999999995</v>
      </c>
      <c r="N1277" s="21">
        <f t="shared" si="58"/>
        <v>0.22198364008179952</v>
      </c>
      <c r="P1277" s="1">
        <v>10</v>
      </c>
      <c r="Q1277" s="24">
        <v>7.5480000000000018</v>
      </c>
      <c r="R1277" s="24">
        <v>55.351999999999997</v>
      </c>
      <c r="S1277" s="21">
        <f t="shared" si="59"/>
        <v>0.13194274028629854</v>
      </c>
    </row>
    <row r="1278" spans="2:19" ht="11.4" customHeight="1" x14ac:dyDescent="0.2">
      <c r="B1278" s="24"/>
      <c r="C1278" s="7">
        <v>4895</v>
      </c>
      <c r="D1278" s="18" t="s">
        <v>1344</v>
      </c>
      <c r="E1278" s="18" t="s">
        <v>1269</v>
      </c>
      <c r="F1278" s="17">
        <v>20</v>
      </c>
      <c r="G1278" s="18" t="s">
        <v>23</v>
      </c>
      <c r="H1278" s="17">
        <v>42.3</v>
      </c>
      <c r="I1278" s="8">
        <v>49.9</v>
      </c>
      <c r="J1278" s="21">
        <f t="shared" si="57"/>
        <v>0.17966903073286056</v>
      </c>
      <c r="K1278" s="1">
        <v>4</v>
      </c>
      <c r="L1278" s="24">
        <v>2.4</v>
      </c>
      <c r="M1278" s="24">
        <v>47.404999999999994</v>
      </c>
      <c r="N1278" s="21">
        <f t="shared" si="58"/>
        <v>0.12068557919621743</v>
      </c>
      <c r="P1278" s="1">
        <v>10</v>
      </c>
      <c r="Q1278" s="24">
        <v>5.9879999999999995</v>
      </c>
      <c r="R1278" s="24">
        <v>43.911999999999999</v>
      </c>
      <c r="S1278" s="21">
        <f t="shared" si="59"/>
        <v>3.8108747044917304E-2</v>
      </c>
    </row>
    <row r="1279" spans="2:19" ht="11.4" customHeight="1" x14ac:dyDescent="0.2">
      <c r="B1279" s="24"/>
      <c r="C1279" s="7">
        <v>25684</v>
      </c>
      <c r="D1279" s="18" t="s">
        <v>1345</v>
      </c>
      <c r="E1279" s="18" t="s">
        <v>1269</v>
      </c>
      <c r="F1279" s="17">
        <v>12</v>
      </c>
      <c r="G1279" s="18" t="s">
        <v>23</v>
      </c>
      <c r="H1279" s="17">
        <v>145.9</v>
      </c>
      <c r="I1279" s="8">
        <v>143.9</v>
      </c>
      <c r="J1279" s="21">
        <f t="shared" si="57"/>
        <v>-1.3708019191226868E-2</v>
      </c>
      <c r="K1279" s="1">
        <v>4</v>
      </c>
      <c r="L1279" s="24">
        <v>7.1</v>
      </c>
      <c r="M1279" s="24">
        <v>136.70500000000001</v>
      </c>
      <c r="N1279" s="21">
        <f t="shared" si="58"/>
        <v>-6.3022618231665481E-2</v>
      </c>
      <c r="P1279" s="1">
        <v>10</v>
      </c>
      <c r="Q1279" s="24">
        <v>17.268000000000001</v>
      </c>
      <c r="R1279" s="24">
        <v>126.63200000000001</v>
      </c>
      <c r="S1279" s="21">
        <f t="shared" si="59"/>
        <v>-0.13206305688827966</v>
      </c>
    </row>
    <row r="1280" spans="2:19" ht="11.4" customHeight="1" x14ac:dyDescent="0.2">
      <c r="B1280" s="24"/>
      <c r="C1280" s="7">
        <v>44776</v>
      </c>
      <c r="D1280" s="18" t="s">
        <v>1346</v>
      </c>
      <c r="E1280" s="18" t="s">
        <v>1269</v>
      </c>
      <c r="F1280" s="17">
        <v>12</v>
      </c>
      <c r="G1280" s="18" t="s">
        <v>23</v>
      </c>
      <c r="H1280" s="17">
        <v>47.34</v>
      </c>
      <c r="I1280" s="8">
        <v>71</v>
      </c>
      <c r="J1280" s="21">
        <f t="shared" si="57"/>
        <v>0.49978876214617651</v>
      </c>
      <c r="K1280" s="1">
        <v>4</v>
      </c>
      <c r="L1280" s="24">
        <v>3.5</v>
      </c>
      <c r="M1280" s="24">
        <v>67.45</v>
      </c>
      <c r="N1280" s="21">
        <f t="shared" si="58"/>
        <v>0.42479932403886772</v>
      </c>
      <c r="P1280" s="1">
        <v>10</v>
      </c>
      <c r="Q1280" s="24">
        <v>8.5200000000000031</v>
      </c>
      <c r="R1280" s="24">
        <v>62.48</v>
      </c>
      <c r="S1280" s="21">
        <f t="shared" si="59"/>
        <v>0.31981411068863524</v>
      </c>
    </row>
    <row r="1281" spans="2:19" ht="11.4" customHeight="1" x14ac:dyDescent="0.2">
      <c r="B1281" s="24"/>
      <c r="C1281" s="7">
        <v>23470</v>
      </c>
      <c r="D1281" s="18" t="s">
        <v>1347</v>
      </c>
      <c r="E1281" s="18" t="s">
        <v>1269</v>
      </c>
      <c r="F1281" s="17">
        <v>12</v>
      </c>
      <c r="G1281" s="18" t="s">
        <v>23</v>
      </c>
      <c r="H1281" s="17">
        <v>67.900000000000006</v>
      </c>
      <c r="I1281" s="8">
        <v>74.900000000000006</v>
      </c>
      <c r="J1281" s="21">
        <f t="shared" si="57"/>
        <v>0.10309278350515463</v>
      </c>
      <c r="K1281" s="1">
        <v>4</v>
      </c>
      <c r="L1281" s="24">
        <v>3.7</v>
      </c>
      <c r="M1281" s="24">
        <v>71.155000000000001</v>
      </c>
      <c r="N1281" s="21">
        <f t="shared" si="58"/>
        <v>4.7938144329896834E-2</v>
      </c>
      <c r="P1281" s="1">
        <v>10</v>
      </c>
      <c r="Q1281" s="24">
        <v>8.9879999999999995</v>
      </c>
      <c r="R1281" s="24">
        <v>65.912000000000006</v>
      </c>
      <c r="S1281" s="21">
        <f t="shared" si="59"/>
        <v>-2.9278350515463909E-2</v>
      </c>
    </row>
    <row r="1282" spans="2:19" ht="11.4" customHeight="1" x14ac:dyDescent="0.2">
      <c r="B1282" s="24"/>
      <c r="C1282" s="7">
        <v>25683</v>
      </c>
      <c r="D1282" s="18" t="s">
        <v>1348</v>
      </c>
      <c r="E1282" s="18" t="s">
        <v>1269</v>
      </c>
      <c r="F1282" s="17">
        <v>12</v>
      </c>
      <c r="G1282" s="18" t="s">
        <v>23</v>
      </c>
      <c r="H1282" s="17">
        <v>129.9</v>
      </c>
      <c r="I1282" s="8">
        <v>129.5</v>
      </c>
      <c r="J1282" s="21">
        <f t="shared" si="57"/>
        <v>-3.0792917628945779E-3</v>
      </c>
      <c r="K1282" s="1">
        <v>4</v>
      </c>
      <c r="L1282" s="24">
        <v>6.4</v>
      </c>
      <c r="M1282" s="24">
        <v>123.02499999999999</v>
      </c>
      <c r="N1282" s="21">
        <f t="shared" si="58"/>
        <v>-5.2925327174749917E-2</v>
      </c>
      <c r="P1282" s="1">
        <v>10</v>
      </c>
      <c r="Q1282" s="24">
        <v>15.540000000000006</v>
      </c>
      <c r="R1282" s="24">
        <v>113.96</v>
      </c>
      <c r="S1282" s="21">
        <f t="shared" si="59"/>
        <v>-0.12270977675134728</v>
      </c>
    </row>
    <row r="1283" spans="2:19" ht="11.4" customHeight="1" x14ac:dyDescent="0.2">
      <c r="B1283" s="24"/>
      <c r="C1283" s="7">
        <v>8495</v>
      </c>
      <c r="D1283" s="18" t="s">
        <v>1349</v>
      </c>
      <c r="E1283" s="18" t="s">
        <v>1269</v>
      </c>
      <c r="F1283" s="17">
        <v>24</v>
      </c>
      <c r="G1283" s="18" t="s">
        <v>23</v>
      </c>
      <c r="H1283" s="17">
        <v>51.96</v>
      </c>
      <c r="I1283" s="8">
        <v>79.5</v>
      </c>
      <c r="J1283" s="21">
        <f t="shared" ref="J1283:J1346" si="60">(I1283-H1283)/H1283</f>
        <v>0.53002309468822173</v>
      </c>
      <c r="K1283" s="1">
        <v>4</v>
      </c>
      <c r="L1283" s="24">
        <v>3.9</v>
      </c>
      <c r="M1283" s="24">
        <v>75.524999999999991</v>
      </c>
      <c r="N1283" s="21">
        <f t="shared" ref="N1283:N1346" si="61">(M1283-H1283)/H1283</f>
        <v>0.45352193995381046</v>
      </c>
      <c r="P1283" s="1">
        <v>10</v>
      </c>
      <c r="Q1283" s="24">
        <v>9.5400000000000063</v>
      </c>
      <c r="R1283" s="24">
        <v>69.959999999999994</v>
      </c>
      <c r="S1283" s="21">
        <f t="shared" ref="S1283:S1346" si="62">(R1283-H1283)/H1283</f>
        <v>0.34642032332563494</v>
      </c>
    </row>
    <row r="1284" spans="2:19" ht="11.4" customHeight="1" x14ac:dyDescent="0.2">
      <c r="B1284" s="24"/>
      <c r="C1284" s="7">
        <v>44777</v>
      </c>
      <c r="D1284" s="18" t="s">
        <v>1350</v>
      </c>
      <c r="E1284" s="18" t="s">
        <v>1269</v>
      </c>
      <c r="F1284" s="17">
        <v>24</v>
      </c>
      <c r="G1284" s="18" t="s">
        <v>23</v>
      </c>
      <c r="H1284" s="17">
        <v>43.5</v>
      </c>
      <c r="I1284" s="8">
        <v>65.5</v>
      </c>
      <c r="J1284" s="21">
        <f t="shared" si="60"/>
        <v>0.50574712643678166</v>
      </c>
      <c r="K1284" s="1">
        <v>4</v>
      </c>
      <c r="L1284" s="24">
        <v>3.2</v>
      </c>
      <c r="M1284" s="24">
        <v>62.224999999999994</v>
      </c>
      <c r="N1284" s="21">
        <f t="shared" si="61"/>
        <v>0.43045977011494241</v>
      </c>
      <c r="P1284" s="1">
        <v>10</v>
      </c>
      <c r="Q1284" s="24">
        <v>7.8599999999999994</v>
      </c>
      <c r="R1284" s="24">
        <v>57.64</v>
      </c>
      <c r="S1284" s="21">
        <f t="shared" si="62"/>
        <v>0.32505747126436785</v>
      </c>
    </row>
    <row r="1285" spans="2:19" ht="11.4" customHeight="1" x14ac:dyDescent="0.2">
      <c r="B1285" s="24"/>
      <c r="C1285" s="7">
        <v>23471</v>
      </c>
      <c r="D1285" s="18" t="s">
        <v>1351</v>
      </c>
      <c r="E1285" s="18" t="s">
        <v>1269</v>
      </c>
      <c r="F1285" s="17">
        <v>14</v>
      </c>
      <c r="G1285" s="18" t="s">
        <v>23</v>
      </c>
      <c r="H1285" s="17">
        <v>59.9</v>
      </c>
      <c r="I1285" s="8">
        <v>79.900000000000006</v>
      </c>
      <c r="J1285" s="21">
        <f t="shared" si="60"/>
        <v>0.33388981636060111</v>
      </c>
      <c r="K1285" s="1">
        <v>4</v>
      </c>
      <c r="L1285" s="24">
        <v>3.9</v>
      </c>
      <c r="M1285" s="24">
        <v>75.905000000000001</v>
      </c>
      <c r="N1285" s="21">
        <f t="shared" si="61"/>
        <v>0.26719532554257103</v>
      </c>
      <c r="P1285" s="1">
        <v>10</v>
      </c>
      <c r="Q1285" s="24">
        <v>9.5879999999999939</v>
      </c>
      <c r="R1285" s="24">
        <v>70.312000000000012</v>
      </c>
      <c r="S1285" s="21">
        <f t="shared" si="62"/>
        <v>0.1738230383973291</v>
      </c>
    </row>
    <row r="1286" spans="2:19" ht="11.4" customHeight="1" x14ac:dyDescent="0.2">
      <c r="B1286" s="24"/>
      <c r="C1286" s="7">
        <v>44778</v>
      </c>
      <c r="D1286" s="18" t="s">
        <v>1352</v>
      </c>
      <c r="E1286" s="18" t="s">
        <v>1269</v>
      </c>
      <c r="F1286" s="17">
        <v>12</v>
      </c>
      <c r="G1286" s="18" t="s">
        <v>23</v>
      </c>
      <c r="H1286" s="17">
        <v>47.34</v>
      </c>
      <c r="I1286" s="8">
        <v>71</v>
      </c>
      <c r="J1286" s="21">
        <f t="shared" si="60"/>
        <v>0.49978876214617651</v>
      </c>
      <c r="K1286" s="1">
        <v>4</v>
      </c>
      <c r="L1286" s="24">
        <v>3.5</v>
      </c>
      <c r="M1286" s="24">
        <v>67.45</v>
      </c>
      <c r="N1286" s="21">
        <f t="shared" si="61"/>
        <v>0.42479932403886772</v>
      </c>
      <c r="P1286" s="1">
        <v>10</v>
      </c>
      <c r="Q1286" s="24">
        <v>8.5200000000000031</v>
      </c>
      <c r="R1286" s="24">
        <v>62.48</v>
      </c>
      <c r="S1286" s="21">
        <f t="shared" si="62"/>
        <v>0.31981411068863524</v>
      </c>
    </row>
    <row r="1287" spans="2:19" ht="11.4" customHeight="1" x14ac:dyDescent="0.2">
      <c r="B1287" s="24"/>
      <c r="C1287" s="7">
        <v>44301</v>
      </c>
      <c r="D1287" s="18" t="s">
        <v>1353</v>
      </c>
      <c r="E1287" s="18" t="s">
        <v>1269</v>
      </c>
      <c r="F1287" s="17">
        <v>24</v>
      </c>
      <c r="G1287" s="18" t="s">
        <v>23</v>
      </c>
      <c r="H1287" s="17">
        <v>49.2</v>
      </c>
      <c r="I1287" s="8">
        <v>79.5</v>
      </c>
      <c r="J1287" s="21">
        <f t="shared" si="60"/>
        <v>0.61585365853658525</v>
      </c>
      <c r="K1287" s="1">
        <v>4</v>
      </c>
      <c r="L1287" s="24">
        <v>3.9</v>
      </c>
      <c r="M1287" s="24">
        <v>75.524999999999991</v>
      </c>
      <c r="N1287" s="21">
        <f t="shared" si="61"/>
        <v>0.53506097560975585</v>
      </c>
      <c r="P1287" s="1">
        <v>10</v>
      </c>
      <c r="Q1287" s="24">
        <v>9.5400000000000063</v>
      </c>
      <c r="R1287" s="24">
        <v>69.959999999999994</v>
      </c>
      <c r="S1287" s="21">
        <f t="shared" si="62"/>
        <v>0.42195121951219489</v>
      </c>
    </row>
    <row r="1288" spans="2:19" ht="11.4" customHeight="1" x14ac:dyDescent="0.2">
      <c r="B1288" s="24"/>
      <c r="C1288" s="7">
        <v>39296</v>
      </c>
      <c r="D1288" s="18" t="s">
        <v>1354</v>
      </c>
      <c r="E1288" s="18" t="s">
        <v>1269</v>
      </c>
      <c r="F1288" s="17">
        <v>12</v>
      </c>
      <c r="G1288" s="18" t="s">
        <v>23</v>
      </c>
      <c r="H1288" s="17">
        <v>107.9</v>
      </c>
      <c r="I1288" s="8">
        <v>128</v>
      </c>
      <c r="J1288" s="21">
        <f t="shared" si="60"/>
        <v>0.18628359592215007</v>
      </c>
      <c r="K1288" s="1">
        <v>4</v>
      </c>
      <c r="L1288" s="24">
        <v>6.4</v>
      </c>
      <c r="M1288" s="24">
        <v>121.6</v>
      </c>
      <c r="N1288" s="21">
        <f t="shared" si="61"/>
        <v>0.12696941612604251</v>
      </c>
      <c r="P1288" s="1">
        <v>10</v>
      </c>
      <c r="Q1288" s="24">
        <v>15.36</v>
      </c>
      <c r="R1288" s="24">
        <v>112.64</v>
      </c>
      <c r="S1288" s="21">
        <f t="shared" si="62"/>
        <v>4.3929564411492074E-2</v>
      </c>
    </row>
    <row r="1289" spans="2:19" ht="11.4" customHeight="1" x14ac:dyDescent="0.2">
      <c r="B1289" s="24"/>
      <c r="C1289" s="7">
        <v>36320</v>
      </c>
      <c r="D1289" s="18" t="s">
        <v>1355</v>
      </c>
      <c r="E1289" s="18" t="s">
        <v>1269</v>
      </c>
      <c r="F1289" s="17">
        <v>24</v>
      </c>
      <c r="G1289" s="18" t="s">
        <v>23</v>
      </c>
      <c r="H1289" s="17">
        <v>46.1</v>
      </c>
      <c r="I1289" s="8">
        <v>58.2</v>
      </c>
      <c r="J1289" s="21">
        <f t="shared" si="60"/>
        <v>0.26247288503253796</v>
      </c>
      <c r="K1289" s="1">
        <v>4</v>
      </c>
      <c r="L1289" s="24">
        <v>2.9</v>
      </c>
      <c r="M1289" s="24">
        <v>55.29</v>
      </c>
      <c r="N1289" s="21">
        <f t="shared" si="61"/>
        <v>0.19934924078091101</v>
      </c>
      <c r="P1289" s="1">
        <v>10</v>
      </c>
      <c r="Q1289" s="24">
        <v>6.9840000000000018</v>
      </c>
      <c r="R1289" s="24">
        <v>51.216000000000001</v>
      </c>
      <c r="S1289" s="21">
        <f t="shared" si="62"/>
        <v>0.1109761388286334</v>
      </c>
    </row>
    <row r="1290" spans="2:19" ht="11.4" customHeight="1" x14ac:dyDescent="0.2">
      <c r="B1290" s="24"/>
      <c r="C1290" s="7">
        <v>38942</v>
      </c>
      <c r="D1290" s="18" t="s">
        <v>1356</v>
      </c>
      <c r="E1290" s="18" t="s">
        <v>1269</v>
      </c>
      <c r="F1290" s="17">
        <v>20</v>
      </c>
      <c r="G1290" s="18" t="s">
        <v>23</v>
      </c>
      <c r="H1290" s="17">
        <v>85.5</v>
      </c>
      <c r="I1290" s="8">
        <v>86</v>
      </c>
      <c r="J1290" s="21">
        <f t="shared" si="60"/>
        <v>5.8479532163742687E-3</v>
      </c>
      <c r="K1290" s="1">
        <v>4</v>
      </c>
      <c r="L1290" s="24">
        <v>4.3</v>
      </c>
      <c r="M1290" s="24">
        <v>81.7</v>
      </c>
      <c r="N1290" s="21">
        <f t="shared" si="61"/>
        <v>-4.4444444444444411E-2</v>
      </c>
      <c r="P1290" s="1">
        <v>10</v>
      </c>
      <c r="Q1290" s="24">
        <v>10.319999999999993</v>
      </c>
      <c r="R1290" s="24">
        <v>75.680000000000007</v>
      </c>
      <c r="S1290" s="21">
        <f t="shared" si="62"/>
        <v>-0.11485380116959057</v>
      </c>
    </row>
    <row r="1291" spans="2:19" ht="11.4" customHeight="1" x14ac:dyDescent="0.2">
      <c r="B1291" s="24"/>
      <c r="C1291" s="7">
        <v>4898</v>
      </c>
      <c r="D1291" s="18" t="s">
        <v>1357</v>
      </c>
      <c r="E1291" s="18" t="s">
        <v>1269</v>
      </c>
      <c r="F1291" s="17">
        <v>20</v>
      </c>
      <c r="G1291" s="18" t="s">
        <v>23</v>
      </c>
      <c r="H1291" s="17">
        <v>42.3</v>
      </c>
      <c r="I1291" s="8">
        <v>49.9</v>
      </c>
      <c r="J1291" s="21">
        <f t="shared" si="60"/>
        <v>0.17966903073286056</v>
      </c>
      <c r="K1291" s="1">
        <v>4</v>
      </c>
      <c r="L1291" s="24">
        <v>2.4</v>
      </c>
      <c r="M1291" s="24">
        <v>47.404999999999994</v>
      </c>
      <c r="N1291" s="21">
        <f t="shared" si="61"/>
        <v>0.12068557919621743</v>
      </c>
      <c r="P1291" s="1">
        <v>10</v>
      </c>
      <c r="Q1291" s="24">
        <v>5.9879999999999995</v>
      </c>
      <c r="R1291" s="24">
        <v>43.911999999999999</v>
      </c>
      <c r="S1291" s="21">
        <f t="shared" si="62"/>
        <v>3.8108747044917304E-2</v>
      </c>
    </row>
    <row r="1292" spans="2:19" ht="11.4" customHeight="1" x14ac:dyDescent="0.2">
      <c r="B1292" s="24"/>
      <c r="C1292" s="7">
        <v>12726</v>
      </c>
      <c r="D1292" s="18" t="s">
        <v>1358</v>
      </c>
      <c r="E1292" s="18" t="s">
        <v>1269</v>
      </c>
      <c r="F1292" s="17">
        <v>24</v>
      </c>
      <c r="G1292" s="18" t="s">
        <v>23</v>
      </c>
      <c r="H1292" s="17">
        <v>44.9</v>
      </c>
      <c r="I1292" s="8">
        <v>51</v>
      </c>
      <c r="J1292" s="21">
        <f t="shared" si="60"/>
        <v>0.13585746102449892</v>
      </c>
      <c r="K1292" s="1">
        <v>4</v>
      </c>
      <c r="L1292" s="24">
        <v>2.5</v>
      </c>
      <c r="M1292" s="24">
        <v>48.449999999999996</v>
      </c>
      <c r="N1292" s="21">
        <f t="shared" si="61"/>
        <v>7.9064587973273884E-2</v>
      </c>
      <c r="P1292" s="1">
        <v>10</v>
      </c>
      <c r="Q1292" s="24">
        <v>6.1199999999999974</v>
      </c>
      <c r="R1292" s="24">
        <v>44.88</v>
      </c>
      <c r="S1292" s="21">
        <f t="shared" si="62"/>
        <v>-4.4543429844089133E-4</v>
      </c>
    </row>
    <row r="1293" spans="2:19" ht="11.4" customHeight="1" x14ac:dyDescent="0.2">
      <c r="B1293" s="24"/>
      <c r="C1293" s="7">
        <v>44782</v>
      </c>
      <c r="D1293" s="18" t="s">
        <v>1359</v>
      </c>
      <c r="E1293" s="18" t="s">
        <v>1271</v>
      </c>
      <c r="F1293" s="17">
        <v>24</v>
      </c>
      <c r="G1293" s="18" t="s">
        <v>23</v>
      </c>
      <c r="H1293" s="17">
        <v>31.5</v>
      </c>
      <c r="I1293" s="8">
        <v>47.5</v>
      </c>
      <c r="J1293" s="21">
        <f t="shared" si="60"/>
        <v>0.50793650793650791</v>
      </c>
      <c r="K1293" s="1">
        <v>4</v>
      </c>
      <c r="L1293" s="24">
        <v>2.2999999999999998</v>
      </c>
      <c r="M1293" s="24">
        <v>45.125</v>
      </c>
      <c r="N1293" s="21">
        <f t="shared" si="61"/>
        <v>0.43253968253968256</v>
      </c>
      <c r="P1293" s="1">
        <v>10</v>
      </c>
      <c r="Q1293" s="24">
        <v>5.7000000000000028</v>
      </c>
      <c r="R1293" s="24">
        <v>41.8</v>
      </c>
      <c r="S1293" s="21">
        <f t="shared" si="62"/>
        <v>0.32698412698412688</v>
      </c>
    </row>
    <row r="1294" spans="2:19" ht="11.4" customHeight="1" x14ac:dyDescent="0.2">
      <c r="B1294" s="24"/>
      <c r="C1294" s="7">
        <v>41104</v>
      </c>
      <c r="D1294" s="18" t="s">
        <v>1360</v>
      </c>
      <c r="E1294" s="18" t="s">
        <v>1361</v>
      </c>
      <c r="F1294" s="17">
        <v>8</v>
      </c>
      <c r="G1294" s="18" t="s">
        <v>23</v>
      </c>
      <c r="H1294" s="17">
        <v>115.02</v>
      </c>
      <c r="I1294" s="8">
        <v>172.5</v>
      </c>
      <c r="J1294" s="21">
        <f t="shared" si="60"/>
        <v>0.49973917579551386</v>
      </c>
      <c r="K1294" s="1">
        <v>4</v>
      </c>
      <c r="L1294" s="24">
        <v>8.6</v>
      </c>
      <c r="M1294" s="24">
        <v>163.875</v>
      </c>
      <c r="N1294" s="21">
        <f t="shared" si="61"/>
        <v>0.42475221700573818</v>
      </c>
      <c r="P1294" s="1">
        <v>10</v>
      </c>
      <c r="Q1294" s="24">
        <v>20.699999999999989</v>
      </c>
      <c r="R1294" s="24">
        <v>151.80000000000001</v>
      </c>
      <c r="S1294" s="21">
        <f t="shared" si="62"/>
        <v>0.31977047470005232</v>
      </c>
    </row>
    <row r="1295" spans="2:19" ht="11.4" customHeight="1" x14ac:dyDescent="0.2">
      <c r="B1295" s="24"/>
      <c r="C1295" s="7">
        <v>41105</v>
      </c>
      <c r="D1295" s="18" t="s">
        <v>1362</v>
      </c>
      <c r="E1295" s="18" t="s">
        <v>1361</v>
      </c>
      <c r="F1295" s="17">
        <v>8</v>
      </c>
      <c r="G1295" s="18" t="s">
        <v>23</v>
      </c>
      <c r="H1295" s="17">
        <v>159.18</v>
      </c>
      <c r="I1295" s="8">
        <v>300.5</v>
      </c>
      <c r="J1295" s="21">
        <f t="shared" si="60"/>
        <v>0.88779997487121487</v>
      </c>
      <c r="K1295" s="1">
        <v>4</v>
      </c>
      <c r="L1295" s="24">
        <v>15</v>
      </c>
      <c r="M1295" s="24">
        <v>285.47499999999997</v>
      </c>
      <c r="N1295" s="21">
        <f t="shared" si="61"/>
        <v>0.79340997612765396</v>
      </c>
      <c r="P1295" s="1">
        <v>10</v>
      </c>
      <c r="Q1295" s="24">
        <v>36.06</v>
      </c>
      <c r="R1295" s="24">
        <v>264.44</v>
      </c>
      <c r="S1295" s="21">
        <f t="shared" si="62"/>
        <v>0.66126397788666913</v>
      </c>
    </row>
    <row r="1296" spans="2:19" ht="11.4" customHeight="1" x14ac:dyDescent="0.2">
      <c r="B1296" s="24"/>
      <c r="C1296" s="7">
        <v>41106</v>
      </c>
      <c r="D1296" s="18" t="s">
        <v>1363</v>
      </c>
      <c r="E1296" s="18" t="s">
        <v>1361</v>
      </c>
      <c r="F1296" s="17">
        <v>8</v>
      </c>
      <c r="G1296" s="18" t="s">
        <v>23</v>
      </c>
      <c r="H1296" s="17">
        <v>100.38</v>
      </c>
      <c r="I1296" s="8">
        <v>150.5</v>
      </c>
      <c r="J1296" s="21">
        <f t="shared" si="60"/>
        <v>0.49930264993026507</v>
      </c>
      <c r="K1296" s="1">
        <v>4</v>
      </c>
      <c r="L1296" s="24">
        <v>7.5</v>
      </c>
      <c r="M1296" s="24">
        <v>142.97499999999999</v>
      </c>
      <c r="N1296" s="21">
        <f t="shared" si="61"/>
        <v>0.42433751743375175</v>
      </c>
      <c r="P1296" s="1">
        <v>10</v>
      </c>
      <c r="Q1296" s="24">
        <v>18.060000000000002</v>
      </c>
      <c r="R1296" s="24">
        <v>132.44</v>
      </c>
      <c r="S1296" s="21">
        <f t="shared" si="62"/>
        <v>0.31938633193863325</v>
      </c>
    </row>
    <row r="1297" spans="2:19" ht="11.4" customHeight="1" x14ac:dyDescent="0.2">
      <c r="B1297" s="24"/>
      <c r="C1297" s="7">
        <v>41107</v>
      </c>
      <c r="D1297" s="18" t="s">
        <v>1364</v>
      </c>
      <c r="E1297" s="18" t="s">
        <v>1361</v>
      </c>
      <c r="F1297" s="17">
        <v>8</v>
      </c>
      <c r="G1297" s="18" t="s">
        <v>23</v>
      </c>
      <c r="H1297" s="17">
        <v>148.26</v>
      </c>
      <c r="I1297" s="8">
        <v>252.5</v>
      </c>
      <c r="J1297" s="21">
        <f t="shared" si="60"/>
        <v>0.7030891676784029</v>
      </c>
      <c r="K1297" s="1">
        <v>4</v>
      </c>
      <c r="L1297" s="24">
        <v>12.6</v>
      </c>
      <c r="M1297" s="24">
        <v>239.875</v>
      </c>
      <c r="N1297" s="21">
        <f t="shared" si="61"/>
        <v>0.6179347092944828</v>
      </c>
      <c r="P1297" s="1">
        <v>10</v>
      </c>
      <c r="Q1297" s="24">
        <v>30.300000000000011</v>
      </c>
      <c r="R1297" s="24">
        <v>222.2</v>
      </c>
      <c r="S1297" s="21">
        <f t="shared" si="62"/>
        <v>0.4987184675569945</v>
      </c>
    </row>
    <row r="1298" spans="2:19" ht="11.4" customHeight="1" x14ac:dyDescent="0.2">
      <c r="B1298" s="24"/>
      <c r="C1298" s="7">
        <v>41108</v>
      </c>
      <c r="D1298" s="18" t="s">
        <v>1365</v>
      </c>
      <c r="E1298" s="18" t="s">
        <v>1361</v>
      </c>
      <c r="F1298" s="17">
        <v>8</v>
      </c>
      <c r="G1298" s="18" t="s">
        <v>23</v>
      </c>
      <c r="H1298" s="17">
        <v>119.16</v>
      </c>
      <c r="I1298" s="8">
        <v>178.9</v>
      </c>
      <c r="J1298" s="21">
        <f t="shared" si="60"/>
        <v>0.50134273246055727</v>
      </c>
      <c r="K1298" s="1">
        <v>4</v>
      </c>
      <c r="L1298" s="24">
        <v>8.9</v>
      </c>
      <c r="M1298" s="24">
        <v>169.95499999999998</v>
      </c>
      <c r="N1298" s="21">
        <f t="shared" si="61"/>
        <v>0.42627559583752928</v>
      </c>
      <c r="P1298" s="1">
        <v>10</v>
      </c>
      <c r="Q1298" s="24">
        <v>21.467999999999989</v>
      </c>
      <c r="R1298" s="24">
        <v>157.43200000000002</v>
      </c>
      <c r="S1298" s="21">
        <f t="shared" si="62"/>
        <v>0.32118160456529055</v>
      </c>
    </row>
    <row r="1299" spans="2:19" ht="11.4" customHeight="1" x14ac:dyDescent="0.2">
      <c r="B1299" s="24"/>
      <c r="C1299" s="7">
        <v>41109</v>
      </c>
      <c r="D1299" s="18" t="s">
        <v>1366</v>
      </c>
      <c r="E1299" s="18" t="s">
        <v>1361</v>
      </c>
      <c r="F1299" s="17">
        <v>8</v>
      </c>
      <c r="G1299" s="18" t="s">
        <v>23</v>
      </c>
      <c r="H1299" s="17">
        <v>178.38</v>
      </c>
      <c r="I1299" s="8">
        <v>303.3</v>
      </c>
      <c r="J1299" s="21">
        <f t="shared" si="60"/>
        <v>0.70030272452068631</v>
      </c>
      <c r="K1299" s="1">
        <v>4</v>
      </c>
      <c r="L1299" s="24">
        <v>15.1</v>
      </c>
      <c r="M1299" s="24">
        <v>288.13499999999999</v>
      </c>
      <c r="N1299" s="21">
        <f t="shared" si="61"/>
        <v>0.61528758829465191</v>
      </c>
      <c r="P1299" s="1">
        <v>10</v>
      </c>
      <c r="Q1299" s="24">
        <v>36.396000000000015</v>
      </c>
      <c r="R1299" s="24">
        <v>266.904</v>
      </c>
      <c r="S1299" s="21">
        <f t="shared" si="62"/>
        <v>0.49626639757820384</v>
      </c>
    </row>
    <row r="1300" spans="2:19" ht="11.4" customHeight="1" x14ac:dyDescent="0.2">
      <c r="B1300" s="24"/>
      <c r="C1300" s="7">
        <v>40127</v>
      </c>
      <c r="D1300" s="18" t="s">
        <v>1367</v>
      </c>
      <c r="E1300" s="18" t="s">
        <v>1361</v>
      </c>
      <c r="F1300" s="17">
        <v>6</v>
      </c>
      <c r="G1300" s="18" t="s">
        <v>23</v>
      </c>
      <c r="H1300" s="17">
        <v>86.94</v>
      </c>
      <c r="I1300" s="8">
        <v>117.4</v>
      </c>
      <c r="J1300" s="21">
        <f t="shared" si="60"/>
        <v>0.35035656774787222</v>
      </c>
      <c r="K1300" s="1">
        <v>4</v>
      </c>
      <c r="L1300" s="24">
        <v>5.8</v>
      </c>
      <c r="M1300" s="24">
        <v>111.53</v>
      </c>
      <c r="N1300" s="21">
        <f t="shared" si="61"/>
        <v>0.28283873936047854</v>
      </c>
      <c r="P1300" s="1">
        <v>10</v>
      </c>
      <c r="Q1300" s="24">
        <v>14.087999999999994</v>
      </c>
      <c r="R1300" s="24">
        <v>103.31200000000001</v>
      </c>
      <c r="S1300" s="21">
        <f t="shared" si="62"/>
        <v>0.18831377961812762</v>
      </c>
    </row>
    <row r="1301" spans="2:19" ht="11.4" customHeight="1" x14ac:dyDescent="0.2">
      <c r="B1301" s="24"/>
      <c r="C1301" s="7">
        <v>41112</v>
      </c>
      <c r="D1301" s="18" t="s">
        <v>1368</v>
      </c>
      <c r="E1301" s="18" t="s">
        <v>1361</v>
      </c>
      <c r="F1301" s="17">
        <v>8</v>
      </c>
      <c r="G1301" s="18" t="s">
        <v>23</v>
      </c>
      <c r="H1301" s="17">
        <v>74.52</v>
      </c>
      <c r="I1301" s="8">
        <v>126.9</v>
      </c>
      <c r="J1301" s="21">
        <f t="shared" si="60"/>
        <v>0.70289855072463781</v>
      </c>
      <c r="K1301" s="1">
        <v>4</v>
      </c>
      <c r="L1301" s="24">
        <v>6.3</v>
      </c>
      <c r="M1301" s="24">
        <v>120.55500000000001</v>
      </c>
      <c r="N1301" s="21">
        <f t="shared" si="61"/>
        <v>0.61775362318840599</v>
      </c>
      <c r="P1301" s="1">
        <v>10</v>
      </c>
      <c r="Q1301" s="24">
        <v>15.227999999999994</v>
      </c>
      <c r="R1301" s="24">
        <v>111.67200000000001</v>
      </c>
      <c r="S1301" s="21">
        <f t="shared" si="62"/>
        <v>0.49855072463768141</v>
      </c>
    </row>
    <row r="1302" spans="2:19" ht="11.4" customHeight="1" x14ac:dyDescent="0.2">
      <c r="B1302" s="24"/>
      <c r="C1302" s="7">
        <v>41113</v>
      </c>
      <c r="D1302" s="18" t="s">
        <v>1369</v>
      </c>
      <c r="E1302" s="18" t="s">
        <v>1361</v>
      </c>
      <c r="F1302" s="17">
        <v>8</v>
      </c>
      <c r="G1302" s="18" t="s">
        <v>23</v>
      </c>
      <c r="H1302" s="17">
        <v>113.16</v>
      </c>
      <c r="I1302" s="8">
        <v>192.5</v>
      </c>
      <c r="J1302" s="21">
        <f t="shared" si="60"/>
        <v>0.70113114174620017</v>
      </c>
      <c r="K1302" s="1">
        <v>4</v>
      </c>
      <c r="L1302" s="24">
        <v>9.6</v>
      </c>
      <c r="M1302" s="24">
        <v>182.875</v>
      </c>
      <c r="N1302" s="21">
        <f t="shared" si="61"/>
        <v>0.61607458465889009</v>
      </c>
      <c r="P1302" s="1">
        <v>10</v>
      </c>
      <c r="Q1302" s="24">
        <v>23.099999999999994</v>
      </c>
      <c r="R1302" s="24">
        <v>169.4</v>
      </c>
      <c r="S1302" s="21">
        <f t="shared" si="62"/>
        <v>0.49699540473665615</v>
      </c>
    </row>
    <row r="1303" spans="2:19" ht="11.4" customHeight="1" x14ac:dyDescent="0.2">
      <c r="B1303" s="24"/>
      <c r="C1303" s="7">
        <v>41110</v>
      </c>
      <c r="D1303" s="18" t="s">
        <v>1370</v>
      </c>
      <c r="E1303" s="18" t="s">
        <v>1361</v>
      </c>
      <c r="F1303" s="17">
        <v>8</v>
      </c>
      <c r="G1303" s="18" t="s">
        <v>23</v>
      </c>
      <c r="H1303" s="17">
        <v>71.28</v>
      </c>
      <c r="I1303" s="8">
        <v>106.9</v>
      </c>
      <c r="J1303" s="21">
        <f t="shared" si="60"/>
        <v>0.49971941638608308</v>
      </c>
      <c r="K1303" s="1">
        <v>4</v>
      </c>
      <c r="L1303" s="24">
        <v>5.3</v>
      </c>
      <c r="M1303" s="24">
        <v>101.55500000000001</v>
      </c>
      <c r="N1303" s="21">
        <f t="shared" si="61"/>
        <v>0.424733445566779</v>
      </c>
      <c r="P1303" s="1">
        <v>10</v>
      </c>
      <c r="Q1303" s="24">
        <v>12.828000000000003</v>
      </c>
      <c r="R1303" s="24">
        <v>94.072000000000003</v>
      </c>
      <c r="S1303" s="21">
        <f t="shared" si="62"/>
        <v>0.31975308641975309</v>
      </c>
    </row>
    <row r="1304" spans="2:19" ht="11.4" customHeight="1" x14ac:dyDescent="0.2">
      <c r="B1304" s="24"/>
      <c r="C1304" s="7">
        <v>41111</v>
      </c>
      <c r="D1304" s="18" t="s">
        <v>1371</v>
      </c>
      <c r="E1304" s="18" t="s">
        <v>1361</v>
      </c>
      <c r="F1304" s="17">
        <v>8</v>
      </c>
      <c r="G1304" s="18" t="s">
        <v>23</v>
      </c>
      <c r="H1304" s="17">
        <v>108.36</v>
      </c>
      <c r="I1304" s="8">
        <v>184.5</v>
      </c>
      <c r="J1304" s="21">
        <f t="shared" si="60"/>
        <v>0.70265780730897009</v>
      </c>
      <c r="K1304" s="1">
        <v>4</v>
      </c>
      <c r="L1304" s="24">
        <v>9.1999999999999993</v>
      </c>
      <c r="M1304" s="24">
        <v>175.27500000000001</v>
      </c>
      <c r="N1304" s="21">
        <f t="shared" si="61"/>
        <v>0.61752491694352163</v>
      </c>
      <c r="P1304" s="1">
        <v>10</v>
      </c>
      <c r="Q1304" s="24">
        <v>22.139999999999986</v>
      </c>
      <c r="R1304" s="24">
        <v>162.36000000000001</v>
      </c>
      <c r="S1304" s="21">
        <f t="shared" si="62"/>
        <v>0.49833887043189384</v>
      </c>
    </row>
    <row r="1305" spans="2:19" ht="11.4" customHeight="1" x14ac:dyDescent="0.2">
      <c r="B1305" s="24"/>
      <c r="C1305" s="7">
        <v>42436</v>
      </c>
      <c r="D1305" s="18" t="s">
        <v>1372</v>
      </c>
      <c r="E1305" s="18" t="s">
        <v>1361</v>
      </c>
      <c r="F1305" s="18"/>
      <c r="G1305" s="18" t="s">
        <v>23</v>
      </c>
      <c r="H1305" s="17">
        <v>0.01</v>
      </c>
      <c r="I1305" s="8">
        <v>189.9</v>
      </c>
      <c r="J1305" s="21">
        <f t="shared" si="60"/>
        <v>18989</v>
      </c>
      <c r="K1305" s="1">
        <v>4</v>
      </c>
      <c r="L1305" s="24">
        <v>9.4</v>
      </c>
      <c r="M1305" s="24">
        <v>180.405</v>
      </c>
      <c r="N1305" s="21">
        <f t="shared" si="61"/>
        <v>18039.5</v>
      </c>
      <c r="P1305" s="1">
        <v>10</v>
      </c>
      <c r="Q1305" s="24">
        <v>22.788000000000011</v>
      </c>
      <c r="R1305" s="24">
        <v>167.11199999999999</v>
      </c>
      <c r="S1305" s="21">
        <f t="shared" si="62"/>
        <v>16710.2</v>
      </c>
    </row>
    <row r="1306" spans="2:19" ht="11.4" customHeight="1" x14ac:dyDescent="0.2">
      <c r="B1306" s="24"/>
      <c r="C1306" s="7">
        <v>4177</v>
      </c>
      <c r="D1306" s="18" t="s">
        <v>1373</v>
      </c>
      <c r="E1306" s="18" t="s">
        <v>1374</v>
      </c>
      <c r="F1306" s="17">
        <v>6</v>
      </c>
      <c r="G1306" s="18" t="s">
        <v>23</v>
      </c>
      <c r="H1306" s="17">
        <v>119.5</v>
      </c>
      <c r="I1306" s="8">
        <v>146.5</v>
      </c>
      <c r="J1306" s="21">
        <f t="shared" si="60"/>
        <v>0.22594142259414227</v>
      </c>
      <c r="K1306" s="1">
        <v>4</v>
      </c>
      <c r="L1306" s="24">
        <v>7.3</v>
      </c>
      <c r="M1306" s="24">
        <v>139.17499999999998</v>
      </c>
      <c r="N1306" s="21">
        <f t="shared" si="61"/>
        <v>0.16464435146443501</v>
      </c>
      <c r="P1306" s="1">
        <v>10</v>
      </c>
      <c r="Q1306" s="24">
        <v>17.580000000000013</v>
      </c>
      <c r="R1306" s="24">
        <v>128.91999999999999</v>
      </c>
      <c r="S1306" s="21">
        <f t="shared" si="62"/>
        <v>7.8828451882845083E-2</v>
      </c>
    </row>
    <row r="1307" spans="2:19" ht="11.4" customHeight="1" x14ac:dyDescent="0.2">
      <c r="B1307" s="24"/>
      <c r="C1307" s="7">
        <v>38943</v>
      </c>
      <c r="D1307" s="18" t="s">
        <v>1375</v>
      </c>
      <c r="E1307" s="18" t="s">
        <v>1374</v>
      </c>
      <c r="F1307" s="17">
        <v>12</v>
      </c>
      <c r="G1307" s="18" t="s">
        <v>23</v>
      </c>
      <c r="H1307" s="17">
        <v>93.18</v>
      </c>
      <c r="I1307" s="8">
        <v>125.9</v>
      </c>
      <c r="J1307" s="21">
        <f t="shared" si="60"/>
        <v>0.35114831508907485</v>
      </c>
      <c r="K1307" s="1">
        <v>4</v>
      </c>
      <c r="L1307" s="24">
        <v>6.2</v>
      </c>
      <c r="M1307" s="24">
        <v>119.605</v>
      </c>
      <c r="N1307" s="21">
        <f t="shared" si="61"/>
        <v>0.28359089933462112</v>
      </c>
      <c r="P1307" s="1">
        <v>10</v>
      </c>
      <c r="Q1307" s="24">
        <v>15.108000000000004</v>
      </c>
      <c r="R1307" s="24">
        <v>110.792</v>
      </c>
      <c r="S1307" s="21">
        <f t="shared" si="62"/>
        <v>0.18901051727838586</v>
      </c>
    </row>
    <row r="1308" spans="2:19" ht="11.4" customHeight="1" x14ac:dyDescent="0.2">
      <c r="B1308" s="24"/>
      <c r="C1308" s="7">
        <v>4179</v>
      </c>
      <c r="D1308" s="18" t="s">
        <v>1376</v>
      </c>
      <c r="E1308" s="18" t="s">
        <v>1374</v>
      </c>
      <c r="F1308" s="17">
        <v>6</v>
      </c>
      <c r="G1308" s="18" t="s">
        <v>23</v>
      </c>
      <c r="H1308" s="17">
        <v>119.5</v>
      </c>
      <c r="I1308" s="8">
        <v>146.5</v>
      </c>
      <c r="J1308" s="21">
        <f t="shared" si="60"/>
        <v>0.22594142259414227</v>
      </c>
      <c r="K1308" s="1">
        <v>4</v>
      </c>
      <c r="L1308" s="24">
        <v>7.3</v>
      </c>
      <c r="M1308" s="24">
        <v>139.17499999999998</v>
      </c>
      <c r="N1308" s="21">
        <f t="shared" si="61"/>
        <v>0.16464435146443501</v>
      </c>
      <c r="P1308" s="1">
        <v>10</v>
      </c>
      <c r="Q1308" s="24">
        <v>17.580000000000013</v>
      </c>
      <c r="R1308" s="24">
        <v>128.91999999999999</v>
      </c>
      <c r="S1308" s="21">
        <f t="shared" si="62"/>
        <v>7.8828451882845083E-2</v>
      </c>
    </row>
    <row r="1309" spans="2:19" ht="11.4" customHeight="1" x14ac:dyDescent="0.2">
      <c r="B1309" s="24"/>
      <c r="C1309" s="7">
        <v>10899</v>
      </c>
      <c r="D1309" s="18" t="s">
        <v>1377</v>
      </c>
      <c r="E1309" s="18" t="s">
        <v>1374</v>
      </c>
      <c r="F1309" s="17">
        <v>9</v>
      </c>
      <c r="G1309" s="18" t="s">
        <v>23</v>
      </c>
      <c r="H1309" s="17">
        <v>63.8</v>
      </c>
      <c r="I1309" s="8">
        <v>69.900000000000006</v>
      </c>
      <c r="J1309" s="21">
        <f t="shared" si="60"/>
        <v>9.5611285266457818E-2</v>
      </c>
      <c r="K1309" s="1">
        <v>4</v>
      </c>
      <c r="L1309" s="24">
        <v>3.4</v>
      </c>
      <c r="M1309" s="24">
        <v>66.405000000000001</v>
      </c>
      <c r="N1309" s="21">
        <f t="shared" si="61"/>
        <v>4.0830721003134861E-2</v>
      </c>
      <c r="P1309" s="1">
        <v>10</v>
      </c>
      <c r="Q1309" s="24">
        <v>8.3879999999999981</v>
      </c>
      <c r="R1309" s="24">
        <v>61.512000000000008</v>
      </c>
      <c r="S1309" s="21">
        <f t="shared" si="62"/>
        <v>-3.586206896551708E-2</v>
      </c>
    </row>
    <row r="1310" spans="2:19" ht="11.4" customHeight="1" x14ac:dyDescent="0.2">
      <c r="B1310" s="24"/>
      <c r="C1310" s="7">
        <v>33714</v>
      </c>
      <c r="D1310" s="18" t="s">
        <v>1378</v>
      </c>
      <c r="E1310" s="18" t="s">
        <v>1374</v>
      </c>
      <c r="F1310" s="17">
        <v>12</v>
      </c>
      <c r="G1310" s="18" t="s">
        <v>23</v>
      </c>
      <c r="H1310" s="17">
        <v>90.55</v>
      </c>
      <c r="I1310" s="8">
        <v>117.9</v>
      </c>
      <c r="J1310" s="21">
        <f t="shared" si="60"/>
        <v>0.30204307012700177</v>
      </c>
      <c r="K1310" s="1">
        <v>4</v>
      </c>
      <c r="L1310" s="24">
        <v>5.8</v>
      </c>
      <c r="M1310" s="24">
        <v>112.005</v>
      </c>
      <c r="N1310" s="21">
        <f t="shared" si="61"/>
        <v>0.23694091662065156</v>
      </c>
      <c r="P1310" s="1">
        <v>10</v>
      </c>
      <c r="Q1310" s="24">
        <v>14.147999999999996</v>
      </c>
      <c r="R1310" s="24">
        <v>103.75200000000001</v>
      </c>
      <c r="S1310" s="21">
        <f t="shared" si="62"/>
        <v>0.1457979017117616</v>
      </c>
    </row>
    <row r="1311" spans="2:19" ht="11.4" customHeight="1" x14ac:dyDescent="0.2">
      <c r="B1311" s="24"/>
      <c r="C1311" s="7">
        <v>4175</v>
      </c>
      <c r="D1311" s="18" t="s">
        <v>1379</v>
      </c>
      <c r="E1311" s="18" t="s">
        <v>1374</v>
      </c>
      <c r="F1311" s="17">
        <v>6</v>
      </c>
      <c r="G1311" s="18" t="s">
        <v>23</v>
      </c>
      <c r="H1311" s="17">
        <v>89.5</v>
      </c>
      <c r="I1311" s="8">
        <v>108.2</v>
      </c>
      <c r="J1311" s="21">
        <f t="shared" si="60"/>
        <v>0.20893854748603355</v>
      </c>
      <c r="K1311" s="1">
        <v>4</v>
      </c>
      <c r="L1311" s="24">
        <v>5.4</v>
      </c>
      <c r="M1311" s="24">
        <v>102.78999999999999</v>
      </c>
      <c r="N1311" s="21">
        <f t="shared" si="61"/>
        <v>0.14849162011173175</v>
      </c>
      <c r="P1311" s="1">
        <v>10</v>
      </c>
      <c r="Q1311" s="24">
        <v>12.983999999999995</v>
      </c>
      <c r="R1311" s="24">
        <v>95.216000000000008</v>
      </c>
      <c r="S1311" s="21">
        <f t="shared" si="62"/>
        <v>6.3865921787709584E-2</v>
      </c>
    </row>
    <row r="1312" spans="2:19" ht="11.4" customHeight="1" x14ac:dyDescent="0.2">
      <c r="B1312" s="24"/>
      <c r="C1312" s="7">
        <v>4176</v>
      </c>
      <c r="D1312" s="18" t="s">
        <v>1380</v>
      </c>
      <c r="E1312" s="18" t="s">
        <v>1374</v>
      </c>
      <c r="F1312" s="17">
        <v>6</v>
      </c>
      <c r="G1312" s="18" t="s">
        <v>23</v>
      </c>
      <c r="H1312" s="17">
        <v>85.5</v>
      </c>
      <c r="I1312" s="8">
        <v>97.9</v>
      </c>
      <c r="J1312" s="21">
        <f t="shared" si="60"/>
        <v>0.14502923976608192</v>
      </c>
      <c r="K1312" s="1">
        <v>4</v>
      </c>
      <c r="L1312" s="24">
        <v>4.8</v>
      </c>
      <c r="M1312" s="24">
        <v>93.004999999999995</v>
      </c>
      <c r="N1312" s="21">
        <f t="shared" si="61"/>
        <v>8.7777777777777719E-2</v>
      </c>
      <c r="P1312" s="1">
        <v>10</v>
      </c>
      <c r="Q1312" s="24">
        <v>11.748000000000005</v>
      </c>
      <c r="R1312" s="24">
        <v>86.152000000000001</v>
      </c>
      <c r="S1312" s="21">
        <f t="shared" si="62"/>
        <v>7.6257309941520591E-3</v>
      </c>
    </row>
    <row r="1313" spans="2:19" ht="11.4" customHeight="1" x14ac:dyDescent="0.2">
      <c r="B1313" s="24"/>
      <c r="C1313" s="7">
        <v>39047</v>
      </c>
      <c r="D1313" s="18" t="s">
        <v>1381</v>
      </c>
      <c r="E1313" s="18" t="s">
        <v>1374</v>
      </c>
      <c r="F1313" s="17">
        <v>6</v>
      </c>
      <c r="G1313" s="18" t="s">
        <v>23</v>
      </c>
      <c r="H1313" s="17">
        <v>199.9</v>
      </c>
      <c r="I1313" s="8">
        <v>97.9</v>
      </c>
      <c r="J1313" s="21">
        <f t="shared" si="60"/>
        <v>-0.51025512756378189</v>
      </c>
      <c r="K1313" s="1">
        <v>4</v>
      </c>
      <c r="L1313" s="24">
        <v>4.8</v>
      </c>
      <c r="M1313" s="24">
        <v>93.004999999999995</v>
      </c>
      <c r="N1313" s="21">
        <f t="shared" si="61"/>
        <v>-0.53474237118559287</v>
      </c>
      <c r="P1313" s="1">
        <v>10</v>
      </c>
      <c r="Q1313" s="24">
        <v>11.748000000000005</v>
      </c>
      <c r="R1313" s="24">
        <v>86.152000000000001</v>
      </c>
      <c r="S1313" s="21">
        <f t="shared" si="62"/>
        <v>-0.56902451225612805</v>
      </c>
    </row>
    <row r="1314" spans="2:19" ht="11.4" customHeight="1" x14ac:dyDescent="0.2">
      <c r="B1314" s="24"/>
      <c r="C1314" s="7">
        <v>36403</v>
      </c>
      <c r="D1314" s="18" t="s">
        <v>1382</v>
      </c>
      <c r="E1314" s="18" t="s">
        <v>1152</v>
      </c>
      <c r="F1314" s="17">
        <v>28</v>
      </c>
      <c r="G1314" s="18" t="s">
        <v>23</v>
      </c>
      <c r="H1314" s="17">
        <v>45.8</v>
      </c>
      <c r="I1314" s="8">
        <v>50.5</v>
      </c>
      <c r="J1314" s="21">
        <f t="shared" si="60"/>
        <v>0.10262008733624461</v>
      </c>
      <c r="K1314" s="1">
        <v>4</v>
      </c>
      <c r="L1314" s="24">
        <v>2.5</v>
      </c>
      <c r="M1314" s="24">
        <v>47.974999999999994</v>
      </c>
      <c r="N1314" s="21">
        <f t="shared" si="61"/>
        <v>4.7489082969432259E-2</v>
      </c>
      <c r="P1314" s="1">
        <v>10</v>
      </c>
      <c r="Q1314" s="24">
        <v>6.0600000000000023</v>
      </c>
      <c r="R1314" s="24">
        <v>44.44</v>
      </c>
      <c r="S1314" s="21">
        <f t="shared" si="62"/>
        <v>-2.9694323144104792E-2</v>
      </c>
    </row>
    <row r="1315" spans="2:19" ht="11.4" customHeight="1" x14ac:dyDescent="0.2">
      <c r="B1315" s="24"/>
      <c r="C1315" s="7">
        <v>37863</v>
      </c>
      <c r="D1315" s="18" t="s">
        <v>1383</v>
      </c>
      <c r="E1315" s="18" t="s">
        <v>1152</v>
      </c>
      <c r="F1315" s="17">
        <v>15</v>
      </c>
      <c r="G1315" s="18" t="s">
        <v>23</v>
      </c>
      <c r="H1315" s="17">
        <v>39.9</v>
      </c>
      <c r="I1315" s="8">
        <v>39.9</v>
      </c>
      <c r="J1315" s="21">
        <f t="shared" si="60"/>
        <v>0</v>
      </c>
      <c r="K1315" s="1">
        <v>4</v>
      </c>
      <c r="L1315" s="24">
        <v>1.9</v>
      </c>
      <c r="M1315" s="24">
        <v>37.904999999999994</v>
      </c>
      <c r="N1315" s="21">
        <f t="shared" si="61"/>
        <v>-5.0000000000000114E-2</v>
      </c>
      <c r="P1315" s="1">
        <v>10</v>
      </c>
      <c r="Q1315" s="24">
        <v>4.7879999999999967</v>
      </c>
      <c r="R1315" s="24">
        <v>35.112000000000002</v>
      </c>
      <c r="S1315" s="21">
        <f t="shared" si="62"/>
        <v>-0.11999999999999993</v>
      </c>
    </row>
    <row r="1316" spans="2:19" ht="11.4" customHeight="1" x14ac:dyDescent="0.2">
      <c r="B1316" s="24"/>
      <c r="C1316" s="7">
        <v>23072</v>
      </c>
      <c r="D1316" s="18" t="s">
        <v>1384</v>
      </c>
      <c r="E1316" s="18" t="s">
        <v>1374</v>
      </c>
      <c r="F1316" s="18"/>
      <c r="G1316" s="18" t="s">
        <v>23</v>
      </c>
      <c r="H1316" s="17">
        <v>18.54</v>
      </c>
      <c r="I1316" s="8">
        <v>24.9</v>
      </c>
      <c r="J1316" s="21">
        <f t="shared" si="60"/>
        <v>0.34304207119741098</v>
      </c>
      <c r="K1316" s="1">
        <v>4</v>
      </c>
      <c r="L1316" s="24">
        <v>1.2</v>
      </c>
      <c r="M1316" s="24">
        <v>23.654999999999998</v>
      </c>
      <c r="N1316" s="21">
        <f t="shared" si="61"/>
        <v>0.27588996763754037</v>
      </c>
      <c r="P1316" s="1">
        <v>10</v>
      </c>
      <c r="Q1316" s="24">
        <v>2.9879999999999995</v>
      </c>
      <c r="R1316" s="24">
        <v>21.911999999999999</v>
      </c>
      <c r="S1316" s="21">
        <f t="shared" si="62"/>
        <v>0.18187702265372169</v>
      </c>
    </row>
    <row r="1317" spans="2:19" ht="11.4" customHeight="1" x14ac:dyDescent="0.2">
      <c r="B1317" s="24"/>
      <c r="C1317" s="7">
        <v>33715</v>
      </c>
      <c r="D1317" s="18" t="s">
        <v>1385</v>
      </c>
      <c r="E1317" s="18" t="s">
        <v>1374</v>
      </c>
      <c r="F1317" s="17">
        <v>6</v>
      </c>
      <c r="G1317" s="18" t="s">
        <v>23</v>
      </c>
      <c r="H1317" s="17">
        <v>109.78</v>
      </c>
      <c r="I1317" s="8">
        <v>142.9</v>
      </c>
      <c r="J1317" s="21">
        <f t="shared" si="60"/>
        <v>0.3016942976862817</v>
      </c>
      <c r="K1317" s="1">
        <v>4</v>
      </c>
      <c r="L1317" s="24">
        <v>7.1</v>
      </c>
      <c r="M1317" s="24">
        <v>135.755</v>
      </c>
      <c r="N1317" s="21">
        <f t="shared" si="61"/>
        <v>0.23660958280196751</v>
      </c>
      <c r="P1317" s="1">
        <v>10</v>
      </c>
      <c r="Q1317" s="24">
        <v>17.147999999999996</v>
      </c>
      <c r="R1317" s="24">
        <v>125.75200000000001</v>
      </c>
      <c r="S1317" s="21">
        <f t="shared" si="62"/>
        <v>0.14549098196392793</v>
      </c>
    </row>
    <row r="1318" spans="2:19" ht="11.4" customHeight="1" x14ac:dyDescent="0.2">
      <c r="B1318" s="24"/>
      <c r="C1318" s="7">
        <v>10901</v>
      </c>
      <c r="D1318" s="18" t="s">
        <v>1386</v>
      </c>
      <c r="E1318" s="18" t="s">
        <v>1374</v>
      </c>
      <c r="F1318" s="17">
        <v>9</v>
      </c>
      <c r="G1318" s="18" t="s">
        <v>23</v>
      </c>
      <c r="H1318" s="17">
        <v>63.8</v>
      </c>
      <c r="I1318" s="8">
        <v>69.900000000000006</v>
      </c>
      <c r="J1318" s="21">
        <f t="shared" si="60"/>
        <v>9.5611285266457818E-2</v>
      </c>
      <c r="K1318" s="1">
        <v>4</v>
      </c>
      <c r="L1318" s="24">
        <v>3.4</v>
      </c>
      <c r="M1318" s="24">
        <v>66.405000000000001</v>
      </c>
      <c r="N1318" s="21">
        <f t="shared" si="61"/>
        <v>4.0830721003134861E-2</v>
      </c>
      <c r="P1318" s="1">
        <v>10</v>
      </c>
      <c r="Q1318" s="24">
        <v>8.3879999999999981</v>
      </c>
      <c r="R1318" s="24">
        <v>61.512000000000008</v>
      </c>
      <c r="S1318" s="21">
        <f t="shared" si="62"/>
        <v>-3.586206896551708E-2</v>
      </c>
    </row>
    <row r="1319" spans="2:19" ht="11.4" customHeight="1" x14ac:dyDescent="0.2">
      <c r="B1319" s="24"/>
      <c r="C1319" s="7">
        <v>35470</v>
      </c>
      <c r="D1319" s="18" t="s">
        <v>1387</v>
      </c>
      <c r="E1319" s="18" t="s">
        <v>1374</v>
      </c>
      <c r="F1319" s="17">
        <v>12</v>
      </c>
      <c r="G1319" s="18" t="s">
        <v>23</v>
      </c>
      <c r="H1319" s="17">
        <v>26.9</v>
      </c>
      <c r="I1319" s="8">
        <v>32.5</v>
      </c>
      <c r="J1319" s="21">
        <f t="shared" si="60"/>
        <v>0.2081784386617101</v>
      </c>
      <c r="K1319" s="1">
        <v>4</v>
      </c>
      <c r="L1319" s="24">
        <v>1.6</v>
      </c>
      <c r="M1319" s="24">
        <v>30.875</v>
      </c>
      <c r="N1319" s="21">
        <f t="shared" si="61"/>
        <v>0.14776951672862459</v>
      </c>
      <c r="P1319" s="1">
        <v>10</v>
      </c>
      <c r="Q1319" s="24">
        <v>3.8999999999999986</v>
      </c>
      <c r="R1319" s="24">
        <v>28.6</v>
      </c>
      <c r="S1319" s="21">
        <f t="shared" si="62"/>
        <v>6.3197026022304939E-2</v>
      </c>
    </row>
    <row r="1320" spans="2:19" ht="11.4" customHeight="1" x14ac:dyDescent="0.2">
      <c r="B1320" s="24"/>
      <c r="C1320" s="7">
        <v>24056</v>
      </c>
      <c r="D1320" s="18" t="s">
        <v>1388</v>
      </c>
      <c r="E1320" s="18" t="s">
        <v>1374</v>
      </c>
      <c r="F1320" s="17">
        <v>12</v>
      </c>
      <c r="G1320" s="18" t="s">
        <v>23</v>
      </c>
      <c r="H1320" s="17">
        <v>17.899999999999999</v>
      </c>
      <c r="I1320" s="8">
        <v>17.2</v>
      </c>
      <c r="J1320" s="21">
        <f t="shared" si="60"/>
        <v>-3.9106145251396614E-2</v>
      </c>
      <c r="K1320" s="1">
        <v>4</v>
      </c>
      <c r="L1320" s="24">
        <v>0.8</v>
      </c>
      <c r="M1320" s="24">
        <v>16.34</v>
      </c>
      <c r="N1320" s="21">
        <f t="shared" si="61"/>
        <v>-8.7150837988826751E-2</v>
      </c>
      <c r="P1320" s="1">
        <v>10</v>
      </c>
      <c r="Q1320" s="24">
        <v>2.0640000000000001</v>
      </c>
      <c r="R1320" s="24">
        <v>15.135999999999999</v>
      </c>
      <c r="S1320" s="21">
        <f t="shared" si="62"/>
        <v>-0.15441340782122903</v>
      </c>
    </row>
    <row r="1321" spans="2:19" ht="11.4" customHeight="1" x14ac:dyDescent="0.2">
      <c r="B1321" s="24"/>
      <c r="C1321" s="7">
        <v>23576</v>
      </c>
      <c r="D1321" s="18" t="s">
        <v>1389</v>
      </c>
      <c r="E1321" s="18" t="s">
        <v>1390</v>
      </c>
      <c r="F1321" s="17">
        <v>15</v>
      </c>
      <c r="G1321" s="18" t="s">
        <v>23</v>
      </c>
      <c r="H1321" s="17">
        <v>30.54</v>
      </c>
      <c r="I1321" s="8">
        <v>41.2</v>
      </c>
      <c r="J1321" s="21">
        <f t="shared" si="60"/>
        <v>0.34905042567125094</v>
      </c>
      <c r="K1321" s="1">
        <v>4</v>
      </c>
      <c r="L1321" s="24">
        <v>2</v>
      </c>
      <c r="M1321" s="24">
        <v>39.14</v>
      </c>
      <c r="N1321" s="21">
        <f t="shared" si="61"/>
        <v>0.28159790438768834</v>
      </c>
      <c r="P1321" s="1">
        <v>10</v>
      </c>
      <c r="Q1321" s="24">
        <v>4.9440000000000026</v>
      </c>
      <c r="R1321" s="24">
        <v>36.256</v>
      </c>
      <c r="S1321" s="21">
        <f t="shared" si="62"/>
        <v>0.18716437459070076</v>
      </c>
    </row>
    <row r="1322" spans="2:19" ht="11.4" customHeight="1" x14ac:dyDescent="0.2">
      <c r="B1322" s="24"/>
      <c r="C1322" s="7">
        <v>37866</v>
      </c>
      <c r="D1322" s="18" t="s">
        <v>1391</v>
      </c>
      <c r="E1322" s="18" t="s">
        <v>1390</v>
      </c>
      <c r="F1322" s="17">
        <v>50</v>
      </c>
      <c r="G1322" s="18" t="s">
        <v>23</v>
      </c>
      <c r="H1322" s="17">
        <v>4.9000000000000004</v>
      </c>
      <c r="I1322" s="8">
        <v>6.9</v>
      </c>
      <c r="J1322" s="21">
        <f t="shared" si="60"/>
        <v>0.4081632653061224</v>
      </c>
      <c r="K1322" s="1">
        <v>4</v>
      </c>
      <c r="L1322" s="24">
        <v>0.3</v>
      </c>
      <c r="M1322" s="24">
        <v>6.5549999999999997</v>
      </c>
      <c r="N1322" s="21">
        <f t="shared" si="61"/>
        <v>0.33775510204081616</v>
      </c>
      <c r="P1322" s="1">
        <v>10</v>
      </c>
      <c r="Q1322" s="24">
        <v>0.82800000000000029</v>
      </c>
      <c r="R1322" s="24">
        <v>6.0720000000000001</v>
      </c>
      <c r="S1322" s="21">
        <f t="shared" si="62"/>
        <v>0.23918367346938768</v>
      </c>
    </row>
    <row r="1323" spans="2:19" ht="11.4" customHeight="1" x14ac:dyDescent="0.2">
      <c r="B1323" s="24"/>
      <c r="C1323" s="7">
        <v>38990</v>
      </c>
      <c r="D1323" s="18" t="s">
        <v>1392</v>
      </c>
      <c r="E1323" s="18" t="s">
        <v>1393</v>
      </c>
      <c r="F1323" s="17">
        <v>50</v>
      </c>
      <c r="G1323" s="18" t="s">
        <v>23</v>
      </c>
      <c r="H1323" s="17">
        <v>59.9</v>
      </c>
      <c r="I1323" s="8">
        <v>59.9</v>
      </c>
      <c r="J1323" s="21">
        <f t="shared" si="60"/>
        <v>0</v>
      </c>
      <c r="K1323" s="1">
        <v>4</v>
      </c>
      <c r="L1323" s="24">
        <v>2.9</v>
      </c>
      <c r="M1323" s="24">
        <v>56.904999999999994</v>
      </c>
      <c r="N1323" s="21">
        <f t="shared" si="61"/>
        <v>-5.0000000000000079E-2</v>
      </c>
      <c r="P1323" s="1">
        <v>10</v>
      </c>
      <c r="Q1323" s="24">
        <v>7.1880000000000024</v>
      </c>
      <c r="R1323" s="24">
        <v>52.711999999999996</v>
      </c>
      <c r="S1323" s="21">
        <f t="shared" si="62"/>
        <v>-0.12000000000000004</v>
      </c>
    </row>
    <row r="1324" spans="2:19" ht="11.4" customHeight="1" x14ac:dyDescent="0.2">
      <c r="B1324" s="24"/>
      <c r="C1324" s="7">
        <v>39015</v>
      </c>
      <c r="D1324" s="18" t="s">
        <v>1394</v>
      </c>
      <c r="E1324" s="18" t="s">
        <v>1390</v>
      </c>
      <c r="F1324" s="17">
        <v>50</v>
      </c>
      <c r="G1324" s="18" t="s">
        <v>23</v>
      </c>
      <c r="H1324" s="17">
        <v>47.5</v>
      </c>
      <c r="I1324" s="8">
        <v>49.9</v>
      </c>
      <c r="J1324" s="21">
        <f t="shared" si="60"/>
        <v>5.0526315789473655E-2</v>
      </c>
      <c r="K1324" s="1">
        <v>4</v>
      </c>
      <c r="L1324" s="24">
        <v>2.4</v>
      </c>
      <c r="M1324" s="24">
        <v>47.404999999999994</v>
      </c>
      <c r="N1324" s="21">
        <f t="shared" si="61"/>
        <v>-2.0000000000001258E-3</v>
      </c>
      <c r="P1324" s="1">
        <v>10</v>
      </c>
      <c r="Q1324" s="24">
        <v>5.9879999999999995</v>
      </c>
      <c r="R1324" s="24">
        <v>43.911999999999999</v>
      </c>
      <c r="S1324" s="21">
        <f t="shared" si="62"/>
        <v>-7.553684210526318E-2</v>
      </c>
    </row>
    <row r="1325" spans="2:19" ht="11.4" customHeight="1" x14ac:dyDescent="0.2">
      <c r="B1325" s="24"/>
      <c r="C1325" s="7">
        <v>39016</v>
      </c>
      <c r="D1325" s="18" t="s">
        <v>1395</v>
      </c>
      <c r="E1325" s="18" t="s">
        <v>1390</v>
      </c>
      <c r="F1325" s="17">
        <v>50</v>
      </c>
      <c r="G1325" s="18" t="s">
        <v>23</v>
      </c>
      <c r="H1325" s="17">
        <v>55.9</v>
      </c>
      <c r="I1325" s="8">
        <v>55.9</v>
      </c>
      <c r="J1325" s="21">
        <f t="shared" si="60"/>
        <v>0</v>
      </c>
      <c r="K1325" s="1">
        <v>4</v>
      </c>
      <c r="L1325" s="24">
        <v>2.7</v>
      </c>
      <c r="M1325" s="24">
        <v>53.104999999999997</v>
      </c>
      <c r="N1325" s="21">
        <f t="shared" si="61"/>
        <v>-5.0000000000000031E-2</v>
      </c>
      <c r="P1325" s="1">
        <v>10</v>
      </c>
      <c r="Q1325" s="24">
        <v>6.7079999999999984</v>
      </c>
      <c r="R1325" s="24">
        <v>49.192</v>
      </c>
      <c r="S1325" s="21">
        <f t="shared" si="62"/>
        <v>-0.11999999999999997</v>
      </c>
    </row>
    <row r="1326" spans="2:19" ht="11.4" customHeight="1" x14ac:dyDescent="0.2">
      <c r="B1326" s="24"/>
      <c r="C1326" s="7">
        <v>5628</v>
      </c>
      <c r="D1326" s="18" t="s">
        <v>1396</v>
      </c>
      <c r="E1326" s="18" t="s">
        <v>1390</v>
      </c>
      <c r="F1326" s="17">
        <v>60</v>
      </c>
      <c r="G1326" s="18" t="s">
        <v>23</v>
      </c>
      <c r="H1326" s="17">
        <v>17.899999999999999</v>
      </c>
      <c r="I1326" s="8">
        <v>20.5</v>
      </c>
      <c r="J1326" s="21">
        <f t="shared" si="60"/>
        <v>0.14525139664804479</v>
      </c>
      <c r="K1326" s="1">
        <v>4</v>
      </c>
      <c r="L1326" s="24">
        <v>1</v>
      </c>
      <c r="M1326" s="24">
        <v>19.474999999999998</v>
      </c>
      <c r="N1326" s="21">
        <f t="shared" si="61"/>
        <v>8.7988826815642421E-2</v>
      </c>
      <c r="P1326" s="1">
        <v>10</v>
      </c>
      <c r="Q1326" s="24">
        <v>2.4600000000000009</v>
      </c>
      <c r="R1326" s="24">
        <v>18.04</v>
      </c>
      <c r="S1326" s="21">
        <f t="shared" si="62"/>
        <v>7.8212290502793613E-3</v>
      </c>
    </row>
    <row r="1327" spans="2:19" ht="11.4" customHeight="1" x14ac:dyDescent="0.2">
      <c r="B1327" s="24"/>
      <c r="C1327" s="7">
        <v>37872</v>
      </c>
      <c r="D1327" s="18" t="s">
        <v>1397</v>
      </c>
      <c r="E1327" s="18" t="s">
        <v>1390</v>
      </c>
      <c r="F1327" s="17">
        <v>35</v>
      </c>
      <c r="G1327" s="18" t="s">
        <v>23</v>
      </c>
      <c r="H1327" s="17">
        <v>19.899999999999999</v>
      </c>
      <c r="I1327" s="8">
        <v>19.899999999999999</v>
      </c>
      <c r="J1327" s="21">
        <f t="shared" si="60"/>
        <v>0</v>
      </c>
      <c r="K1327" s="1">
        <v>4</v>
      </c>
      <c r="L1327" s="24">
        <v>0.9</v>
      </c>
      <c r="M1327" s="24">
        <v>18.904999999999998</v>
      </c>
      <c r="N1327" s="21">
        <f t="shared" si="61"/>
        <v>-5.0000000000000051E-2</v>
      </c>
      <c r="P1327" s="1">
        <v>10</v>
      </c>
      <c r="Q1327" s="24">
        <v>2.3879999999999981</v>
      </c>
      <c r="R1327" s="24">
        <v>17.512</v>
      </c>
      <c r="S1327" s="21">
        <f t="shared" si="62"/>
        <v>-0.11999999999999991</v>
      </c>
    </row>
    <row r="1328" spans="2:19" ht="11.4" customHeight="1" x14ac:dyDescent="0.2">
      <c r="B1328" s="24"/>
      <c r="C1328" s="7">
        <v>47480</v>
      </c>
      <c r="D1328" s="18" t="s">
        <v>1398</v>
      </c>
      <c r="E1328" s="18" t="s">
        <v>1390</v>
      </c>
      <c r="F1328" s="17">
        <v>15</v>
      </c>
      <c r="G1328" s="18" t="s">
        <v>23</v>
      </c>
      <c r="H1328" s="17">
        <v>16.52</v>
      </c>
      <c r="I1328" s="8">
        <v>32.9</v>
      </c>
      <c r="J1328" s="21">
        <f t="shared" si="60"/>
        <v>0.99152542372881347</v>
      </c>
      <c r="K1328" s="1">
        <v>4</v>
      </c>
      <c r="L1328" s="24">
        <v>1.6</v>
      </c>
      <c r="M1328" s="24">
        <v>31.254999999999995</v>
      </c>
      <c r="N1328" s="21">
        <f t="shared" si="61"/>
        <v>0.89194915254237261</v>
      </c>
      <c r="P1328" s="1">
        <v>10</v>
      </c>
      <c r="Q1328" s="24">
        <v>3.9480000000000004</v>
      </c>
      <c r="R1328" s="24">
        <v>28.951999999999998</v>
      </c>
      <c r="S1328" s="21">
        <f t="shared" si="62"/>
        <v>0.75254237288135584</v>
      </c>
    </row>
    <row r="1329" spans="2:19" ht="11.4" customHeight="1" x14ac:dyDescent="0.2">
      <c r="B1329" s="24"/>
      <c r="C1329" s="7">
        <v>38991</v>
      </c>
      <c r="D1329" s="18" t="s">
        <v>1399</v>
      </c>
      <c r="E1329" s="18" t="s">
        <v>1400</v>
      </c>
      <c r="F1329" s="17">
        <v>15</v>
      </c>
      <c r="G1329" s="18" t="s">
        <v>23</v>
      </c>
      <c r="H1329" s="17">
        <v>59.9</v>
      </c>
      <c r="I1329" s="8">
        <v>67.900000000000006</v>
      </c>
      <c r="J1329" s="21">
        <f t="shared" si="60"/>
        <v>0.13355592654424053</v>
      </c>
      <c r="K1329" s="1">
        <v>4</v>
      </c>
      <c r="L1329" s="24">
        <v>3.3</v>
      </c>
      <c r="M1329" s="24">
        <v>64.504999999999995</v>
      </c>
      <c r="N1329" s="21">
        <f t="shared" si="61"/>
        <v>7.6878130217028329E-2</v>
      </c>
      <c r="P1329" s="1">
        <v>10</v>
      </c>
      <c r="Q1329" s="24">
        <v>8.1480000000000032</v>
      </c>
      <c r="R1329" s="24">
        <v>59.752000000000002</v>
      </c>
      <c r="S1329" s="21">
        <f t="shared" si="62"/>
        <v>-2.470784641068383E-3</v>
      </c>
    </row>
    <row r="1330" spans="2:19" ht="11.4" customHeight="1" x14ac:dyDescent="0.2">
      <c r="B1330" s="24"/>
      <c r="C1330" s="7">
        <v>47481</v>
      </c>
      <c r="D1330" s="18" t="s">
        <v>1401</v>
      </c>
      <c r="E1330" s="18" t="s">
        <v>1390</v>
      </c>
      <c r="F1330" s="17">
        <v>50</v>
      </c>
      <c r="G1330" s="18" t="s">
        <v>23</v>
      </c>
      <c r="H1330" s="17">
        <v>9.44</v>
      </c>
      <c r="I1330" s="8">
        <v>17.5</v>
      </c>
      <c r="J1330" s="21">
        <f t="shared" si="60"/>
        <v>0.85381355932203395</v>
      </c>
      <c r="K1330" s="1">
        <v>4</v>
      </c>
      <c r="L1330" s="24">
        <v>0.8</v>
      </c>
      <c r="M1330" s="24">
        <v>16.625</v>
      </c>
      <c r="N1330" s="21">
        <f t="shared" si="61"/>
        <v>0.76112288135593231</v>
      </c>
      <c r="P1330" s="1">
        <v>10</v>
      </c>
      <c r="Q1330" s="24">
        <v>2.0999999999999996</v>
      </c>
      <c r="R1330" s="24">
        <v>15.4</v>
      </c>
      <c r="S1330" s="21">
        <f t="shared" si="62"/>
        <v>0.63135593220338992</v>
      </c>
    </row>
    <row r="1331" spans="2:19" ht="11.4" customHeight="1" x14ac:dyDescent="0.2">
      <c r="B1331" s="24"/>
      <c r="C1331" s="7">
        <v>39318</v>
      </c>
      <c r="D1331" s="18" t="s">
        <v>1402</v>
      </c>
      <c r="E1331" s="18" t="s">
        <v>1390</v>
      </c>
      <c r="F1331" s="17">
        <v>6</v>
      </c>
      <c r="G1331" s="18" t="s">
        <v>23</v>
      </c>
      <c r="H1331" s="17">
        <v>95.9</v>
      </c>
      <c r="I1331" s="8">
        <v>125</v>
      </c>
      <c r="J1331" s="21">
        <f t="shared" si="60"/>
        <v>0.30344108446298218</v>
      </c>
      <c r="K1331" s="1">
        <v>4</v>
      </c>
      <c r="L1331" s="24">
        <v>6.2</v>
      </c>
      <c r="M1331" s="24">
        <v>118.75</v>
      </c>
      <c r="N1331" s="21">
        <f t="shared" si="61"/>
        <v>0.23826903023983309</v>
      </c>
      <c r="P1331" s="1">
        <v>10</v>
      </c>
      <c r="Q1331" s="24">
        <v>15</v>
      </c>
      <c r="R1331" s="24">
        <v>110</v>
      </c>
      <c r="S1331" s="21">
        <f t="shared" si="62"/>
        <v>0.14702815432742433</v>
      </c>
    </row>
    <row r="1332" spans="2:19" ht="11.4" customHeight="1" x14ac:dyDescent="0.2">
      <c r="B1332" s="24"/>
      <c r="C1332" s="7">
        <v>38993</v>
      </c>
      <c r="D1332" s="18" t="s">
        <v>1403</v>
      </c>
      <c r="E1332" s="18" t="s">
        <v>1393</v>
      </c>
      <c r="F1332" s="17">
        <v>15</v>
      </c>
      <c r="G1332" s="18" t="s">
        <v>23</v>
      </c>
      <c r="H1332" s="17">
        <v>65.5</v>
      </c>
      <c r="I1332" s="8">
        <v>65.5</v>
      </c>
      <c r="J1332" s="21">
        <f t="shared" si="60"/>
        <v>0</v>
      </c>
      <c r="K1332" s="1">
        <v>4</v>
      </c>
      <c r="L1332" s="24">
        <v>3.2</v>
      </c>
      <c r="M1332" s="24">
        <v>62.224999999999994</v>
      </c>
      <c r="N1332" s="21">
        <f t="shared" si="61"/>
        <v>-5.0000000000000086E-2</v>
      </c>
      <c r="P1332" s="1">
        <v>10</v>
      </c>
      <c r="Q1332" s="24">
        <v>7.8599999999999994</v>
      </c>
      <c r="R1332" s="24">
        <v>57.64</v>
      </c>
      <c r="S1332" s="21">
        <f t="shared" si="62"/>
        <v>-0.12</v>
      </c>
    </row>
    <row r="1333" spans="2:19" ht="11.4" customHeight="1" x14ac:dyDescent="0.2">
      <c r="B1333" s="24"/>
      <c r="C1333" s="7">
        <v>38994</v>
      </c>
      <c r="D1333" s="18" t="s">
        <v>1404</v>
      </c>
      <c r="E1333" s="18" t="s">
        <v>1393</v>
      </c>
      <c r="F1333" s="17">
        <v>12</v>
      </c>
      <c r="G1333" s="18" t="s">
        <v>23</v>
      </c>
      <c r="H1333" s="17">
        <v>89.9</v>
      </c>
      <c r="I1333" s="8">
        <v>93.5</v>
      </c>
      <c r="J1333" s="21">
        <f t="shared" si="60"/>
        <v>4.0044493882091144E-2</v>
      </c>
      <c r="K1333" s="1">
        <v>4</v>
      </c>
      <c r="L1333" s="24">
        <v>4.5999999999999996</v>
      </c>
      <c r="M1333" s="24">
        <v>88.825000000000003</v>
      </c>
      <c r="N1333" s="21">
        <f t="shared" si="61"/>
        <v>-1.1957730812013378E-2</v>
      </c>
      <c r="P1333" s="1">
        <v>10</v>
      </c>
      <c r="Q1333" s="24">
        <v>11.219999999999999</v>
      </c>
      <c r="R1333" s="24">
        <v>82.28</v>
      </c>
      <c r="S1333" s="21">
        <f t="shared" si="62"/>
        <v>-8.4760845383759775E-2</v>
      </c>
    </row>
    <row r="1334" spans="2:19" ht="11.4" customHeight="1" x14ac:dyDescent="0.2">
      <c r="B1334" s="24"/>
      <c r="C1334" s="7">
        <v>38992</v>
      </c>
      <c r="D1334" s="18" t="s">
        <v>1405</v>
      </c>
      <c r="E1334" s="18" t="s">
        <v>1393</v>
      </c>
      <c r="F1334" s="17">
        <v>15</v>
      </c>
      <c r="G1334" s="18" t="s">
        <v>23</v>
      </c>
      <c r="H1334" s="17">
        <v>25.9</v>
      </c>
      <c r="I1334" s="8">
        <v>26.6</v>
      </c>
      <c r="J1334" s="21">
        <f t="shared" si="60"/>
        <v>2.702702702702714E-2</v>
      </c>
      <c r="K1334" s="1">
        <v>4</v>
      </c>
      <c r="L1334" s="24">
        <v>1.3</v>
      </c>
      <c r="M1334" s="24">
        <v>25.27</v>
      </c>
      <c r="N1334" s="21">
        <f t="shared" si="61"/>
        <v>-2.4324324324324288E-2</v>
      </c>
      <c r="P1334" s="1">
        <v>10</v>
      </c>
      <c r="Q1334" s="24">
        <v>3.1920000000000002</v>
      </c>
      <c r="R1334" s="24">
        <v>23.408000000000001</v>
      </c>
      <c r="S1334" s="21">
        <f t="shared" si="62"/>
        <v>-9.6216216216216122E-2</v>
      </c>
    </row>
    <row r="1335" spans="2:19" ht="11.4" customHeight="1" x14ac:dyDescent="0.2">
      <c r="B1335" s="24"/>
      <c r="C1335" s="7">
        <v>35893</v>
      </c>
      <c r="D1335" s="18" t="s">
        <v>1406</v>
      </c>
      <c r="E1335" s="18" t="s">
        <v>1393</v>
      </c>
      <c r="F1335" s="17">
        <v>40</v>
      </c>
      <c r="G1335" s="18" t="s">
        <v>23</v>
      </c>
      <c r="H1335" s="17">
        <v>31.1</v>
      </c>
      <c r="I1335" s="8">
        <v>33.9</v>
      </c>
      <c r="J1335" s="21">
        <f t="shared" si="60"/>
        <v>9.0032154340835918E-2</v>
      </c>
      <c r="K1335" s="1">
        <v>4</v>
      </c>
      <c r="L1335" s="24">
        <v>1.6</v>
      </c>
      <c r="M1335" s="24">
        <v>32.204999999999998</v>
      </c>
      <c r="N1335" s="21">
        <f t="shared" si="61"/>
        <v>3.553054662379411E-2</v>
      </c>
      <c r="P1335" s="1">
        <v>10</v>
      </c>
      <c r="Q1335" s="24">
        <v>4.0680000000000014</v>
      </c>
      <c r="R1335" s="24">
        <v>29.831999999999997</v>
      </c>
      <c r="S1335" s="21">
        <f t="shared" si="62"/>
        <v>-4.0771704180064441E-2</v>
      </c>
    </row>
    <row r="1336" spans="2:19" ht="11.4" customHeight="1" x14ac:dyDescent="0.2">
      <c r="B1336" s="24"/>
      <c r="C1336" s="7">
        <v>37865</v>
      </c>
      <c r="D1336" s="18" t="s">
        <v>1407</v>
      </c>
      <c r="E1336" s="18" t="s">
        <v>1393</v>
      </c>
      <c r="F1336" s="17">
        <v>15</v>
      </c>
      <c r="G1336" s="18" t="s">
        <v>23</v>
      </c>
      <c r="H1336" s="17">
        <v>56.9</v>
      </c>
      <c r="I1336" s="8">
        <v>56.9</v>
      </c>
      <c r="J1336" s="21">
        <f t="shared" si="60"/>
        <v>0</v>
      </c>
      <c r="K1336" s="1">
        <v>4</v>
      </c>
      <c r="L1336" s="24">
        <v>2.8</v>
      </c>
      <c r="M1336" s="24">
        <v>54.054999999999993</v>
      </c>
      <c r="N1336" s="21">
        <f t="shared" si="61"/>
        <v>-5.0000000000000107E-2</v>
      </c>
      <c r="P1336" s="1">
        <v>10</v>
      </c>
      <c r="Q1336" s="24">
        <v>6.828000000000003</v>
      </c>
      <c r="R1336" s="24">
        <v>50.071999999999996</v>
      </c>
      <c r="S1336" s="21">
        <f t="shared" si="62"/>
        <v>-0.12000000000000005</v>
      </c>
    </row>
    <row r="1337" spans="2:19" ht="11.4" customHeight="1" x14ac:dyDescent="0.2">
      <c r="B1337" s="24"/>
      <c r="C1337" s="7">
        <v>39317</v>
      </c>
      <c r="D1337" s="18" t="s">
        <v>1408</v>
      </c>
      <c r="E1337" s="18" t="s">
        <v>1393</v>
      </c>
      <c r="F1337" s="17">
        <v>6</v>
      </c>
      <c r="G1337" s="18" t="s">
        <v>23</v>
      </c>
      <c r="H1337" s="17">
        <v>95.9</v>
      </c>
      <c r="I1337" s="8">
        <v>125</v>
      </c>
      <c r="J1337" s="21">
        <f t="shared" si="60"/>
        <v>0.30344108446298218</v>
      </c>
      <c r="K1337" s="1">
        <v>4</v>
      </c>
      <c r="L1337" s="24">
        <v>6.2</v>
      </c>
      <c r="M1337" s="24">
        <v>118.75</v>
      </c>
      <c r="N1337" s="21">
        <f t="shared" si="61"/>
        <v>0.23826903023983309</v>
      </c>
      <c r="P1337" s="1">
        <v>10</v>
      </c>
      <c r="Q1337" s="24">
        <v>15</v>
      </c>
      <c r="R1337" s="24">
        <v>110</v>
      </c>
      <c r="S1337" s="21">
        <f t="shared" si="62"/>
        <v>0.14702815432742433</v>
      </c>
    </row>
    <row r="1338" spans="2:19" ht="11.4" customHeight="1" x14ac:dyDescent="0.2">
      <c r="B1338" s="24"/>
      <c r="C1338" s="7">
        <v>38995</v>
      </c>
      <c r="D1338" s="18" t="s">
        <v>1409</v>
      </c>
      <c r="E1338" s="18" t="s">
        <v>1390</v>
      </c>
      <c r="F1338" s="17">
        <v>50</v>
      </c>
      <c r="G1338" s="18" t="s">
        <v>23</v>
      </c>
      <c r="H1338" s="17">
        <v>89.9</v>
      </c>
      <c r="I1338" s="8">
        <v>98.9</v>
      </c>
      <c r="J1338" s="21">
        <f t="shared" si="60"/>
        <v>0.10011123470522802</v>
      </c>
      <c r="K1338" s="1">
        <v>4</v>
      </c>
      <c r="L1338" s="24">
        <v>4.9000000000000004</v>
      </c>
      <c r="M1338" s="24">
        <v>93.954999999999998</v>
      </c>
      <c r="N1338" s="21">
        <f t="shared" si="61"/>
        <v>4.5105672969966544E-2</v>
      </c>
      <c r="P1338" s="1">
        <v>10</v>
      </c>
      <c r="Q1338" s="24">
        <v>11.867999999999995</v>
      </c>
      <c r="R1338" s="24">
        <v>87.032000000000011</v>
      </c>
      <c r="S1338" s="21">
        <f t="shared" si="62"/>
        <v>-3.1902113459399278E-2</v>
      </c>
    </row>
    <row r="1339" spans="2:19" ht="11.4" customHeight="1" x14ac:dyDescent="0.2">
      <c r="B1339" s="24"/>
      <c r="C1339" s="7">
        <v>45031</v>
      </c>
      <c r="D1339" s="18" t="s">
        <v>1410</v>
      </c>
      <c r="E1339" s="18" t="s">
        <v>1390</v>
      </c>
      <c r="F1339" s="17">
        <v>12</v>
      </c>
      <c r="G1339" s="18" t="s">
        <v>23</v>
      </c>
      <c r="H1339" s="17">
        <v>38.28</v>
      </c>
      <c r="I1339" s="8">
        <v>51.7</v>
      </c>
      <c r="J1339" s="21">
        <f t="shared" si="60"/>
        <v>0.35057471264367818</v>
      </c>
      <c r="K1339" s="1">
        <v>4</v>
      </c>
      <c r="L1339" s="24">
        <v>2.5</v>
      </c>
      <c r="M1339" s="24">
        <v>49.115000000000002</v>
      </c>
      <c r="N1339" s="21">
        <f t="shared" si="61"/>
        <v>0.28304597701149425</v>
      </c>
      <c r="P1339" s="1">
        <v>10</v>
      </c>
      <c r="Q1339" s="24">
        <v>6.2040000000000006</v>
      </c>
      <c r="R1339" s="24">
        <v>45.496000000000002</v>
      </c>
      <c r="S1339" s="21">
        <f t="shared" si="62"/>
        <v>0.18850574712643681</v>
      </c>
    </row>
    <row r="1340" spans="2:19" ht="11.4" customHeight="1" x14ac:dyDescent="0.2">
      <c r="B1340" s="24"/>
      <c r="C1340" s="7">
        <v>43221</v>
      </c>
      <c r="D1340" s="18" t="s">
        <v>1411</v>
      </c>
      <c r="E1340" s="18" t="s">
        <v>1390</v>
      </c>
      <c r="F1340" s="17">
        <v>15</v>
      </c>
      <c r="G1340" s="18" t="s">
        <v>23</v>
      </c>
      <c r="H1340" s="17">
        <v>17.16</v>
      </c>
      <c r="I1340" s="8">
        <v>29.9</v>
      </c>
      <c r="J1340" s="21">
        <f t="shared" si="60"/>
        <v>0.74242424242424232</v>
      </c>
      <c r="K1340" s="1">
        <v>4</v>
      </c>
      <c r="L1340" s="24">
        <v>1.4</v>
      </c>
      <c r="M1340" s="24">
        <v>28.404999999999998</v>
      </c>
      <c r="N1340" s="21">
        <f t="shared" si="61"/>
        <v>0.65530303030303017</v>
      </c>
      <c r="P1340" s="1">
        <v>10</v>
      </c>
      <c r="Q1340" s="24">
        <v>3.588000000000001</v>
      </c>
      <c r="R1340" s="24">
        <v>26.311999999999998</v>
      </c>
      <c r="S1340" s="21">
        <f t="shared" si="62"/>
        <v>0.53333333333333321</v>
      </c>
    </row>
    <row r="1341" spans="2:19" ht="11.4" customHeight="1" x14ac:dyDescent="0.2">
      <c r="B1341" s="24"/>
      <c r="C1341" s="7">
        <v>32776</v>
      </c>
      <c r="D1341" s="18" t="s">
        <v>1412</v>
      </c>
      <c r="E1341" s="18" t="s">
        <v>1390</v>
      </c>
      <c r="F1341" s="17">
        <v>38</v>
      </c>
      <c r="G1341" s="18" t="s">
        <v>23</v>
      </c>
      <c r="H1341" s="17">
        <v>9.9</v>
      </c>
      <c r="I1341" s="8">
        <v>11.5</v>
      </c>
      <c r="J1341" s="21">
        <f t="shared" si="60"/>
        <v>0.16161616161616157</v>
      </c>
      <c r="K1341" s="1">
        <v>4</v>
      </c>
      <c r="L1341" s="24">
        <v>0.5</v>
      </c>
      <c r="M1341" s="24">
        <v>10.924999999999999</v>
      </c>
      <c r="N1341" s="21">
        <f t="shared" si="61"/>
        <v>0.10353535353535338</v>
      </c>
      <c r="P1341" s="1">
        <v>10</v>
      </c>
      <c r="Q1341" s="24">
        <v>1.3800000000000008</v>
      </c>
      <c r="R1341" s="24">
        <v>10.119999999999999</v>
      </c>
      <c r="S1341" s="21">
        <f t="shared" si="62"/>
        <v>2.2222222222222105E-2</v>
      </c>
    </row>
    <row r="1342" spans="2:19" ht="11.4" customHeight="1" x14ac:dyDescent="0.2">
      <c r="B1342" s="24"/>
      <c r="C1342" s="7">
        <v>37871</v>
      </c>
      <c r="D1342" s="18" t="s">
        <v>1413</v>
      </c>
      <c r="E1342" s="18" t="s">
        <v>1390</v>
      </c>
      <c r="F1342" s="17">
        <v>40</v>
      </c>
      <c r="G1342" s="18" t="s">
        <v>23</v>
      </c>
      <c r="H1342" s="17">
        <v>7.9</v>
      </c>
      <c r="I1342" s="8">
        <v>10.3</v>
      </c>
      <c r="J1342" s="21">
        <f t="shared" si="60"/>
        <v>0.30379746835443039</v>
      </c>
      <c r="K1342" s="1">
        <v>4</v>
      </c>
      <c r="L1342" s="24">
        <v>0.5</v>
      </c>
      <c r="M1342" s="24">
        <v>9.7850000000000001</v>
      </c>
      <c r="N1342" s="21">
        <f t="shared" si="61"/>
        <v>0.23860759493670883</v>
      </c>
      <c r="P1342" s="1">
        <v>10</v>
      </c>
      <c r="Q1342" s="24">
        <v>1.2360000000000007</v>
      </c>
      <c r="R1342" s="24">
        <v>9.0640000000000001</v>
      </c>
      <c r="S1342" s="21">
        <f t="shared" si="62"/>
        <v>0.1473417721518987</v>
      </c>
    </row>
    <row r="1343" spans="2:19" ht="11.4" customHeight="1" x14ac:dyDescent="0.2">
      <c r="B1343" s="24"/>
      <c r="C1343" s="7">
        <v>41028</v>
      </c>
      <c r="D1343" s="18" t="s">
        <v>1414</v>
      </c>
      <c r="E1343" s="18" t="s">
        <v>1390</v>
      </c>
      <c r="F1343" s="17">
        <v>8</v>
      </c>
      <c r="G1343" s="18" t="s">
        <v>23</v>
      </c>
      <c r="H1343" s="17">
        <v>106.26</v>
      </c>
      <c r="I1343" s="8">
        <v>143.5</v>
      </c>
      <c r="J1343" s="21">
        <f t="shared" si="60"/>
        <v>0.35046113306982868</v>
      </c>
      <c r="K1343" s="1">
        <v>4</v>
      </c>
      <c r="L1343" s="24">
        <v>7.1</v>
      </c>
      <c r="M1343" s="24">
        <v>136.32499999999999</v>
      </c>
      <c r="N1343" s="21">
        <f t="shared" si="61"/>
        <v>0.28293807641633711</v>
      </c>
      <c r="P1343" s="1">
        <v>10</v>
      </c>
      <c r="Q1343" s="24">
        <v>17.22</v>
      </c>
      <c r="R1343" s="24">
        <v>126.28</v>
      </c>
      <c r="S1343" s="21">
        <f t="shared" si="62"/>
        <v>0.18840579710144922</v>
      </c>
    </row>
    <row r="1344" spans="2:19" ht="11.4" customHeight="1" x14ac:dyDescent="0.2">
      <c r="B1344" s="24"/>
      <c r="C1344" s="7">
        <v>11922</v>
      </c>
      <c r="D1344" s="18" t="s">
        <v>1415</v>
      </c>
      <c r="E1344" s="18" t="s">
        <v>1390</v>
      </c>
      <c r="F1344" s="18"/>
      <c r="G1344" s="18" t="s">
        <v>23</v>
      </c>
      <c r="H1344" s="17">
        <v>13.44</v>
      </c>
      <c r="I1344" s="8">
        <v>18.100000000000001</v>
      </c>
      <c r="J1344" s="21">
        <f t="shared" si="60"/>
        <v>0.34672619047619063</v>
      </c>
      <c r="K1344" s="1">
        <v>4</v>
      </c>
      <c r="L1344" s="24">
        <v>0.9</v>
      </c>
      <c r="M1344" s="24">
        <v>17.195</v>
      </c>
      <c r="N1344" s="21">
        <f t="shared" si="61"/>
        <v>0.27938988095238104</v>
      </c>
      <c r="P1344" s="1">
        <v>10</v>
      </c>
      <c r="Q1344" s="24">
        <v>2.1720000000000006</v>
      </c>
      <c r="R1344" s="24">
        <v>15.928000000000001</v>
      </c>
      <c r="S1344" s="21">
        <f t="shared" si="62"/>
        <v>0.18511904761904771</v>
      </c>
    </row>
    <row r="1345" spans="2:19" ht="11.4" customHeight="1" x14ac:dyDescent="0.2">
      <c r="B1345" s="24"/>
      <c r="C1345" s="7">
        <v>37867</v>
      </c>
      <c r="D1345" s="18" t="s">
        <v>1416</v>
      </c>
      <c r="E1345" s="18" t="s">
        <v>1390</v>
      </c>
      <c r="F1345" s="17">
        <v>45</v>
      </c>
      <c r="G1345" s="18" t="s">
        <v>23</v>
      </c>
      <c r="H1345" s="17">
        <v>4.9000000000000004</v>
      </c>
      <c r="I1345" s="8">
        <v>6.9</v>
      </c>
      <c r="J1345" s="21">
        <f t="shared" si="60"/>
        <v>0.4081632653061224</v>
      </c>
      <c r="K1345" s="1">
        <v>4</v>
      </c>
      <c r="L1345" s="24">
        <v>0.3</v>
      </c>
      <c r="M1345" s="24">
        <v>6.5549999999999997</v>
      </c>
      <c r="N1345" s="21">
        <f t="shared" si="61"/>
        <v>0.33775510204081616</v>
      </c>
      <c r="P1345" s="1">
        <v>10</v>
      </c>
      <c r="Q1345" s="24">
        <v>0.82800000000000029</v>
      </c>
      <c r="R1345" s="24">
        <v>6.0720000000000001</v>
      </c>
      <c r="S1345" s="21">
        <f t="shared" si="62"/>
        <v>0.23918367346938768</v>
      </c>
    </row>
    <row r="1346" spans="2:19" ht="11.4" customHeight="1" x14ac:dyDescent="0.2">
      <c r="B1346" s="24"/>
      <c r="C1346" s="7">
        <v>39005</v>
      </c>
      <c r="D1346" s="18" t="s">
        <v>1417</v>
      </c>
      <c r="E1346" s="18" t="s">
        <v>1390</v>
      </c>
      <c r="F1346" s="17">
        <v>50</v>
      </c>
      <c r="G1346" s="18" t="s">
        <v>23</v>
      </c>
      <c r="H1346" s="17">
        <v>28.5</v>
      </c>
      <c r="I1346" s="8">
        <v>34.5</v>
      </c>
      <c r="J1346" s="21">
        <f t="shared" si="60"/>
        <v>0.21052631578947367</v>
      </c>
      <c r="K1346" s="1">
        <v>4</v>
      </c>
      <c r="L1346" s="24">
        <v>1.7</v>
      </c>
      <c r="M1346" s="24">
        <v>32.774999999999999</v>
      </c>
      <c r="N1346" s="21">
        <f t="shared" si="61"/>
        <v>0.14999999999999994</v>
      </c>
      <c r="P1346" s="1">
        <v>10</v>
      </c>
      <c r="Q1346" s="24">
        <v>4.1400000000000006</v>
      </c>
      <c r="R1346" s="24">
        <v>30.36</v>
      </c>
      <c r="S1346" s="21">
        <f t="shared" si="62"/>
        <v>6.5263157894736828E-2</v>
      </c>
    </row>
    <row r="1347" spans="2:19" ht="11.4" customHeight="1" x14ac:dyDescent="0.2">
      <c r="B1347" s="24"/>
      <c r="C1347" s="7">
        <v>37870</v>
      </c>
      <c r="D1347" s="18" t="s">
        <v>1418</v>
      </c>
      <c r="E1347" s="18" t="s">
        <v>1390</v>
      </c>
      <c r="F1347" s="17">
        <v>40</v>
      </c>
      <c r="G1347" s="18" t="s">
        <v>23</v>
      </c>
      <c r="H1347" s="17">
        <v>6.9</v>
      </c>
      <c r="I1347" s="8">
        <v>7.2</v>
      </c>
      <c r="J1347" s="21">
        <f t="shared" ref="J1347:J1410" si="63">(I1347-H1347)/H1347</f>
        <v>4.3478260869565188E-2</v>
      </c>
      <c r="K1347" s="1">
        <v>4</v>
      </c>
      <c r="L1347" s="24">
        <v>0.3</v>
      </c>
      <c r="M1347" s="24">
        <v>6.84</v>
      </c>
      <c r="N1347" s="21">
        <f t="shared" ref="N1347:N1410" si="64">(M1347-H1347)/H1347</f>
        <v>-8.6956521739131147E-3</v>
      </c>
      <c r="P1347" s="1">
        <v>10</v>
      </c>
      <c r="Q1347" s="24">
        <v>0.86399999999999988</v>
      </c>
      <c r="R1347" s="24">
        <v>6.3360000000000003</v>
      </c>
      <c r="S1347" s="21">
        <f t="shared" ref="S1347:S1410" si="65">(R1347-H1347)/H1347</f>
        <v>-8.1739130434782606E-2</v>
      </c>
    </row>
    <row r="1348" spans="2:19" ht="11.4" customHeight="1" x14ac:dyDescent="0.2">
      <c r="B1348" s="24"/>
      <c r="C1348" s="7">
        <v>30268</v>
      </c>
      <c r="D1348" s="18" t="s">
        <v>1419</v>
      </c>
      <c r="E1348" s="18" t="s">
        <v>1390</v>
      </c>
      <c r="F1348" s="17">
        <v>150</v>
      </c>
      <c r="G1348" s="18" t="s">
        <v>23</v>
      </c>
      <c r="H1348" s="17">
        <v>25.9</v>
      </c>
      <c r="I1348" s="8">
        <v>27.9</v>
      </c>
      <c r="J1348" s="21">
        <f t="shared" si="63"/>
        <v>7.7220077220077218E-2</v>
      </c>
      <c r="K1348" s="1">
        <v>4</v>
      </c>
      <c r="L1348" s="24">
        <v>1.3</v>
      </c>
      <c r="M1348" s="24">
        <v>26.504999999999999</v>
      </c>
      <c r="N1348" s="21">
        <f t="shared" si="64"/>
        <v>2.3359073359073376E-2</v>
      </c>
      <c r="P1348" s="1">
        <v>10</v>
      </c>
      <c r="Q1348" s="24">
        <v>3.347999999999999</v>
      </c>
      <c r="R1348" s="24">
        <v>24.552</v>
      </c>
      <c r="S1348" s="21">
        <f t="shared" si="65"/>
        <v>-5.2046332046332008E-2</v>
      </c>
    </row>
    <row r="1349" spans="2:19" ht="11.4" customHeight="1" x14ac:dyDescent="0.2">
      <c r="B1349" s="24"/>
      <c r="C1349" s="7">
        <v>5630</v>
      </c>
      <c r="D1349" s="18" t="s">
        <v>1420</v>
      </c>
      <c r="E1349" s="18" t="s">
        <v>1390</v>
      </c>
      <c r="F1349" s="17">
        <v>80</v>
      </c>
      <c r="G1349" s="18" t="s">
        <v>23</v>
      </c>
      <c r="H1349" s="17">
        <v>8.11</v>
      </c>
      <c r="I1349" s="8">
        <v>10.9</v>
      </c>
      <c r="J1349" s="21">
        <f t="shared" si="63"/>
        <v>0.34401972872996317</v>
      </c>
      <c r="K1349" s="1">
        <v>4</v>
      </c>
      <c r="L1349" s="24">
        <v>0.5</v>
      </c>
      <c r="M1349" s="24">
        <v>10.355</v>
      </c>
      <c r="N1349" s="21">
        <f t="shared" si="64"/>
        <v>0.27681874229346498</v>
      </c>
      <c r="P1349" s="1">
        <v>10</v>
      </c>
      <c r="Q1349" s="24">
        <v>1.3079999999999998</v>
      </c>
      <c r="R1349" s="24">
        <v>9.5920000000000005</v>
      </c>
      <c r="S1349" s="21">
        <f t="shared" si="65"/>
        <v>0.18273736128236759</v>
      </c>
    </row>
    <row r="1350" spans="2:19" ht="11.4" customHeight="1" x14ac:dyDescent="0.2">
      <c r="B1350" s="24"/>
      <c r="C1350" s="7">
        <v>12644</v>
      </c>
      <c r="D1350" s="18" t="s">
        <v>1421</v>
      </c>
      <c r="E1350" s="18" t="s">
        <v>1422</v>
      </c>
      <c r="F1350" s="17">
        <v>48</v>
      </c>
      <c r="G1350" s="18" t="s">
        <v>23</v>
      </c>
      <c r="H1350" s="17">
        <v>11.98</v>
      </c>
      <c r="I1350" s="8">
        <v>16.899999999999999</v>
      </c>
      <c r="J1350" s="21">
        <f t="shared" si="63"/>
        <v>0.41068447412353909</v>
      </c>
      <c r="K1350" s="1">
        <v>4</v>
      </c>
      <c r="L1350" s="24">
        <v>0.8</v>
      </c>
      <c r="M1350" s="24">
        <v>16.054999999999996</v>
      </c>
      <c r="N1350" s="21">
        <f t="shared" si="64"/>
        <v>0.34015025041736191</v>
      </c>
      <c r="P1350" s="1">
        <v>10</v>
      </c>
      <c r="Q1350" s="24">
        <v>2.0280000000000005</v>
      </c>
      <c r="R1350" s="24">
        <v>14.871999999999998</v>
      </c>
      <c r="S1350" s="21">
        <f t="shared" si="65"/>
        <v>0.24140233722871432</v>
      </c>
    </row>
    <row r="1351" spans="2:19" ht="11.4" customHeight="1" x14ac:dyDescent="0.2">
      <c r="B1351" s="24"/>
      <c r="C1351" s="7">
        <v>5631</v>
      </c>
      <c r="D1351" s="18" t="s">
        <v>1423</v>
      </c>
      <c r="E1351" s="18" t="s">
        <v>1422</v>
      </c>
      <c r="F1351" s="17">
        <v>55</v>
      </c>
      <c r="G1351" s="18" t="s">
        <v>23</v>
      </c>
      <c r="H1351" s="17">
        <v>4.7</v>
      </c>
      <c r="I1351" s="8">
        <v>4.5999999999999996</v>
      </c>
      <c r="J1351" s="21">
        <f t="shared" si="63"/>
        <v>-2.1276595744680965E-2</v>
      </c>
      <c r="K1351" s="1">
        <v>4</v>
      </c>
      <c r="L1351" s="24">
        <v>0.2</v>
      </c>
      <c r="M1351" s="24">
        <v>4.3699999999999992</v>
      </c>
      <c r="N1351" s="21">
        <f t="shared" si="64"/>
        <v>-7.0212765957447007E-2</v>
      </c>
      <c r="P1351" s="1">
        <v>10</v>
      </c>
      <c r="Q1351" s="24">
        <v>0.5519999999999996</v>
      </c>
      <c r="R1351" s="24">
        <v>4.048</v>
      </c>
      <c r="S1351" s="21">
        <f t="shared" si="65"/>
        <v>-0.13872340425531918</v>
      </c>
    </row>
    <row r="1352" spans="2:19" ht="11.4" customHeight="1" x14ac:dyDescent="0.2">
      <c r="B1352" s="24"/>
      <c r="C1352" s="7">
        <v>12097</v>
      </c>
      <c r="D1352" s="18" t="s">
        <v>1424</v>
      </c>
      <c r="E1352" s="18" t="s">
        <v>1422</v>
      </c>
      <c r="F1352" s="17">
        <v>56</v>
      </c>
      <c r="G1352" s="18" t="s">
        <v>23</v>
      </c>
      <c r="H1352" s="17">
        <v>13.5</v>
      </c>
      <c r="I1352" s="8">
        <v>18.2</v>
      </c>
      <c r="J1352" s="21">
        <f t="shared" si="63"/>
        <v>0.3481481481481481</v>
      </c>
      <c r="K1352" s="1">
        <v>4</v>
      </c>
      <c r="L1352" s="24">
        <v>0.9</v>
      </c>
      <c r="M1352" s="24">
        <v>17.29</v>
      </c>
      <c r="N1352" s="21">
        <f t="shared" si="64"/>
        <v>0.28074074074074068</v>
      </c>
      <c r="P1352" s="1">
        <v>10</v>
      </c>
      <c r="Q1352" s="24">
        <v>2.1840000000000011</v>
      </c>
      <c r="R1352" s="24">
        <v>16.015999999999998</v>
      </c>
      <c r="S1352" s="21">
        <f t="shared" si="65"/>
        <v>0.18637037037037024</v>
      </c>
    </row>
    <row r="1353" spans="2:19" ht="11.4" customHeight="1" x14ac:dyDescent="0.2">
      <c r="B1353" s="24"/>
      <c r="C1353" s="7">
        <v>38401</v>
      </c>
      <c r="D1353" s="18" t="s">
        <v>1425</v>
      </c>
      <c r="E1353" s="18" t="s">
        <v>1390</v>
      </c>
      <c r="F1353" s="17">
        <v>10</v>
      </c>
      <c r="G1353" s="18" t="s">
        <v>23</v>
      </c>
      <c r="H1353" s="17">
        <v>55.9</v>
      </c>
      <c r="I1353" s="8">
        <v>55.9</v>
      </c>
      <c r="J1353" s="21">
        <f t="shared" si="63"/>
        <v>0</v>
      </c>
      <c r="K1353" s="1">
        <v>4</v>
      </c>
      <c r="L1353" s="24">
        <v>2.7</v>
      </c>
      <c r="M1353" s="24">
        <v>53.104999999999997</v>
      </c>
      <c r="N1353" s="21">
        <f t="shared" si="64"/>
        <v>-5.0000000000000031E-2</v>
      </c>
      <c r="P1353" s="1">
        <v>10</v>
      </c>
      <c r="Q1353" s="24">
        <v>6.7079999999999984</v>
      </c>
      <c r="R1353" s="24">
        <v>49.192</v>
      </c>
      <c r="S1353" s="21">
        <f t="shared" si="65"/>
        <v>-0.11999999999999997</v>
      </c>
    </row>
    <row r="1354" spans="2:19" ht="11.4" customHeight="1" x14ac:dyDescent="0.2">
      <c r="B1354" s="24"/>
      <c r="C1354" s="7">
        <v>39314</v>
      </c>
      <c r="D1354" s="18" t="s">
        <v>1426</v>
      </c>
      <c r="E1354" s="18" t="s">
        <v>1390</v>
      </c>
      <c r="F1354" s="17">
        <v>6</v>
      </c>
      <c r="G1354" s="18" t="s">
        <v>23</v>
      </c>
      <c r="H1354" s="17">
        <v>95.9</v>
      </c>
      <c r="I1354" s="8">
        <v>125</v>
      </c>
      <c r="J1354" s="21">
        <f t="shared" si="63"/>
        <v>0.30344108446298218</v>
      </c>
      <c r="K1354" s="1">
        <v>4</v>
      </c>
      <c r="L1354" s="24">
        <v>6.2</v>
      </c>
      <c r="M1354" s="24">
        <v>118.75</v>
      </c>
      <c r="N1354" s="21">
        <f t="shared" si="64"/>
        <v>0.23826903023983309</v>
      </c>
      <c r="P1354" s="1">
        <v>10</v>
      </c>
      <c r="Q1354" s="24">
        <v>15</v>
      </c>
      <c r="R1354" s="24">
        <v>110</v>
      </c>
      <c r="S1354" s="21">
        <f t="shared" si="65"/>
        <v>0.14702815432742433</v>
      </c>
    </row>
    <row r="1355" spans="2:19" ht="11.4" customHeight="1" x14ac:dyDescent="0.2">
      <c r="B1355" s="24"/>
      <c r="C1355" s="7">
        <v>39003</v>
      </c>
      <c r="D1355" s="18" t="s">
        <v>1427</v>
      </c>
      <c r="E1355" s="18" t="s">
        <v>1152</v>
      </c>
      <c r="F1355" s="17">
        <v>6</v>
      </c>
      <c r="G1355" s="18" t="s">
        <v>23</v>
      </c>
      <c r="H1355" s="17">
        <v>279</v>
      </c>
      <c r="I1355" s="8">
        <v>315</v>
      </c>
      <c r="J1355" s="21">
        <f t="shared" si="63"/>
        <v>0.12903225806451613</v>
      </c>
      <c r="K1355" s="1">
        <v>4</v>
      </c>
      <c r="L1355" s="24">
        <v>15.7</v>
      </c>
      <c r="M1355" s="24">
        <v>299.25</v>
      </c>
      <c r="N1355" s="21">
        <f t="shared" si="64"/>
        <v>7.2580645161290328E-2</v>
      </c>
      <c r="P1355" s="1">
        <v>10</v>
      </c>
      <c r="Q1355" s="24">
        <v>37.800000000000011</v>
      </c>
      <c r="R1355" s="24">
        <v>277.2</v>
      </c>
      <c r="S1355" s="21">
        <f t="shared" si="65"/>
        <v>-6.4516129032258472E-3</v>
      </c>
    </row>
    <row r="1356" spans="2:19" ht="11.4" customHeight="1" x14ac:dyDescent="0.2">
      <c r="B1356" s="24"/>
      <c r="C1356" s="7">
        <v>39028</v>
      </c>
      <c r="D1356" s="18" t="s">
        <v>1428</v>
      </c>
      <c r="E1356" s="18" t="s">
        <v>1135</v>
      </c>
      <c r="F1356" s="17">
        <v>50</v>
      </c>
      <c r="G1356" s="18" t="s">
        <v>23</v>
      </c>
      <c r="H1356" s="17">
        <v>19.899999999999999</v>
      </c>
      <c r="I1356" s="8">
        <v>25.9</v>
      </c>
      <c r="J1356" s="21">
        <f t="shared" si="63"/>
        <v>0.30150753768844224</v>
      </c>
      <c r="K1356" s="1">
        <v>4</v>
      </c>
      <c r="L1356" s="24">
        <v>1.2</v>
      </c>
      <c r="M1356" s="24">
        <v>24.604999999999997</v>
      </c>
      <c r="N1356" s="21">
        <f t="shared" si="64"/>
        <v>0.23643216080402002</v>
      </c>
      <c r="P1356" s="1">
        <v>10</v>
      </c>
      <c r="Q1356" s="24">
        <v>3.1080000000000005</v>
      </c>
      <c r="R1356" s="24">
        <v>22.791999999999998</v>
      </c>
      <c r="S1356" s="21">
        <f t="shared" si="65"/>
        <v>0.14532663316582914</v>
      </c>
    </row>
    <row r="1357" spans="2:19" ht="11.4" customHeight="1" x14ac:dyDescent="0.2">
      <c r="B1357" s="24"/>
      <c r="C1357" s="7">
        <v>45032</v>
      </c>
      <c r="D1357" s="18" t="s">
        <v>1429</v>
      </c>
      <c r="E1357" s="18" t="s">
        <v>1135</v>
      </c>
      <c r="F1357" s="17">
        <v>15</v>
      </c>
      <c r="G1357" s="18" t="s">
        <v>23</v>
      </c>
      <c r="H1357" s="17">
        <v>33.36</v>
      </c>
      <c r="I1357" s="8">
        <v>47.1</v>
      </c>
      <c r="J1357" s="21">
        <f t="shared" si="63"/>
        <v>0.41187050359712235</v>
      </c>
      <c r="K1357" s="1">
        <v>4</v>
      </c>
      <c r="L1357" s="24">
        <v>2.2999999999999998</v>
      </c>
      <c r="M1357" s="24">
        <v>44.744999999999997</v>
      </c>
      <c r="N1357" s="21">
        <f t="shared" si="64"/>
        <v>0.34127697841726612</v>
      </c>
      <c r="P1357" s="1">
        <v>10</v>
      </c>
      <c r="Q1357" s="24">
        <v>5.652000000000001</v>
      </c>
      <c r="R1357" s="24">
        <v>41.448</v>
      </c>
      <c r="S1357" s="21">
        <f t="shared" si="65"/>
        <v>0.24244604316546767</v>
      </c>
    </row>
    <row r="1358" spans="2:19" ht="11.4" customHeight="1" x14ac:dyDescent="0.2">
      <c r="B1358" s="24"/>
      <c r="C1358" s="7">
        <v>37864</v>
      </c>
      <c r="D1358" s="18" t="s">
        <v>1430</v>
      </c>
      <c r="E1358" s="18" t="s">
        <v>1152</v>
      </c>
      <c r="F1358" s="17">
        <v>10</v>
      </c>
      <c r="G1358" s="18" t="s">
        <v>23</v>
      </c>
      <c r="H1358" s="17">
        <v>69.5</v>
      </c>
      <c r="I1358" s="8">
        <v>69.5</v>
      </c>
      <c r="J1358" s="21">
        <f t="shared" si="63"/>
        <v>0</v>
      </c>
      <c r="K1358" s="1">
        <v>4</v>
      </c>
      <c r="L1358" s="24">
        <v>3.4</v>
      </c>
      <c r="M1358" s="24">
        <v>66.024999999999991</v>
      </c>
      <c r="N1358" s="21">
        <f t="shared" si="64"/>
        <v>-5.0000000000000121E-2</v>
      </c>
      <c r="P1358" s="1">
        <v>10</v>
      </c>
      <c r="Q1358" s="24">
        <v>8.3399999999999963</v>
      </c>
      <c r="R1358" s="24">
        <v>61.160000000000004</v>
      </c>
      <c r="S1358" s="21">
        <f t="shared" si="65"/>
        <v>-0.11999999999999994</v>
      </c>
    </row>
    <row r="1359" spans="2:19" ht="11.4" customHeight="1" x14ac:dyDescent="0.2">
      <c r="B1359" s="24"/>
      <c r="C1359" s="7">
        <v>38998</v>
      </c>
      <c r="D1359" s="18" t="s">
        <v>1431</v>
      </c>
      <c r="E1359" s="18" t="s">
        <v>1152</v>
      </c>
      <c r="F1359" s="17">
        <v>100</v>
      </c>
      <c r="G1359" s="18" t="s">
        <v>23</v>
      </c>
      <c r="H1359" s="17">
        <v>104.5</v>
      </c>
      <c r="I1359" s="8">
        <v>123.5</v>
      </c>
      <c r="J1359" s="21">
        <f t="shared" si="63"/>
        <v>0.18181818181818182</v>
      </c>
      <c r="K1359" s="1">
        <v>4</v>
      </c>
      <c r="L1359" s="24">
        <v>6.1</v>
      </c>
      <c r="M1359" s="24">
        <v>117.32499999999999</v>
      </c>
      <c r="N1359" s="21">
        <f t="shared" si="64"/>
        <v>0.12272727272727262</v>
      </c>
      <c r="P1359" s="1">
        <v>10</v>
      </c>
      <c r="Q1359" s="24">
        <v>14.819999999999993</v>
      </c>
      <c r="R1359" s="24">
        <v>108.68</v>
      </c>
      <c r="S1359" s="21">
        <f t="shared" si="65"/>
        <v>4.0000000000000063E-2</v>
      </c>
    </row>
    <row r="1360" spans="2:19" ht="11.4" customHeight="1" x14ac:dyDescent="0.2">
      <c r="B1360" s="24"/>
      <c r="C1360" s="7">
        <v>38997</v>
      </c>
      <c r="D1360" s="18" t="s">
        <v>1432</v>
      </c>
      <c r="E1360" s="18" t="s">
        <v>1152</v>
      </c>
      <c r="F1360" s="17">
        <v>100</v>
      </c>
      <c r="G1360" s="18" t="s">
        <v>23</v>
      </c>
      <c r="H1360" s="17">
        <v>59.9</v>
      </c>
      <c r="I1360" s="8">
        <v>73.5</v>
      </c>
      <c r="J1360" s="21">
        <f t="shared" si="63"/>
        <v>0.22704507512520872</v>
      </c>
      <c r="K1360" s="1">
        <v>4</v>
      </c>
      <c r="L1360" s="24">
        <v>3.6</v>
      </c>
      <c r="M1360" s="24">
        <v>69.825000000000003</v>
      </c>
      <c r="N1360" s="21">
        <f t="shared" si="64"/>
        <v>0.16569282136894833</v>
      </c>
      <c r="P1360" s="1">
        <v>10</v>
      </c>
      <c r="Q1360" s="24">
        <v>8.8199999999999932</v>
      </c>
      <c r="R1360" s="24">
        <v>64.680000000000007</v>
      </c>
      <c r="S1360" s="21">
        <f t="shared" si="65"/>
        <v>7.9799666110183784E-2</v>
      </c>
    </row>
    <row r="1361" spans="2:19" ht="11.4" customHeight="1" x14ac:dyDescent="0.2">
      <c r="B1361" s="24"/>
      <c r="C1361" s="7">
        <v>35891</v>
      </c>
      <c r="D1361" s="18" t="s">
        <v>1433</v>
      </c>
      <c r="E1361" s="18" t="s">
        <v>1152</v>
      </c>
      <c r="F1361" s="17">
        <v>20</v>
      </c>
      <c r="G1361" s="18" t="s">
        <v>23</v>
      </c>
      <c r="H1361" s="17">
        <v>86.1</v>
      </c>
      <c r="I1361" s="8">
        <v>93.9</v>
      </c>
      <c r="J1361" s="21">
        <f t="shared" si="63"/>
        <v>9.0592334494773663E-2</v>
      </c>
      <c r="K1361" s="1">
        <v>4</v>
      </c>
      <c r="L1361" s="24">
        <v>4.5999999999999996</v>
      </c>
      <c r="M1361" s="24">
        <v>89.204999999999998</v>
      </c>
      <c r="N1361" s="21">
        <f t="shared" si="64"/>
        <v>3.6062717770034891E-2</v>
      </c>
      <c r="P1361" s="1">
        <v>10</v>
      </c>
      <c r="Q1361" s="24">
        <v>11.268000000000001</v>
      </c>
      <c r="R1361" s="24">
        <v>82.632000000000005</v>
      </c>
      <c r="S1361" s="21">
        <f t="shared" si="65"/>
        <v>-4.0278745644599184E-2</v>
      </c>
    </row>
    <row r="1362" spans="2:19" ht="11.4" customHeight="1" x14ac:dyDescent="0.2">
      <c r="B1362" s="24"/>
      <c r="C1362" s="7">
        <v>42914</v>
      </c>
      <c r="D1362" s="18" t="s">
        <v>1434</v>
      </c>
      <c r="E1362" s="18" t="s">
        <v>1435</v>
      </c>
      <c r="F1362" s="17">
        <v>15</v>
      </c>
      <c r="G1362" s="18" t="s">
        <v>23</v>
      </c>
      <c r="H1362" s="17">
        <v>32.4</v>
      </c>
      <c r="I1362" s="8">
        <v>51.5</v>
      </c>
      <c r="J1362" s="21">
        <f t="shared" si="63"/>
        <v>0.58950617283950624</v>
      </c>
      <c r="K1362" s="1">
        <v>4</v>
      </c>
      <c r="L1362" s="24">
        <v>2.5</v>
      </c>
      <c r="M1362" s="24">
        <v>48.924999999999997</v>
      </c>
      <c r="N1362" s="21">
        <f t="shared" si="64"/>
        <v>0.51003086419753085</v>
      </c>
      <c r="P1362" s="1">
        <v>10</v>
      </c>
      <c r="Q1362" s="24">
        <v>6.18</v>
      </c>
      <c r="R1362" s="24">
        <v>45.32</v>
      </c>
      <c r="S1362" s="21">
        <f t="shared" si="65"/>
        <v>0.39876543209876553</v>
      </c>
    </row>
    <row r="1363" spans="2:19" ht="11.4" customHeight="1" x14ac:dyDescent="0.2">
      <c r="B1363" s="24"/>
      <c r="C1363" s="7">
        <v>43824</v>
      </c>
      <c r="D1363" s="18" t="s">
        <v>1436</v>
      </c>
      <c r="E1363" s="18" t="s">
        <v>1435</v>
      </c>
      <c r="F1363" s="17">
        <v>15</v>
      </c>
      <c r="G1363" s="18" t="s">
        <v>23</v>
      </c>
      <c r="H1363" s="17">
        <v>32.46</v>
      </c>
      <c r="I1363" s="8">
        <v>51.6</v>
      </c>
      <c r="J1363" s="21">
        <f t="shared" si="63"/>
        <v>0.58964879852125696</v>
      </c>
      <c r="K1363" s="1">
        <v>4</v>
      </c>
      <c r="L1363" s="24">
        <v>2.5</v>
      </c>
      <c r="M1363" s="24">
        <v>49.019999999999996</v>
      </c>
      <c r="N1363" s="21">
        <f t="shared" si="64"/>
        <v>0.51016635859519388</v>
      </c>
      <c r="P1363" s="1">
        <v>10</v>
      </c>
      <c r="Q1363" s="24">
        <v>6.1920000000000002</v>
      </c>
      <c r="R1363" s="24">
        <v>45.408000000000001</v>
      </c>
      <c r="S1363" s="21">
        <f t="shared" si="65"/>
        <v>0.39889094269870612</v>
      </c>
    </row>
    <row r="1364" spans="2:19" ht="11.4" customHeight="1" x14ac:dyDescent="0.2">
      <c r="B1364" s="24"/>
      <c r="C1364" s="7">
        <v>39013</v>
      </c>
      <c r="D1364" s="18" t="s">
        <v>1437</v>
      </c>
      <c r="E1364" s="18" t="s">
        <v>1393</v>
      </c>
      <c r="F1364" s="17">
        <v>50</v>
      </c>
      <c r="G1364" s="18" t="s">
        <v>23</v>
      </c>
      <c r="H1364" s="17">
        <v>59.9</v>
      </c>
      <c r="I1364" s="8">
        <v>59.9</v>
      </c>
      <c r="J1364" s="21">
        <f t="shared" si="63"/>
        <v>0</v>
      </c>
      <c r="K1364" s="1">
        <v>4</v>
      </c>
      <c r="L1364" s="24">
        <v>2.9</v>
      </c>
      <c r="M1364" s="24">
        <v>56.904999999999994</v>
      </c>
      <c r="N1364" s="21">
        <f t="shared" si="64"/>
        <v>-5.0000000000000079E-2</v>
      </c>
      <c r="P1364" s="1">
        <v>10</v>
      </c>
      <c r="Q1364" s="24">
        <v>7.1880000000000024</v>
      </c>
      <c r="R1364" s="24">
        <v>52.711999999999996</v>
      </c>
      <c r="S1364" s="21">
        <f t="shared" si="65"/>
        <v>-0.12000000000000004</v>
      </c>
    </row>
    <row r="1365" spans="2:19" ht="11.4" customHeight="1" x14ac:dyDescent="0.2">
      <c r="B1365" s="24"/>
      <c r="C1365" s="7">
        <v>39035</v>
      </c>
      <c r="D1365" s="18" t="s">
        <v>1438</v>
      </c>
      <c r="E1365" s="18" t="s">
        <v>1390</v>
      </c>
      <c r="F1365" s="17">
        <v>50</v>
      </c>
      <c r="G1365" s="18" t="s">
        <v>23</v>
      </c>
      <c r="H1365" s="17">
        <v>19.899999999999999</v>
      </c>
      <c r="I1365" s="8">
        <v>26.9</v>
      </c>
      <c r="J1365" s="21">
        <f t="shared" si="63"/>
        <v>0.35175879396984927</v>
      </c>
      <c r="K1365" s="1">
        <v>4</v>
      </c>
      <c r="L1365" s="24">
        <v>1.3</v>
      </c>
      <c r="M1365" s="24">
        <v>25.554999999999996</v>
      </c>
      <c r="N1365" s="21">
        <f t="shared" si="64"/>
        <v>0.28417085427135669</v>
      </c>
      <c r="P1365" s="1">
        <v>10</v>
      </c>
      <c r="Q1365" s="24">
        <v>3.227999999999998</v>
      </c>
      <c r="R1365" s="24">
        <v>23.672000000000001</v>
      </c>
      <c r="S1365" s="21">
        <f t="shared" si="65"/>
        <v>0.18954773869346744</v>
      </c>
    </row>
    <row r="1366" spans="2:19" ht="11.4" customHeight="1" x14ac:dyDescent="0.2">
      <c r="B1366" s="24"/>
      <c r="C1366" s="7">
        <v>37876</v>
      </c>
      <c r="D1366" s="18" t="s">
        <v>1439</v>
      </c>
      <c r="E1366" s="18" t="s">
        <v>1390</v>
      </c>
      <c r="F1366" s="17">
        <v>50</v>
      </c>
      <c r="G1366" s="18" t="s">
        <v>23</v>
      </c>
      <c r="H1366" s="17">
        <v>7.9</v>
      </c>
      <c r="I1366" s="8">
        <v>9.9</v>
      </c>
      <c r="J1366" s="21">
        <f t="shared" si="63"/>
        <v>0.25316455696202528</v>
      </c>
      <c r="K1366" s="1">
        <v>4</v>
      </c>
      <c r="L1366" s="24">
        <v>0.4</v>
      </c>
      <c r="M1366" s="24">
        <v>9.4049999999999994</v>
      </c>
      <c r="N1366" s="21">
        <f t="shared" si="64"/>
        <v>0.19050632911392393</v>
      </c>
      <c r="P1366" s="1">
        <v>10</v>
      </c>
      <c r="Q1366" s="24">
        <v>1.1880000000000006</v>
      </c>
      <c r="R1366" s="24">
        <v>8.7119999999999997</v>
      </c>
      <c r="S1366" s="21">
        <f t="shared" si="65"/>
        <v>0.10278481012658219</v>
      </c>
    </row>
    <row r="1367" spans="2:19" ht="11.4" customHeight="1" x14ac:dyDescent="0.2">
      <c r="B1367" s="24"/>
      <c r="C1367" s="7">
        <v>39315</v>
      </c>
      <c r="D1367" s="18" t="s">
        <v>1440</v>
      </c>
      <c r="E1367" s="18" t="s">
        <v>1390</v>
      </c>
      <c r="F1367" s="17">
        <v>6</v>
      </c>
      <c r="G1367" s="18" t="s">
        <v>23</v>
      </c>
      <c r="H1367" s="17">
        <v>105.5</v>
      </c>
      <c r="I1367" s="8">
        <v>171.5</v>
      </c>
      <c r="J1367" s="21">
        <f t="shared" si="63"/>
        <v>0.62559241706161139</v>
      </c>
      <c r="K1367" s="1">
        <v>4</v>
      </c>
      <c r="L1367" s="24">
        <v>8.5</v>
      </c>
      <c r="M1367" s="24">
        <v>162.92499999999998</v>
      </c>
      <c r="N1367" s="21">
        <f t="shared" si="64"/>
        <v>0.54431279620853068</v>
      </c>
      <c r="P1367" s="1">
        <v>10</v>
      </c>
      <c r="Q1367" s="24">
        <v>20.580000000000013</v>
      </c>
      <c r="R1367" s="24">
        <v>150.91999999999999</v>
      </c>
      <c r="S1367" s="21">
        <f t="shared" si="65"/>
        <v>0.43052132701421791</v>
      </c>
    </row>
    <row r="1368" spans="2:19" ht="11.4" customHeight="1" x14ac:dyDescent="0.2">
      <c r="B1368" s="24"/>
      <c r="C1368" s="7">
        <v>39011</v>
      </c>
      <c r="D1368" s="18" t="s">
        <v>1441</v>
      </c>
      <c r="E1368" s="18" t="s">
        <v>1393</v>
      </c>
      <c r="F1368" s="17">
        <v>15</v>
      </c>
      <c r="G1368" s="18" t="s">
        <v>23</v>
      </c>
      <c r="H1368" s="17">
        <v>47.5</v>
      </c>
      <c r="I1368" s="8">
        <v>49.9</v>
      </c>
      <c r="J1368" s="21">
        <f t="shared" si="63"/>
        <v>5.0526315789473655E-2</v>
      </c>
      <c r="K1368" s="1">
        <v>4</v>
      </c>
      <c r="L1368" s="24">
        <v>2.4</v>
      </c>
      <c r="M1368" s="24">
        <v>47.404999999999994</v>
      </c>
      <c r="N1368" s="21">
        <f t="shared" si="64"/>
        <v>-2.0000000000001258E-3</v>
      </c>
      <c r="P1368" s="1">
        <v>10</v>
      </c>
      <c r="Q1368" s="24">
        <v>5.9879999999999995</v>
      </c>
      <c r="R1368" s="24">
        <v>43.911999999999999</v>
      </c>
      <c r="S1368" s="21">
        <f t="shared" si="65"/>
        <v>-7.553684210526318E-2</v>
      </c>
    </row>
    <row r="1369" spans="2:19" ht="11.4" customHeight="1" x14ac:dyDescent="0.2">
      <c r="B1369" s="24"/>
      <c r="C1369" s="7">
        <v>39012</v>
      </c>
      <c r="D1369" s="18" t="s">
        <v>1442</v>
      </c>
      <c r="E1369" s="18" t="s">
        <v>1393</v>
      </c>
      <c r="F1369" s="17">
        <v>50</v>
      </c>
      <c r="G1369" s="18" t="s">
        <v>23</v>
      </c>
      <c r="H1369" s="17">
        <v>47.5</v>
      </c>
      <c r="I1369" s="8">
        <v>49.4</v>
      </c>
      <c r="J1369" s="21">
        <f t="shared" si="63"/>
        <v>3.9999999999999973E-2</v>
      </c>
      <c r="K1369" s="1">
        <v>4</v>
      </c>
      <c r="L1369" s="24">
        <v>2.4</v>
      </c>
      <c r="M1369" s="24">
        <v>46.93</v>
      </c>
      <c r="N1369" s="21">
        <f t="shared" si="64"/>
        <v>-1.2000000000000005E-2</v>
      </c>
      <c r="P1369" s="1">
        <v>10</v>
      </c>
      <c r="Q1369" s="24">
        <v>5.9279999999999973</v>
      </c>
      <c r="R1369" s="24">
        <v>43.472000000000001</v>
      </c>
      <c r="S1369" s="21">
        <f t="shared" si="65"/>
        <v>-8.4799999999999973E-2</v>
      </c>
    </row>
    <row r="1370" spans="2:19" ht="11.4" customHeight="1" x14ac:dyDescent="0.2">
      <c r="B1370" s="24"/>
      <c r="C1370" s="7">
        <v>37875</v>
      </c>
      <c r="D1370" s="18" t="s">
        <v>1443</v>
      </c>
      <c r="E1370" s="18" t="s">
        <v>1390</v>
      </c>
      <c r="F1370" s="17">
        <v>35</v>
      </c>
      <c r="G1370" s="18" t="s">
        <v>23</v>
      </c>
      <c r="H1370" s="17">
        <v>21.9</v>
      </c>
      <c r="I1370" s="8">
        <v>21.9</v>
      </c>
      <c r="J1370" s="21">
        <f t="shared" si="63"/>
        <v>0</v>
      </c>
      <c r="K1370" s="1">
        <v>4</v>
      </c>
      <c r="L1370" s="24">
        <v>1</v>
      </c>
      <c r="M1370" s="24">
        <v>20.804999999999996</v>
      </c>
      <c r="N1370" s="21">
        <f t="shared" si="64"/>
        <v>-5.0000000000000114E-2</v>
      </c>
      <c r="P1370" s="1">
        <v>10</v>
      </c>
      <c r="Q1370" s="24">
        <v>2.6280000000000001</v>
      </c>
      <c r="R1370" s="24">
        <v>19.271999999999998</v>
      </c>
      <c r="S1370" s="21">
        <f t="shared" si="65"/>
        <v>-0.12000000000000001</v>
      </c>
    </row>
    <row r="1371" spans="2:19" ht="11.4" customHeight="1" x14ac:dyDescent="0.2">
      <c r="B1371" s="24"/>
      <c r="C1371" s="7">
        <v>3002</v>
      </c>
      <c r="D1371" s="18" t="s">
        <v>1444</v>
      </c>
      <c r="E1371" s="18" t="s">
        <v>1390</v>
      </c>
      <c r="F1371" s="17">
        <v>100</v>
      </c>
      <c r="G1371" s="18" t="s">
        <v>23</v>
      </c>
      <c r="H1371" s="17">
        <v>17.88</v>
      </c>
      <c r="I1371" s="8">
        <v>24.1</v>
      </c>
      <c r="J1371" s="21">
        <f t="shared" si="63"/>
        <v>0.34787472035794198</v>
      </c>
      <c r="K1371" s="1">
        <v>4</v>
      </c>
      <c r="L1371" s="24">
        <v>1.2</v>
      </c>
      <c r="M1371" s="24">
        <v>22.895</v>
      </c>
      <c r="N1371" s="21">
        <f t="shared" si="64"/>
        <v>0.28048098434004481</v>
      </c>
      <c r="P1371" s="1">
        <v>10</v>
      </c>
      <c r="Q1371" s="24">
        <v>2.8919999999999995</v>
      </c>
      <c r="R1371" s="24">
        <v>21.208000000000002</v>
      </c>
      <c r="S1371" s="21">
        <f t="shared" si="65"/>
        <v>0.18612975391498898</v>
      </c>
    </row>
    <row r="1372" spans="2:19" ht="11.4" customHeight="1" x14ac:dyDescent="0.2">
      <c r="B1372" s="24"/>
      <c r="C1372" s="7">
        <v>5633</v>
      </c>
      <c r="D1372" s="18" t="s">
        <v>1445</v>
      </c>
      <c r="E1372" s="18" t="s">
        <v>1390</v>
      </c>
      <c r="F1372" s="17">
        <v>22</v>
      </c>
      <c r="G1372" s="18" t="s">
        <v>23</v>
      </c>
      <c r="H1372" s="17">
        <v>19.8</v>
      </c>
      <c r="I1372" s="8">
        <v>22.9</v>
      </c>
      <c r="J1372" s="21">
        <f t="shared" si="63"/>
        <v>0.15656565656565646</v>
      </c>
      <c r="K1372" s="1">
        <v>4</v>
      </c>
      <c r="L1372" s="24">
        <v>1.1000000000000001</v>
      </c>
      <c r="M1372" s="24">
        <v>21.754999999999999</v>
      </c>
      <c r="N1372" s="21">
        <f t="shared" si="64"/>
        <v>9.8737373737373652E-2</v>
      </c>
      <c r="P1372" s="1">
        <v>10</v>
      </c>
      <c r="Q1372" s="24">
        <v>2.7480000000000011</v>
      </c>
      <c r="R1372" s="24">
        <v>20.151999999999997</v>
      </c>
      <c r="S1372" s="21">
        <f t="shared" si="65"/>
        <v>1.7777777777777615E-2</v>
      </c>
    </row>
    <row r="1373" spans="2:19" ht="11.4" customHeight="1" x14ac:dyDescent="0.2">
      <c r="B1373" s="24"/>
      <c r="C1373" s="7">
        <v>37896</v>
      </c>
      <c r="D1373" s="18" t="s">
        <v>1446</v>
      </c>
      <c r="E1373" s="18" t="s">
        <v>1390</v>
      </c>
      <c r="F1373" s="17">
        <v>40</v>
      </c>
      <c r="G1373" s="18" t="s">
        <v>23</v>
      </c>
      <c r="H1373" s="17">
        <v>15.9</v>
      </c>
      <c r="I1373" s="8">
        <v>17.899999999999999</v>
      </c>
      <c r="J1373" s="21">
        <f t="shared" si="63"/>
        <v>0.12578616352201247</v>
      </c>
      <c r="K1373" s="1">
        <v>4</v>
      </c>
      <c r="L1373" s="24">
        <v>0.8</v>
      </c>
      <c r="M1373" s="24">
        <v>17.004999999999999</v>
      </c>
      <c r="N1373" s="21">
        <f t="shared" si="64"/>
        <v>6.9496855345911865E-2</v>
      </c>
      <c r="P1373" s="1">
        <v>10</v>
      </c>
      <c r="Q1373" s="24">
        <v>2.1479999999999997</v>
      </c>
      <c r="R1373" s="24">
        <v>15.751999999999999</v>
      </c>
      <c r="S1373" s="21">
        <f t="shared" si="65"/>
        <v>-9.3081761006290221E-3</v>
      </c>
    </row>
    <row r="1374" spans="2:19" ht="11.4" customHeight="1" x14ac:dyDescent="0.2">
      <c r="B1374" s="24"/>
      <c r="C1374" s="7">
        <v>39316</v>
      </c>
      <c r="D1374" s="18" t="s">
        <v>1447</v>
      </c>
      <c r="E1374" s="18" t="s">
        <v>1390</v>
      </c>
      <c r="F1374" s="17">
        <v>6</v>
      </c>
      <c r="G1374" s="18" t="s">
        <v>23</v>
      </c>
      <c r="H1374" s="17">
        <v>95.9</v>
      </c>
      <c r="I1374" s="8">
        <v>125</v>
      </c>
      <c r="J1374" s="21">
        <f t="shared" si="63"/>
        <v>0.30344108446298218</v>
      </c>
      <c r="K1374" s="1">
        <v>4</v>
      </c>
      <c r="L1374" s="24">
        <v>6.2</v>
      </c>
      <c r="M1374" s="24">
        <v>118.75</v>
      </c>
      <c r="N1374" s="21">
        <f t="shared" si="64"/>
        <v>0.23826903023983309</v>
      </c>
      <c r="P1374" s="1">
        <v>10</v>
      </c>
      <c r="Q1374" s="24">
        <v>15</v>
      </c>
      <c r="R1374" s="24">
        <v>110</v>
      </c>
      <c r="S1374" s="21">
        <f t="shared" si="65"/>
        <v>0.14702815432742433</v>
      </c>
    </row>
    <row r="1375" spans="2:19" ht="11.4" customHeight="1" x14ac:dyDescent="0.2">
      <c r="B1375" s="24"/>
      <c r="C1375" s="7">
        <v>37897</v>
      </c>
      <c r="D1375" s="18" t="s">
        <v>1448</v>
      </c>
      <c r="E1375" s="18" t="s">
        <v>1390</v>
      </c>
      <c r="F1375" s="17">
        <v>40</v>
      </c>
      <c r="G1375" s="18" t="s">
        <v>23</v>
      </c>
      <c r="H1375" s="17">
        <v>15.9</v>
      </c>
      <c r="I1375" s="8">
        <v>17.899999999999999</v>
      </c>
      <c r="J1375" s="21">
        <f t="shared" si="63"/>
        <v>0.12578616352201247</v>
      </c>
      <c r="K1375" s="1">
        <v>4</v>
      </c>
      <c r="L1375" s="24">
        <v>0.8</v>
      </c>
      <c r="M1375" s="24">
        <v>17.004999999999999</v>
      </c>
      <c r="N1375" s="21">
        <f t="shared" si="64"/>
        <v>6.9496855345911865E-2</v>
      </c>
      <c r="P1375" s="1">
        <v>10</v>
      </c>
      <c r="Q1375" s="24">
        <v>2.1479999999999997</v>
      </c>
      <c r="R1375" s="24">
        <v>15.751999999999999</v>
      </c>
      <c r="S1375" s="21">
        <f t="shared" si="65"/>
        <v>-9.3081761006290221E-3</v>
      </c>
    </row>
    <row r="1376" spans="2:19" ht="11.4" customHeight="1" x14ac:dyDescent="0.2">
      <c r="B1376" s="24"/>
      <c r="C1376" s="7">
        <v>5634</v>
      </c>
      <c r="D1376" s="18" t="s">
        <v>1449</v>
      </c>
      <c r="E1376" s="18" t="s">
        <v>1390</v>
      </c>
      <c r="F1376" s="17">
        <v>32</v>
      </c>
      <c r="G1376" s="18" t="s">
        <v>23</v>
      </c>
      <c r="H1376" s="17">
        <v>8.9</v>
      </c>
      <c r="I1376" s="8">
        <v>9.3000000000000007</v>
      </c>
      <c r="J1376" s="21">
        <f t="shared" si="63"/>
        <v>4.4943820224719142E-2</v>
      </c>
      <c r="K1376" s="1">
        <v>4</v>
      </c>
      <c r="L1376" s="24">
        <v>0.4</v>
      </c>
      <c r="M1376" s="24">
        <v>8.8350000000000009</v>
      </c>
      <c r="N1376" s="21">
        <f t="shared" si="64"/>
        <v>-7.3033707865167979E-3</v>
      </c>
      <c r="P1376" s="1">
        <v>10</v>
      </c>
      <c r="Q1376" s="24">
        <v>1.1159999999999997</v>
      </c>
      <c r="R1376" s="24">
        <v>8.1840000000000011</v>
      </c>
      <c r="S1376" s="21">
        <f t="shared" si="65"/>
        <v>-8.0449438202247106E-2</v>
      </c>
    </row>
    <row r="1377" spans="2:19" ht="11.4" customHeight="1" x14ac:dyDescent="0.2">
      <c r="B1377" s="24"/>
      <c r="C1377" s="7">
        <v>37874</v>
      </c>
      <c r="D1377" s="18" t="s">
        <v>1450</v>
      </c>
      <c r="E1377" s="18" t="s">
        <v>1390</v>
      </c>
      <c r="F1377" s="17">
        <v>40</v>
      </c>
      <c r="G1377" s="18" t="s">
        <v>23</v>
      </c>
      <c r="H1377" s="17">
        <v>7.9</v>
      </c>
      <c r="I1377" s="8">
        <v>7.9</v>
      </c>
      <c r="J1377" s="21">
        <f t="shared" si="63"/>
        <v>0</v>
      </c>
      <c r="K1377" s="1">
        <v>4</v>
      </c>
      <c r="L1377" s="24">
        <v>0.3</v>
      </c>
      <c r="M1377" s="24">
        <v>7.5049999999999999</v>
      </c>
      <c r="N1377" s="21">
        <f t="shared" si="64"/>
        <v>-5.0000000000000058E-2</v>
      </c>
      <c r="P1377" s="1">
        <v>10</v>
      </c>
      <c r="Q1377" s="24">
        <v>0.9480000000000004</v>
      </c>
      <c r="R1377" s="24">
        <v>6.952</v>
      </c>
      <c r="S1377" s="21">
        <f t="shared" si="65"/>
        <v>-0.12000000000000005</v>
      </c>
    </row>
    <row r="1378" spans="2:19" ht="11.4" customHeight="1" x14ac:dyDescent="0.2">
      <c r="B1378" s="24"/>
      <c r="C1378" s="7">
        <v>28872</v>
      </c>
      <c r="D1378" s="18" t="s">
        <v>1451</v>
      </c>
      <c r="E1378" s="18" t="s">
        <v>1390</v>
      </c>
      <c r="F1378" s="17">
        <v>20</v>
      </c>
      <c r="G1378" s="18" t="s">
        <v>23</v>
      </c>
      <c r="H1378" s="17">
        <v>78.48</v>
      </c>
      <c r="I1378" s="8">
        <v>111.1</v>
      </c>
      <c r="J1378" s="21">
        <f t="shared" si="63"/>
        <v>0.41564729867482147</v>
      </c>
      <c r="K1378" s="1">
        <v>4</v>
      </c>
      <c r="L1378" s="24">
        <v>5.5</v>
      </c>
      <c r="M1378" s="24">
        <v>105.54499999999999</v>
      </c>
      <c r="N1378" s="21">
        <f t="shared" si="64"/>
        <v>0.34486493374108029</v>
      </c>
      <c r="P1378" s="1">
        <v>10</v>
      </c>
      <c r="Q1378" s="24">
        <v>13.331999999999994</v>
      </c>
      <c r="R1378" s="24">
        <v>97.768000000000001</v>
      </c>
      <c r="S1378" s="21">
        <f t="shared" si="65"/>
        <v>0.24576962283384296</v>
      </c>
    </row>
    <row r="1379" spans="2:19" ht="11.4" customHeight="1" x14ac:dyDescent="0.2">
      <c r="B1379" s="24"/>
      <c r="C1379" s="7">
        <v>39322</v>
      </c>
      <c r="D1379" s="18" t="s">
        <v>1452</v>
      </c>
      <c r="E1379" s="18" t="s">
        <v>1390</v>
      </c>
      <c r="F1379" s="17">
        <v>6</v>
      </c>
      <c r="G1379" s="18" t="s">
        <v>23</v>
      </c>
      <c r="H1379" s="17">
        <v>99.5</v>
      </c>
      <c r="I1379" s="8">
        <v>125</v>
      </c>
      <c r="J1379" s="21">
        <f t="shared" si="63"/>
        <v>0.25628140703517588</v>
      </c>
      <c r="K1379" s="1">
        <v>4</v>
      </c>
      <c r="L1379" s="24">
        <v>6.2</v>
      </c>
      <c r="M1379" s="24">
        <v>118.75</v>
      </c>
      <c r="N1379" s="21">
        <f t="shared" si="64"/>
        <v>0.19346733668341709</v>
      </c>
      <c r="P1379" s="1">
        <v>10</v>
      </c>
      <c r="Q1379" s="24">
        <v>15</v>
      </c>
      <c r="R1379" s="24">
        <v>110</v>
      </c>
      <c r="S1379" s="21">
        <f t="shared" si="65"/>
        <v>0.10552763819095477</v>
      </c>
    </row>
    <row r="1380" spans="2:19" ht="11.4" customHeight="1" x14ac:dyDescent="0.2">
      <c r="B1380" s="24"/>
      <c r="C1380" s="7">
        <v>39321</v>
      </c>
      <c r="D1380" s="18" t="s">
        <v>1453</v>
      </c>
      <c r="E1380" s="18" t="s">
        <v>1390</v>
      </c>
      <c r="F1380" s="17">
        <v>6</v>
      </c>
      <c r="G1380" s="18" t="s">
        <v>23</v>
      </c>
      <c r="H1380" s="17">
        <v>99.9</v>
      </c>
      <c r="I1380" s="8">
        <v>125</v>
      </c>
      <c r="J1380" s="21">
        <f t="shared" si="63"/>
        <v>0.2512512512512512</v>
      </c>
      <c r="K1380" s="1">
        <v>4</v>
      </c>
      <c r="L1380" s="24">
        <v>6.2</v>
      </c>
      <c r="M1380" s="24">
        <v>118.75</v>
      </c>
      <c r="N1380" s="21">
        <f t="shared" si="64"/>
        <v>0.18868868868868863</v>
      </c>
      <c r="P1380" s="1">
        <v>10</v>
      </c>
      <c r="Q1380" s="24">
        <v>15</v>
      </c>
      <c r="R1380" s="24">
        <v>110</v>
      </c>
      <c r="S1380" s="21">
        <f t="shared" si="65"/>
        <v>0.10110110110110104</v>
      </c>
    </row>
    <row r="1381" spans="2:19" ht="11.4" customHeight="1" x14ac:dyDescent="0.2">
      <c r="B1381" s="24"/>
      <c r="C1381" s="7">
        <v>38407</v>
      </c>
      <c r="D1381" s="18" t="s">
        <v>1454</v>
      </c>
      <c r="E1381" s="18" t="s">
        <v>1390</v>
      </c>
      <c r="F1381" s="17">
        <v>10</v>
      </c>
      <c r="G1381" s="18" t="s">
        <v>23</v>
      </c>
      <c r="H1381" s="17">
        <v>149.5</v>
      </c>
      <c r="I1381" s="8">
        <v>179.9</v>
      </c>
      <c r="J1381" s="21">
        <f t="shared" si="63"/>
        <v>0.20334448160535121</v>
      </c>
      <c r="K1381" s="1">
        <v>4</v>
      </c>
      <c r="L1381" s="24">
        <v>8.9</v>
      </c>
      <c r="M1381" s="24">
        <v>170.905</v>
      </c>
      <c r="N1381" s="21">
        <f t="shared" si="64"/>
        <v>0.14317725752508362</v>
      </c>
      <c r="P1381" s="1">
        <v>10</v>
      </c>
      <c r="Q1381" s="24">
        <v>21.587999999999994</v>
      </c>
      <c r="R1381" s="24">
        <v>158.31200000000001</v>
      </c>
      <c r="S1381" s="21">
        <f t="shared" si="65"/>
        <v>5.8943143812709112E-2</v>
      </c>
    </row>
    <row r="1382" spans="2:19" ht="11.4" customHeight="1" x14ac:dyDescent="0.2">
      <c r="B1382" s="24"/>
      <c r="C1382" s="7">
        <v>5635</v>
      </c>
      <c r="D1382" s="18" t="s">
        <v>1455</v>
      </c>
      <c r="E1382" s="18" t="s">
        <v>1390</v>
      </c>
      <c r="F1382" s="17">
        <v>32</v>
      </c>
      <c r="G1382" s="18" t="s">
        <v>23</v>
      </c>
      <c r="H1382" s="17">
        <v>13.73</v>
      </c>
      <c r="I1382" s="8">
        <v>17.899999999999999</v>
      </c>
      <c r="J1382" s="21">
        <f t="shared" si="63"/>
        <v>0.30371449380917687</v>
      </c>
      <c r="K1382" s="1">
        <v>4</v>
      </c>
      <c r="L1382" s="24">
        <v>0.8</v>
      </c>
      <c r="M1382" s="24">
        <v>17.004999999999999</v>
      </c>
      <c r="N1382" s="21">
        <f t="shared" si="64"/>
        <v>0.23852876911871804</v>
      </c>
      <c r="P1382" s="1">
        <v>10</v>
      </c>
      <c r="Q1382" s="24">
        <v>2.1479999999999997</v>
      </c>
      <c r="R1382" s="24">
        <v>15.751999999999999</v>
      </c>
      <c r="S1382" s="21">
        <f t="shared" si="65"/>
        <v>0.14726875455207564</v>
      </c>
    </row>
    <row r="1383" spans="2:19" ht="11.4" customHeight="1" x14ac:dyDescent="0.2">
      <c r="B1383" s="24"/>
      <c r="C1383" s="7">
        <v>37877</v>
      </c>
      <c r="D1383" s="18" t="s">
        <v>1456</v>
      </c>
      <c r="E1383" s="18" t="s">
        <v>1390</v>
      </c>
      <c r="F1383" s="17">
        <v>35</v>
      </c>
      <c r="G1383" s="18" t="s">
        <v>23</v>
      </c>
      <c r="H1383" s="17">
        <v>10.49</v>
      </c>
      <c r="I1383" s="8">
        <v>15.9</v>
      </c>
      <c r="J1383" s="21">
        <f t="shared" si="63"/>
        <v>0.51572926596758817</v>
      </c>
      <c r="K1383" s="1">
        <v>4</v>
      </c>
      <c r="L1383" s="24">
        <v>0.7</v>
      </c>
      <c r="M1383" s="24">
        <v>15.105</v>
      </c>
      <c r="N1383" s="21">
        <f t="shared" si="64"/>
        <v>0.43994280266920877</v>
      </c>
      <c r="P1383" s="1">
        <v>10</v>
      </c>
      <c r="Q1383" s="24">
        <v>1.9079999999999995</v>
      </c>
      <c r="R1383" s="24">
        <v>13.992000000000001</v>
      </c>
      <c r="S1383" s="21">
        <f t="shared" si="65"/>
        <v>0.33384175405147765</v>
      </c>
    </row>
    <row r="1384" spans="2:19" ht="11.4" customHeight="1" x14ac:dyDescent="0.2">
      <c r="B1384" s="24"/>
      <c r="C1384" s="7">
        <v>39323</v>
      </c>
      <c r="D1384" s="18" t="s">
        <v>1457</v>
      </c>
      <c r="E1384" s="18" t="s">
        <v>1390</v>
      </c>
      <c r="F1384" s="17">
        <v>16</v>
      </c>
      <c r="G1384" s="18" t="s">
        <v>23</v>
      </c>
      <c r="H1384" s="17">
        <v>49.9</v>
      </c>
      <c r="I1384" s="8">
        <v>65.400000000000006</v>
      </c>
      <c r="J1384" s="21">
        <f t="shared" si="63"/>
        <v>0.31062124248497008</v>
      </c>
      <c r="K1384" s="1">
        <v>4</v>
      </c>
      <c r="L1384" s="24">
        <v>3.2</v>
      </c>
      <c r="M1384" s="24">
        <v>62.13</v>
      </c>
      <c r="N1384" s="21">
        <f t="shared" si="64"/>
        <v>0.24509018036072153</v>
      </c>
      <c r="P1384" s="1">
        <v>10</v>
      </c>
      <c r="Q1384" s="24">
        <v>7.847999999999999</v>
      </c>
      <c r="R1384" s="24">
        <v>57.552000000000007</v>
      </c>
      <c r="S1384" s="21">
        <f t="shared" si="65"/>
        <v>0.1533466933867737</v>
      </c>
    </row>
    <row r="1385" spans="2:19" ht="11.4" customHeight="1" x14ac:dyDescent="0.2">
      <c r="B1385" s="24"/>
      <c r="C1385" s="7">
        <v>39324</v>
      </c>
      <c r="D1385" s="18" t="s">
        <v>1458</v>
      </c>
      <c r="E1385" s="18" t="s">
        <v>1390</v>
      </c>
      <c r="F1385" s="17">
        <v>16</v>
      </c>
      <c r="G1385" s="18" t="s">
        <v>23</v>
      </c>
      <c r="H1385" s="17">
        <v>49.9</v>
      </c>
      <c r="I1385" s="8">
        <v>65.400000000000006</v>
      </c>
      <c r="J1385" s="21">
        <f t="shared" si="63"/>
        <v>0.31062124248497008</v>
      </c>
      <c r="K1385" s="1">
        <v>4</v>
      </c>
      <c r="L1385" s="24">
        <v>3.2</v>
      </c>
      <c r="M1385" s="24">
        <v>62.13</v>
      </c>
      <c r="N1385" s="21">
        <f t="shared" si="64"/>
        <v>0.24509018036072153</v>
      </c>
      <c r="P1385" s="1">
        <v>10</v>
      </c>
      <c r="Q1385" s="24">
        <v>7.847999999999999</v>
      </c>
      <c r="R1385" s="24">
        <v>57.552000000000007</v>
      </c>
      <c r="S1385" s="21">
        <f t="shared" si="65"/>
        <v>0.1533466933867737</v>
      </c>
    </row>
    <row r="1386" spans="2:19" ht="11.4" customHeight="1" x14ac:dyDescent="0.2">
      <c r="B1386" s="24"/>
      <c r="C1386" s="7">
        <v>37873</v>
      </c>
      <c r="D1386" s="18" t="s">
        <v>1459</v>
      </c>
      <c r="E1386" s="18" t="s">
        <v>1390</v>
      </c>
      <c r="F1386" s="17">
        <v>50</v>
      </c>
      <c r="G1386" s="18" t="s">
        <v>23</v>
      </c>
      <c r="H1386" s="17">
        <v>10.49</v>
      </c>
      <c r="I1386" s="8">
        <v>15.9</v>
      </c>
      <c r="J1386" s="21">
        <f t="shared" si="63"/>
        <v>0.51572926596758817</v>
      </c>
      <c r="K1386" s="1">
        <v>4</v>
      </c>
      <c r="L1386" s="24">
        <v>0.7</v>
      </c>
      <c r="M1386" s="24">
        <v>15.105</v>
      </c>
      <c r="N1386" s="21">
        <f t="shared" si="64"/>
        <v>0.43994280266920877</v>
      </c>
      <c r="P1386" s="1">
        <v>10</v>
      </c>
      <c r="Q1386" s="24">
        <v>1.9079999999999995</v>
      </c>
      <c r="R1386" s="24">
        <v>13.992000000000001</v>
      </c>
      <c r="S1386" s="21">
        <f t="shared" si="65"/>
        <v>0.33384175405147765</v>
      </c>
    </row>
    <row r="1387" spans="2:19" ht="11.4" customHeight="1" x14ac:dyDescent="0.2">
      <c r="B1387" s="24"/>
      <c r="C1387" s="7">
        <v>39312</v>
      </c>
      <c r="D1387" s="18" t="s">
        <v>1460</v>
      </c>
      <c r="E1387" s="18" t="s">
        <v>1390</v>
      </c>
      <c r="F1387" s="17">
        <v>8</v>
      </c>
      <c r="G1387" s="18" t="s">
        <v>23</v>
      </c>
      <c r="H1387" s="17">
        <v>235.9</v>
      </c>
      <c r="I1387" s="8">
        <v>239.9</v>
      </c>
      <c r="J1387" s="21">
        <f t="shared" si="63"/>
        <v>1.6956337431114878E-2</v>
      </c>
      <c r="K1387" s="1">
        <v>4</v>
      </c>
      <c r="L1387" s="24">
        <v>11.9</v>
      </c>
      <c r="M1387" s="24">
        <v>227.905</v>
      </c>
      <c r="N1387" s="21">
        <f t="shared" si="64"/>
        <v>-3.389147944044088E-2</v>
      </c>
      <c r="P1387" s="1">
        <v>10</v>
      </c>
      <c r="Q1387" s="24">
        <v>28.788000000000011</v>
      </c>
      <c r="R1387" s="24">
        <v>211.11199999999999</v>
      </c>
      <c r="S1387" s="21">
        <f t="shared" si="65"/>
        <v>-0.10507842306061894</v>
      </c>
    </row>
    <row r="1388" spans="2:19" ht="11.4" customHeight="1" x14ac:dyDescent="0.2">
      <c r="B1388" s="24"/>
      <c r="C1388" s="7">
        <v>38402</v>
      </c>
      <c r="D1388" s="18" t="s">
        <v>1461</v>
      </c>
      <c r="E1388" s="18" t="s">
        <v>1390</v>
      </c>
      <c r="F1388" s="17">
        <v>10</v>
      </c>
      <c r="G1388" s="18" t="s">
        <v>23</v>
      </c>
      <c r="H1388" s="17">
        <v>77.599999999999994</v>
      </c>
      <c r="I1388" s="8">
        <v>77.599999999999994</v>
      </c>
      <c r="J1388" s="21">
        <f t="shared" si="63"/>
        <v>0</v>
      </c>
      <c r="K1388" s="1">
        <v>4</v>
      </c>
      <c r="L1388" s="24">
        <v>3.8</v>
      </c>
      <c r="M1388" s="24">
        <v>73.719999999999985</v>
      </c>
      <c r="N1388" s="21">
        <f t="shared" si="64"/>
        <v>-5.0000000000000128E-2</v>
      </c>
      <c r="P1388" s="1">
        <v>10</v>
      </c>
      <c r="Q1388" s="24">
        <v>9.3119999999999976</v>
      </c>
      <c r="R1388" s="24">
        <v>68.287999999999997</v>
      </c>
      <c r="S1388" s="21">
        <f t="shared" si="65"/>
        <v>-0.11999999999999998</v>
      </c>
    </row>
    <row r="1389" spans="2:19" ht="11.4" customHeight="1" x14ac:dyDescent="0.2">
      <c r="B1389" s="24"/>
      <c r="C1389" s="7">
        <v>37868</v>
      </c>
      <c r="D1389" s="18" t="s">
        <v>1462</v>
      </c>
      <c r="E1389" s="18" t="s">
        <v>1390</v>
      </c>
      <c r="F1389" s="17">
        <v>40</v>
      </c>
      <c r="G1389" s="18" t="s">
        <v>23</v>
      </c>
      <c r="H1389" s="17">
        <v>4.9000000000000004</v>
      </c>
      <c r="I1389" s="8">
        <v>4.9000000000000004</v>
      </c>
      <c r="J1389" s="21">
        <f t="shared" si="63"/>
        <v>0</v>
      </c>
      <c r="K1389" s="1">
        <v>4</v>
      </c>
      <c r="L1389" s="24">
        <v>0.2</v>
      </c>
      <c r="M1389" s="24">
        <v>4.6550000000000002</v>
      </c>
      <c r="N1389" s="21">
        <f t="shared" si="64"/>
        <v>-5.0000000000000017E-2</v>
      </c>
      <c r="P1389" s="1">
        <v>10</v>
      </c>
      <c r="Q1389" s="24">
        <v>0.58800000000000008</v>
      </c>
      <c r="R1389" s="24">
        <v>4.3120000000000003</v>
      </c>
      <c r="S1389" s="21">
        <f t="shared" si="65"/>
        <v>-0.12000000000000001</v>
      </c>
    </row>
    <row r="1390" spans="2:19" ht="11.4" customHeight="1" x14ac:dyDescent="0.2">
      <c r="B1390" s="24"/>
      <c r="C1390" s="7">
        <v>6766</v>
      </c>
      <c r="D1390" s="18" t="s">
        <v>1463</v>
      </c>
      <c r="E1390" s="18" t="s">
        <v>1435</v>
      </c>
      <c r="F1390" s="17">
        <v>20</v>
      </c>
      <c r="G1390" s="18" t="s">
        <v>23</v>
      </c>
      <c r="H1390" s="17">
        <v>24</v>
      </c>
      <c r="I1390" s="8">
        <v>25.7</v>
      </c>
      <c r="J1390" s="21">
        <f t="shared" si="63"/>
        <v>7.0833333333333304E-2</v>
      </c>
      <c r="K1390" s="1">
        <v>4</v>
      </c>
      <c r="L1390" s="24">
        <v>1.2</v>
      </c>
      <c r="M1390" s="24">
        <v>24.414999999999999</v>
      </c>
      <c r="N1390" s="21">
        <f t="shared" si="64"/>
        <v>1.7291666666666632E-2</v>
      </c>
      <c r="P1390" s="1">
        <v>10</v>
      </c>
      <c r="Q1390" s="24">
        <v>3.0839999999999996</v>
      </c>
      <c r="R1390" s="24">
        <v>22.616</v>
      </c>
      <c r="S1390" s="21">
        <f t="shared" si="65"/>
        <v>-5.7666666666666679E-2</v>
      </c>
    </row>
    <row r="1391" spans="2:19" ht="11.4" customHeight="1" x14ac:dyDescent="0.2">
      <c r="B1391" s="24"/>
      <c r="C1391" s="7">
        <v>42667</v>
      </c>
      <c r="D1391" s="18" t="s">
        <v>1464</v>
      </c>
      <c r="E1391" s="18" t="s">
        <v>1435</v>
      </c>
      <c r="F1391" s="17">
        <v>50</v>
      </c>
      <c r="G1391" s="18" t="s">
        <v>23</v>
      </c>
      <c r="H1391" s="17">
        <v>11.44</v>
      </c>
      <c r="I1391" s="8">
        <v>19.899999999999999</v>
      </c>
      <c r="J1391" s="21">
        <f t="shared" si="63"/>
        <v>0.73951048951048948</v>
      </c>
      <c r="K1391" s="1">
        <v>4</v>
      </c>
      <c r="L1391" s="24">
        <v>0.9</v>
      </c>
      <c r="M1391" s="24">
        <v>18.904999999999998</v>
      </c>
      <c r="N1391" s="21">
        <f t="shared" si="64"/>
        <v>0.65253496503496489</v>
      </c>
      <c r="P1391" s="1">
        <v>10</v>
      </c>
      <c r="Q1391" s="24">
        <v>2.3879999999999981</v>
      </c>
      <c r="R1391" s="24">
        <v>17.512</v>
      </c>
      <c r="S1391" s="21">
        <f t="shared" si="65"/>
        <v>0.53076923076923088</v>
      </c>
    </row>
    <row r="1392" spans="2:19" ht="11.4" customHeight="1" x14ac:dyDescent="0.2">
      <c r="B1392" s="24"/>
      <c r="C1392" s="7">
        <v>10443</v>
      </c>
      <c r="D1392" s="18" t="s">
        <v>1465</v>
      </c>
      <c r="E1392" s="18" t="s">
        <v>1435</v>
      </c>
      <c r="F1392" s="17">
        <v>30</v>
      </c>
      <c r="G1392" s="18" t="s">
        <v>23</v>
      </c>
      <c r="H1392" s="17">
        <v>34.5</v>
      </c>
      <c r="I1392" s="8">
        <v>51.7</v>
      </c>
      <c r="J1392" s="21">
        <f t="shared" si="63"/>
        <v>0.49855072463768124</v>
      </c>
      <c r="K1392" s="1">
        <v>4</v>
      </c>
      <c r="L1392" s="24">
        <v>2.5</v>
      </c>
      <c r="M1392" s="24">
        <v>49.115000000000002</v>
      </c>
      <c r="N1392" s="21">
        <f t="shared" si="64"/>
        <v>0.42362318840579716</v>
      </c>
      <c r="P1392" s="1">
        <v>10</v>
      </c>
      <c r="Q1392" s="24">
        <v>6.2040000000000006</v>
      </c>
      <c r="R1392" s="24">
        <v>45.496000000000002</v>
      </c>
      <c r="S1392" s="21">
        <f t="shared" si="65"/>
        <v>0.3187246376811595</v>
      </c>
    </row>
    <row r="1393" spans="2:19" ht="11.4" customHeight="1" x14ac:dyDescent="0.2">
      <c r="B1393" s="24"/>
      <c r="C1393" s="7">
        <v>44397</v>
      </c>
      <c r="D1393" s="18" t="s">
        <v>1466</v>
      </c>
      <c r="E1393" s="18" t="s">
        <v>1390</v>
      </c>
      <c r="F1393" s="17">
        <v>20</v>
      </c>
      <c r="G1393" s="18" t="s">
        <v>23</v>
      </c>
      <c r="H1393" s="17">
        <v>15.23</v>
      </c>
      <c r="I1393" s="8">
        <v>22.5</v>
      </c>
      <c r="J1393" s="21">
        <f t="shared" si="63"/>
        <v>0.47734734077478658</v>
      </c>
      <c r="K1393" s="1">
        <v>4</v>
      </c>
      <c r="L1393" s="24">
        <v>1.1000000000000001</v>
      </c>
      <c r="M1393" s="24">
        <v>21.375</v>
      </c>
      <c r="N1393" s="21">
        <f t="shared" si="64"/>
        <v>0.40347997373604721</v>
      </c>
      <c r="P1393" s="1">
        <v>10</v>
      </c>
      <c r="Q1393" s="24">
        <v>2.6999999999999993</v>
      </c>
      <c r="R1393" s="24">
        <v>19.8</v>
      </c>
      <c r="S1393" s="21">
        <f t="shared" si="65"/>
        <v>0.30006565988181222</v>
      </c>
    </row>
    <row r="1394" spans="2:19" ht="11.4" customHeight="1" x14ac:dyDescent="0.2">
      <c r="B1394" s="24"/>
      <c r="C1394" s="7">
        <v>38989</v>
      </c>
      <c r="D1394" s="18" t="s">
        <v>1467</v>
      </c>
      <c r="E1394" s="18" t="s">
        <v>1393</v>
      </c>
      <c r="F1394" s="17">
        <v>50</v>
      </c>
      <c r="G1394" s="18" t="s">
        <v>23</v>
      </c>
      <c r="H1394" s="17">
        <v>23.5</v>
      </c>
      <c r="I1394" s="8">
        <v>28.5</v>
      </c>
      <c r="J1394" s="21">
        <f t="shared" si="63"/>
        <v>0.21276595744680851</v>
      </c>
      <c r="K1394" s="1">
        <v>4</v>
      </c>
      <c r="L1394" s="24">
        <v>1.4</v>
      </c>
      <c r="M1394" s="24">
        <v>27.074999999999999</v>
      </c>
      <c r="N1394" s="21">
        <f t="shared" si="64"/>
        <v>0.15212765957446805</v>
      </c>
      <c r="P1394" s="1">
        <v>10</v>
      </c>
      <c r="Q1394" s="24">
        <v>3.4199999999999982</v>
      </c>
      <c r="R1394" s="24">
        <v>25.080000000000002</v>
      </c>
      <c r="S1394" s="21">
        <f t="shared" si="65"/>
        <v>6.723404255319157E-2</v>
      </c>
    </row>
    <row r="1395" spans="2:19" ht="11.4" customHeight="1" x14ac:dyDescent="0.2">
      <c r="B1395" s="24"/>
      <c r="C1395" s="7">
        <v>42665</v>
      </c>
      <c r="D1395" s="18" t="s">
        <v>1468</v>
      </c>
      <c r="E1395" s="18" t="s">
        <v>1435</v>
      </c>
      <c r="F1395" s="17">
        <v>50</v>
      </c>
      <c r="G1395" s="18" t="s">
        <v>23</v>
      </c>
      <c r="H1395" s="17">
        <v>11.44</v>
      </c>
      <c r="I1395" s="8">
        <v>19.899999999999999</v>
      </c>
      <c r="J1395" s="21">
        <f t="shared" si="63"/>
        <v>0.73951048951048948</v>
      </c>
      <c r="K1395" s="1">
        <v>4</v>
      </c>
      <c r="L1395" s="24">
        <v>0.9</v>
      </c>
      <c r="M1395" s="24">
        <v>18.904999999999998</v>
      </c>
      <c r="N1395" s="21">
        <f t="shared" si="64"/>
        <v>0.65253496503496489</v>
      </c>
      <c r="P1395" s="1">
        <v>10</v>
      </c>
      <c r="Q1395" s="24">
        <v>2.3879999999999981</v>
      </c>
      <c r="R1395" s="24">
        <v>17.512</v>
      </c>
      <c r="S1395" s="21">
        <f t="shared" si="65"/>
        <v>0.53076923076923088</v>
      </c>
    </row>
    <row r="1396" spans="2:19" ht="11.4" customHeight="1" x14ac:dyDescent="0.2">
      <c r="B1396" s="24"/>
      <c r="C1396" s="7">
        <v>37889</v>
      </c>
      <c r="D1396" s="18" t="s">
        <v>1469</v>
      </c>
      <c r="E1396" s="18" t="s">
        <v>1435</v>
      </c>
      <c r="F1396" s="17">
        <v>30</v>
      </c>
      <c r="G1396" s="18" t="s">
        <v>23</v>
      </c>
      <c r="H1396" s="17">
        <v>10.9</v>
      </c>
      <c r="I1396" s="8">
        <v>15.9</v>
      </c>
      <c r="J1396" s="21">
        <f t="shared" si="63"/>
        <v>0.4587155963302752</v>
      </c>
      <c r="K1396" s="1">
        <v>4</v>
      </c>
      <c r="L1396" s="24">
        <v>0.7</v>
      </c>
      <c r="M1396" s="24">
        <v>15.105</v>
      </c>
      <c r="N1396" s="21">
        <f t="shared" si="64"/>
        <v>0.38577981651376148</v>
      </c>
      <c r="P1396" s="1">
        <v>10</v>
      </c>
      <c r="Q1396" s="24">
        <v>1.9079999999999995</v>
      </c>
      <c r="R1396" s="24">
        <v>13.992000000000001</v>
      </c>
      <c r="S1396" s="21">
        <f t="shared" si="65"/>
        <v>0.28366972477064223</v>
      </c>
    </row>
    <row r="1397" spans="2:19" ht="11.4" customHeight="1" x14ac:dyDescent="0.2">
      <c r="B1397" s="24"/>
      <c r="C1397" s="7">
        <v>37890</v>
      </c>
      <c r="D1397" s="18" t="s">
        <v>1470</v>
      </c>
      <c r="E1397" s="18" t="s">
        <v>1435</v>
      </c>
      <c r="F1397" s="17">
        <v>30</v>
      </c>
      <c r="G1397" s="18" t="s">
        <v>23</v>
      </c>
      <c r="H1397" s="17">
        <v>10.9</v>
      </c>
      <c r="I1397" s="8">
        <v>15.9</v>
      </c>
      <c r="J1397" s="21">
        <f t="shared" si="63"/>
        <v>0.4587155963302752</v>
      </c>
      <c r="K1397" s="1">
        <v>4</v>
      </c>
      <c r="L1397" s="24">
        <v>0.7</v>
      </c>
      <c r="M1397" s="24">
        <v>15.105</v>
      </c>
      <c r="N1397" s="21">
        <f t="shared" si="64"/>
        <v>0.38577981651376148</v>
      </c>
      <c r="P1397" s="1">
        <v>10</v>
      </c>
      <c r="Q1397" s="24">
        <v>1.9079999999999995</v>
      </c>
      <c r="R1397" s="24">
        <v>13.992000000000001</v>
      </c>
      <c r="S1397" s="21">
        <f t="shared" si="65"/>
        <v>0.28366972477064223</v>
      </c>
    </row>
    <row r="1398" spans="2:19" ht="11.4" customHeight="1" x14ac:dyDescent="0.2">
      <c r="B1398" s="24"/>
      <c r="C1398" s="7">
        <v>39033</v>
      </c>
      <c r="D1398" s="18" t="s">
        <v>1471</v>
      </c>
      <c r="E1398" s="18" t="s">
        <v>1390</v>
      </c>
      <c r="F1398" s="17">
        <v>50</v>
      </c>
      <c r="G1398" s="18" t="s">
        <v>23</v>
      </c>
      <c r="H1398" s="17">
        <v>11.9</v>
      </c>
      <c r="I1398" s="8">
        <v>12.2</v>
      </c>
      <c r="J1398" s="21">
        <f t="shared" si="63"/>
        <v>2.5210084033613356E-2</v>
      </c>
      <c r="K1398" s="1">
        <v>4</v>
      </c>
      <c r="L1398" s="24">
        <v>0.6</v>
      </c>
      <c r="M1398" s="24">
        <v>11.589999999999998</v>
      </c>
      <c r="N1398" s="21">
        <f t="shared" si="64"/>
        <v>-2.6050420168067419E-2</v>
      </c>
      <c r="P1398" s="1">
        <v>10</v>
      </c>
      <c r="Q1398" s="24">
        <v>1.4640000000000004</v>
      </c>
      <c r="R1398" s="24">
        <v>10.735999999999999</v>
      </c>
      <c r="S1398" s="21">
        <f t="shared" si="65"/>
        <v>-9.7815126050420295E-2</v>
      </c>
    </row>
    <row r="1399" spans="2:19" ht="11.4" customHeight="1" x14ac:dyDescent="0.2">
      <c r="B1399" s="24"/>
      <c r="C1399" s="7">
        <v>39034</v>
      </c>
      <c r="D1399" s="18" t="s">
        <v>1472</v>
      </c>
      <c r="E1399" s="18" t="s">
        <v>1390</v>
      </c>
      <c r="F1399" s="17">
        <v>50</v>
      </c>
      <c r="G1399" s="18" t="s">
        <v>23</v>
      </c>
      <c r="H1399" s="17">
        <v>39.9</v>
      </c>
      <c r="I1399" s="8">
        <v>37.1</v>
      </c>
      <c r="J1399" s="21">
        <f t="shared" si="63"/>
        <v>-7.0175438596491155E-2</v>
      </c>
      <c r="K1399" s="1">
        <v>4</v>
      </c>
      <c r="L1399" s="24">
        <v>1.8</v>
      </c>
      <c r="M1399" s="24">
        <v>35.244999999999997</v>
      </c>
      <c r="N1399" s="21">
        <f t="shared" si="64"/>
        <v>-0.1166666666666667</v>
      </c>
      <c r="P1399" s="1">
        <v>10</v>
      </c>
      <c r="Q1399" s="24">
        <v>4.4519999999999982</v>
      </c>
      <c r="R1399" s="24">
        <v>32.648000000000003</v>
      </c>
      <c r="S1399" s="21">
        <f t="shared" si="65"/>
        <v>-0.18175438596491217</v>
      </c>
    </row>
    <row r="1400" spans="2:19" ht="11.4" customHeight="1" x14ac:dyDescent="0.2">
      <c r="B1400" s="24"/>
      <c r="C1400" s="7">
        <v>43218</v>
      </c>
      <c r="D1400" s="18" t="s">
        <v>1473</v>
      </c>
      <c r="E1400" s="18" t="s">
        <v>1435</v>
      </c>
      <c r="F1400" s="17">
        <v>10</v>
      </c>
      <c r="G1400" s="18" t="s">
        <v>23</v>
      </c>
      <c r="H1400" s="17">
        <v>29.04</v>
      </c>
      <c r="I1400" s="8">
        <v>51.5</v>
      </c>
      <c r="J1400" s="21">
        <f t="shared" si="63"/>
        <v>0.77341597796143258</v>
      </c>
      <c r="K1400" s="1">
        <v>4</v>
      </c>
      <c r="L1400" s="24">
        <v>2.5</v>
      </c>
      <c r="M1400" s="24">
        <v>48.924999999999997</v>
      </c>
      <c r="N1400" s="21">
        <f t="shared" si="64"/>
        <v>0.68474517906336085</v>
      </c>
      <c r="P1400" s="1">
        <v>10</v>
      </c>
      <c r="Q1400" s="24">
        <v>6.18</v>
      </c>
      <c r="R1400" s="24">
        <v>45.32</v>
      </c>
      <c r="S1400" s="21">
        <f t="shared" si="65"/>
        <v>0.56060606060606066</v>
      </c>
    </row>
    <row r="1401" spans="2:19" ht="11.4" customHeight="1" x14ac:dyDescent="0.2">
      <c r="B1401" s="24"/>
      <c r="C1401" s="7">
        <v>43219</v>
      </c>
      <c r="D1401" s="18" t="s">
        <v>1474</v>
      </c>
      <c r="E1401" s="18" t="s">
        <v>1435</v>
      </c>
      <c r="F1401" s="17">
        <v>10</v>
      </c>
      <c r="G1401" s="18" t="s">
        <v>23</v>
      </c>
      <c r="H1401" s="17">
        <v>19.32</v>
      </c>
      <c r="I1401" s="8">
        <v>30.9</v>
      </c>
      <c r="J1401" s="21">
        <f t="shared" si="63"/>
        <v>0.59937888198757749</v>
      </c>
      <c r="K1401" s="1">
        <v>4</v>
      </c>
      <c r="L1401" s="24">
        <v>1.5</v>
      </c>
      <c r="M1401" s="24">
        <v>29.354999999999997</v>
      </c>
      <c r="N1401" s="21">
        <f t="shared" si="64"/>
        <v>0.51940993788819856</v>
      </c>
      <c r="P1401" s="1">
        <v>10</v>
      </c>
      <c r="Q1401" s="24">
        <v>3.7079999999999984</v>
      </c>
      <c r="R1401" s="24">
        <v>27.192</v>
      </c>
      <c r="S1401" s="21">
        <f t="shared" si="65"/>
        <v>0.40745341614906833</v>
      </c>
    </row>
    <row r="1402" spans="2:19" ht="11.4" customHeight="1" x14ac:dyDescent="0.2">
      <c r="B1402" s="24"/>
      <c r="C1402" s="7">
        <v>42987</v>
      </c>
      <c r="D1402" s="18" t="s">
        <v>1475</v>
      </c>
      <c r="E1402" s="18" t="s">
        <v>1435</v>
      </c>
      <c r="F1402" s="17">
        <v>25</v>
      </c>
      <c r="G1402" s="18" t="s">
        <v>23</v>
      </c>
      <c r="H1402" s="17">
        <v>28.2</v>
      </c>
      <c r="I1402" s="8">
        <v>38.6</v>
      </c>
      <c r="J1402" s="21">
        <f t="shared" si="63"/>
        <v>0.36879432624113484</v>
      </c>
      <c r="K1402" s="1">
        <v>4</v>
      </c>
      <c r="L1402" s="24">
        <v>1.9</v>
      </c>
      <c r="M1402" s="24">
        <v>36.67</v>
      </c>
      <c r="N1402" s="21">
        <f t="shared" si="64"/>
        <v>0.30035460992907809</v>
      </c>
      <c r="P1402" s="1">
        <v>10</v>
      </c>
      <c r="Q1402" s="24">
        <v>4.6319999999999979</v>
      </c>
      <c r="R1402" s="24">
        <v>33.968000000000004</v>
      </c>
      <c r="S1402" s="21">
        <f t="shared" si="65"/>
        <v>0.20453900709219874</v>
      </c>
    </row>
    <row r="1403" spans="2:19" ht="11.4" customHeight="1" x14ac:dyDescent="0.2">
      <c r="B1403" s="24"/>
      <c r="C1403" s="7">
        <v>42980</v>
      </c>
      <c r="D1403" s="18" t="s">
        <v>1476</v>
      </c>
      <c r="E1403" s="18" t="s">
        <v>1435</v>
      </c>
      <c r="F1403" s="17">
        <v>9</v>
      </c>
      <c r="G1403" s="18" t="s">
        <v>23</v>
      </c>
      <c r="H1403" s="17">
        <v>27.72</v>
      </c>
      <c r="I1403" s="8">
        <v>38</v>
      </c>
      <c r="J1403" s="21">
        <f t="shared" si="63"/>
        <v>0.37085137085137093</v>
      </c>
      <c r="K1403" s="1">
        <v>4</v>
      </c>
      <c r="L1403" s="24">
        <v>1.9</v>
      </c>
      <c r="M1403" s="24">
        <v>36.1</v>
      </c>
      <c r="N1403" s="21">
        <f t="shared" si="64"/>
        <v>0.30230880230880242</v>
      </c>
      <c r="P1403" s="1">
        <v>10</v>
      </c>
      <c r="Q1403" s="24">
        <v>4.5600000000000023</v>
      </c>
      <c r="R1403" s="24">
        <v>33.44</v>
      </c>
      <c r="S1403" s="21">
        <f t="shared" si="65"/>
        <v>0.20634920634920631</v>
      </c>
    </row>
    <row r="1404" spans="2:19" ht="11.4" customHeight="1" x14ac:dyDescent="0.2">
      <c r="B1404" s="24"/>
      <c r="C1404" s="7">
        <v>42981</v>
      </c>
      <c r="D1404" s="18" t="s">
        <v>1477</v>
      </c>
      <c r="E1404" s="18" t="s">
        <v>1435</v>
      </c>
      <c r="F1404" s="17">
        <v>9</v>
      </c>
      <c r="G1404" s="18" t="s">
        <v>23</v>
      </c>
      <c r="H1404" s="17">
        <v>27.72</v>
      </c>
      <c r="I1404" s="8">
        <v>38</v>
      </c>
      <c r="J1404" s="21">
        <f t="shared" si="63"/>
        <v>0.37085137085137093</v>
      </c>
      <c r="K1404" s="1">
        <v>4</v>
      </c>
      <c r="L1404" s="24">
        <v>1.9</v>
      </c>
      <c r="M1404" s="24">
        <v>36.1</v>
      </c>
      <c r="N1404" s="21">
        <f t="shared" si="64"/>
        <v>0.30230880230880242</v>
      </c>
      <c r="P1404" s="1">
        <v>10</v>
      </c>
      <c r="Q1404" s="24">
        <v>4.5600000000000023</v>
      </c>
      <c r="R1404" s="24">
        <v>33.44</v>
      </c>
      <c r="S1404" s="21">
        <f t="shared" si="65"/>
        <v>0.20634920634920631</v>
      </c>
    </row>
    <row r="1405" spans="2:19" ht="11.4" customHeight="1" x14ac:dyDescent="0.2">
      <c r="B1405" s="24"/>
      <c r="C1405" s="7">
        <v>42982</v>
      </c>
      <c r="D1405" s="18" t="s">
        <v>1478</v>
      </c>
      <c r="E1405" s="18" t="s">
        <v>1435</v>
      </c>
      <c r="F1405" s="17">
        <v>9</v>
      </c>
      <c r="G1405" s="18" t="s">
        <v>23</v>
      </c>
      <c r="H1405" s="17">
        <v>27.72</v>
      </c>
      <c r="I1405" s="8">
        <v>38</v>
      </c>
      <c r="J1405" s="21">
        <f t="shared" si="63"/>
        <v>0.37085137085137093</v>
      </c>
      <c r="K1405" s="1">
        <v>4</v>
      </c>
      <c r="L1405" s="24">
        <v>1.9</v>
      </c>
      <c r="M1405" s="24">
        <v>36.1</v>
      </c>
      <c r="N1405" s="21">
        <f t="shared" si="64"/>
        <v>0.30230880230880242</v>
      </c>
      <c r="P1405" s="1">
        <v>10</v>
      </c>
      <c r="Q1405" s="24">
        <v>4.5600000000000023</v>
      </c>
      <c r="R1405" s="24">
        <v>33.44</v>
      </c>
      <c r="S1405" s="21">
        <f t="shared" si="65"/>
        <v>0.20634920634920631</v>
      </c>
    </row>
    <row r="1406" spans="2:19" ht="11.4" customHeight="1" x14ac:dyDescent="0.2">
      <c r="B1406" s="24"/>
      <c r="C1406" s="7">
        <v>42988</v>
      </c>
      <c r="D1406" s="18" t="s">
        <v>1479</v>
      </c>
      <c r="E1406" s="18" t="s">
        <v>1435</v>
      </c>
      <c r="F1406" s="17">
        <v>25</v>
      </c>
      <c r="G1406" s="18" t="s">
        <v>23</v>
      </c>
      <c r="H1406" s="17">
        <v>44.16</v>
      </c>
      <c r="I1406" s="8">
        <v>60.5</v>
      </c>
      <c r="J1406" s="21">
        <f t="shared" si="63"/>
        <v>0.3700181159420291</v>
      </c>
      <c r="K1406" s="1">
        <v>4</v>
      </c>
      <c r="L1406" s="24">
        <v>3</v>
      </c>
      <c r="M1406" s="24">
        <v>57.474999999999994</v>
      </c>
      <c r="N1406" s="21">
        <f t="shared" si="64"/>
        <v>0.30151721014492749</v>
      </c>
      <c r="P1406" s="1">
        <v>10</v>
      </c>
      <c r="Q1406" s="24">
        <v>7.259999999999998</v>
      </c>
      <c r="R1406" s="24">
        <v>53.24</v>
      </c>
      <c r="S1406" s="21">
        <f t="shared" si="65"/>
        <v>0.20561594202898564</v>
      </c>
    </row>
    <row r="1407" spans="2:19" ht="11.4" customHeight="1" x14ac:dyDescent="0.2">
      <c r="B1407" s="24"/>
      <c r="C1407" s="7">
        <v>37881</v>
      </c>
      <c r="D1407" s="18" t="s">
        <v>1480</v>
      </c>
      <c r="E1407" s="18" t="s">
        <v>1435</v>
      </c>
      <c r="F1407" s="17">
        <v>100</v>
      </c>
      <c r="G1407" s="18" t="s">
        <v>23</v>
      </c>
      <c r="H1407" s="17">
        <v>8.9</v>
      </c>
      <c r="I1407" s="8">
        <v>12.3</v>
      </c>
      <c r="J1407" s="21">
        <f t="shared" si="63"/>
        <v>0.3820224719101124</v>
      </c>
      <c r="K1407" s="1">
        <v>4</v>
      </c>
      <c r="L1407" s="24">
        <v>0.6</v>
      </c>
      <c r="M1407" s="24">
        <v>11.685</v>
      </c>
      <c r="N1407" s="21">
        <f t="shared" si="64"/>
        <v>0.31292134831460672</v>
      </c>
      <c r="P1407" s="1">
        <v>10</v>
      </c>
      <c r="Q1407" s="24">
        <v>1.4760000000000009</v>
      </c>
      <c r="R1407" s="24">
        <v>10.824</v>
      </c>
      <c r="S1407" s="21">
        <f t="shared" si="65"/>
        <v>0.21617977528089882</v>
      </c>
    </row>
    <row r="1408" spans="2:19" ht="11.4" customHeight="1" x14ac:dyDescent="0.2">
      <c r="B1408" s="24"/>
      <c r="C1408" s="7">
        <v>42992</v>
      </c>
      <c r="D1408" s="18" t="s">
        <v>1481</v>
      </c>
      <c r="E1408" s="18" t="s">
        <v>1435</v>
      </c>
      <c r="F1408" s="17">
        <v>25</v>
      </c>
      <c r="G1408" s="18" t="s">
        <v>23</v>
      </c>
      <c r="H1408" s="17">
        <v>35.1</v>
      </c>
      <c r="I1408" s="8">
        <v>48.1</v>
      </c>
      <c r="J1408" s="21">
        <f t="shared" si="63"/>
        <v>0.37037037037037035</v>
      </c>
      <c r="K1408" s="1">
        <v>4</v>
      </c>
      <c r="L1408" s="24">
        <v>2.4</v>
      </c>
      <c r="M1408" s="24">
        <v>45.695</v>
      </c>
      <c r="N1408" s="21">
        <f t="shared" si="64"/>
        <v>0.30185185185185182</v>
      </c>
      <c r="P1408" s="1">
        <v>10</v>
      </c>
      <c r="Q1408" s="24">
        <v>5.7719999999999985</v>
      </c>
      <c r="R1408" s="24">
        <v>42.328000000000003</v>
      </c>
      <c r="S1408" s="21">
        <f t="shared" si="65"/>
        <v>0.20592592592592596</v>
      </c>
    </row>
    <row r="1409" spans="2:19" ht="11.4" customHeight="1" x14ac:dyDescent="0.2">
      <c r="B1409" s="24"/>
      <c r="C1409" s="7">
        <v>24769</v>
      </c>
      <c r="D1409" s="18" t="s">
        <v>1482</v>
      </c>
      <c r="E1409" s="18" t="s">
        <v>1435</v>
      </c>
      <c r="F1409" s="17">
        <v>25</v>
      </c>
      <c r="G1409" s="18" t="s">
        <v>23</v>
      </c>
      <c r="H1409" s="17">
        <v>30.5</v>
      </c>
      <c r="I1409" s="8">
        <v>38.200000000000003</v>
      </c>
      <c r="J1409" s="21">
        <f t="shared" si="63"/>
        <v>0.2524590163934427</v>
      </c>
      <c r="K1409" s="1">
        <v>4</v>
      </c>
      <c r="L1409" s="24">
        <v>1.9</v>
      </c>
      <c r="M1409" s="24">
        <v>36.29</v>
      </c>
      <c r="N1409" s="21">
        <f t="shared" si="64"/>
        <v>0.18983606557377047</v>
      </c>
      <c r="P1409" s="1">
        <v>10</v>
      </c>
      <c r="Q1409" s="24">
        <v>4.5840000000000032</v>
      </c>
      <c r="R1409" s="24">
        <v>33.616</v>
      </c>
      <c r="S1409" s="21">
        <f t="shared" si="65"/>
        <v>0.10216393442622949</v>
      </c>
    </row>
    <row r="1410" spans="2:19" ht="11.4" customHeight="1" x14ac:dyDescent="0.2">
      <c r="B1410" s="24"/>
      <c r="C1410" s="7">
        <v>24768</v>
      </c>
      <c r="D1410" s="18" t="s">
        <v>1483</v>
      </c>
      <c r="E1410" s="18" t="s">
        <v>1435</v>
      </c>
      <c r="F1410" s="17">
        <v>25</v>
      </c>
      <c r="G1410" s="18" t="s">
        <v>23</v>
      </c>
      <c r="H1410" s="17">
        <v>30.5</v>
      </c>
      <c r="I1410" s="8">
        <v>38.200000000000003</v>
      </c>
      <c r="J1410" s="21">
        <f t="shared" si="63"/>
        <v>0.2524590163934427</v>
      </c>
      <c r="K1410" s="1">
        <v>4</v>
      </c>
      <c r="L1410" s="24">
        <v>1.9</v>
      </c>
      <c r="M1410" s="24">
        <v>36.29</v>
      </c>
      <c r="N1410" s="21">
        <f t="shared" si="64"/>
        <v>0.18983606557377047</v>
      </c>
      <c r="P1410" s="1">
        <v>10</v>
      </c>
      <c r="Q1410" s="24">
        <v>4.5840000000000032</v>
      </c>
      <c r="R1410" s="24">
        <v>33.616</v>
      </c>
      <c r="S1410" s="21">
        <f t="shared" si="65"/>
        <v>0.10216393442622949</v>
      </c>
    </row>
    <row r="1411" spans="2:19" ht="11.4" customHeight="1" x14ac:dyDescent="0.2">
      <c r="B1411" s="24"/>
      <c r="C1411" s="7">
        <v>44398</v>
      </c>
      <c r="D1411" s="18" t="s">
        <v>1484</v>
      </c>
      <c r="E1411" s="18" t="s">
        <v>1435</v>
      </c>
      <c r="F1411" s="17">
        <v>25</v>
      </c>
      <c r="G1411" s="18" t="s">
        <v>23</v>
      </c>
      <c r="H1411" s="18"/>
      <c r="I1411" s="8">
        <v>22.5</v>
      </c>
      <c r="J1411" s="21" t="e">
        <f t="shared" ref="J1411:J1474" si="66">(I1411-H1411)/H1411</f>
        <v>#DIV/0!</v>
      </c>
      <c r="K1411" s="1">
        <v>4</v>
      </c>
      <c r="L1411" s="24">
        <v>1.1000000000000001</v>
      </c>
      <c r="M1411" s="24">
        <v>21.375</v>
      </c>
      <c r="N1411" s="21" t="e">
        <f t="shared" ref="N1411:N1474" si="67">(M1411-H1411)/H1411</f>
        <v>#DIV/0!</v>
      </c>
      <c r="P1411" s="1">
        <v>10</v>
      </c>
      <c r="Q1411" s="24">
        <v>2.6999999999999993</v>
      </c>
      <c r="R1411" s="24">
        <v>19.8</v>
      </c>
      <c r="S1411" s="21" t="e">
        <f t="shared" ref="S1411:S1474" si="68">(R1411-H1411)/H1411</f>
        <v>#DIV/0!</v>
      </c>
    </row>
    <row r="1412" spans="2:19" ht="11.4" customHeight="1" x14ac:dyDescent="0.2">
      <c r="B1412" s="24"/>
      <c r="C1412" s="7">
        <v>42991</v>
      </c>
      <c r="D1412" s="18" t="s">
        <v>1485</v>
      </c>
      <c r="E1412" s="18" t="s">
        <v>1435</v>
      </c>
      <c r="F1412" s="17">
        <v>25</v>
      </c>
      <c r="G1412" s="18" t="s">
        <v>23</v>
      </c>
      <c r="H1412" s="17">
        <v>28.2</v>
      </c>
      <c r="I1412" s="8">
        <v>38.6</v>
      </c>
      <c r="J1412" s="21">
        <f t="shared" si="66"/>
        <v>0.36879432624113484</v>
      </c>
      <c r="K1412" s="1">
        <v>4</v>
      </c>
      <c r="L1412" s="24">
        <v>1.9</v>
      </c>
      <c r="M1412" s="24">
        <v>36.67</v>
      </c>
      <c r="N1412" s="21">
        <f t="shared" si="67"/>
        <v>0.30035460992907809</v>
      </c>
      <c r="P1412" s="1">
        <v>10</v>
      </c>
      <c r="Q1412" s="24">
        <v>4.6319999999999979</v>
      </c>
      <c r="R1412" s="24">
        <v>33.968000000000004</v>
      </c>
      <c r="S1412" s="21">
        <f t="shared" si="68"/>
        <v>0.20453900709219874</v>
      </c>
    </row>
    <row r="1413" spans="2:19" ht="11.4" customHeight="1" x14ac:dyDescent="0.2">
      <c r="B1413" s="24"/>
      <c r="C1413" s="7">
        <v>38745</v>
      </c>
      <c r="D1413" s="18" t="s">
        <v>1486</v>
      </c>
      <c r="E1413" s="18" t="s">
        <v>1435</v>
      </c>
      <c r="F1413" s="17">
        <v>34</v>
      </c>
      <c r="G1413" s="18" t="s">
        <v>23</v>
      </c>
      <c r="H1413" s="17">
        <v>12.5</v>
      </c>
      <c r="I1413" s="8">
        <v>17.5</v>
      </c>
      <c r="J1413" s="21">
        <f t="shared" si="66"/>
        <v>0.4</v>
      </c>
      <c r="K1413" s="1">
        <v>4</v>
      </c>
      <c r="L1413" s="24">
        <v>0.8</v>
      </c>
      <c r="M1413" s="24">
        <v>16.625</v>
      </c>
      <c r="N1413" s="21">
        <f t="shared" si="67"/>
        <v>0.33</v>
      </c>
      <c r="P1413" s="1">
        <v>10</v>
      </c>
      <c r="Q1413" s="24">
        <v>2.0999999999999996</v>
      </c>
      <c r="R1413" s="24">
        <v>15.4</v>
      </c>
      <c r="S1413" s="21">
        <f t="shared" si="68"/>
        <v>0.23200000000000004</v>
      </c>
    </row>
    <row r="1414" spans="2:19" ht="11.4" customHeight="1" x14ac:dyDescent="0.2">
      <c r="B1414" s="24"/>
      <c r="C1414" s="7">
        <v>37882</v>
      </c>
      <c r="D1414" s="18" t="s">
        <v>1487</v>
      </c>
      <c r="E1414" s="18" t="s">
        <v>1435</v>
      </c>
      <c r="F1414" s="17">
        <v>100</v>
      </c>
      <c r="G1414" s="18" t="s">
        <v>23</v>
      </c>
      <c r="H1414" s="17">
        <v>8.9</v>
      </c>
      <c r="I1414" s="8">
        <v>12.3</v>
      </c>
      <c r="J1414" s="21">
        <f t="shared" si="66"/>
        <v>0.3820224719101124</v>
      </c>
      <c r="K1414" s="1">
        <v>4</v>
      </c>
      <c r="L1414" s="24">
        <v>0.6</v>
      </c>
      <c r="M1414" s="24">
        <v>11.685</v>
      </c>
      <c r="N1414" s="21">
        <f t="shared" si="67"/>
        <v>0.31292134831460672</v>
      </c>
      <c r="P1414" s="1">
        <v>10</v>
      </c>
      <c r="Q1414" s="24">
        <v>1.4760000000000009</v>
      </c>
      <c r="R1414" s="24">
        <v>10.824</v>
      </c>
      <c r="S1414" s="21">
        <f t="shared" si="68"/>
        <v>0.21617977528089882</v>
      </c>
    </row>
    <row r="1415" spans="2:19" ht="11.4" customHeight="1" x14ac:dyDescent="0.2">
      <c r="B1415" s="24"/>
      <c r="C1415" s="7">
        <v>10465</v>
      </c>
      <c r="D1415" s="18" t="s">
        <v>1488</v>
      </c>
      <c r="E1415" s="18" t="s">
        <v>1435</v>
      </c>
      <c r="F1415" s="17">
        <v>20</v>
      </c>
      <c r="G1415" s="18" t="s">
        <v>23</v>
      </c>
      <c r="H1415" s="17">
        <v>47.5</v>
      </c>
      <c r="I1415" s="8">
        <v>62.9</v>
      </c>
      <c r="J1415" s="21">
        <f t="shared" si="66"/>
        <v>0.32421052631578945</v>
      </c>
      <c r="K1415" s="1">
        <v>4</v>
      </c>
      <c r="L1415" s="24">
        <v>3.1</v>
      </c>
      <c r="M1415" s="24">
        <v>59.754999999999995</v>
      </c>
      <c r="N1415" s="21">
        <f t="shared" si="67"/>
        <v>0.2579999999999999</v>
      </c>
      <c r="P1415" s="1">
        <v>10</v>
      </c>
      <c r="Q1415" s="24">
        <v>7.5480000000000018</v>
      </c>
      <c r="R1415" s="24">
        <v>55.351999999999997</v>
      </c>
      <c r="S1415" s="21">
        <f t="shared" si="68"/>
        <v>0.16530526315789468</v>
      </c>
    </row>
    <row r="1416" spans="2:19" ht="11.4" customHeight="1" x14ac:dyDescent="0.2">
      <c r="B1416" s="24"/>
      <c r="C1416" s="7">
        <v>42990</v>
      </c>
      <c r="D1416" s="18" t="s">
        <v>1489</v>
      </c>
      <c r="E1416" s="18" t="s">
        <v>1435</v>
      </c>
      <c r="F1416" s="17">
        <v>25</v>
      </c>
      <c r="G1416" s="18" t="s">
        <v>23</v>
      </c>
      <c r="H1416" s="17">
        <v>35.1</v>
      </c>
      <c r="I1416" s="8">
        <v>48.1</v>
      </c>
      <c r="J1416" s="21">
        <f t="shared" si="66"/>
        <v>0.37037037037037035</v>
      </c>
      <c r="K1416" s="1">
        <v>4</v>
      </c>
      <c r="L1416" s="24">
        <v>2.4</v>
      </c>
      <c r="M1416" s="24">
        <v>45.695</v>
      </c>
      <c r="N1416" s="21">
        <f t="shared" si="67"/>
        <v>0.30185185185185182</v>
      </c>
      <c r="P1416" s="1">
        <v>10</v>
      </c>
      <c r="Q1416" s="24">
        <v>5.7719999999999985</v>
      </c>
      <c r="R1416" s="24">
        <v>42.328000000000003</v>
      </c>
      <c r="S1416" s="21">
        <f t="shared" si="68"/>
        <v>0.20592592592592596</v>
      </c>
    </row>
    <row r="1417" spans="2:19" ht="11.4" customHeight="1" x14ac:dyDescent="0.2">
      <c r="B1417" s="24"/>
      <c r="C1417" s="7">
        <v>44399</v>
      </c>
      <c r="D1417" s="18" t="s">
        <v>1490</v>
      </c>
      <c r="E1417" s="18" t="s">
        <v>1435</v>
      </c>
      <c r="F1417" s="17">
        <v>30</v>
      </c>
      <c r="G1417" s="18" t="s">
        <v>23</v>
      </c>
      <c r="H1417" s="17">
        <v>15.75</v>
      </c>
      <c r="I1417" s="8">
        <v>22.5</v>
      </c>
      <c r="J1417" s="21">
        <f t="shared" si="66"/>
        <v>0.42857142857142855</v>
      </c>
      <c r="K1417" s="1">
        <v>4</v>
      </c>
      <c r="L1417" s="24">
        <v>1.1000000000000001</v>
      </c>
      <c r="M1417" s="24">
        <v>21.375</v>
      </c>
      <c r="N1417" s="21">
        <f t="shared" si="67"/>
        <v>0.35714285714285715</v>
      </c>
      <c r="P1417" s="1">
        <v>10</v>
      </c>
      <c r="Q1417" s="24">
        <v>2.6999999999999993</v>
      </c>
      <c r="R1417" s="24">
        <v>19.8</v>
      </c>
      <c r="S1417" s="21">
        <f t="shared" si="68"/>
        <v>0.25714285714285717</v>
      </c>
    </row>
    <row r="1418" spans="2:19" ht="11.4" customHeight="1" x14ac:dyDescent="0.2">
      <c r="B1418" s="24"/>
      <c r="C1418" s="7">
        <v>9141</v>
      </c>
      <c r="D1418" s="18" t="s">
        <v>1491</v>
      </c>
      <c r="E1418" s="18" t="s">
        <v>1435</v>
      </c>
      <c r="F1418" s="17">
        <v>34</v>
      </c>
      <c r="G1418" s="18" t="s">
        <v>23</v>
      </c>
      <c r="H1418" s="17">
        <v>12.6</v>
      </c>
      <c r="I1418" s="8">
        <v>17.5</v>
      </c>
      <c r="J1418" s="21">
        <f t="shared" si="66"/>
        <v>0.38888888888888895</v>
      </c>
      <c r="K1418" s="1">
        <v>4</v>
      </c>
      <c r="L1418" s="24">
        <v>0.8</v>
      </c>
      <c r="M1418" s="24">
        <v>16.625</v>
      </c>
      <c r="N1418" s="21">
        <f t="shared" si="67"/>
        <v>0.31944444444444448</v>
      </c>
      <c r="P1418" s="1">
        <v>10</v>
      </c>
      <c r="Q1418" s="24">
        <v>2.0999999999999996</v>
      </c>
      <c r="R1418" s="24">
        <v>15.4</v>
      </c>
      <c r="S1418" s="21">
        <f t="shared" si="68"/>
        <v>0.22222222222222229</v>
      </c>
    </row>
    <row r="1419" spans="2:19" ht="11.4" customHeight="1" x14ac:dyDescent="0.2">
      <c r="B1419" s="24"/>
      <c r="C1419" s="7">
        <v>37884</v>
      </c>
      <c r="D1419" s="18" t="s">
        <v>1492</v>
      </c>
      <c r="E1419" s="18" t="s">
        <v>1435</v>
      </c>
      <c r="F1419" s="17">
        <v>100</v>
      </c>
      <c r="G1419" s="18" t="s">
        <v>23</v>
      </c>
      <c r="H1419" s="17">
        <v>8.9</v>
      </c>
      <c r="I1419" s="8">
        <v>12.3</v>
      </c>
      <c r="J1419" s="21">
        <f t="shared" si="66"/>
        <v>0.3820224719101124</v>
      </c>
      <c r="K1419" s="1">
        <v>4</v>
      </c>
      <c r="L1419" s="24">
        <v>0.6</v>
      </c>
      <c r="M1419" s="24">
        <v>11.685</v>
      </c>
      <c r="N1419" s="21">
        <f t="shared" si="67"/>
        <v>0.31292134831460672</v>
      </c>
      <c r="P1419" s="1">
        <v>10</v>
      </c>
      <c r="Q1419" s="24">
        <v>1.4760000000000009</v>
      </c>
      <c r="R1419" s="24">
        <v>10.824</v>
      </c>
      <c r="S1419" s="21">
        <f t="shared" si="68"/>
        <v>0.21617977528089882</v>
      </c>
    </row>
    <row r="1420" spans="2:19" ht="11.4" customHeight="1" x14ac:dyDescent="0.2">
      <c r="B1420" s="24"/>
      <c r="C1420" s="7">
        <v>44400</v>
      </c>
      <c r="D1420" s="18" t="s">
        <v>1493</v>
      </c>
      <c r="E1420" s="18" t="s">
        <v>1435</v>
      </c>
      <c r="F1420" s="17">
        <v>20</v>
      </c>
      <c r="G1420" s="18" t="s">
        <v>23</v>
      </c>
      <c r="H1420" s="17">
        <v>15.23</v>
      </c>
      <c r="I1420" s="8">
        <v>22.5</v>
      </c>
      <c r="J1420" s="21">
        <f t="shared" si="66"/>
        <v>0.47734734077478658</v>
      </c>
      <c r="K1420" s="1">
        <v>4</v>
      </c>
      <c r="L1420" s="24">
        <v>1.1000000000000001</v>
      </c>
      <c r="M1420" s="24">
        <v>21.375</v>
      </c>
      <c r="N1420" s="21">
        <f t="shared" si="67"/>
        <v>0.40347997373604721</v>
      </c>
      <c r="P1420" s="1">
        <v>10</v>
      </c>
      <c r="Q1420" s="24">
        <v>2.6999999999999993</v>
      </c>
      <c r="R1420" s="24">
        <v>19.8</v>
      </c>
      <c r="S1420" s="21">
        <f t="shared" si="68"/>
        <v>0.30006565988181222</v>
      </c>
    </row>
    <row r="1421" spans="2:19" ht="11.4" customHeight="1" x14ac:dyDescent="0.2">
      <c r="B1421" s="24"/>
      <c r="C1421" s="7">
        <v>15296</v>
      </c>
      <c r="D1421" s="18" t="s">
        <v>1494</v>
      </c>
      <c r="E1421" s="18" t="s">
        <v>1435</v>
      </c>
      <c r="F1421" s="17">
        <v>48</v>
      </c>
      <c r="G1421" s="18" t="s">
        <v>23</v>
      </c>
      <c r="H1421" s="17">
        <v>12.5</v>
      </c>
      <c r="I1421" s="8">
        <v>17.5</v>
      </c>
      <c r="J1421" s="21">
        <f t="shared" si="66"/>
        <v>0.4</v>
      </c>
      <c r="K1421" s="1">
        <v>4</v>
      </c>
      <c r="L1421" s="24">
        <v>0.8</v>
      </c>
      <c r="M1421" s="24">
        <v>16.625</v>
      </c>
      <c r="N1421" s="21">
        <f t="shared" si="67"/>
        <v>0.33</v>
      </c>
      <c r="P1421" s="1">
        <v>10</v>
      </c>
      <c r="Q1421" s="24">
        <v>2.0999999999999996</v>
      </c>
      <c r="R1421" s="24">
        <v>15.4</v>
      </c>
      <c r="S1421" s="21">
        <f t="shared" si="68"/>
        <v>0.23200000000000004</v>
      </c>
    </row>
    <row r="1422" spans="2:19" ht="11.4" customHeight="1" x14ac:dyDescent="0.2">
      <c r="B1422" s="24"/>
      <c r="C1422" s="7">
        <v>37883</v>
      </c>
      <c r="D1422" s="18" t="s">
        <v>1495</v>
      </c>
      <c r="E1422" s="18" t="s">
        <v>1435</v>
      </c>
      <c r="F1422" s="17">
        <v>100</v>
      </c>
      <c r="G1422" s="18" t="s">
        <v>23</v>
      </c>
      <c r="H1422" s="17">
        <v>8.9</v>
      </c>
      <c r="I1422" s="8">
        <v>12.3</v>
      </c>
      <c r="J1422" s="21">
        <f t="shared" si="66"/>
        <v>0.3820224719101124</v>
      </c>
      <c r="K1422" s="1">
        <v>4</v>
      </c>
      <c r="L1422" s="24">
        <v>0.6</v>
      </c>
      <c r="M1422" s="24">
        <v>11.685</v>
      </c>
      <c r="N1422" s="21">
        <f t="shared" si="67"/>
        <v>0.31292134831460672</v>
      </c>
      <c r="P1422" s="1">
        <v>10</v>
      </c>
      <c r="Q1422" s="24">
        <v>1.4760000000000009</v>
      </c>
      <c r="R1422" s="24">
        <v>10.824</v>
      </c>
      <c r="S1422" s="21">
        <f t="shared" si="68"/>
        <v>0.21617977528089882</v>
      </c>
    </row>
    <row r="1423" spans="2:19" ht="11.4" customHeight="1" x14ac:dyDescent="0.2">
      <c r="B1423" s="24"/>
      <c r="C1423" s="7">
        <v>42986</v>
      </c>
      <c r="D1423" s="18" t="s">
        <v>1496</v>
      </c>
      <c r="E1423" s="18" t="s">
        <v>1435</v>
      </c>
      <c r="F1423" s="17">
        <v>25</v>
      </c>
      <c r="G1423" s="18" t="s">
        <v>23</v>
      </c>
      <c r="H1423" s="17">
        <v>28.2</v>
      </c>
      <c r="I1423" s="8">
        <v>38.6</v>
      </c>
      <c r="J1423" s="21">
        <f t="shared" si="66"/>
        <v>0.36879432624113484</v>
      </c>
      <c r="K1423" s="1">
        <v>4</v>
      </c>
      <c r="L1423" s="24">
        <v>1.9</v>
      </c>
      <c r="M1423" s="24">
        <v>36.67</v>
      </c>
      <c r="N1423" s="21">
        <f t="shared" si="67"/>
        <v>0.30035460992907809</v>
      </c>
      <c r="P1423" s="1">
        <v>10</v>
      </c>
      <c r="Q1423" s="24">
        <v>4.6319999999999979</v>
      </c>
      <c r="R1423" s="24">
        <v>33.968000000000004</v>
      </c>
      <c r="S1423" s="21">
        <f t="shared" si="68"/>
        <v>0.20453900709219874</v>
      </c>
    </row>
    <row r="1424" spans="2:19" ht="11.4" customHeight="1" x14ac:dyDescent="0.2">
      <c r="B1424" s="24"/>
      <c r="C1424" s="7">
        <v>10466</v>
      </c>
      <c r="D1424" s="18" t="s">
        <v>1497</v>
      </c>
      <c r="E1424" s="18" t="s">
        <v>1435</v>
      </c>
      <c r="F1424" s="17">
        <v>20</v>
      </c>
      <c r="G1424" s="18" t="s">
        <v>23</v>
      </c>
      <c r="H1424" s="17">
        <v>48.66</v>
      </c>
      <c r="I1424" s="8">
        <v>65.7</v>
      </c>
      <c r="J1424" s="21">
        <f t="shared" si="66"/>
        <v>0.35018495684340334</v>
      </c>
      <c r="K1424" s="1">
        <v>4</v>
      </c>
      <c r="L1424" s="24">
        <v>3.2</v>
      </c>
      <c r="M1424" s="24">
        <v>62.414999999999999</v>
      </c>
      <c r="N1424" s="21">
        <f t="shared" si="67"/>
        <v>0.28267570900123312</v>
      </c>
      <c r="P1424" s="1">
        <v>10</v>
      </c>
      <c r="Q1424" s="24">
        <v>7.8840000000000003</v>
      </c>
      <c r="R1424" s="24">
        <v>57.816000000000003</v>
      </c>
      <c r="S1424" s="21">
        <f t="shared" si="68"/>
        <v>0.18816276202219495</v>
      </c>
    </row>
    <row r="1425" spans="2:19" ht="11.4" customHeight="1" x14ac:dyDescent="0.2">
      <c r="B1425" s="24"/>
      <c r="C1425" s="7">
        <v>10445</v>
      </c>
      <c r="D1425" s="18" t="s">
        <v>1498</v>
      </c>
      <c r="E1425" s="18" t="s">
        <v>1435</v>
      </c>
      <c r="F1425" s="17">
        <v>30</v>
      </c>
      <c r="G1425" s="18" t="s">
        <v>23</v>
      </c>
      <c r="H1425" s="17">
        <v>34.5</v>
      </c>
      <c r="I1425" s="8">
        <v>51.7</v>
      </c>
      <c r="J1425" s="21">
        <f t="shared" si="66"/>
        <v>0.49855072463768124</v>
      </c>
      <c r="K1425" s="1">
        <v>4</v>
      </c>
      <c r="L1425" s="24">
        <v>2.5</v>
      </c>
      <c r="M1425" s="24">
        <v>49.115000000000002</v>
      </c>
      <c r="N1425" s="21">
        <f t="shared" si="67"/>
        <v>0.42362318840579716</v>
      </c>
      <c r="P1425" s="1">
        <v>10</v>
      </c>
      <c r="Q1425" s="24">
        <v>6.2040000000000006</v>
      </c>
      <c r="R1425" s="24">
        <v>45.496000000000002</v>
      </c>
      <c r="S1425" s="21">
        <f t="shared" si="68"/>
        <v>0.3187246376811595</v>
      </c>
    </row>
    <row r="1426" spans="2:19" ht="11.4" customHeight="1" x14ac:dyDescent="0.2">
      <c r="B1426" s="24"/>
      <c r="C1426" s="7">
        <v>10467</v>
      </c>
      <c r="D1426" s="18" t="s">
        <v>1499</v>
      </c>
      <c r="E1426" s="18" t="s">
        <v>1435</v>
      </c>
      <c r="F1426" s="17">
        <v>20</v>
      </c>
      <c r="G1426" s="18" t="s">
        <v>23</v>
      </c>
      <c r="H1426" s="17">
        <v>44</v>
      </c>
      <c r="I1426" s="8">
        <v>57</v>
      </c>
      <c r="J1426" s="21">
        <f t="shared" si="66"/>
        <v>0.29545454545454547</v>
      </c>
      <c r="K1426" s="1">
        <v>4</v>
      </c>
      <c r="L1426" s="24">
        <v>2.8</v>
      </c>
      <c r="M1426" s="24">
        <v>54.15</v>
      </c>
      <c r="N1426" s="21">
        <f t="shared" si="67"/>
        <v>0.23068181818181815</v>
      </c>
      <c r="P1426" s="1">
        <v>10</v>
      </c>
      <c r="Q1426" s="24">
        <v>6.8399999999999963</v>
      </c>
      <c r="R1426" s="24">
        <v>50.160000000000004</v>
      </c>
      <c r="S1426" s="21">
        <f t="shared" si="68"/>
        <v>0.1400000000000001</v>
      </c>
    </row>
    <row r="1427" spans="2:19" ht="11.4" customHeight="1" x14ac:dyDescent="0.2">
      <c r="B1427" s="24"/>
      <c r="C1427" s="7">
        <v>32781</v>
      </c>
      <c r="D1427" s="18" t="s">
        <v>1500</v>
      </c>
      <c r="E1427" s="18" t="s">
        <v>1435</v>
      </c>
      <c r="F1427" s="17">
        <v>26</v>
      </c>
      <c r="G1427" s="18" t="s">
        <v>23</v>
      </c>
      <c r="H1427" s="17">
        <v>14.5</v>
      </c>
      <c r="I1427" s="8">
        <v>17.5</v>
      </c>
      <c r="J1427" s="21">
        <f t="shared" si="66"/>
        <v>0.20689655172413793</v>
      </c>
      <c r="K1427" s="1">
        <v>4</v>
      </c>
      <c r="L1427" s="24">
        <v>0.8</v>
      </c>
      <c r="M1427" s="24">
        <v>16.625</v>
      </c>
      <c r="N1427" s="21">
        <f t="shared" si="67"/>
        <v>0.14655172413793102</v>
      </c>
      <c r="P1427" s="1">
        <v>10</v>
      </c>
      <c r="Q1427" s="24">
        <v>2.0999999999999996</v>
      </c>
      <c r="R1427" s="24">
        <v>15.4</v>
      </c>
      <c r="S1427" s="21">
        <f t="shared" si="68"/>
        <v>6.2068965517241406E-2</v>
      </c>
    </row>
    <row r="1428" spans="2:19" ht="11.4" customHeight="1" x14ac:dyDescent="0.2">
      <c r="B1428" s="24"/>
      <c r="C1428" s="7">
        <v>37885</v>
      </c>
      <c r="D1428" s="18" t="s">
        <v>1501</v>
      </c>
      <c r="E1428" s="18" t="s">
        <v>1435</v>
      </c>
      <c r="F1428" s="17">
        <v>100</v>
      </c>
      <c r="G1428" s="18" t="s">
        <v>23</v>
      </c>
      <c r="H1428" s="17">
        <v>8.9</v>
      </c>
      <c r="I1428" s="8">
        <v>12.3</v>
      </c>
      <c r="J1428" s="21">
        <f t="shared" si="66"/>
        <v>0.3820224719101124</v>
      </c>
      <c r="K1428" s="1">
        <v>4</v>
      </c>
      <c r="L1428" s="24">
        <v>0.6</v>
      </c>
      <c r="M1428" s="24">
        <v>11.685</v>
      </c>
      <c r="N1428" s="21">
        <f t="shared" si="67"/>
        <v>0.31292134831460672</v>
      </c>
      <c r="P1428" s="1">
        <v>10</v>
      </c>
      <c r="Q1428" s="24">
        <v>1.4760000000000009</v>
      </c>
      <c r="R1428" s="24">
        <v>10.824</v>
      </c>
      <c r="S1428" s="21">
        <f t="shared" si="68"/>
        <v>0.21617977528089882</v>
      </c>
    </row>
    <row r="1429" spans="2:19" ht="11.4" customHeight="1" x14ac:dyDescent="0.2">
      <c r="B1429" s="24"/>
      <c r="C1429" s="7">
        <v>44401</v>
      </c>
      <c r="D1429" s="18" t="s">
        <v>1502</v>
      </c>
      <c r="E1429" s="18" t="s">
        <v>1435</v>
      </c>
      <c r="F1429" s="17">
        <v>25</v>
      </c>
      <c r="G1429" s="18" t="s">
        <v>23</v>
      </c>
      <c r="H1429" s="18"/>
      <c r="I1429" s="8">
        <v>22.5</v>
      </c>
      <c r="J1429" s="21" t="e">
        <f t="shared" si="66"/>
        <v>#DIV/0!</v>
      </c>
      <c r="K1429" s="1">
        <v>4</v>
      </c>
      <c r="L1429" s="24">
        <v>1.1000000000000001</v>
      </c>
      <c r="M1429" s="24">
        <v>21.375</v>
      </c>
      <c r="N1429" s="21" t="e">
        <f t="shared" si="67"/>
        <v>#DIV/0!</v>
      </c>
      <c r="P1429" s="1">
        <v>10</v>
      </c>
      <c r="Q1429" s="24">
        <v>2.6999999999999993</v>
      </c>
      <c r="R1429" s="24">
        <v>19.8</v>
      </c>
      <c r="S1429" s="21" t="e">
        <f t="shared" si="68"/>
        <v>#DIV/0!</v>
      </c>
    </row>
    <row r="1430" spans="2:19" ht="11.4" customHeight="1" x14ac:dyDescent="0.2">
      <c r="B1430" s="24"/>
      <c r="C1430" s="7">
        <v>42989</v>
      </c>
      <c r="D1430" s="18" t="s">
        <v>1503</v>
      </c>
      <c r="E1430" s="18" t="s">
        <v>1435</v>
      </c>
      <c r="F1430" s="17">
        <v>25</v>
      </c>
      <c r="G1430" s="18" t="s">
        <v>23</v>
      </c>
      <c r="H1430" s="17">
        <v>35.1</v>
      </c>
      <c r="I1430" s="8">
        <v>48.1</v>
      </c>
      <c r="J1430" s="21">
        <f t="shared" si="66"/>
        <v>0.37037037037037035</v>
      </c>
      <c r="K1430" s="1">
        <v>4</v>
      </c>
      <c r="L1430" s="24">
        <v>2.4</v>
      </c>
      <c r="M1430" s="24">
        <v>45.695</v>
      </c>
      <c r="N1430" s="21">
        <f t="shared" si="67"/>
        <v>0.30185185185185182</v>
      </c>
      <c r="P1430" s="1">
        <v>10</v>
      </c>
      <c r="Q1430" s="24">
        <v>5.7719999999999985</v>
      </c>
      <c r="R1430" s="24">
        <v>42.328000000000003</v>
      </c>
      <c r="S1430" s="21">
        <f t="shared" si="68"/>
        <v>0.20592592592592596</v>
      </c>
    </row>
    <row r="1431" spans="2:19" ht="11.4" customHeight="1" x14ac:dyDescent="0.2">
      <c r="B1431" s="24"/>
      <c r="C1431" s="7">
        <v>44402</v>
      </c>
      <c r="D1431" s="18" t="s">
        <v>1504</v>
      </c>
      <c r="E1431" s="18" t="s">
        <v>1435</v>
      </c>
      <c r="F1431" s="17">
        <v>25</v>
      </c>
      <c r="G1431" s="18" t="s">
        <v>23</v>
      </c>
      <c r="H1431" s="17">
        <v>15.23</v>
      </c>
      <c r="I1431" s="8">
        <v>22.5</v>
      </c>
      <c r="J1431" s="21">
        <f t="shared" si="66"/>
        <v>0.47734734077478658</v>
      </c>
      <c r="K1431" s="1">
        <v>4</v>
      </c>
      <c r="L1431" s="24">
        <v>1.1000000000000001</v>
      </c>
      <c r="M1431" s="24">
        <v>21.375</v>
      </c>
      <c r="N1431" s="21">
        <f t="shared" si="67"/>
        <v>0.40347997373604721</v>
      </c>
      <c r="P1431" s="1">
        <v>10</v>
      </c>
      <c r="Q1431" s="24">
        <v>2.6999999999999993</v>
      </c>
      <c r="R1431" s="24">
        <v>19.8</v>
      </c>
      <c r="S1431" s="21">
        <f t="shared" si="68"/>
        <v>0.30006565988181222</v>
      </c>
    </row>
    <row r="1432" spans="2:19" ht="11.4" customHeight="1" x14ac:dyDescent="0.2">
      <c r="B1432" s="24"/>
      <c r="C1432" s="7">
        <v>10471</v>
      </c>
      <c r="D1432" s="18" t="s">
        <v>1505</v>
      </c>
      <c r="E1432" s="18" t="s">
        <v>1435</v>
      </c>
      <c r="F1432" s="17">
        <v>20</v>
      </c>
      <c r="G1432" s="18" t="s">
        <v>23</v>
      </c>
      <c r="H1432" s="17">
        <v>48.66</v>
      </c>
      <c r="I1432" s="8">
        <v>65.7</v>
      </c>
      <c r="J1432" s="21">
        <f t="shared" si="66"/>
        <v>0.35018495684340334</v>
      </c>
      <c r="K1432" s="1">
        <v>4</v>
      </c>
      <c r="L1432" s="24">
        <v>3.2</v>
      </c>
      <c r="M1432" s="24">
        <v>62.414999999999999</v>
      </c>
      <c r="N1432" s="21">
        <f t="shared" si="67"/>
        <v>0.28267570900123312</v>
      </c>
      <c r="P1432" s="1">
        <v>10</v>
      </c>
      <c r="Q1432" s="24">
        <v>7.8840000000000003</v>
      </c>
      <c r="R1432" s="24">
        <v>57.816000000000003</v>
      </c>
      <c r="S1432" s="21">
        <f t="shared" si="68"/>
        <v>0.18816276202219495</v>
      </c>
    </row>
    <row r="1433" spans="2:19" ht="11.4" customHeight="1" x14ac:dyDescent="0.2">
      <c r="B1433" s="24"/>
      <c r="C1433" s="7">
        <v>42663</v>
      </c>
      <c r="D1433" s="18" t="s">
        <v>1506</v>
      </c>
      <c r="E1433" s="18" t="s">
        <v>1435</v>
      </c>
      <c r="F1433" s="17">
        <v>34</v>
      </c>
      <c r="G1433" s="18" t="s">
        <v>23</v>
      </c>
      <c r="H1433" s="17">
        <v>12.5</v>
      </c>
      <c r="I1433" s="8">
        <v>17.5</v>
      </c>
      <c r="J1433" s="21">
        <f t="shared" si="66"/>
        <v>0.4</v>
      </c>
      <c r="K1433" s="1">
        <v>4</v>
      </c>
      <c r="L1433" s="24">
        <v>0.8</v>
      </c>
      <c r="M1433" s="24">
        <v>16.625</v>
      </c>
      <c r="N1433" s="21">
        <f t="shared" si="67"/>
        <v>0.33</v>
      </c>
      <c r="P1433" s="1">
        <v>10</v>
      </c>
      <c r="Q1433" s="24">
        <v>2.0999999999999996</v>
      </c>
      <c r="R1433" s="24">
        <v>15.4</v>
      </c>
      <c r="S1433" s="21">
        <f t="shared" si="68"/>
        <v>0.23200000000000004</v>
      </c>
    </row>
    <row r="1434" spans="2:19" ht="11.4" customHeight="1" x14ac:dyDescent="0.2">
      <c r="B1434" s="24"/>
      <c r="C1434" s="7">
        <v>37886</v>
      </c>
      <c r="D1434" s="18" t="s">
        <v>1507</v>
      </c>
      <c r="E1434" s="18" t="s">
        <v>1435</v>
      </c>
      <c r="F1434" s="17">
        <v>100</v>
      </c>
      <c r="G1434" s="18" t="s">
        <v>23</v>
      </c>
      <c r="H1434" s="17">
        <v>8.9</v>
      </c>
      <c r="I1434" s="8">
        <v>12.3</v>
      </c>
      <c r="J1434" s="21">
        <f t="shared" si="66"/>
        <v>0.3820224719101124</v>
      </c>
      <c r="K1434" s="1">
        <v>4</v>
      </c>
      <c r="L1434" s="24">
        <v>0.6</v>
      </c>
      <c r="M1434" s="24">
        <v>11.685</v>
      </c>
      <c r="N1434" s="21">
        <f t="shared" si="67"/>
        <v>0.31292134831460672</v>
      </c>
      <c r="P1434" s="1">
        <v>10</v>
      </c>
      <c r="Q1434" s="24">
        <v>1.4760000000000009</v>
      </c>
      <c r="R1434" s="24">
        <v>10.824</v>
      </c>
      <c r="S1434" s="21">
        <f t="shared" si="68"/>
        <v>0.21617977528089882</v>
      </c>
    </row>
    <row r="1435" spans="2:19" ht="11.4" customHeight="1" x14ac:dyDescent="0.2">
      <c r="B1435" s="24"/>
      <c r="C1435" s="7">
        <v>45038</v>
      </c>
      <c r="D1435" s="18" t="s">
        <v>1508</v>
      </c>
      <c r="E1435" s="18" t="s">
        <v>1435</v>
      </c>
      <c r="F1435" s="17">
        <v>30</v>
      </c>
      <c r="G1435" s="18" t="s">
        <v>23</v>
      </c>
      <c r="H1435" s="17">
        <v>34.14</v>
      </c>
      <c r="I1435" s="8">
        <v>50.7</v>
      </c>
      <c r="J1435" s="21">
        <f t="shared" si="66"/>
        <v>0.48506151142355014</v>
      </c>
      <c r="K1435" s="1">
        <v>4</v>
      </c>
      <c r="L1435" s="24">
        <v>2.5</v>
      </c>
      <c r="M1435" s="24">
        <v>48.164999999999999</v>
      </c>
      <c r="N1435" s="21">
        <f t="shared" si="67"/>
        <v>0.41080843585237253</v>
      </c>
      <c r="P1435" s="1">
        <v>10</v>
      </c>
      <c r="Q1435" s="24">
        <v>6.0840000000000032</v>
      </c>
      <c r="R1435" s="24">
        <v>44.616</v>
      </c>
      <c r="S1435" s="21">
        <f t="shared" si="68"/>
        <v>0.30685413005272405</v>
      </c>
    </row>
    <row r="1436" spans="2:19" ht="11.4" customHeight="1" x14ac:dyDescent="0.2">
      <c r="B1436" s="24"/>
      <c r="C1436" s="7">
        <v>45037</v>
      </c>
      <c r="D1436" s="18" t="s">
        <v>1509</v>
      </c>
      <c r="E1436" s="18" t="s">
        <v>1435</v>
      </c>
      <c r="F1436" s="17">
        <v>30</v>
      </c>
      <c r="G1436" s="18" t="s">
        <v>23</v>
      </c>
      <c r="H1436" s="17">
        <v>34.14</v>
      </c>
      <c r="I1436" s="8">
        <v>50.7</v>
      </c>
      <c r="J1436" s="21">
        <f t="shared" si="66"/>
        <v>0.48506151142355014</v>
      </c>
      <c r="K1436" s="1">
        <v>4</v>
      </c>
      <c r="L1436" s="24">
        <v>2.5</v>
      </c>
      <c r="M1436" s="24">
        <v>48.164999999999999</v>
      </c>
      <c r="N1436" s="21">
        <f t="shared" si="67"/>
        <v>0.41080843585237253</v>
      </c>
      <c r="P1436" s="1">
        <v>10</v>
      </c>
      <c r="Q1436" s="24">
        <v>6.0840000000000032</v>
      </c>
      <c r="R1436" s="24">
        <v>44.616</v>
      </c>
      <c r="S1436" s="21">
        <f t="shared" si="68"/>
        <v>0.30685413005272405</v>
      </c>
    </row>
    <row r="1437" spans="2:19" ht="11.4" customHeight="1" x14ac:dyDescent="0.2">
      <c r="B1437" s="24"/>
      <c r="C1437" s="7">
        <v>45036</v>
      </c>
      <c r="D1437" s="18" t="s">
        <v>1510</v>
      </c>
      <c r="E1437" s="18" t="s">
        <v>1435</v>
      </c>
      <c r="F1437" s="17">
        <v>30</v>
      </c>
      <c r="G1437" s="18" t="s">
        <v>23</v>
      </c>
      <c r="H1437" s="17">
        <v>34.14</v>
      </c>
      <c r="I1437" s="8">
        <v>50.7</v>
      </c>
      <c r="J1437" s="21">
        <f t="shared" si="66"/>
        <v>0.48506151142355014</v>
      </c>
      <c r="K1437" s="1">
        <v>4</v>
      </c>
      <c r="L1437" s="24">
        <v>2.5</v>
      </c>
      <c r="M1437" s="24">
        <v>48.164999999999999</v>
      </c>
      <c r="N1437" s="21">
        <f t="shared" si="67"/>
        <v>0.41080843585237253</v>
      </c>
      <c r="P1437" s="1">
        <v>10</v>
      </c>
      <c r="Q1437" s="24">
        <v>6.0840000000000032</v>
      </c>
      <c r="R1437" s="24">
        <v>44.616</v>
      </c>
      <c r="S1437" s="21">
        <f t="shared" si="68"/>
        <v>0.30685413005272405</v>
      </c>
    </row>
    <row r="1438" spans="2:19" ht="11.4" customHeight="1" x14ac:dyDescent="0.2">
      <c r="B1438" s="24"/>
      <c r="C1438" s="7">
        <v>39030</v>
      </c>
      <c r="D1438" s="18" t="s">
        <v>1511</v>
      </c>
      <c r="E1438" s="18" t="s">
        <v>1435</v>
      </c>
      <c r="F1438" s="17">
        <v>50</v>
      </c>
      <c r="G1438" s="18" t="s">
        <v>23</v>
      </c>
      <c r="H1438" s="17">
        <v>25.5</v>
      </c>
      <c r="I1438" s="8">
        <v>33.299999999999997</v>
      </c>
      <c r="J1438" s="21">
        <f t="shared" si="66"/>
        <v>0.30588235294117638</v>
      </c>
      <c r="K1438" s="1">
        <v>4</v>
      </c>
      <c r="L1438" s="24">
        <v>1.6</v>
      </c>
      <c r="M1438" s="24">
        <v>31.634999999999994</v>
      </c>
      <c r="N1438" s="21">
        <f t="shared" si="67"/>
        <v>0.24058823529411744</v>
      </c>
      <c r="P1438" s="1">
        <v>10</v>
      </c>
      <c r="Q1438" s="24">
        <v>3.9959999999999987</v>
      </c>
      <c r="R1438" s="24">
        <v>29.303999999999998</v>
      </c>
      <c r="S1438" s="21">
        <f t="shared" si="68"/>
        <v>0.14917647058823524</v>
      </c>
    </row>
    <row r="1439" spans="2:19" ht="11.4" customHeight="1" x14ac:dyDescent="0.2">
      <c r="B1439" s="24"/>
      <c r="C1439" s="7">
        <v>42978</v>
      </c>
      <c r="D1439" s="18" t="s">
        <v>1512</v>
      </c>
      <c r="E1439" s="18" t="s">
        <v>1435</v>
      </c>
      <c r="F1439" s="17">
        <v>25</v>
      </c>
      <c r="G1439" s="18" t="s">
        <v>23</v>
      </c>
      <c r="H1439" s="17">
        <v>32.58</v>
      </c>
      <c r="I1439" s="8">
        <v>44.6</v>
      </c>
      <c r="J1439" s="21">
        <f t="shared" si="66"/>
        <v>0.36893799877225303</v>
      </c>
      <c r="K1439" s="1">
        <v>4</v>
      </c>
      <c r="L1439" s="24">
        <v>2.2000000000000002</v>
      </c>
      <c r="M1439" s="24">
        <v>42.37</v>
      </c>
      <c r="N1439" s="21">
        <f t="shared" si="67"/>
        <v>0.30049109883364028</v>
      </c>
      <c r="P1439" s="1">
        <v>10</v>
      </c>
      <c r="Q1439" s="24">
        <v>5.3519999999999968</v>
      </c>
      <c r="R1439" s="24">
        <v>39.248000000000005</v>
      </c>
      <c r="S1439" s="21">
        <f t="shared" si="68"/>
        <v>0.20466543891958278</v>
      </c>
    </row>
    <row r="1440" spans="2:19" ht="11.4" customHeight="1" x14ac:dyDescent="0.2">
      <c r="B1440" s="24"/>
      <c r="C1440" s="7">
        <v>42974</v>
      </c>
      <c r="D1440" s="18" t="s">
        <v>1513</v>
      </c>
      <c r="E1440" s="18" t="s">
        <v>1435</v>
      </c>
      <c r="F1440" s="17">
        <v>4</v>
      </c>
      <c r="G1440" s="18" t="s">
        <v>23</v>
      </c>
      <c r="H1440" s="17">
        <v>132</v>
      </c>
      <c r="I1440" s="8">
        <v>180.8</v>
      </c>
      <c r="J1440" s="21">
        <f t="shared" si="66"/>
        <v>0.3696969696969698</v>
      </c>
      <c r="K1440" s="1">
        <v>4</v>
      </c>
      <c r="L1440" s="24">
        <v>9</v>
      </c>
      <c r="M1440" s="24">
        <v>171.76</v>
      </c>
      <c r="N1440" s="21">
        <f t="shared" si="67"/>
        <v>0.30121212121212115</v>
      </c>
      <c r="P1440" s="1">
        <v>10</v>
      </c>
      <c r="Q1440" s="24">
        <v>21.695999999999998</v>
      </c>
      <c r="R1440" s="24">
        <v>159.10400000000001</v>
      </c>
      <c r="S1440" s="21">
        <f t="shared" si="68"/>
        <v>0.20533333333333342</v>
      </c>
    </row>
    <row r="1441" spans="2:19" ht="11.4" customHeight="1" x14ac:dyDescent="0.2">
      <c r="B1441" s="24"/>
      <c r="C1441" s="7">
        <v>39313</v>
      </c>
      <c r="D1441" s="18" t="s">
        <v>1514</v>
      </c>
      <c r="E1441" s="18" t="s">
        <v>1435</v>
      </c>
      <c r="F1441" s="17">
        <v>6</v>
      </c>
      <c r="G1441" s="18" t="s">
        <v>23</v>
      </c>
      <c r="H1441" s="17">
        <v>95.9</v>
      </c>
      <c r="I1441" s="8">
        <v>162.5</v>
      </c>
      <c r="J1441" s="21">
        <f t="shared" si="66"/>
        <v>0.69447340980187688</v>
      </c>
      <c r="K1441" s="1">
        <v>4</v>
      </c>
      <c r="L1441" s="24">
        <v>8.1</v>
      </c>
      <c r="M1441" s="24">
        <v>154.375</v>
      </c>
      <c r="N1441" s="21">
        <f t="shared" si="67"/>
        <v>0.609749739311783</v>
      </c>
      <c r="P1441" s="1">
        <v>10</v>
      </c>
      <c r="Q1441" s="24">
        <v>19.5</v>
      </c>
      <c r="R1441" s="24">
        <v>143</v>
      </c>
      <c r="S1441" s="21">
        <f t="shared" si="68"/>
        <v>0.49113660062565162</v>
      </c>
    </row>
    <row r="1442" spans="2:19" ht="11.4" customHeight="1" x14ac:dyDescent="0.2">
      <c r="B1442" s="24"/>
      <c r="C1442" s="7">
        <v>44403</v>
      </c>
      <c r="D1442" s="18" t="s">
        <v>1515</v>
      </c>
      <c r="E1442" s="18" t="s">
        <v>1435</v>
      </c>
      <c r="F1442" s="17">
        <v>28</v>
      </c>
      <c r="G1442" s="18" t="s">
        <v>23</v>
      </c>
      <c r="H1442" s="17">
        <v>15.23</v>
      </c>
      <c r="I1442" s="8">
        <v>22.5</v>
      </c>
      <c r="J1442" s="21">
        <f t="shared" si="66"/>
        <v>0.47734734077478658</v>
      </c>
      <c r="K1442" s="1">
        <v>4</v>
      </c>
      <c r="L1442" s="24">
        <v>1.1000000000000001</v>
      </c>
      <c r="M1442" s="24">
        <v>21.375</v>
      </c>
      <c r="N1442" s="21">
        <f t="shared" si="67"/>
        <v>0.40347997373604721</v>
      </c>
      <c r="P1442" s="1">
        <v>10</v>
      </c>
      <c r="Q1442" s="24">
        <v>2.6999999999999993</v>
      </c>
      <c r="R1442" s="24">
        <v>19.8</v>
      </c>
      <c r="S1442" s="21">
        <f t="shared" si="68"/>
        <v>0.30006565988181222</v>
      </c>
    </row>
    <row r="1443" spans="2:19" ht="11.4" customHeight="1" x14ac:dyDescent="0.2">
      <c r="B1443" s="24"/>
      <c r="C1443" s="7">
        <v>37887</v>
      </c>
      <c r="D1443" s="18" t="s">
        <v>1516</v>
      </c>
      <c r="E1443" s="18" t="s">
        <v>1435</v>
      </c>
      <c r="F1443" s="17">
        <v>100</v>
      </c>
      <c r="G1443" s="18" t="s">
        <v>23</v>
      </c>
      <c r="H1443" s="17">
        <v>8.9</v>
      </c>
      <c r="I1443" s="8">
        <v>12.3</v>
      </c>
      <c r="J1443" s="21">
        <f t="shared" si="66"/>
        <v>0.3820224719101124</v>
      </c>
      <c r="K1443" s="1">
        <v>4</v>
      </c>
      <c r="L1443" s="24">
        <v>0.6</v>
      </c>
      <c r="M1443" s="24">
        <v>11.685</v>
      </c>
      <c r="N1443" s="21">
        <f t="shared" si="67"/>
        <v>0.31292134831460672</v>
      </c>
      <c r="P1443" s="1">
        <v>10</v>
      </c>
      <c r="Q1443" s="24">
        <v>1.4760000000000009</v>
      </c>
      <c r="R1443" s="24">
        <v>10.824</v>
      </c>
      <c r="S1443" s="21">
        <f t="shared" si="68"/>
        <v>0.21617977528089882</v>
      </c>
    </row>
    <row r="1444" spans="2:19" ht="11.4" customHeight="1" x14ac:dyDescent="0.2">
      <c r="B1444" s="24"/>
      <c r="C1444" s="7">
        <v>28913</v>
      </c>
      <c r="D1444" s="18" t="s">
        <v>1517</v>
      </c>
      <c r="E1444" s="18" t="s">
        <v>1435</v>
      </c>
      <c r="F1444" s="17">
        <v>4</v>
      </c>
      <c r="G1444" s="18" t="s">
        <v>23</v>
      </c>
      <c r="H1444" s="17">
        <v>132</v>
      </c>
      <c r="I1444" s="8">
        <v>180.8</v>
      </c>
      <c r="J1444" s="21">
        <f t="shared" si="66"/>
        <v>0.3696969696969698</v>
      </c>
      <c r="K1444" s="1">
        <v>4</v>
      </c>
      <c r="L1444" s="24">
        <v>9</v>
      </c>
      <c r="M1444" s="24">
        <v>171.76</v>
      </c>
      <c r="N1444" s="21">
        <f t="shared" si="67"/>
        <v>0.30121212121212115</v>
      </c>
      <c r="P1444" s="1">
        <v>10</v>
      </c>
      <c r="Q1444" s="24">
        <v>21.695999999999998</v>
      </c>
      <c r="R1444" s="24">
        <v>159.10400000000001</v>
      </c>
      <c r="S1444" s="21">
        <f t="shared" si="68"/>
        <v>0.20533333333333342</v>
      </c>
    </row>
    <row r="1445" spans="2:19" ht="11.4" customHeight="1" x14ac:dyDescent="0.2">
      <c r="B1445" s="24"/>
      <c r="C1445" s="7">
        <v>3010</v>
      </c>
      <c r="D1445" s="18" t="s">
        <v>1518</v>
      </c>
      <c r="E1445" s="18" t="s">
        <v>1435</v>
      </c>
      <c r="F1445" s="17">
        <v>22</v>
      </c>
      <c r="G1445" s="18" t="s">
        <v>23</v>
      </c>
      <c r="H1445" s="17">
        <v>21</v>
      </c>
      <c r="I1445" s="8">
        <v>22.5</v>
      </c>
      <c r="J1445" s="21">
        <f t="shared" si="66"/>
        <v>7.1428571428571425E-2</v>
      </c>
      <c r="K1445" s="1">
        <v>4</v>
      </c>
      <c r="L1445" s="24">
        <v>1.1000000000000001</v>
      </c>
      <c r="M1445" s="24">
        <v>21.375</v>
      </c>
      <c r="N1445" s="21">
        <f t="shared" si="67"/>
        <v>1.7857142857142856E-2</v>
      </c>
      <c r="P1445" s="1">
        <v>10</v>
      </c>
      <c r="Q1445" s="24">
        <v>2.6999999999999993</v>
      </c>
      <c r="R1445" s="24">
        <v>19.8</v>
      </c>
      <c r="S1445" s="21">
        <f t="shared" si="68"/>
        <v>-5.7142857142857106E-2</v>
      </c>
    </row>
    <row r="1446" spans="2:19" ht="11.4" customHeight="1" x14ac:dyDescent="0.2">
      <c r="B1446" s="24"/>
      <c r="C1446" s="7">
        <v>44404</v>
      </c>
      <c r="D1446" s="18" t="s">
        <v>1519</v>
      </c>
      <c r="E1446" s="18" t="s">
        <v>1435</v>
      </c>
      <c r="F1446" s="17">
        <v>24</v>
      </c>
      <c r="G1446" s="18" t="s">
        <v>23</v>
      </c>
      <c r="H1446" s="17">
        <v>15.23</v>
      </c>
      <c r="I1446" s="8">
        <v>22.5</v>
      </c>
      <c r="J1446" s="21">
        <f t="shared" si="66"/>
        <v>0.47734734077478658</v>
      </c>
      <c r="K1446" s="1">
        <v>4</v>
      </c>
      <c r="L1446" s="24">
        <v>1.1000000000000001</v>
      </c>
      <c r="M1446" s="24">
        <v>21.375</v>
      </c>
      <c r="N1446" s="21">
        <f t="shared" si="67"/>
        <v>0.40347997373604721</v>
      </c>
      <c r="P1446" s="1">
        <v>10</v>
      </c>
      <c r="Q1446" s="24">
        <v>2.6999999999999993</v>
      </c>
      <c r="R1446" s="24">
        <v>19.8</v>
      </c>
      <c r="S1446" s="21">
        <f t="shared" si="68"/>
        <v>0.30006565988181222</v>
      </c>
    </row>
    <row r="1447" spans="2:19" ht="11.4" customHeight="1" x14ac:dyDescent="0.2">
      <c r="B1447" s="24"/>
      <c r="C1447" s="7">
        <v>10448</v>
      </c>
      <c r="D1447" s="18" t="s">
        <v>1520</v>
      </c>
      <c r="E1447" s="18" t="s">
        <v>1435</v>
      </c>
      <c r="F1447" s="17">
        <v>32</v>
      </c>
      <c r="G1447" s="18" t="s">
        <v>23</v>
      </c>
      <c r="H1447" s="17">
        <v>27.9</v>
      </c>
      <c r="I1447" s="8">
        <v>38.6</v>
      </c>
      <c r="J1447" s="21">
        <f t="shared" si="66"/>
        <v>0.38351254480286751</v>
      </c>
      <c r="K1447" s="1">
        <v>4</v>
      </c>
      <c r="L1447" s="24">
        <v>1.9</v>
      </c>
      <c r="M1447" s="24">
        <v>36.67</v>
      </c>
      <c r="N1447" s="21">
        <f t="shared" si="67"/>
        <v>0.31433691756272414</v>
      </c>
      <c r="P1447" s="1">
        <v>10</v>
      </c>
      <c r="Q1447" s="24">
        <v>4.6319999999999979</v>
      </c>
      <c r="R1447" s="24">
        <v>33.968000000000004</v>
      </c>
      <c r="S1447" s="21">
        <f t="shared" si="68"/>
        <v>0.21749103942652348</v>
      </c>
    </row>
    <row r="1448" spans="2:19" ht="11.4" customHeight="1" x14ac:dyDescent="0.2">
      <c r="B1448" s="24"/>
      <c r="C1448" s="7">
        <v>15305</v>
      </c>
      <c r="D1448" s="18" t="s">
        <v>1521</v>
      </c>
      <c r="E1448" s="18" t="s">
        <v>1435</v>
      </c>
      <c r="F1448" s="18"/>
      <c r="G1448" s="18" t="s">
        <v>23</v>
      </c>
      <c r="H1448" s="17">
        <v>31.32</v>
      </c>
      <c r="I1448" s="8">
        <v>47</v>
      </c>
      <c r="J1448" s="21">
        <f t="shared" si="66"/>
        <v>0.50063856960408681</v>
      </c>
      <c r="K1448" s="1">
        <v>4</v>
      </c>
      <c r="L1448" s="24">
        <v>2.2999999999999998</v>
      </c>
      <c r="M1448" s="24">
        <v>44.65</v>
      </c>
      <c r="N1448" s="21">
        <f t="shared" si="67"/>
        <v>0.42560664112388247</v>
      </c>
      <c r="P1448" s="1">
        <v>10</v>
      </c>
      <c r="Q1448" s="24">
        <v>5.6400000000000006</v>
      </c>
      <c r="R1448" s="24">
        <v>41.36</v>
      </c>
      <c r="S1448" s="21">
        <f t="shared" si="68"/>
        <v>0.32056194125159637</v>
      </c>
    </row>
    <row r="1449" spans="2:19" ht="11.4" customHeight="1" x14ac:dyDescent="0.2">
      <c r="B1449" s="24"/>
      <c r="C1449" s="7">
        <v>42976</v>
      </c>
      <c r="D1449" s="18" t="s">
        <v>1522</v>
      </c>
      <c r="E1449" s="18" t="s">
        <v>1390</v>
      </c>
      <c r="F1449" s="17">
        <v>25</v>
      </c>
      <c r="G1449" s="18" t="s">
        <v>23</v>
      </c>
      <c r="H1449" s="17">
        <v>36.96</v>
      </c>
      <c r="I1449" s="8">
        <v>50.6</v>
      </c>
      <c r="J1449" s="21">
        <f t="shared" si="66"/>
        <v>0.36904761904761907</v>
      </c>
      <c r="K1449" s="1">
        <v>4</v>
      </c>
      <c r="L1449" s="24">
        <v>2.5</v>
      </c>
      <c r="M1449" s="24">
        <v>48.07</v>
      </c>
      <c r="N1449" s="21">
        <f t="shared" si="67"/>
        <v>0.30059523809523808</v>
      </c>
      <c r="P1449" s="1">
        <v>10</v>
      </c>
      <c r="Q1449" s="24">
        <v>6.0720000000000027</v>
      </c>
      <c r="R1449" s="24">
        <v>44.527999999999999</v>
      </c>
      <c r="S1449" s="21">
        <f t="shared" si="68"/>
        <v>0.2047619047619047</v>
      </c>
    </row>
    <row r="1450" spans="2:19" ht="11.4" customHeight="1" x14ac:dyDescent="0.2">
      <c r="B1450" s="24"/>
      <c r="C1450" s="7">
        <v>39032</v>
      </c>
      <c r="D1450" s="18" t="s">
        <v>1523</v>
      </c>
      <c r="E1450" s="18" t="s">
        <v>1390</v>
      </c>
      <c r="F1450" s="17">
        <v>50</v>
      </c>
      <c r="G1450" s="18" t="s">
        <v>23</v>
      </c>
      <c r="H1450" s="17">
        <v>14.5</v>
      </c>
      <c r="I1450" s="8">
        <v>14.5</v>
      </c>
      <c r="J1450" s="21">
        <f t="shared" si="66"/>
        <v>0</v>
      </c>
      <c r="K1450" s="1">
        <v>4</v>
      </c>
      <c r="L1450" s="24">
        <v>0.7</v>
      </c>
      <c r="M1450" s="24">
        <v>13.774999999999999</v>
      </c>
      <c r="N1450" s="21">
        <f t="shared" si="67"/>
        <v>-5.00000000000001E-2</v>
      </c>
      <c r="P1450" s="1">
        <v>10</v>
      </c>
      <c r="Q1450" s="24">
        <v>1.7400000000000002</v>
      </c>
      <c r="R1450" s="24">
        <v>12.76</v>
      </c>
      <c r="S1450" s="21">
        <f t="shared" si="68"/>
        <v>-0.12000000000000001</v>
      </c>
    </row>
    <row r="1451" spans="2:19" ht="11.4" customHeight="1" x14ac:dyDescent="0.2">
      <c r="B1451" s="24"/>
      <c r="C1451" s="7">
        <v>42985</v>
      </c>
      <c r="D1451" s="18" t="s">
        <v>1524</v>
      </c>
      <c r="E1451" s="18" t="s">
        <v>1390</v>
      </c>
      <c r="F1451" s="17">
        <v>25</v>
      </c>
      <c r="G1451" s="18" t="s">
        <v>23</v>
      </c>
      <c r="H1451" s="17">
        <v>36.96</v>
      </c>
      <c r="I1451" s="8">
        <v>50.6</v>
      </c>
      <c r="J1451" s="21">
        <f t="shared" si="66"/>
        <v>0.36904761904761907</v>
      </c>
      <c r="K1451" s="1">
        <v>4</v>
      </c>
      <c r="L1451" s="24">
        <v>2.5</v>
      </c>
      <c r="M1451" s="24">
        <v>48.07</v>
      </c>
      <c r="N1451" s="21">
        <f t="shared" si="67"/>
        <v>0.30059523809523808</v>
      </c>
      <c r="P1451" s="1">
        <v>10</v>
      </c>
      <c r="Q1451" s="24">
        <v>6.0720000000000027</v>
      </c>
      <c r="R1451" s="24">
        <v>44.527999999999999</v>
      </c>
      <c r="S1451" s="21">
        <f t="shared" si="68"/>
        <v>0.2047619047619047</v>
      </c>
    </row>
    <row r="1452" spans="2:19" ht="11.4" customHeight="1" x14ac:dyDescent="0.2">
      <c r="B1452" s="24"/>
      <c r="C1452" s="7">
        <v>42972</v>
      </c>
      <c r="D1452" s="18" t="s">
        <v>1525</v>
      </c>
      <c r="E1452" s="18" t="s">
        <v>1390</v>
      </c>
      <c r="F1452" s="17">
        <v>4</v>
      </c>
      <c r="G1452" s="18" t="s">
        <v>23</v>
      </c>
      <c r="H1452" s="17">
        <v>132</v>
      </c>
      <c r="I1452" s="8">
        <v>180.8</v>
      </c>
      <c r="J1452" s="21">
        <f t="shared" si="66"/>
        <v>0.3696969696969698</v>
      </c>
      <c r="K1452" s="1">
        <v>4</v>
      </c>
      <c r="L1452" s="24">
        <v>9</v>
      </c>
      <c r="M1452" s="24">
        <v>171.76</v>
      </c>
      <c r="N1452" s="21">
        <f t="shared" si="67"/>
        <v>0.30121212121212115</v>
      </c>
      <c r="P1452" s="1">
        <v>10</v>
      </c>
      <c r="Q1452" s="24">
        <v>21.695999999999998</v>
      </c>
      <c r="R1452" s="24">
        <v>159.10400000000001</v>
      </c>
      <c r="S1452" s="21">
        <f t="shared" si="68"/>
        <v>0.20533333333333342</v>
      </c>
    </row>
    <row r="1453" spans="2:19" ht="11.4" customHeight="1" x14ac:dyDescent="0.2">
      <c r="B1453" s="24"/>
      <c r="C1453" s="7">
        <v>42664</v>
      </c>
      <c r="D1453" s="18" t="s">
        <v>1526</v>
      </c>
      <c r="E1453" s="18" t="s">
        <v>1435</v>
      </c>
      <c r="F1453" s="17">
        <v>50</v>
      </c>
      <c r="G1453" s="18" t="s">
        <v>23</v>
      </c>
      <c r="H1453" s="17">
        <v>11.44</v>
      </c>
      <c r="I1453" s="8">
        <v>19.899999999999999</v>
      </c>
      <c r="J1453" s="21">
        <f t="shared" si="66"/>
        <v>0.73951048951048948</v>
      </c>
      <c r="K1453" s="1">
        <v>4</v>
      </c>
      <c r="L1453" s="24">
        <v>0.9</v>
      </c>
      <c r="M1453" s="24">
        <v>18.904999999999998</v>
      </c>
      <c r="N1453" s="21">
        <f t="shared" si="67"/>
        <v>0.65253496503496489</v>
      </c>
      <c r="P1453" s="1">
        <v>10</v>
      </c>
      <c r="Q1453" s="24">
        <v>2.3879999999999981</v>
      </c>
      <c r="R1453" s="24">
        <v>17.512</v>
      </c>
      <c r="S1453" s="21">
        <f t="shared" si="68"/>
        <v>0.53076923076923088</v>
      </c>
    </row>
    <row r="1454" spans="2:19" ht="11.4" customHeight="1" x14ac:dyDescent="0.2">
      <c r="B1454" s="24"/>
      <c r="C1454" s="7">
        <v>10444</v>
      </c>
      <c r="D1454" s="18" t="s">
        <v>1527</v>
      </c>
      <c r="E1454" s="18" t="s">
        <v>1435</v>
      </c>
      <c r="F1454" s="17">
        <v>30</v>
      </c>
      <c r="G1454" s="18" t="s">
        <v>23</v>
      </c>
      <c r="H1454" s="17">
        <v>34.92</v>
      </c>
      <c r="I1454" s="8">
        <v>51.7</v>
      </c>
      <c r="J1454" s="21">
        <f t="shared" si="66"/>
        <v>0.48052691867124858</v>
      </c>
      <c r="K1454" s="1">
        <v>4</v>
      </c>
      <c r="L1454" s="24">
        <v>2.5</v>
      </c>
      <c r="M1454" s="24">
        <v>49.115000000000002</v>
      </c>
      <c r="N1454" s="21">
        <f t="shared" si="67"/>
        <v>0.40650057273768614</v>
      </c>
      <c r="P1454" s="1">
        <v>10</v>
      </c>
      <c r="Q1454" s="24">
        <v>6.2040000000000006</v>
      </c>
      <c r="R1454" s="24">
        <v>45.496000000000002</v>
      </c>
      <c r="S1454" s="21">
        <f t="shared" si="68"/>
        <v>0.30286368843069872</v>
      </c>
    </row>
    <row r="1455" spans="2:19" ht="11.4" customHeight="1" x14ac:dyDescent="0.2">
      <c r="B1455" s="24"/>
      <c r="C1455" s="7">
        <v>11411</v>
      </c>
      <c r="D1455" s="18" t="s">
        <v>1528</v>
      </c>
      <c r="E1455" s="18" t="s">
        <v>1435</v>
      </c>
      <c r="F1455" s="17">
        <v>30</v>
      </c>
      <c r="G1455" s="18" t="s">
        <v>23</v>
      </c>
      <c r="H1455" s="17">
        <v>34.14</v>
      </c>
      <c r="I1455" s="8">
        <v>50.7</v>
      </c>
      <c r="J1455" s="21">
        <f t="shared" si="66"/>
        <v>0.48506151142355014</v>
      </c>
      <c r="K1455" s="1">
        <v>4</v>
      </c>
      <c r="L1455" s="24">
        <v>2.5</v>
      </c>
      <c r="M1455" s="24">
        <v>48.164999999999999</v>
      </c>
      <c r="N1455" s="21">
        <f t="shared" si="67"/>
        <v>0.41080843585237253</v>
      </c>
      <c r="P1455" s="1">
        <v>10</v>
      </c>
      <c r="Q1455" s="24">
        <v>6.0840000000000032</v>
      </c>
      <c r="R1455" s="24">
        <v>44.616</v>
      </c>
      <c r="S1455" s="21">
        <f t="shared" si="68"/>
        <v>0.30685413005272405</v>
      </c>
    </row>
    <row r="1456" spans="2:19" ht="11.4" customHeight="1" x14ac:dyDescent="0.2">
      <c r="B1456" s="24"/>
      <c r="C1456" s="7">
        <v>10449</v>
      </c>
      <c r="D1456" s="18" t="s">
        <v>1529</v>
      </c>
      <c r="E1456" s="18" t="s">
        <v>1435</v>
      </c>
      <c r="F1456" s="17">
        <v>25</v>
      </c>
      <c r="G1456" s="18" t="s">
        <v>23</v>
      </c>
      <c r="H1456" s="17">
        <v>28.62</v>
      </c>
      <c r="I1456" s="8">
        <v>38.6</v>
      </c>
      <c r="J1456" s="21">
        <f t="shared" si="66"/>
        <v>0.34870719776380155</v>
      </c>
      <c r="K1456" s="1">
        <v>4</v>
      </c>
      <c r="L1456" s="24">
        <v>1.9</v>
      </c>
      <c r="M1456" s="24">
        <v>36.67</v>
      </c>
      <c r="N1456" s="21">
        <f t="shared" si="67"/>
        <v>0.2812718378756115</v>
      </c>
      <c r="P1456" s="1">
        <v>10</v>
      </c>
      <c r="Q1456" s="24">
        <v>4.6319999999999979</v>
      </c>
      <c r="R1456" s="24">
        <v>33.968000000000004</v>
      </c>
      <c r="S1456" s="21">
        <f t="shared" si="68"/>
        <v>0.18686233403214544</v>
      </c>
    </row>
    <row r="1457" spans="2:19" ht="11.4" customHeight="1" x14ac:dyDescent="0.2">
      <c r="B1457" s="24"/>
      <c r="C1457" s="7">
        <v>37891</v>
      </c>
      <c r="D1457" s="18" t="s">
        <v>1530</v>
      </c>
      <c r="E1457" s="18" t="s">
        <v>1435</v>
      </c>
      <c r="F1457" s="17">
        <v>50</v>
      </c>
      <c r="G1457" s="18" t="s">
        <v>23</v>
      </c>
      <c r="H1457" s="17">
        <v>10.9</v>
      </c>
      <c r="I1457" s="8">
        <v>15.4</v>
      </c>
      <c r="J1457" s="21">
        <f t="shared" si="66"/>
        <v>0.41284403669724767</v>
      </c>
      <c r="K1457" s="1">
        <v>4</v>
      </c>
      <c r="L1457" s="24">
        <v>0.7</v>
      </c>
      <c r="M1457" s="24">
        <v>14.629999999999999</v>
      </c>
      <c r="N1457" s="21">
        <f t="shared" si="67"/>
        <v>0.3422018348623852</v>
      </c>
      <c r="P1457" s="1">
        <v>10</v>
      </c>
      <c r="Q1457" s="24">
        <v>1.8480000000000008</v>
      </c>
      <c r="R1457" s="24">
        <v>13.552</v>
      </c>
      <c r="S1457" s="21">
        <f t="shared" si="68"/>
        <v>0.2433027522935779</v>
      </c>
    </row>
    <row r="1458" spans="2:19" ht="11.4" customHeight="1" x14ac:dyDescent="0.2">
      <c r="B1458" s="24"/>
      <c r="C1458" s="7">
        <v>42666</v>
      </c>
      <c r="D1458" s="18" t="s">
        <v>1531</v>
      </c>
      <c r="E1458" s="18" t="s">
        <v>1435</v>
      </c>
      <c r="F1458" s="17">
        <v>50</v>
      </c>
      <c r="G1458" s="18" t="s">
        <v>23</v>
      </c>
      <c r="H1458" s="17">
        <v>11.44</v>
      </c>
      <c r="I1458" s="8">
        <v>19.899999999999999</v>
      </c>
      <c r="J1458" s="21">
        <f t="shared" si="66"/>
        <v>0.73951048951048948</v>
      </c>
      <c r="K1458" s="1">
        <v>4</v>
      </c>
      <c r="L1458" s="24">
        <v>0.9</v>
      </c>
      <c r="M1458" s="24">
        <v>18.904999999999998</v>
      </c>
      <c r="N1458" s="21">
        <f t="shared" si="67"/>
        <v>0.65253496503496489</v>
      </c>
      <c r="P1458" s="1">
        <v>10</v>
      </c>
      <c r="Q1458" s="24">
        <v>2.3879999999999981</v>
      </c>
      <c r="R1458" s="24">
        <v>17.512</v>
      </c>
      <c r="S1458" s="21">
        <f t="shared" si="68"/>
        <v>0.53076923076923088</v>
      </c>
    </row>
    <row r="1459" spans="2:19" ht="11.4" customHeight="1" x14ac:dyDescent="0.2">
      <c r="B1459" s="24"/>
      <c r="C1459" s="7">
        <v>42662</v>
      </c>
      <c r="D1459" s="18" t="s">
        <v>1532</v>
      </c>
      <c r="E1459" s="18" t="s">
        <v>1435</v>
      </c>
      <c r="F1459" s="17">
        <v>32</v>
      </c>
      <c r="G1459" s="18" t="s">
        <v>23</v>
      </c>
      <c r="H1459" s="17">
        <v>14.46</v>
      </c>
      <c r="I1459" s="8">
        <v>20.2</v>
      </c>
      <c r="J1459" s="21">
        <f t="shared" si="66"/>
        <v>0.3969571230982018</v>
      </c>
      <c r="K1459" s="1">
        <v>4</v>
      </c>
      <c r="L1459" s="24">
        <v>1</v>
      </c>
      <c r="M1459" s="24">
        <v>19.189999999999998</v>
      </c>
      <c r="N1459" s="21">
        <f t="shared" si="67"/>
        <v>0.32710926694329162</v>
      </c>
      <c r="P1459" s="1">
        <v>10</v>
      </c>
      <c r="Q1459" s="24">
        <v>2.4239999999999995</v>
      </c>
      <c r="R1459" s="24">
        <v>17.776</v>
      </c>
      <c r="S1459" s="21">
        <f t="shared" si="68"/>
        <v>0.22932226832641761</v>
      </c>
    </row>
    <row r="1460" spans="2:19" ht="11.4" customHeight="1" x14ac:dyDescent="0.2">
      <c r="B1460" s="24"/>
      <c r="C1460" s="7">
        <v>39041</v>
      </c>
      <c r="D1460" s="18" t="s">
        <v>1533</v>
      </c>
      <c r="E1460" s="18" t="s">
        <v>1390</v>
      </c>
      <c r="F1460" s="17">
        <v>6</v>
      </c>
      <c r="G1460" s="18" t="s">
        <v>23</v>
      </c>
      <c r="H1460" s="17">
        <v>69.900000000000006</v>
      </c>
      <c r="I1460" s="8">
        <v>73.3</v>
      </c>
      <c r="J1460" s="21">
        <f t="shared" si="66"/>
        <v>4.8640915593705168E-2</v>
      </c>
      <c r="K1460" s="1">
        <v>4</v>
      </c>
      <c r="L1460" s="24">
        <v>3.6</v>
      </c>
      <c r="M1460" s="24">
        <v>69.634999999999991</v>
      </c>
      <c r="N1460" s="21">
        <f t="shared" si="67"/>
        <v>-3.7911301859801824E-3</v>
      </c>
      <c r="P1460" s="1">
        <v>10</v>
      </c>
      <c r="Q1460" s="24">
        <v>8.7959999999999923</v>
      </c>
      <c r="R1460" s="24">
        <v>64.504000000000005</v>
      </c>
      <c r="S1460" s="21">
        <f t="shared" si="68"/>
        <v>-7.7195994277539343E-2</v>
      </c>
    </row>
    <row r="1461" spans="2:19" ht="11.4" customHeight="1" x14ac:dyDescent="0.2">
      <c r="B1461" s="24"/>
      <c r="C1461" s="7">
        <v>42973</v>
      </c>
      <c r="D1461" s="18" t="s">
        <v>1534</v>
      </c>
      <c r="E1461" s="18" t="s">
        <v>1435</v>
      </c>
      <c r="F1461" s="17">
        <v>4</v>
      </c>
      <c r="G1461" s="18" t="s">
        <v>23</v>
      </c>
      <c r="H1461" s="17">
        <v>132</v>
      </c>
      <c r="I1461" s="8">
        <v>180.8</v>
      </c>
      <c r="J1461" s="21">
        <f t="shared" si="66"/>
        <v>0.3696969696969698</v>
      </c>
      <c r="K1461" s="1">
        <v>4</v>
      </c>
      <c r="L1461" s="24">
        <v>9</v>
      </c>
      <c r="M1461" s="24">
        <v>171.76</v>
      </c>
      <c r="N1461" s="21">
        <f t="shared" si="67"/>
        <v>0.30121212121212115</v>
      </c>
      <c r="P1461" s="1">
        <v>10</v>
      </c>
      <c r="Q1461" s="24">
        <v>21.695999999999998</v>
      </c>
      <c r="R1461" s="24">
        <v>159.10400000000001</v>
      </c>
      <c r="S1461" s="21">
        <f t="shared" si="68"/>
        <v>0.20533333333333342</v>
      </c>
    </row>
    <row r="1462" spans="2:19" ht="11.4" customHeight="1" x14ac:dyDescent="0.2">
      <c r="B1462" s="24"/>
      <c r="C1462" s="7">
        <v>43222</v>
      </c>
      <c r="D1462" s="18" t="s">
        <v>1535</v>
      </c>
      <c r="E1462" s="18" t="s">
        <v>1390</v>
      </c>
      <c r="F1462" s="17">
        <v>10</v>
      </c>
      <c r="G1462" s="18" t="s">
        <v>23</v>
      </c>
      <c r="H1462" s="17">
        <v>11.76</v>
      </c>
      <c r="I1462" s="8">
        <v>18.899999999999999</v>
      </c>
      <c r="J1462" s="21">
        <f t="shared" si="66"/>
        <v>0.6071428571428571</v>
      </c>
      <c r="K1462" s="1">
        <v>4</v>
      </c>
      <c r="L1462" s="24">
        <v>0.9</v>
      </c>
      <c r="M1462" s="24">
        <v>17.954999999999998</v>
      </c>
      <c r="N1462" s="21">
        <f t="shared" si="67"/>
        <v>0.52678571428571419</v>
      </c>
      <c r="P1462" s="1">
        <v>10</v>
      </c>
      <c r="Q1462" s="24">
        <v>2.2680000000000007</v>
      </c>
      <c r="R1462" s="24">
        <v>16.631999999999998</v>
      </c>
      <c r="S1462" s="21">
        <f t="shared" si="68"/>
        <v>0.41428571428571415</v>
      </c>
    </row>
    <row r="1463" spans="2:19" ht="11.4" customHeight="1" x14ac:dyDescent="0.2">
      <c r="B1463" s="24"/>
      <c r="C1463" s="7">
        <v>42977</v>
      </c>
      <c r="D1463" s="18" t="s">
        <v>1536</v>
      </c>
      <c r="E1463" s="18" t="s">
        <v>1435</v>
      </c>
      <c r="F1463" s="17">
        <v>20</v>
      </c>
      <c r="G1463" s="18" t="s">
        <v>23</v>
      </c>
      <c r="H1463" s="17">
        <v>59.4</v>
      </c>
      <c r="I1463" s="8">
        <v>81.400000000000006</v>
      </c>
      <c r="J1463" s="21">
        <f t="shared" si="66"/>
        <v>0.37037037037037052</v>
      </c>
      <c r="K1463" s="1">
        <v>4</v>
      </c>
      <c r="L1463" s="24">
        <v>4</v>
      </c>
      <c r="M1463" s="24">
        <v>77.33</v>
      </c>
      <c r="N1463" s="21">
        <f t="shared" si="67"/>
        <v>0.30185185185185187</v>
      </c>
      <c r="P1463" s="1">
        <v>10</v>
      </c>
      <c r="Q1463" s="24">
        <v>9.7680000000000007</v>
      </c>
      <c r="R1463" s="24">
        <v>71.632000000000005</v>
      </c>
      <c r="S1463" s="21">
        <f t="shared" si="68"/>
        <v>0.20592592592592604</v>
      </c>
    </row>
    <row r="1464" spans="2:19" ht="11.4" customHeight="1" x14ac:dyDescent="0.2">
      <c r="B1464" s="24"/>
      <c r="C1464" s="7">
        <v>25679</v>
      </c>
      <c r="D1464" s="18" t="s">
        <v>1537</v>
      </c>
      <c r="E1464" s="18" t="s">
        <v>1538</v>
      </c>
      <c r="F1464" s="17">
        <v>15</v>
      </c>
      <c r="G1464" s="18" t="s">
        <v>23</v>
      </c>
      <c r="H1464" s="17">
        <v>33.42</v>
      </c>
      <c r="I1464" s="8">
        <v>45.1</v>
      </c>
      <c r="J1464" s="21">
        <f t="shared" si="66"/>
        <v>0.34949132256134047</v>
      </c>
      <c r="K1464" s="1">
        <v>4</v>
      </c>
      <c r="L1464" s="24">
        <v>2.2000000000000002</v>
      </c>
      <c r="M1464" s="24">
        <v>42.844999999999999</v>
      </c>
      <c r="N1464" s="21">
        <f t="shared" si="67"/>
        <v>0.2820167564332734</v>
      </c>
      <c r="P1464" s="1">
        <v>10</v>
      </c>
      <c r="Q1464" s="24">
        <v>5.411999999999999</v>
      </c>
      <c r="R1464" s="24">
        <v>39.688000000000002</v>
      </c>
      <c r="S1464" s="21">
        <f t="shared" si="68"/>
        <v>0.18755236385397966</v>
      </c>
    </row>
    <row r="1465" spans="2:19" ht="11.4" customHeight="1" x14ac:dyDescent="0.2">
      <c r="B1465" s="24"/>
      <c r="C1465" s="7">
        <v>39038</v>
      </c>
      <c r="D1465" s="18" t="s">
        <v>1539</v>
      </c>
      <c r="E1465" s="18" t="s">
        <v>1390</v>
      </c>
      <c r="F1465" s="17">
        <v>50</v>
      </c>
      <c r="G1465" s="18" t="s">
        <v>23</v>
      </c>
      <c r="H1465" s="17">
        <v>18.899999999999999</v>
      </c>
      <c r="I1465" s="8">
        <v>22.9</v>
      </c>
      <c r="J1465" s="21">
        <f t="shared" si="66"/>
        <v>0.21164021164021166</v>
      </c>
      <c r="K1465" s="1">
        <v>4</v>
      </c>
      <c r="L1465" s="24">
        <v>1.1000000000000001</v>
      </c>
      <c r="M1465" s="24">
        <v>21.754999999999999</v>
      </c>
      <c r="N1465" s="21">
        <f t="shared" si="67"/>
        <v>0.15105820105820109</v>
      </c>
      <c r="P1465" s="1">
        <v>10</v>
      </c>
      <c r="Q1465" s="24">
        <v>2.7480000000000011</v>
      </c>
      <c r="R1465" s="24">
        <v>20.151999999999997</v>
      </c>
      <c r="S1465" s="21">
        <f t="shared" si="68"/>
        <v>6.6243386243386188E-2</v>
      </c>
    </row>
    <row r="1466" spans="2:19" ht="11.4" customHeight="1" x14ac:dyDescent="0.2">
      <c r="B1466" s="24"/>
      <c r="C1466" s="7">
        <v>39039</v>
      </c>
      <c r="D1466" s="18" t="s">
        <v>1540</v>
      </c>
      <c r="E1466" s="18" t="s">
        <v>1390</v>
      </c>
      <c r="F1466" s="17">
        <v>50</v>
      </c>
      <c r="G1466" s="18" t="s">
        <v>23</v>
      </c>
      <c r="H1466" s="17">
        <v>12.5</v>
      </c>
      <c r="I1466" s="8">
        <v>14.4</v>
      </c>
      <c r="J1466" s="21">
        <f t="shared" si="66"/>
        <v>0.15200000000000002</v>
      </c>
      <c r="K1466" s="1">
        <v>4</v>
      </c>
      <c r="L1466" s="24">
        <v>0.7</v>
      </c>
      <c r="M1466" s="24">
        <v>13.68</v>
      </c>
      <c r="N1466" s="21">
        <f t="shared" si="67"/>
        <v>9.4399999999999984E-2</v>
      </c>
      <c r="P1466" s="1">
        <v>10</v>
      </c>
      <c r="Q1466" s="24">
        <v>1.7279999999999998</v>
      </c>
      <c r="R1466" s="24">
        <v>12.672000000000001</v>
      </c>
      <c r="S1466" s="21">
        <f t="shared" si="68"/>
        <v>1.3760000000000048E-2</v>
      </c>
    </row>
    <row r="1467" spans="2:19" ht="11.4" customHeight="1" x14ac:dyDescent="0.2">
      <c r="B1467" s="24"/>
      <c r="C1467" s="7">
        <v>39037</v>
      </c>
      <c r="D1467" s="18" t="s">
        <v>1541</v>
      </c>
      <c r="E1467" s="18" t="s">
        <v>1390</v>
      </c>
      <c r="F1467" s="17">
        <v>50</v>
      </c>
      <c r="G1467" s="18" t="s">
        <v>23</v>
      </c>
      <c r="H1467" s="17">
        <v>25.9</v>
      </c>
      <c r="I1467" s="8">
        <v>25.9</v>
      </c>
      <c r="J1467" s="21">
        <f t="shared" si="66"/>
        <v>0</v>
      </c>
      <c r="K1467" s="1">
        <v>4</v>
      </c>
      <c r="L1467" s="24">
        <v>1.2</v>
      </c>
      <c r="M1467" s="24">
        <v>24.604999999999997</v>
      </c>
      <c r="N1467" s="21">
        <f t="shared" si="67"/>
        <v>-5.0000000000000065E-2</v>
      </c>
      <c r="P1467" s="1">
        <v>10</v>
      </c>
      <c r="Q1467" s="24">
        <v>3.1080000000000005</v>
      </c>
      <c r="R1467" s="24">
        <v>22.791999999999998</v>
      </c>
      <c r="S1467" s="21">
        <f t="shared" si="68"/>
        <v>-0.12000000000000002</v>
      </c>
    </row>
    <row r="1468" spans="2:19" ht="11.4" customHeight="1" x14ac:dyDescent="0.2">
      <c r="B1468" s="24"/>
      <c r="C1468" s="7">
        <v>39040</v>
      </c>
      <c r="D1468" s="18" t="s">
        <v>1542</v>
      </c>
      <c r="E1468" s="18" t="s">
        <v>1390</v>
      </c>
      <c r="F1468" s="17">
        <v>50</v>
      </c>
      <c r="G1468" s="18" t="s">
        <v>23</v>
      </c>
      <c r="H1468" s="17">
        <v>12.5</v>
      </c>
      <c r="I1468" s="8">
        <v>14.5</v>
      </c>
      <c r="J1468" s="21">
        <f t="shared" si="66"/>
        <v>0.16</v>
      </c>
      <c r="K1468" s="1">
        <v>4</v>
      </c>
      <c r="L1468" s="24">
        <v>0.7</v>
      </c>
      <c r="M1468" s="24">
        <v>13.774999999999999</v>
      </c>
      <c r="N1468" s="21">
        <f t="shared" si="67"/>
        <v>0.10199999999999988</v>
      </c>
      <c r="P1468" s="1">
        <v>10</v>
      </c>
      <c r="Q1468" s="24">
        <v>1.7400000000000002</v>
      </c>
      <c r="R1468" s="24">
        <v>12.76</v>
      </c>
      <c r="S1468" s="21">
        <f t="shared" si="68"/>
        <v>2.0799999999999982E-2</v>
      </c>
    </row>
    <row r="1469" spans="2:19" ht="11.4" customHeight="1" x14ac:dyDescent="0.2">
      <c r="B1469" s="24"/>
      <c r="C1469" s="7">
        <v>10450</v>
      </c>
      <c r="D1469" s="18" t="s">
        <v>1543</v>
      </c>
      <c r="E1469" s="18" t="s">
        <v>1435</v>
      </c>
      <c r="F1469" s="17">
        <v>25</v>
      </c>
      <c r="G1469" s="18" t="s">
        <v>23</v>
      </c>
      <c r="H1469" s="17">
        <v>29.5</v>
      </c>
      <c r="I1469" s="8">
        <v>31.9</v>
      </c>
      <c r="J1469" s="21">
        <f t="shared" si="66"/>
        <v>8.1355932203389783E-2</v>
      </c>
      <c r="K1469" s="1">
        <v>4</v>
      </c>
      <c r="L1469" s="24">
        <v>1.5</v>
      </c>
      <c r="M1469" s="24">
        <v>30.304999999999996</v>
      </c>
      <c r="N1469" s="21">
        <f t="shared" si="67"/>
        <v>2.7288135593220211E-2</v>
      </c>
      <c r="P1469" s="1">
        <v>10</v>
      </c>
      <c r="Q1469" s="24">
        <v>3.8279999999999994</v>
      </c>
      <c r="R1469" s="24">
        <v>28.071999999999999</v>
      </c>
      <c r="S1469" s="21">
        <f t="shared" si="68"/>
        <v>-4.8406779661016974E-2</v>
      </c>
    </row>
    <row r="1470" spans="2:19" ht="11.4" customHeight="1" x14ac:dyDescent="0.2">
      <c r="B1470" s="24"/>
      <c r="C1470" s="7">
        <v>44405</v>
      </c>
      <c r="D1470" s="18" t="s">
        <v>1544</v>
      </c>
      <c r="E1470" s="18" t="s">
        <v>1390</v>
      </c>
      <c r="F1470" s="17">
        <v>20</v>
      </c>
      <c r="G1470" s="18" t="s">
        <v>23</v>
      </c>
      <c r="H1470" s="17">
        <v>15.23</v>
      </c>
      <c r="I1470" s="8">
        <v>22.5</v>
      </c>
      <c r="J1470" s="21">
        <f t="shared" si="66"/>
        <v>0.47734734077478658</v>
      </c>
      <c r="K1470" s="1">
        <v>4</v>
      </c>
      <c r="L1470" s="24">
        <v>1.1000000000000001</v>
      </c>
      <c r="M1470" s="24">
        <v>21.375</v>
      </c>
      <c r="N1470" s="21">
        <f t="shared" si="67"/>
        <v>0.40347997373604721</v>
      </c>
      <c r="P1470" s="1">
        <v>10</v>
      </c>
      <c r="Q1470" s="24">
        <v>2.6999999999999993</v>
      </c>
      <c r="R1470" s="24">
        <v>19.8</v>
      </c>
      <c r="S1470" s="21">
        <f t="shared" si="68"/>
        <v>0.30006565988181222</v>
      </c>
    </row>
    <row r="1471" spans="2:19" ht="11.4" customHeight="1" x14ac:dyDescent="0.2">
      <c r="B1471" s="24"/>
      <c r="C1471" s="7">
        <v>39031</v>
      </c>
      <c r="D1471" s="18" t="s">
        <v>1545</v>
      </c>
      <c r="E1471" s="18" t="s">
        <v>1435</v>
      </c>
      <c r="F1471" s="17">
        <v>50</v>
      </c>
      <c r="G1471" s="18" t="s">
        <v>23</v>
      </c>
      <c r="H1471" s="17">
        <v>16.899999999999999</v>
      </c>
      <c r="I1471" s="8">
        <v>19.600000000000001</v>
      </c>
      <c r="J1471" s="21">
        <f t="shared" si="66"/>
        <v>0.15976331360946763</v>
      </c>
      <c r="K1471" s="1">
        <v>4</v>
      </c>
      <c r="L1471" s="24">
        <v>0.9</v>
      </c>
      <c r="M1471" s="24">
        <v>18.62</v>
      </c>
      <c r="N1471" s="21">
        <f t="shared" si="67"/>
        <v>0.10177514792899424</v>
      </c>
      <c r="P1471" s="1">
        <v>10</v>
      </c>
      <c r="Q1471" s="24">
        <v>2.3520000000000003</v>
      </c>
      <c r="R1471" s="24">
        <v>17.248000000000001</v>
      </c>
      <c r="S1471" s="21">
        <f t="shared" si="68"/>
        <v>2.0591715976331512E-2</v>
      </c>
    </row>
    <row r="1472" spans="2:19" ht="11.4" customHeight="1" x14ac:dyDescent="0.2">
      <c r="B1472" s="24"/>
      <c r="C1472" s="7">
        <v>11609</v>
      </c>
      <c r="D1472" s="18" t="s">
        <v>1546</v>
      </c>
      <c r="E1472" s="18" t="s">
        <v>1435</v>
      </c>
      <c r="F1472" s="18"/>
      <c r="G1472" s="18" t="s">
        <v>23</v>
      </c>
      <c r="H1472" s="17">
        <v>15.12</v>
      </c>
      <c r="I1472" s="8">
        <v>24.1</v>
      </c>
      <c r="J1472" s="21">
        <f t="shared" si="66"/>
        <v>0.59391534391534406</v>
      </c>
      <c r="K1472" s="1">
        <v>4</v>
      </c>
      <c r="L1472" s="24">
        <v>1.2</v>
      </c>
      <c r="M1472" s="24">
        <v>22.895</v>
      </c>
      <c r="N1472" s="21">
        <f t="shared" si="67"/>
        <v>0.51421957671957674</v>
      </c>
      <c r="P1472" s="1">
        <v>10</v>
      </c>
      <c r="Q1472" s="24">
        <v>2.8919999999999995</v>
      </c>
      <c r="R1472" s="24">
        <v>21.208000000000002</v>
      </c>
      <c r="S1472" s="21">
        <f t="shared" si="68"/>
        <v>0.40264550264550286</v>
      </c>
    </row>
    <row r="1473" spans="2:19" ht="11.4" customHeight="1" x14ac:dyDescent="0.2">
      <c r="B1473" s="24"/>
      <c r="C1473" s="7">
        <v>10838</v>
      </c>
      <c r="D1473" s="18" t="s">
        <v>1547</v>
      </c>
      <c r="E1473" s="18" t="s">
        <v>1435</v>
      </c>
      <c r="F1473" s="17">
        <v>30</v>
      </c>
      <c r="G1473" s="18" t="s">
        <v>23</v>
      </c>
      <c r="H1473" s="17">
        <v>17.82</v>
      </c>
      <c r="I1473" s="8">
        <v>24.1</v>
      </c>
      <c r="J1473" s="21">
        <f t="shared" si="66"/>
        <v>0.35241301907968581</v>
      </c>
      <c r="K1473" s="1">
        <v>4</v>
      </c>
      <c r="L1473" s="24">
        <v>1.2</v>
      </c>
      <c r="M1473" s="24">
        <v>22.895</v>
      </c>
      <c r="N1473" s="21">
        <f t="shared" si="67"/>
        <v>0.28479236812570141</v>
      </c>
      <c r="P1473" s="1">
        <v>10</v>
      </c>
      <c r="Q1473" s="24">
        <v>2.8919999999999995</v>
      </c>
      <c r="R1473" s="24">
        <v>21.208000000000002</v>
      </c>
      <c r="S1473" s="21">
        <f t="shared" si="68"/>
        <v>0.19012345679012355</v>
      </c>
    </row>
    <row r="1474" spans="2:19" ht="11.4" customHeight="1" x14ac:dyDescent="0.2">
      <c r="B1474" s="24"/>
      <c r="C1474" s="7">
        <v>42979</v>
      </c>
      <c r="D1474" s="18" t="s">
        <v>1548</v>
      </c>
      <c r="E1474" s="18" t="s">
        <v>1435</v>
      </c>
      <c r="F1474" s="17">
        <v>25</v>
      </c>
      <c r="G1474" s="18" t="s">
        <v>23</v>
      </c>
      <c r="H1474" s="17">
        <v>32.58</v>
      </c>
      <c r="I1474" s="8">
        <v>44.6</v>
      </c>
      <c r="J1474" s="21">
        <f t="shared" si="66"/>
        <v>0.36893799877225303</v>
      </c>
      <c r="K1474" s="1">
        <v>4</v>
      </c>
      <c r="L1474" s="24">
        <v>2.2000000000000002</v>
      </c>
      <c r="M1474" s="24">
        <v>42.37</v>
      </c>
      <c r="N1474" s="21">
        <f t="shared" si="67"/>
        <v>0.30049109883364028</v>
      </c>
      <c r="P1474" s="1">
        <v>10</v>
      </c>
      <c r="Q1474" s="24">
        <v>5.3519999999999968</v>
      </c>
      <c r="R1474" s="24">
        <v>39.248000000000005</v>
      </c>
      <c r="S1474" s="21">
        <f t="shared" si="68"/>
        <v>0.20466543891958278</v>
      </c>
    </row>
    <row r="1475" spans="2:19" ht="11.4" customHeight="1" x14ac:dyDescent="0.2">
      <c r="B1475" s="24"/>
      <c r="C1475" s="7">
        <v>11610</v>
      </c>
      <c r="D1475" s="18" t="s">
        <v>1549</v>
      </c>
      <c r="E1475" s="18" t="s">
        <v>1435</v>
      </c>
      <c r="F1475" s="17">
        <v>30</v>
      </c>
      <c r="G1475" s="18" t="s">
        <v>23</v>
      </c>
      <c r="H1475" s="17">
        <v>13.68</v>
      </c>
      <c r="I1475" s="8">
        <v>24.1</v>
      </c>
      <c r="J1475" s="21">
        <f t="shared" ref="J1475:J1538" si="69">(I1475-H1475)/H1475</f>
        <v>0.76169590643274865</v>
      </c>
      <c r="K1475" s="1">
        <v>4</v>
      </c>
      <c r="L1475" s="24">
        <v>1.2</v>
      </c>
      <c r="M1475" s="24">
        <v>22.895</v>
      </c>
      <c r="N1475" s="21">
        <f t="shared" ref="N1475:N1538" si="70">(M1475-H1475)/H1475</f>
        <v>0.67361111111111116</v>
      </c>
      <c r="P1475" s="1">
        <v>10</v>
      </c>
      <c r="Q1475" s="24">
        <v>2.8919999999999995</v>
      </c>
      <c r="R1475" s="24">
        <v>21.208000000000002</v>
      </c>
      <c r="S1475" s="21">
        <f t="shared" ref="S1475:S1538" si="71">(R1475-H1475)/H1475</f>
        <v>0.55029239766081894</v>
      </c>
    </row>
    <row r="1476" spans="2:19" ht="11.4" customHeight="1" x14ac:dyDescent="0.2">
      <c r="B1476" s="24"/>
      <c r="C1476" s="7">
        <v>32219</v>
      </c>
      <c r="D1476" s="18" t="s">
        <v>1550</v>
      </c>
      <c r="E1476" s="18" t="s">
        <v>1435</v>
      </c>
      <c r="F1476" s="17">
        <v>28</v>
      </c>
      <c r="G1476" s="18" t="s">
        <v>23</v>
      </c>
      <c r="H1476" s="17">
        <v>18.899999999999999</v>
      </c>
      <c r="I1476" s="8">
        <v>21.1</v>
      </c>
      <c r="J1476" s="21">
        <f t="shared" si="69"/>
        <v>0.11640211640211656</v>
      </c>
      <c r="K1476" s="1">
        <v>4</v>
      </c>
      <c r="L1476" s="24">
        <v>1</v>
      </c>
      <c r="M1476" s="24">
        <v>20.045000000000002</v>
      </c>
      <c r="N1476" s="21">
        <f t="shared" si="70"/>
        <v>6.0582010582010751E-2</v>
      </c>
      <c r="P1476" s="1">
        <v>10</v>
      </c>
      <c r="Q1476" s="24">
        <v>2.532</v>
      </c>
      <c r="R1476" s="24">
        <v>18.568000000000001</v>
      </c>
      <c r="S1476" s="21">
        <f t="shared" si="71"/>
        <v>-1.7566137566137417E-2</v>
      </c>
    </row>
    <row r="1477" spans="2:19" ht="11.4" customHeight="1" x14ac:dyDescent="0.2">
      <c r="B1477" s="24"/>
      <c r="C1477" s="7">
        <v>42916</v>
      </c>
      <c r="D1477" s="18" t="s">
        <v>1551</v>
      </c>
      <c r="E1477" s="18" t="s">
        <v>1435</v>
      </c>
      <c r="F1477" s="17">
        <v>20</v>
      </c>
      <c r="G1477" s="18" t="s">
        <v>23</v>
      </c>
      <c r="H1477" s="17">
        <v>15.3</v>
      </c>
      <c r="I1477" s="8">
        <v>20.7</v>
      </c>
      <c r="J1477" s="21">
        <f t="shared" si="69"/>
        <v>0.35294117647058815</v>
      </c>
      <c r="K1477" s="1">
        <v>4</v>
      </c>
      <c r="L1477" s="24">
        <v>1</v>
      </c>
      <c r="M1477" s="24">
        <v>19.664999999999999</v>
      </c>
      <c r="N1477" s="21">
        <f t="shared" si="70"/>
        <v>0.2852941176470587</v>
      </c>
      <c r="P1477" s="1">
        <v>10</v>
      </c>
      <c r="Q1477" s="24">
        <v>2.4839999999999982</v>
      </c>
      <c r="R1477" s="24">
        <v>18.216000000000001</v>
      </c>
      <c r="S1477" s="21">
        <f t="shared" si="71"/>
        <v>0.19058823529411767</v>
      </c>
    </row>
    <row r="1478" spans="2:19" ht="11.4" customHeight="1" x14ac:dyDescent="0.2">
      <c r="B1478" s="24"/>
      <c r="C1478" s="7">
        <v>42917</v>
      </c>
      <c r="D1478" s="18" t="s">
        <v>1552</v>
      </c>
      <c r="E1478" s="18" t="s">
        <v>1435</v>
      </c>
      <c r="F1478" s="17">
        <v>20</v>
      </c>
      <c r="G1478" s="18" t="s">
        <v>23</v>
      </c>
      <c r="H1478" s="17">
        <v>13.02</v>
      </c>
      <c r="I1478" s="8">
        <v>20.7</v>
      </c>
      <c r="J1478" s="21">
        <f t="shared" si="69"/>
        <v>0.58986175115207373</v>
      </c>
      <c r="K1478" s="1">
        <v>4</v>
      </c>
      <c r="L1478" s="24">
        <v>1</v>
      </c>
      <c r="M1478" s="24">
        <v>19.664999999999999</v>
      </c>
      <c r="N1478" s="21">
        <f t="shared" si="70"/>
        <v>0.51036866359447008</v>
      </c>
      <c r="P1478" s="1">
        <v>10</v>
      </c>
      <c r="Q1478" s="24">
        <v>2.4839999999999982</v>
      </c>
      <c r="R1478" s="24">
        <v>18.216000000000001</v>
      </c>
      <c r="S1478" s="21">
        <f t="shared" si="71"/>
        <v>0.399078341013825</v>
      </c>
    </row>
    <row r="1479" spans="2:19" ht="11.4" customHeight="1" x14ac:dyDescent="0.2">
      <c r="B1479" s="24"/>
      <c r="C1479" s="7">
        <v>34968</v>
      </c>
      <c r="D1479" s="18" t="s">
        <v>1553</v>
      </c>
      <c r="E1479" s="18" t="s">
        <v>1435</v>
      </c>
      <c r="F1479" s="17">
        <v>25</v>
      </c>
      <c r="G1479" s="18" t="s">
        <v>23</v>
      </c>
      <c r="H1479" s="17">
        <v>18.899999999999999</v>
      </c>
      <c r="I1479" s="8">
        <v>21.1</v>
      </c>
      <c r="J1479" s="21">
        <f t="shared" si="69"/>
        <v>0.11640211640211656</v>
      </c>
      <c r="K1479" s="1">
        <v>4</v>
      </c>
      <c r="L1479" s="24">
        <v>1</v>
      </c>
      <c r="M1479" s="24">
        <v>20.045000000000002</v>
      </c>
      <c r="N1479" s="21">
        <f t="shared" si="70"/>
        <v>6.0582010582010751E-2</v>
      </c>
      <c r="P1479" s="1">
        <v>10</v>
      </c>
      <c r="Q1479" s="24">
        <v>2.532</v>
      </c>
      <c r="R1479" s="24">
        <v>18.568000000000001</v>
      </c>
      <c r="S1479" s="21">
        <f t="shared" si="71"/>
        <v>-1.7566137566137417E-2</v>
      </c>
    </row>
    <row r="1480" spans="2:19" ht="11.4" customHeight="1" x14ac:dyDescent="0.2">
      <c r="B1480" s="24"/>
      <c r="C1480" s="7">
        <v>42918</v>
      </c>
      <c r="D1480" s="18" t="s">
        <v>1554</v>
      </c>
      <c r="E1480" s="18" t="s">
        <v>1435</v>
      </c>
      <c r="F1480" s="18"/>
      <c r="G1480" s="18" t="s">
        <v>23</v>
      </c>
      <c r="H1480" s="17">
        <v>13.02</v>
      </c>
      <c r="I1480" s="8">
        <v>20.7</v>
      </c>
      <c r="J1480" s="21">
        <f t="shared" si="69"/>
        <v>0.58986175115207373</v>
      </c>
      <c r="K1480" s="1">
        <v>4</v>
      </c>
      <c r="L1480" s="24">
        <v>1</v>
      </c>
      <c r="M1480" s="24">
        <v>19.664999999999999</v>
      </c>
      <c r="N1480" s="21">
        <f t="shared" si="70"/>
        <v>0.51036866359447008</v>
      </c>
      <c r="P1480" s="1">
        <v>10</v>
      </c>
      <c r="Q1480" s="24">
        <v>2.4839999999999982</v>
      </c>
      <c r="R1480" s="24">
        <v>18.216000000000001</v>
      </c>
      <c r="S1480" s="21">
        <f t="shared" si="71"/>
        <v>0.399078341013825</v>
      </c>
    </row>
    <row r="1481" spans="2:19" ht="11.4" customHeight="1" x14ac:dyDescent="0.2">
      <c r="B1481" s="24"/>
      <c r="C1481" s="7">
        <v>32196</v>
      </c>
      <c r="D1481" s="18" t="s">
        <v>1555</v>
      </c>
      <c r="E1481" s="18" t="s">
        <v>1435</v>
      </c>
      <c r="F1481" s="17">
        <v>25</v>
      </c>
      <c r="G1481" s="18" t="s">
        <v>23</v>
      </c>
      <c r="H1481" s="17">
        <v>18.899999999999999</v>
      </c>
      <c r="I1481" s="8">
        <v>21.1</v>
      </c>
      <c r="J1481" s="21">
        <f t="shared" si="69"/>
        <v>0.11640211640211656</v>
      </c>
      <c r="K1481" s="1">
        <v>4</v>
      </c>
      <c r="L1481" s="24">
        <v>1</v>
      </c>
      <c r="M1481" s="24">
        <v>20.045000000000002</v>
      </c>
      <c r="N1481" s="21">
        <f t="shared" si="70"/>
        <v>6.0582010582010751E-2</v>
      </c>
      <c r="P1481" s="1">
        <v>10</v>
      </c>
      <c r="Q1481" s="24">
        <v>2.532</v>
      </c>
      <c r="R1481" s="24">
        <v>18.568000000000001</v>
      </c>
      <c r="S1481" s="21">
        <f t="shared" si="71"/>
        <v>-1.7566137566137417E-2</v>
      </c>
    </row>
    <row r="1482" spans="2:19" ht="11.4" customHeight="1" x14ac:dyDescent="0.2">
      <c r="B1482" s="24"/>
      <c r="C1482" s="7">
        <v>42919</v>
      </c>
      <c r="D1482" s="18" t="s">
        <v>1556</v>
      </c>
      <c r="E1482" s="18" t="s">
        <v>1435</v>
      </c>
      <c r="F1482" s="17">
        <v>20</v>
      </c>
      <c r="G1482" s="18" t="s">
        <v>23</v>
      </c>
      <c r="H1482" s="17">
        <v>13.02</v>
      </c>
      <c r="I1482" s="8">
        <v>20.7</v>
      </c>
      <c r="J1482" s="21">
        <f t="shared" si="69"/>
        <v>0.58986175115207373</v>
      </c>
      <c r="K1482" s="1">
        <v>4</v>
      </c>
      <c r="L1482" s="24">
        <v>1</v>
      </c>
      <c r="M1482" s="24">
        <v>19.664999999999999</v>
      </c>
      <c r="N1482" s="21">
        <f t="shared" si="70"/>
        <v>0.51036866359447008</v>
      </c>
      <c r="P1482" s="1">
        <v>10</v>
      </c>
      <c r="Q1482" s="24">
        <v>2.4839999999999982</v>
      </c>
      <c r="R1482" s="24">
        <v>18.216000000000001</v>
      </c>
      <c r="S1482" s="21">
        <f t="shared" si="71"/>
        <v>0.399078341013825</v>
      </c>
    </row>
    <row r="1483" spans="2:19" ht="11.4" customHeight="1" x14ac:dyDescent="0.2">
      <c r="B1483" s="24"/>
      <c r="C1483" s="7">
        <v>34969</v>
      </c>
      <c r="D1483" s="18" t="s">
        <v>1557</v>
      </c>
      <c r="E1483" s="18" t="s">
        <v>1435</v>
      </c>
      <c r="F1483" s="17">
        <v>28</v>
      </c>
      <c r="G1483" s="18" t="s">
        <v>23</v>
      </c>
      <c r="H1483" s="17">
        <v>18.899999999999999</v>
      </c>
      <c r="I1483" s="8">
        <v>21.1</v>
      </c>
      <c r="J1483" s="21">
        <f t="shared" si="69"/>
        <v>0.11640211640211656</v>
      </c>
      <c r="K1483" s="1">
        <v>4</v>
      </c>
      <c r="L1483" s="24">
        <v>1</v>
      </c>
      <c r="M1483" s="24">
        <v>20.045000000000002</v>
      </c>
      <c r="N1483" s="21">
        <f t="shared" si="70"/>
        <v>6.0582010582010751E-2</v>
      </c>
      <c r="P1483" s="1">
        <v>10</v>
      </c>
      <c r="Q1483" s="24">
        <v>2.532</v>
      </c>
      <c r="R1483" s="24">
        <v>18.568000000000001</v>
      </c>
      <c r="S1483" s="21">
        <f t="shared" si="71"/>
        <v>-1.7566137566137417E-2</v>
      </c>
    </row>
    <row r="1484" spans="2:19" ht="11.4" customHeight="1" x14ac:dyDescent="0.2">
      <c r="B1484" s="24"/>
      <c r="C1484" s="7">
        <v>19072</v>
      </c>
      <c r="D1484" s="18" t="s">
        <v>1558</v>
      </c>
      <c r="E1484" s="18" t="s">
        <v>1435</v>
      </c>
      <c r="F1484" s="17">
        <v>24</v>
      </c>
      <c r="G1484" s="18" t="s">
        <v>23</v>
      </c>
      <c r="H1484" s="17">
        <v>13.5</v>
      </c>
      <c r="I1484" s="8">
        <v>16.399999999999999</v>
      </c>
      <c r="J1484" s="21">
        <f t="shared" si="69"/>
        <v>0.21481481481481471</v>
      </c>
      <c r="K1484" s="1">
        <v>4</v>
      </c>
      <c r="L1484" s="24">
        <v>0.8</v>
      </c>
      <c r="M1484" s="24">
        <v>15.579999999999998</v>
      </c>
      <c r="N1484" s="21">
        <f t="shared" si="70"/>
        <v>0.15407407407407395</v>
      </c>
      <c r="P1484" s="1">
        <v>10</v>
      </c>
      <c r="Q1484" s="24">
        <v>1.968</v>
      </c>
      <c r="R1484" s="24">
        <v>14.431999999999999</v>
      </c>
      <c r="S1484" s="21">
        <f t="shared" si="71"/>
        <v>6.9037037037036939E-2</v>
      </c>
    </row>
    <row r="1485" spans="2:19" ht="11.4" customHeight="1" x14ac:dyDescent="0.2">
      <c r="B1485" s="24"/>
      <c r="C1485" s="7">
        <v>37888</v>
      </c>
      <c r="D1485" s="18" t="s">
        <v>1559</v>
      </c>
      <c r="E1485" s="18" t="s">
        <v>1435</v>
      </c>
      <c r="F1485" s="17">
        <v>35</v>
      </c>
      <c r="G1485" s="18" t="s">
        <v>23</v>
      </c>
      <c r="H1485" s="17">
        <v>8.9</v>
      </c>
      <c r="I1485" s="8">
        <v>12.3</v>
      </c>
      <c r="J1485" s="21">
        <f t="shared" si="69"/>
        <v>0.3820224719101124</v>
      </c>
      <c r="K1485" s="1">
        <v>4</v>
      </c>
      <c r="L1485" s="24">
        <v>0.6</v>
      </c>
      <c r="M1485" s="24">
        <v>11.685</v>
      </c>
      <c r="N1485" s="21">
        <f t="shared" si="70"/>
        <v>0.31292134831460672</v>
      </c>
      <c r="P1485" s="1">
        <v>10</v>
      </c>
      <c r="Q1485" s="24">
        <v>1.4760000000000009</v>
      </c>
      <c r="R1485" s="24">
        <v>10.824</v>
      </c>
      <c r="S1485" s="21">
        <f t="shared" si="71"/>
        <v>0.21617977528089882</v>
      </c>
    </row>
    <row r="1486" spans="2:19" ht="11.4" customHeight="1" x14ac:dyDescent="0.2">
      <c r="B1486" s="24"/>
      <c r="C1486" s="7">
        <v>39036</v>
      </c>
      <c r="D1486" s="18" t="s">
        <v>1560</v>
      </c>
      <c r="E1486" s="18" t="s">
        <v>1390</v>
      </c>
      <c r="F1486" s="17">
        <v>50</v>
      </c>
      <c r="G1486" s="18" t="s">
        <v>23</v>
      </c>
      <c r="H1486" s="17">
        <v>25.9</v>
      </c>
      <c r="I1486" s="8">
        <v>35.200000000000003</v>
      </c>
      <c r="J1486" s="21">
        <f t="shared" si="69"/>
        <v>0.35907335907335924</v>
      </c>
      <c r="K1486" s="1">
        <v>4</v>
      </c>
      <c r="L1486" s="24">
        <v>1.7</v>
      </c>
      <c r="M1486" s="24">
        <v>33.44</v>
      </c>
      <c r="N1486" s="21">
        <f t="shared" si="70"/>
        <v>0.2911196911196911</v>
      </c>
      <c r="P1486" s="1">
        <v>10</v>
      </c>
      <c r="Q1486" s="24">
        <v>4.2240000000000002</v>
      </c>
      <c r="R1486" s="24">
        <v>30.976000000000003</v>
      </c>
      <c r="S1486" s="21">
        <f t="shared" si="71"/>
        <v>0.19598455598455616</v>
      </c>
    </row>
    <row r="1487" spans="2:19" ht="11.4" customHeight="1" x14ac:dyDescent="0.2">
      <c r="B1487" s="24"/>
      <c r="C1487" s="7">
        <v>44406</v>
      </c>
      <c r="D1487" s="18" t="s">
        <v>1561</v>
      </c>
      <c r="E1487" s="18" t="s">
        <v>1390</v>
      </c>
      <c r="F1487" s="17">
        <v>20</v>
      </c>
      <c r="G1487" s="18" t="s">
        <v>23</v>
      </c>
      <c r="H1487" s="17">
        <v>15.23</v>
      </c>
      <c r="I1487" s="8">
        <v>22.5</v>
      </c>
      <c r="J1487" s="21">
        <f t="shared" si="69"/>
        <v>0.47734734077478658</v>
      </c>
      <c r="K1487" s="1">
        <v>4</v>
      </c>
      <c r="L1487" s="24">
        <v>1.1000000000000001</v>
      </c>
      <c r="M1487" s="24">
        <v>21.375</v>
      </c>
      <c r="N1487" s="21">
        <f t="shared" si="70"/>
        <v>0.40347997373604721</v>
      </c>
      <c r="P1487" s="1">
        <v>10</v>
      </c>
      <c r="Q1487" s="24">
        <v>2.6999999999999993</v>
      </c>
      <c r="R1487" s="24">
        <v>19.8</v>
      </c>
      <c r="S1487" s="21">
        <f t="shared" si="71"/>
        <v>0.30006565988181222</v>
      </c>
    </row>
    <row r="1488" spans="2:19" ht="11.4" customHeight="1" x14ac:dyDescent="0.2">
      <c r="B1488" s="24"/>
      <c r="C1488" s="7">
        <v>45499</v>
      </c>
      <c r="D1488" s="18" t="s">
        <v>1562</v>
      </c>
      <c r="E1488" s="18" t="s">
        <v>1390</v>
      </c>
      <c r="F1488" s="17">
        <v>25</v>
      </c>
      <c r="G1488" s="18" t="s">
        <v>23</v>
      </c>
      <c r="H1488" s="17">
        <v>7.63</v>
      </c>
      <c r="I1488" s="8">
        <v>14.9</v>
      </c>
      <c r="J1488" s="21">
        <f t="shared" si="69"/>
        <v>0.95281782437745743</v>
      </c>
      <c r="K1488" s="1">
        <v>4</v>
      </c>
      <c r="L1488" s="24">
        <v>0.7</v>
      </c>
      <c r="M1488" s="24">
        <v>14.154999999999999</v>
      </c>
      <c r="N1488" s="21">
        <f t="shared" si="70"/>
        <v>0.85517693315858445</v>
      </c>
      <c r="P1488" s="1">
        <v>10</v>
      </c>
      <c r="Q1488" s="24">
        <v>1.7880000000000003</v>
      </c>
      <c r="R1488" s="24">
        <v>13.112</v>
      </c>
      <c r="S1488" s="21">
        <f t="shared" si="71"/>
        <v>0.71847968545216256</v>
      </c>
    </row>
    <row r="1489" spans="2:19" ht="11.4" customHeight="1" x14ac:dyDescent="0.2">
      <c r="B1489" s="24"/>
      <c r="C1489" s="7">
        <v>45497</v>
      </c>
      <c r="D1489" s="18" t="s">
        <v>1563</v>
      </c>
      <c r="E1489" s="18" t="s">
        <v>1390</v>
      </c>
      <c r="F1489" s="17">
        <v>25</v>
      </c>
      <c r="G1489" s="18" t="s">
        <v>23</v>
      </c>
      <c r="H1489" s="17">
        <v>7.63</v>
      </c>
      <c r="I1489" s="8">
        <v>14.9</v>
      </c>
      <c r="J1489" s="21">
        <f t="shared" si="69"/>
        <v>0.95281782437745743</v>
      </c>
      <c r="K1489" s="1">
        <v>4</v>
      </c>
      <c r="L1489" s="24">
        <v>0.7</v>
      </c>
      <c r="M1489" s="24">
        <v>14.154999999999999</v>
      </c>
      <c r="N1489" s="21">
        <f t="shared" si="70"/>
        <v>0.85517693315858445</v>
      </c>
      <c r="P1489" s="1">
        <v>10</v>
      </c>
      <c r="Q1489" s="24">
        <v>1.7880000000000003</v>
      </c>
      <c r="R1489" s="24">
        <v>13.112</v>
      </c>
      <c r="S1489" s="21">
        <f t="shared" si="71"/>
        <v>0.71847968545216256</v>
      </c>
    </row>
    <row r="1490" spans="2:19" ht="11.4" customHeight="1" x14ac:dyDescent="0.2">
      <c r="B1490" s="24"/>
      <c r="C1490" s="7">
        <v>45500</v>
      </c>
      <c r="D1490" s="18" t="s">
        <v>1564</v>
      </c>
      <c r="E1490" s="18" t="s">
        <v>1390</v>
      </c>
      <c r="F1490" s="17">
        <v>25</v>
      </c>
      <c r="G1490" s="18" t="s">
        <v>23</v>
      </c>
      <c r="H1490" s="17">
        <v>7.63</v>
      </c>
      <c r="I1490" s="8">
        <v>14.9</v>
      </c>
      <c r="J1490" s="21">
        <f t="shared" si="69"/>
        <v>0.95281782437745743</v>
      </c>
      <c r="K1490" s="1">
        <v>4</v>
      </c>
      <c r="L1490" s="24">
        <v>0.7</v>
      </c>
      <c r="M1490" s="24">
        <v>14.154999999999999</v>
      </c>
      <c r="N1490" s="21">
        <f t="shared" si="70"/>
        <v>0.85517693315858445</v>
      </c>
      <c r="P1490" s="1">
        <v>10</v>
      </c>
      <c r="Q1490" s="24">
        <v>1.7880000000000003</v>
      </c>
      <c r="R1490" s="24">
        <v>13.112</v>
      </c>
      <c r="S1490" s="21">
        <f t="shared" si="71"/>
        <v>0.71847968545216256</v>
      </c>
    </row>
    <row r="1491" spans="2:19" ht="11.4" customHeight="1" x14ac:dyDescent="0.2">
      <c r="B1491" s="24"/>
      <c r="C1491" s="7">
        <v>45496</v>
      </c>
      <c r="D1491" s="18" t="s">
        <v>1565</v>
      </c>
      <c r="E1491" s="18" t="s">
        <v>1390</v>
      </c>
      <c r="F1491" s="17">
        <v>25</v>
      </c>
      <c r="G1491" s="18" t="s">
        <v>23</v>
      </c>
      <c r="H1491" s="17">
        <v>7.63</v>
      </c>
      <c r="I1491" s="8">
        <v>14.9</v>
      </c>
      <c r="J1491" s="21">
        <f t="shared" si="69"/>
        <v>0.95281782437745743</v>
      </c>
      <c r="K1491" s="1">
        <v>4</v>
      </c>
      <c r="L1491" s="24">
        <v>0.7</v>
      </c>
      <c r="M1491" s="24">
        <v>14.154999999999999</v>
      </c>
      <c r="N1491" s="21">
        <f t="shared" si="70"/>
        <v>0.85517693315858445</v>
      </c>
      <c r="P1491" s="1">
        <v>10</v>
      </c>
      <c r="Q1491" s="24">
        <v>1.7880000000000003</v>
      </c>
      <c r="R1491" s="24">
        <v>13.112</v>
      </c>
      <c r="S1491" s="21">
        <f t="shared" si="71"/>
        <v>0.71847968545216256</v>
      </c>
    </row>
    <row r="1492" spans="2:19" ht="11.4" customHeight="1" x14ac:dyDescent="0.2">
      <c r="B1492" s="24"/>
      <c r="C1492" s="7">
        <v>45498</v>
      </c>
      <c r="D1492" s="18" t="s">
        <v>1566</v>
      </c>
      <c r="E1492" s="18" t="s">
        <v>1390</v>
      </c>
      <c r="F1492" s="17">
        <v>25</v>
      </c>
      <c r="G1492" s="18" t="s">
        <v>23</v>
      </c>
      <c r="H1492" s="17">
        <v>7.63</v>
      </c>
      <c r="I1492" s="8">
        <v>14.9</v>
      </c>
      <c r="J1492" s="21">
        <f t="shared" si="69"/>
        <v>0.95281782437745743</v>
      </c>
      <c r="K1492" s="1">
        <v>4</v>
      </c>
      <c r="L1492" s="24">
        <v>0.7</v>
      </c>
      <c r="M1492" s="24">
        <v>14.154999999999999</v>
      </c>
      <c r="N1492" s="21">
        <f t="shared" si="70"/>
        <v>0.85517693315858445</v>
      </c>
      <c r="P1492" s="1">
        <v>10</v>
      </c>
      <c r="Q1492" s="24">
        <v>1.7880000000000003</v>
      </c>
      <c r="R1492" s="24">
        <v>13.112</v>
      </c>
      <c r="S1492" s="21">
        <f t="shared" si="71"/>
        <v>0.71847968545216256</v>
      </c>
    </row>
    <row r="1493" spans="2:19" ht="11.4" customHeight="1" x14ac:dyDescent="0.2">
      <c r="B1493" s="24"/>
      <c r="C1493" s="7">
        <v>38405</v>
      </c>
      <c r="D1493" s="18" t="s">
        <v>1567</v>
      </c>
      <c r="E1493" s="18" t="s">
        <v>1568</v>
      </c>
      <c r="F1493" s="17">
        <v>10</v>
      </c>
      <c r="G1493" s="18" t="s">
        <v>23</v>
      </c>
      <c r="H1493" s="17">
        <v>149.5</v>
      </c>
      <c r="I1493" s="8">
        <v>179.9</v>
      </c>
      <c r="J1493" s="21">
        <f t="shared" si="69"/>
        <v>0.20334448160535121</v>
      </c>
      <c r="K1493" s="1">
        <v>4</v>
      </c>
      <c r="L1493" s="24">
        <v>8.9</v>
      </c>
      <c r="M1493" s="24">
        <v>170.905</v>
      </c>
      <c r="N1493" s="21">
        <f t="shared" si="70"/>
        <v>0.14317725752508362</v>
      </c>
      <c r="P1493" s="1">
        <v>10</v>
      </c>
      <c r="Q1493" s="24">
        <v>21.587999999999994</v>
      </c>
      <c r="R1493" s="24">
        <v>158.31200000000001</v>
      </c>
      <c r="S1493" s="21">
        <f t="shared" si="71"/>
        <v>5.8943143812709112E-2</v>
      </c>
    </row>
    <row r="1494" spans="2:19" ht="11.4" customHeight="1" x14ac:dyDescent="0.2">
      <c r="B1494" s="24"/>
      <c r="C1494" s="7">
        <v>38406</v>
      </c>
      <c r="D1494" s="18" t="s">
        <v>1569</v>
      </c>
      <c r="E1494" s="18" t="s">
        <v>1568</v>
      </c>
      <c r="F1494" s="17">
        <v>10</v>
      </c>
      <c r="G1494" s="18" t="s">
        <v>23</v>
      </c>
      <c r="H1494" s="17">
        <v>149.5</v>
      </c>
      <c r="I1494" s="8">
        <v>179.9</v>
      </c>
      <c r="J1494" s="21">
        <f t="shared" si="69"/>
        <v>0.20334448160535121</v>
      </c>
      <c r="K1494" s="1">
        <v>4</v>
      </c>
      <c r="L1494" s="24">
        <v>8.9</v>
      </c>
      <c r="M1494" s="24">
        <v>170.905</v>
      </c>
      <c r="N1494" s="21">
        <f t="shared" si="70"/>
        <v>0.14317725752508362</v>
      </c>
      <c r="P1494" s="1">
        <v>10</v>
      </c>
      <c r="Q1494" s="24">
        <v>21.587999999999994</v>
      </c>
      <c r="R1494" s="24">
        <v>158.31200000000001</v>
      </c>
      <c r="S1494" s="21">
        <f t="shared" si="71"/>
        <v>5.8943143812709112E-2</v>
      </c>
    </row>
    <row r="1495" spans="2:19" ht="11.4" customHeight="1" x14ac:dyDescent="0.2">
      <c r="B1495" s="24"/>
      <c r="C1495" s="7">
        <v>39007</v>
      </c>
      <c r="D1495" s="18" t="s">
        <v>1570</v>
      </c>
      <c r="E1495" s="18" t="s">
        <v>1571</v>
      </c>
      <c r="F1495" s="17">
        <v>40</v>
      </c>
      <c r="G1495" s="18" t="s">
        <v>23</v>
      </c>
      <c r="H1495" s="17">
        <v>33.5</v>
      </c>
      <c r="I1495" s="8">
        <v>45.9</v>
      </c>
      <c r="J1495" s="21">
        <f t="shared" si="69"/>
        <v>0.37014925373134322</v>
      </c>
      <c r="K1495" s="1">
        <v>4</v>
      </c>
      <c r="L1495" s="24">
        <v>2.2000000000000002</v>
      </c>
      <c r="M1495" s="24">
        <v>43.604999999999997</v>
      </c>
      <c r="N1495" s="21">
        <f t="shared" si="70"/>
        <v>0.30164179104477601</v>
      </c>
      <c r="P1495" s="1">
        <v>10</v>
      </c>
      <c r="Q1495" s="24">
        <v>5.5080000000000027</v>
      </c>
      <c r="R1495" s="24">
        <v>40.391999999999996</v>
      </c>
      <c r="S1495" s="21">
        <f t="shared" si="71"/>
        <v>0.20573134328358197</v>
      </c>
    </row>
    <row r="1496" spans="2:19" ht="11.4" customHeight="1" x14ac:dyDescent="0.2">
      <c r="B1496" s="24"/>
      <c r="C1496" s="7">
        <v>38404</v>
      </c>
      <c r="D1496" s="18" t="s">
        <v>1572</v>
      </c>
      <c r="E1496" s="18" t="s">
        <v>1390</v>
      </c>
      <c r="F1496" s="17">
        <v>10</v>
      </c>
      <c r="G1496" s="18" t="s">
        <v>23</v>
      </c>
      <c r="H1496" s="17">
        <v>149.5</v>
      </c>
      <c r="I1496" s="8">
        <v>179.9</v>
      </c>
      <c r="J1496" s="21">
        <f t="shared" si="69"/>
        <v>0.20334448160535121</v>
      </c>
      <c r="K1496" s="1">
        <v>4</v>
      </c>
      <c r="L1496" s="24">
        <v>8.9</v>
      </c>
      <c r="M1496" s="24">
        <v>170.905</v>
      </c>
      <c r="N1496" s="21">
        <f t="shared" si="70"/>
        <v>0.14317725752508362</v>
      </c>
      <c r="P1496" s="1">
        <v>10</v>
      </c>
      <c r="Q1496" s="24">
        <v>21.587999999999994</v>
      </c>
      <c r="R1496" s="24">
        <v>158.31200000000001</v>
      </c>
      <c r="S1496" s="21">
        <f t="shared" si="71"/>
        <v>5.8943143812709112E-2</v>
      </c>
    </row>
    <row r="1497" spans="2:19" ht="11.4" customHeight="1" x14ac:dyDescent="0.2">
      <c r="B1497" s="24"/>
      <c r="C1497" s="7">
        <v>38399</v>
      </c>
      <c r="D1497" s="18" t="s">
        <v>1573</v>
      </c>
      <c r="E1497" s="18" t="s">
        <v>1390</v>
      </c>
      <c r="F1497" s="17">
        <v>10</v>
      </c>
      <c r="G1497" s="18" t="s">
        <v>23</v>
      </c>
      <c r="H1497" s="17">
        <v>62.1</v>
      </c>
      <c r="I1497" s="8">
        <v>72</v>
      </c>
      <c r="J1497" s="21">
        <f t="shared" si="69"/>
        <v>0.15942028985507245</v>
      </c>
      <c r="K1497" s="1">
        <v>4</v>
      </c>
      <c r="L1497" s="24">
        <v>3.6</v>
      </c>
      <c r="M1497" s="24">
        <v>68.399999999999991</v>
      </c>
      <c r="N1497" s="21">
        <f t="shared" si="70"/>
        <v>0.10144927536231868</v>
      </c>
      <c r="P1497" s="1">
        <v>10</v>
      </c>
      <c r="Q1497" s="24">
        <v>8.64</v>
      </c>
      <c r="R1497" s="24">
        <v>63.36</v>
      </c>
      <c r="S1497" s="21">
        <f t="shared" si="71"/>
        <v>2.0289855072463735E-2</v>
      </c>
    </row>
    <row r="1498" spans="2:19" ht="11.4" customHeight="1" x14ac:dyDescent="0.2">
      <c r="B1498" s="24"/>
      <c r="C1498" s="7">
        <v>38395</v>
      </c>
      <c r="D1498" s="18" t="s">
        <v>1574</v>
      </c>
      <c r="E1498" s="18" t="s">
        <v>1390</v>
      </c>
      <c r="F1498" s="17">
        <v>22</v>
      </c>
      <c r="G1498" s="18" t="s">
        <v>23</v>
      </c>
      <c r="H1498" s="17">
        <v>24.9</v>
      </c>
      <c r="I1498" s="8">
        <v>29.9</v>
      </c>
      <c r="J1498" s="21">
        <f t="shared" si="69"/>
        <v>0.20080321285140562</v>
      </c>
      <c r="K1498" s="1">
        <v>4</v>
      </c>
      <c r="L1498" s="24">
        <v>1.4</v>
      </c>
      <c r="M1498" s="24">
        <v>28.404999999999998</v>
      </c>
      <c r="N1498" s="21">
        <f t="shared" si="70"/>
        <v>0.14076305220883531</v>
      </c>
      <c r="P1498" s="1">
        <v>10</v>
      </c>
      <c r="Q1498" s="24">
        <v>3.588000000000001</v>
      </c>
      <c r="R1498" s="24">
        <v>26.311999999999998</v>
      </c>
      <c r="S1498" s="21">
        <f t="shared" si="71"/>
        <v>5.6706827309236915E-2</v>
      </c>
    </row>
    <row r="1499" spans="2:19" ht="11.4" customHeight="1" x14ac:dyDescent="0.2">
      <c r="B1499" s="24"/>
      <c r="C1499" s="7">
        <v>38396</v>
      </c>
      <c r="D1499" s="18" t="s">
        <v>1575</v>
      </c>
      <c r="E1499" s="18" t="s">
        <v>1390</v>
      </c>
      <c r="F1499" s="17">
        <v>22</v>
      </c>
      <c r="G1499" s="18" t="s">
        <v>23</v>
      </c>
      <c r="H1499" s="17">
        <v>24.9</v>
      </c>
      <c r="I1499" s="8">
        <v>29.9</v>
      </c>
      <c r="J1499" s="21">
        <f t="shared" si="69"/>
        <v>0.20080321285140562</v>
      </c>
      <c r="K1499" s="1">
        <v>4</v>
      </c>
      <c r="L1499" s="24">
        <v>1.4</v>
      </c>
      <c r="M1499" s="24">
        <v>28.404999999999998</v>
      </c>
      <c r="N1499" s="21">
        <f t="shared" si="70"/>
        <v>0.14076305220883531</v>
      </c>
      <c r="P1499" s="1">
        <v>10</v>
      </c>
      <c r="Q1499" s="24">
        <v>3.588000000000001</v>
      </c>
      <c r="R1499" s="24">
        <v>26.311999999999998</v>
      </c>
      <c r="S1499" s="21">
        <f t="shared" si="71"/>
        <v>5.6706827309236915E-2</v>
      </c>
    </row>
    <row r="1500" spans="2:19" ht="11.4" customHeight="1" x14ac:dyDescent="0.2">
      <c r="B1500" s="24"/>
      <c r="C1500" s="7">
        <v>38397</v>
      </c>
      <c r="D1500" s="18" t="s">
        <v>1576</v>
      </c>
      <c r="E1500" s="18" t="s">
        <v>1390</v>
      </c>
      <c r="F1500" s="17">
        <v>22</v>
      </c>
      <c r="G1500" s="18" t="s">
        <v>23</v>
      </c>
      <c r="H1500" s="17">
        <v>24.9</v>
      </c>
      <c r="I1500" s="8">
        <v>29.9</v>
      </c>
      <c r="J1500" s="21">
        <f t="shared" si="69"/>
        <v>0.20080321285140562</v>
      </c>
      <c r="K1500" s="1">
        <v>4</v>
      </c>
      <c r="L1500" s="24">
        <v>1.4</v>
      </c>
      <c r="M1500" s="24">
        <v>28.404999999999998</v>
      </c>
      <c r="N1500" s="21">
        <f t="shared" si="70"/>
        <v>0.14076305220883531</v>
      </c>
      <c r="P1500" s="1">
        <v>10</v>
      </c>
      <c r="Q1500" s="24">
        <v>3.588000000000001</v>
      </c>
      <c r="R1500" s="24">
        <v>26.311999999999998</v>
      </c>
      <c r="S1500" s="21">
        <f t="shared" si="71"/>
        <v>5.6706827309236915E-2</v>
      </c>
    </row>
    <row r="1501" spans="2:19" ht="11.4" customHeight="1" x14ac:dyDescent="0.2">
      <c r="B1501" s="24"/>
      <c r="C1501" s="7">
        <v>38398</v>
      </c>
      <c r="D1501" s="18" t="s">
        <v>1577</v>
      </c>
      <c r="E1501" s="18" t="s">
        <v>1390</v>
      </c>
      <c r="F1501" s="17">
        <v>22</v>
      </c>
      <c r="G1501" s="18" t="s">
        <v>23</v>
      </c>
      <c r="H1501" s="17">
        <v>24.9</v>
      </c>
      <c r="I1501" s="8">
        <v>29.9</v>
      </c>
      <c r="J1501" s="21">
        <f t="shared" si="69"/>
        <v>0.20080321285140562</v>
      </c>
      <c r="K1501" s="1">
        <v>4</v>
      </c>
      <c r="L1501" s="24">
        <v>1.4</v>
      </c>
      <c r="M1501" s="24">
        <v>28.404999999999998</v>
      </c>
      <c r="N1501" s="21">
        <f t="shared" si="70"/>
        <v>0.14076305220883531</v>
      </c>
      <c r="P1501" s="1">
        <v>10</v>
      </c>
      <c r="Q1501" s="24">
        <v>3.588000000000001</v>
      </c>
      <c r="R1501" s="24">
        <v>26.311999999999998</v>
      </c>
      <c r="S1501" s="21">
        <f t="shared" si="71"/>
        <v>5.6706827309236915E-2</v>
      </c>
    </row>
    <row r="1502" spans="2:19" ht="11.4" customHeight="1" x14ac:dyDescent="0.2">
      <c r="B1502" s="24"/>
      <c r="C1502" s="7">
        <v>37898</v>
      </c>
      <c r="D1502" s="18" t="s">
        <v>1578</v>
      </c>
      <c r="E1502" s="18" t="s">
        <v>1390</v>
      </c>
      <c r="F1502" s="17">
        <v>35</v>
      </c>
      <c r="G1502" s="18" t="s">
        <v>23</v>
      </c>
      <c r="H1502" s="17">
        <v>23.9</v>
      </c>
      <c r="I1502" s="8">
        <v>23.9</v>
      </c>
      <c r="J1502" s="21">
        <f t="shared" si="69"/>
        <v>0</v>
      </c>
      <c r="K1502" s="1">
        <v>4</v>
      </c>
      <c r="L1502" s="24">
        <v>1.1000000000000001</v>
      </c>
      <c r="M1502" s="24">
        <v>22.704999999999998</v>
      </c>
      <c r="N1502" s="21">
        <f t="shared" si="70"/>
        <v>-5.0000000000000017E-2</v>
      </c>
      <c r="P1502" s="1">
        <v>10</v>
      </c>
      <c r="Q1502" s="24">
        <v>2.8679999999999986</v>
      </c>
      <c r="R1502" s="24">
        <v>21.032</v>
      </c>
      <c r="S1502" s="21">
        <f t="shared" si="71"/>
        <v>-0.11999999999999994</v>
      </c>
    </row>
    <row r="1503" spans="2:19" ht="11.4" customHeight="1" x14ac:dyDescent="0.2">
      <c r="B1503" s="24"/>
      <c r="C1503" s="7">
        <v>9085</v>
      </c>
      <c r="D1503" s="18" t="s">
        <v>1579</v>
      </c>
      <c r="E1503" s="18" t="s">
        <v>1390</v>
      </c>
      <c r="F1503" s="17">
        <v>24</v>
      </c>
      <c r="G1503" s="18" t="s">
        <v>23</v>
      </c>
      <c r="H1503" s="17">
        <v>36.5</v>
      </c>
      <c r="I1503" s="8">
        <v>43.5</v>
      </c>
      <c r="J1503" s="21">
        <f t="shared" si="69"/>
        <v>0.19178082191780821</v>
      </c>
      <c r="K1503" s="1">
        <v>4</v>
      </c>
      <c r="L1503" s="24">
        <v>2.1</v>
      </c>
      <c r="M1503" s="24">
        <v>41.324999999999996</v>
      </c>
      <c r="N1503" s="21">
        <f t="shared" si="70"/>
        <v>0.13219178082191768</v>
      </c>
      <c r="P1503" s="1">
        <v>10</v>
      </c>
      <c r="Q1503" s="24">
        <v>5.2199999999999989</v>
      </c>
      <c r="R1503" s="24">
        <v>38.28</v>
      </c>
      <c r="S1503" s="21">
        <f t="shared" si="71"/>
        <v>4.8767123287671264E-2</v>
      </c>
    </row>
    <row r="1504" spans="2:19" ht="11.4" customHeight="1" x14ac:dyDescent="0.2">
      <c r="B1504" s="24"/>
      <c r="C1504" s="7">
        <v>39319</v>
      </c>
      <c r="D1504" s="18" t="s">
        <v>1580</v>
      </c>
      <c r="E1504" s="18" t="s">
        <v>1390</v>
      </c>
      <c r="F1504" s="17">
        <v>6</v>
      </c>
      <c r="G1504" s="18" t="s">
        <v>23</v>
      </c>
      <c r="H1504" s="17">
        <v>105.5</v>
      </c>
      <c r="I1504" s="8">
        <v>136.6</v>
      </c>
      <c r="J1504" s="21">
        <f t="shared" si="69"/>
        <v>0.29478672985781984</v>
      </c>
      <c r="K1504" s="1">
        <v>4</v>
      </c>
      <c r="L1504" s="24">
        <v>6.8</v>
      </c>
      <c r="M1504" s="24">
        <v>129.76999999999998</v>
      </c>
      <c r="N1504" s="21">
        <f t="shared" si="70"/>
        <v>0.23004739336492874</v>
      </c>
      <c r="P1504" s="1">
        <v>10</v>
      </c>
      <c r="Q1504" s="24">
        <v>16.391999999999996</v>
      </c>
      <c r="R1504" s="24">
        <v>120.208</v>
      </c>
      <c r="S1504" s="21">
        <f t="shared" si="71"/>
        <v>0.13941232227488151</v>
      </c>
    </row>
    <row r="1505" spans="2:19" ht="11.4" customHeight="1" x14ac:dyDescent="0.2">
      <c r="B1505" s="24"/>
      <c r="C1505" s="7">
        <v>9045</v>
      </c>
      <c r="D1505" s="18" t="s">
        <v>1581</v>
      </c>
      <c r="E1505" s="18" t="s">
        <v>1390</v>
      </c>
      <c r="F1505" s="17">
        <v>24</v>
      </c>
      <c r="G1505" s="18" t="s">
        <v>23</v>
      </c>
      <c r="H1505" s="17">
        <v>20.399999999999999</v>
      </c>
      <c r="I1505" s="8">
        <v>24.5</v>
      </c>
      <c r="J1505" s="21">
        <f t="shared" si="69"/>
        <v>0.20098039215686284</v>
      </c>
      <c r="K1505" s="1">
        <v>4</v>
      </c>
      <c r="L1505" s="24">
        <v>1.2</v>
      </c>
      <c r="M1505" s="24">
        <v>23.274999999999999</v>
      </c>
      <c r="N1505" s="21">
        <f t="shared" si="70"/>
        <v>0.14093137254901961</v>
      </c>
      <c r="P1505" s="1">
        <v>10</v>
      </c>
      <c r="Q1505" s="24">
        <v>2.9400000000000013</v>
      </c>
      <c r="R1505" s="24">
        <v>21.56</v>
      </c>
      <c r="S1505" s="21">
        <f t="shared" si="71"/>
        <v>5.6862745098039229E-2</v>
      </c>
    </row>
    <row r="1506" spans="2:19" ht="11.4" customHeight="1" x14ac:dyDescent="0.2">
      <c r="B1506" s="24"/>
      <c r="C1506" s="7">
        <v>5642</v>
      </c>
      <c r="D1506" s="18" t="s">
        <v>1582</v>
      </c>
      <c r="E1506" s="18" t="s">
        <v>1435</v>
      </c>
      <c r="F1506" s="17">
        <v>56</v>
      </c>
      <c r="G1506" s="18" t="s">
        <v>23</v>
      </c>
      <c r="H1506" s="17">
        <v>12.5</v>
      </c>
      <c r="I1506" s="8">
        <v>16</v>
      </c>
      <c r="J1506" s="21">
        <f t="shared" si="69"/>
        <v>0.28000000000000003</v>
      </c>
      <c r="K1506" s="1">
        <v>4</v>
      </c>
      <c r="L1506" s="24">
        <v>0.8</v>
      </c>
      <c r="M1506" s="24">
        <v>15.2</v>
      </c>
      <c r="N1506" s="21">
        <f t="shared" si="70"/>
        <v>0.21599999999999994</v>
      </c>
      <c r="P1506" s="1">
        <v>10</v>
      </c>
      <c r="Q1506" s="24">
        <v>1.92</v>
      </c>
      <c r="R1506" s="24">
        <v>14.08</v>
      </c>
      <c r="S1506" s="21">
        <f t="shared" si="71"/>
        <v>0.12640000000000001</v>
      </c>
    </row>
    <row r="1507" spans="2:19" ht="11.4" customHeight="1" x14ac:dyDescent="0.2">
      <c r="B1507" s="24"/>
      <c r="C1507" s="7">
        <v>39306</v>
      </c>
      <c r="D1507" s="18" t="s">
        <v>1583</v>
      </c>
      <c r="E1507" s="18" t="s">
        <v>1390</v>
      </c>
      <c r="F1507" s="17">
        <v>8</v>
      </c>
      <c r="G1507" s="18" t="s">
        <v>23</v>
      </c>
      <c r="H1507" s="17">
        <v>199.9</v>
      </c>
      <c r="I1507" s="8">
        <v>245</v>
      </c>
      <c r="J1507" s="21">
        <f t="shared" si="69"/>
        <v>0.22561280640320155</v>
      </c>
      <c r="K1507" s="1">
        <v>4</v>
      </c>
      <c r="L1507" s="24">
        <v>12.2</v>
      </c>
      <c r="M1507" s="24">
        <v>232.75</v>
      </c>
      <c r="N1507" s="21">
        <f t="shared" si="70"/>
        <v>0.16433216608304149</v>
      </c>
      <c r="P1507" s="1">
        <v>10</v>
      </c>
      <c r="Q1507" s="24">
        <v>29.400000000000006</v>
      </c>
      <c r="R1507" s="24">
        <v>215.6</v>
      </c>
      <c r="S1507" s="21">
        <f t="shared" si="71"/>
        <v>7.8539269634817346E-2</v>
      </c>
    </row>
    <row r="1508" spans="2:19" ht="11.4" customHeight="1" x14ac:dyDescent="0.2">
      <c r="B1508" s="24"/>
      <c r="C1508" s="7">
        <v>39305</v>
      </c>
      <c r="D1508" s="18" t="s">
        <v>1584</v>
      </c>
      <c r="E1508" s="18" t="s">
        <v>1390</v>
      </c>
      <c r="F1508" s="17">
        <v>8</v>
      </c>
      <c r="G1508" s="18" t="s">
        <v>23</v>
      </c>
      <c r="H1508" s="17">
        <v>229.9</v>
      </c>
      <c r="I1508" s="8">
        <v>270</v>
      </c>
      <c r="J1508" s="21">
        <f t="shared" si="69"/>
        <v>0.17442366246193994</v>
      </c>
      <c r="K1508" s="1">
        <v>4</v>
      </c>
      <c r="L1508" s="24">
        <v>13.5</v>
      </c>
      <c r="M1508" s="24">
        <v>256.5</v>
      </c>
      <c r="N1508" s="21">
        <f t="shared" si="70"/>
        <v>0.11570247933884295</v>
      </c>
      <c r="P1508" s="1">
        <v>10</v>
      </c>
      <c r="Q1508" s="24">
        <v>32.400000000000006</v>
      </c>
      <c r="R1508" s="24">
        <v>237.6</v>
      </c>
      <c r="S1508" s="21">
        <f t="shared" si="71"/>
        <v>3.349282296650713E-2</v>
      </c>
    </row>
    <row r="1509" spans="2:19" ht="11.4" customHeight="1" x14ac:dyDescent="0.2">
      <c r="B1509" s="24"/>
      <c r="C1509" s="7">
        <v>39307</v>
      </c>
      <c r="D1509" s="18" t="s">
        <v>1585</v>
      </c>
      <c r="E1509" s="18" t="s">
        <v>1390</v>
      </c>
      <c r="F1509" s="17">
        <v>8</v>
      </c>
      <c r="G1509" s="18" t="s">
        <v>23</v>
      </c>
      <c r="H1509" s="17">
        <v>199.9</v>
      </c>
      <c r="I1509" s="8">
        <v>217</v>
      </c>
      <c r="J1509" s="21">
        <f t="shared" si="69"/>
        <v>8.5542771385692815E-2</v>
      </c>
      <c r="K1509" s="1">
        <v>4</v>
      </c>
      <c r="L1509" s="24">
        <v>10.8</v>
      </c>
      <c r="M1509" s="24">
        <v>206.14999999999998</v>
      </c>
      <c r="N1509" s="21">
        <f t="shared" si="70"/>
        <v>3.1265632816408061E-2</v>
      </c>
      <c r="P1509" s="1">
        <v>10</v>
      </c>
      <c r="Q1509" s="24">
        <v>26.039999999999992</v>
      </c>
      <c r="R1509" s="24">
        <v>190.96</v>
      </c>
      <c r="S1509" s="21">
        <f t="shared" si="71"/>
        <v>-4.4722361180590281E-2</v>
      </c>
    </row>
    <row r="1510" spans="2:19" ht="11.4" customHeight="1" x14ac:dyDescent="0.2">
      <c r="B1510" s="24"/>
      <c r="C1510" s="7">
        <v>39310</v>
      </c>
      <c r="D1510" s="18" t="s">
        <v>1586</v>
      </c>
      <c r="E1510" s="18" t="s">
        <v>1390</v>
      </c>
      <c r="F1510" s="17">
        <v>8</v>
      </c>
      <c r="G1510" s="18" t="s">
        <v>23</v>
      </c>
      <c r="H1510" s="17">
        <v>199.9</v>
      </c>
      <c r="I1510" s="8">
        <v>217</v>
      </c>
      <c r="J1510" s="21">
        <f t="shared" si="69"/>
        <v>8.5542771385692815E-2</v>
      </c>
      <c r="K1510" s="1">
        <v>4</v>
      </c>
      <c r="L1510" s="24">
        <v>10.8</v>
      </c>
      <c r="M1510" s="24">
        <v>206.14999999999998</v>
      </c>
      <c r="N1510" s="21">
        <f t="shared" si="70"/>
        <v>3.1265632816408061E-2</v>
      </c>
      <c r="P1510" s="1">
        <v>10</v>
      </c>
      <c r="Q1510" s="24">
        <v>26.039999999999992</v>
      </c>
      <c r="R1510" s="24">
        <v>190.96</v>
      </c>
      <c r="S1510" s="21">
        <f t="shared" si="71"/>
        <v>-4.4722361180590281E-2</v>
      </c>
    </row>
    <row r="1511" spans="2:19" ht="11.4" customHeight="1" x14ac:dyDescent="0.2">
      <c r="B1511" s="24"/>
      <c r="C1511" s="7">
        <v>43237</v>
      </c>
      <c r="D1511" s="18" t="s">
        <v>1587</v>
      </c>
      <c r="E1511" s="18" t="s">
        <v>1390</v>
      </c>
      <c r="F1511" s="18"/>
      <c r="G1511" s="18" t="s">
        <v>23</v>
      </c>
      <c r="H1511" s="18"/>
      <c r="I1511" s="8">
        <v>234.4</v>
      </c>
      <c r="J1511" s="21" t="e">
        <f t="shared" si="69"/>
        <v>#DIV/0!</v>
      </c>
      <c r="K1511" s="1">
        <v>4</v>
      </c>
      <c r="L1511" s="24">
        <v>11.7</v>
      </c>
      <c r="M1511" s="24">
        <v>222.68</v>
      </c>
      <c r="N1511" s="21" t="e">
        <f t="shared" si="70"/>
        <v>#DIV/0!</v>
      </c>
      <c r="P1511" s="1">
        <v>10</v>
      </c>
      <c r="Q1511" s="24">
        <v>28.127999999999986</v>
      </c>
      <c r="R1511" s="24">
        <v>206.27200000000002</v>
      </c>
      <c r="S1511" s="21" t="e">
        <f t="shared" si="71"/>
        <v>#DIV/0!</v>
      </c>
    </row>
    <row r="1512" spans="2:19" ht="11.4" customHeight="1" x14ac:dyDescent="0.2">
      <c r="B1512" s="24"/>
      <c r="C1512" s="7">
        <v>39308</v>
      </c>
      <c r="D1512" s="18" t="s">
        <v>1588</v>
      </c>
      <c r="E1512" s="18" t="s">
        <v>1390</v>
      </c>
      <c r="F1512" s="17">
        <v>8</v>
      </c>
      <c r="G1512" s="18" t="s">
        <v>23</v>
      </c>
      <c r="H1512" s="17">
        <v>199.9</v>
      </c>
      <c r="I1512" s="8">
        <v>217</v>
      </c>
      <c r="J1512" s="21">
        <f t="shared" si="69"/>
        <v>8.5542771385692815E-2</v>
      </c>
      <c r="K1512" s="1">
        <v>4</v>
      </c>
      <c r="L1512" s="24">
        <v>10.8</v>
      </c>
      <c r="M1512" s="24">
        <v>206.14999999999998</v>
      </c>
      <c r="N1512" s="21">
        <f t="shared" si="70"/>
        <v>3.1265632816408061E-2</v>
      </c>
      <c r="P1512" s="1">
        <v>10</v>
      </c>
      <c r="Q1512" s="24">
        <v>26.039999999999992</v>
      </c>
      <c r="R1512" s="24">
        <v>190.96</v>
      </c>
      <c r="S1512" s="21">
        <f t="shared" si="71"/>
        <v>-4.4722361180590281E-2</v>
      </c>
    </row>
    <row r="1513" spans="2:19" ht="11.4" customHeight="1" x14ac:dyDescent="0.2">
      <c r="B1513" s="24"/>
      <c r="C1513" s="7">
        <v>39008</v>
      </c>
      <c r="D1513" s="18" t="s">
        <v>1589</v>
      </c>
      <c r="E1513" s="18" t="s">
        <v>1538</v>
      </c>
      <c r="F1513" s="17">
        <v>50</v>
      </c>
      <c r="G1513" s="18" t="s">
        <v>23</v>
      </c>
      <c r="H1513" s="17">
        <v>28.5</v>
      </c>
      <c r="I1513" s="8">
        <v>32.9</v>
      </c>
      <c r="J1513" s="21">
        <f t="shared" si="69"/>
        <v>0.15438596491228065</v>
      </c>
      <c r="K1513" s="1">
        <v>4</v>
      </c>
      <c r="L1513" s="24">
        <v>1.6</v>
      </c>
      <c r="M1513" s="24">
        <v>31.254999999999995</v>
      </c>
      <c r="N1513" s="21">
        <f t="shared" si="70"/>
        <v>9.6666666666666512E-2</v>
      </c>
      <c r="P1513" s="1">
        <v>10</v>
      </c>
      <c r="Q1513" s="24">
        <v>3.9480000000000004</v>
      </c>
      <c r="R1513" s="24">
        <v>28.951999999999998</v>
      </c>
      <c r="S1513" s="21">
        <f t="shared" si="71"/>
        <v>1.5859649122806952E-2</v>
      </c>
    </row>
    <row r="1514" spans="2:19" ht="11.4" customHeight="1" x14ac:dyDescent="0.2">
      <c r="B1514" s="24"/>
      <c r="C1514" s="7">
        <v>927</v>
      </c>
      <c r="D1514" s="18" t="s">
        <v>1590</v>
      </c>
      <c r="E1514" s="18" t="s">
        <v>1538</v>
      </c>
      <c r="F1514" s="17">
        <v>20</v>
      </c>
      <c r="G1514" s="18" t="s">
        <v>23</v>
      </c>
      <c r="H1514" s="17">
        <v>11.5</v>
      </c>
      <c r="I1514" s="8">
        <v>12.9</v>
      </c>
      <c r="J1514" s="21">
        <f t="shared" si="69"/>
        <v>0.12173913043478264</v>
      </c>
      <c r="K1514" s="1">
        <v>4</v>
      </c>
      <c r="L1514" s="24">
        <v>0.6</v>
      </c>
      <c r="M1514" s="24">
        <v>12.254999999999999</v>
      </c>
      <c r="N1514" s="21">
        <f t="shared" si="70"/>
        <v>6.5652173913043385E-2</v>
      </c>
      <c r="P1514" s="1">
        <v>10</v>
      </c>
      <c r="Q1514" s="24">
        <v>1.548</v>
      </c>
      <c r="R1514" s="24">
        <v>11.352</v>
      </c>
      <c r="S1514" s="21">
        <f t="shared" si="71"/>
        <v>-1.2869565217391276E-2</v>
      </c>
    </row>
    <row r="1515" spans="2:19" ht="11.4" customHeight="1" x14ac:dyDescent="0.2">
      <c r="B1515" s="24"/>
      <c r="C1515" s="7">
        <v>42983</v>
      </c>
      <c r="D1515" s="18" t="s">
        <v>1591</v>
      </c>
      <c r="E1515" s="18" t="s">
        <v>1390</v>
      </c>
      <c r="F1515" s="17">
        <v>25</v>
      </c>
      <c r="G1515" s="18" t="s">
        <v>23</v>
      </c>
      <c r="H1515" s="17">
        <v>59.4</v>
      </c>
      <c r="I1515" s="8">
        <v>81.400000000000006</v>
      </c>
      <c r="J1515" s="21">
        <f t="shared" si="69"/>
        <v>0.37037037037037052</v>
      </c>
      <c r="K1515" s="1">
        <v>4</v>
      </c>
      <c r="L1515" s="24">
        <v>4</v>
      </c>
      <c r="M1515" s="24">
        <v>77.33</v>
      </c>
      <c r="N1515" s="21">
        <f t="shared" si="70"/>
        <v>0.30185185185185187</v>
      </c>
      <c r="P1515" s="1">
        <v>10</v>
      </c>
      <c r="Q1515" s="24">
        <v>9.7680000000000007</v>
      </c>
      <c r="R1515" s="24">
        <v>71.632000000000005</v>
      </c>
      <c r="S1515" s="21">
        <f t="shared" si="71"/>
        <v>0.20592592592592604</v>
      </c>
    </row>
    <row r="1516" spans="2:19" ht="11.4" customHeight="1" x14ac:dyDescent="0.2">
      <c r="B1516" s="24"/>
      <c r="C1516" s="7">
        <v>42984</v>
      </c>
      <c r="D1516" s="18" t="s">
        <v>1592</v>
      </c>
      <c r="E1516" s="18" t="s">
        <v>1390</v>
      </c>
      <c r="F1516" s="17">
        <v>25</v>
      </c>
      <c r="G1516" s="18" t="s">
        <v>23</v>
      </c>
      <c r="H1516" s="17">
        <v>32.340000000000003</v>
      </c>
      <c r="I1516" s="8">
        <v>44.3</v>
      </c>
      <c r="J1516" s="21">
        <f t="shared" si="69"/>
        <v>0.36982065553494103</v>
      </c>
      <c r="K1516" s="1">
        <v>4</v>
      </c>
      <c r="L1516" s="24">
        <v>2.2000000000000002</v>
      </c>
      <c r="M1516" s="24">
        <v>42.084999999999994</v>
      </c>
      <c r="N1516" s="21">
        <f t="shared" si="70"/>
        <v>0.30132962275819386</v>
      </c>
      <c r="P1516" s="1">
        <v>10</v>
      </c>
      <c r="Q1516" s="24">
        <v>5.3160000000000025</v>
      </c>
      <c r="R1516" s="24">
        <v>38.983999999999995</v>
      </c>
      <c r="S1516" s="21">
        <f t="shared" si="71"/>
        <v>0.20544217687074801</v>
      </c>
    </row>
    <row r="1517" spans="2:19" ht="11.4" customHeight="1" x14ac:dyDescent="0.2">
      <c r="B1517" s="24"/>
      <c r="C1517" s="7">
        <v>44526</v>
      </c>
      <c r="D1517" s="18" t="s">
        <v>1593</v>
      </c>
      <c r="E1517" s="18" t="s">
        <v>1390</v>
      </c>
      <c r="F1517" s="17">
        <v>4</v>
      </c>
      <c r="G1517" s="18" t="s">
        <v>23</v>
      </c>
      <c r="H1517" s="17">
        <v>132</v>
      </c>
      <c r="I1517" s="8">
        <v>180.8</v>
      </c>
      <c r="J1517" s="21">
        <f t="shared" si="69"/>
        <v>0.3696969696969698</v>
      </c>
      <c r="K1517" s="1">
        <v>4</v>
      </c>
      <c r="L1517" s="24">
        <v>9</v>
      </c>
      <c r="M1517" s="24">
        <v>171.76</v>
      </c>
      <c r="N1517" s="21">
        <f t="shared" si="70"/>
        <v>0.30121212121212115</v>
      </c>
      <c r="P1517" s="1">
        <v>10</v>
      </c>
      <c r="Q1517" s="24">
        <v>21.695999999999998</v>
      </c>
      <c r="R1517" s="24">
        <v>159.10400000000001</v>
      </c>
      <c r="S1517" s="21">
        <f t="shared" si="71"/>
        <v>0.20533333333333342</v>
      </c>
    </row>
    <row r="1518" spans="2:19" ht="11.4" customHeight="1" x14ac:dyDescent="0.2">
      <c r="B1518" s="24"/>
      <c r="C1518" s="7">
        <v>44408</v>
      </c>
      <c r="D1518" s="18" t="s">
        <v>1594</v>
      </c>
      <c r="E1518" s="18" t="s">
        <v>1390</v>
      </c>
      <c r="F1518" s="17">
        <v>30</v>
      </c>
      <c r="G1518" s="18" t="s">
        <v>23</v>
      </c>
      <c r="H1518" s="17">
        <v>15.23</v>
      </c>
      <c r="I1518" s="8">
        <v>22.5</v>
      </c>
      <c r="J1518" s="21">
        <f t="shared" si="69"/>
        <v>0.47734734077478658</v>
      </c>
      <c r="K1518" s="1">
        <v>4</v>
      </c>
      <c r="L1518" s="24">
        <v>1.1000000000000001</v>
      </c>
      <c r="M1518" s="24">
        <v>21.375</v>
      </c>
      <c r="N1518" s="21">
        <f t="shared" si="70"/>
        <v>0.40347997373604721</v>
      </c>
      <c r="P1518" s="1">
        <v>10</v>
      </c>
      <c r="Q1518" s="24">
        <v>2.6999999999999993</v>
      </c>
      <c r="R1518" s="24">
        <v>19.8</v>
      </c>
      <c r="S1518" s="21">
        <f t="shared" si="71"/>
        <v>0.30006565988181222</v>
      </c>
    </row>
    <row r="1519" spans="2:19" ht="11.4" customHeight="1" x14ac:dyDescent="0.2">
      <c r="B1519" s="24"/>
      <c r="C1519" s="7">
        <v>24357</v>
      </c>
      <c r="D1519" s="18" t="s">
        <v>1595</v>
      </c>
      <c r="E1519" s="18" t="s">
        <v>1596</v>
      </c>
      <c r="F1519" s="17">
        <v>15</v>
      </c>
      <c r="G1519" s="18" t="s">
        <v>23</v>
      </c>
      <c r="H1519" s="17">
        <v>434.3</v>
      </c>
      <c r="I1519" s="8">
        <v>504.7</v>
      </c>
      <c r="J1519" s="21">
        <f t="shared" si="69"/>
        <v>0.16209993092332484</v>
      </c>
      <c r="K1519" s="1">
        <v>4</v>
      </c>
      <c r="L1519" s="24">
        <v>25.2</v>
      </c>
      <c r="M1519" s="24">
        <v>479.46499999999997</v>
      </c>
      <c r="N1519" s="21">
        <f t="shared" si="70"/>
        <v>0.10399493437715857</v>
      </c>
      <c r="P1519" s="1">
        <v>10</v>
      </c>
      <c r="Q1519" s="24">
        <v>60.564000000000021</v>
      </c>
      <c r="R1519" s="24">
        <v>444.13599999999997</v>
      </c>
      <c r="S1519" s="21">
        <f t="shared" si="71"/>
        <v>2.2647939212525801E-2</v>
      </c>
    </row>
    <row r="1520" spans="2:19" ht="11.4" customHeight="1" x14ac:dyDescent="0.2">
      <c r="B1520" s="24"/>
      <c r="C1520" s="7">
        <v>39094</v>
      </c>
      <c r="D1520" s="18" t="s">
        <v>1597</v>
      </c>
      <c r="E1520" s="18" t="s">
        <v>1598</v>
      </c>
      <c r="F1520" s="17">
        <v>9</v>
      </c>
      <c r="G1520" s="18" t="s">
        <v>23</v>
      </c>
      <c r="H1520" s="17">
        <v>172.9</v>
      </c>
      <c r="I1520" s="8">
        <v>172.9</v>
      </c>
      <c r="J1520" s="21">
        <f t="shared" si="69"/>
        <v>0</v>
      </c>
      <c r="K1520" s="1">
        <v>4</v>
      </c>
      <c r="L1520" s="24">
        <v>8.6</v>
      </c>
      <c r="M1520" s="24">
        <v>164.255</v>
      </c>
      <c r="N1520" s="21">
        <f t="shared" si="70"/>
        <v>-5.0000000000000058E-2</v>
      </c>
      <c r="P1520" s="1">
        <v>10</v>
      </c>
      <c r="Q1520" s="24">
        <v>20.74799999999999</v>
      </c>
      <c r="R1520" s="24">
        <v>152.15200000000002</v>
      </c>
      <c r="S1520" s="21">
        <f t="shared" si="71"/>
        <v>-0.11999999999999994</v>
      </c>
    </row>
    <row r="1521" spans="2:19" ht="11.4" customHeight="1" x14ac:dyDescent="0.2">
      <c r="B1521" s="24"/>
      <c r="C1521" s="7">
        <v>38952</v>
      </c>
      <c r="D1521" s="18" t="s">
        <v>1599</v>
      </c>
      <c r="E1521" s="18" t="s">
        <v>1598</v>
      </c>
      <c r="F1521" s="18"/>
      <c r="G1521" s="18" t="s">
        <v>23</v>
      </c>
      <c r="H1521" s="17">
        <v>179.5</v>
      </c>
      <c r="I1521" s="8">
        <v>209.9</v>
      </c>
      <c r="J1521" s="21">
        <f t="shared" si="69"/>
        <v>0.16935933147632315</v>
      </c>
      <c r="K1521" s="1">
        <v>4</v>
      </c>
      <c r="L1521" s="24">
        <v>10.4</v>
      </c>
      <c r="M1521" s="24">
        <v>199.405</v>
      </c>
      <c r="N1521" s="21">
        <f t="shared" si="70"/>
        <v>0.11089136490250696</v>
      </c>
      <c r="P1521" s="1">
        <v>10</v>
      </c>
      <c r="Q1521" s="24">
        <v>25.187999999999988</v>
      </c>
      <c r="R1521" s="24">
        <v>184.71200000000002</v>
      </c>
      <c r="S1521" s="21">
        <f t="shared" si="71"/>
        <v>2.9036211699164444E-2</v>
      </c>
    </row>
    <row r="1522" spans="2:19" ht="11.4" customHeight="1" x14ac:dyDescent="0.2">
      <c r="B1522" s="24"/>
      <c r="C1522" s="7">
        <v>39043</v>
      </c>
      <c r="D1522" s="18" t="s">
        <v>1600</v>
      </c>
      <c r="E1522" s="18" t="s">
        <v>1598</v>
      </c>
      <c r="F1522" s="17">
        <v>6</v>
      </c>
      <c r="G1522" s="18" t="s">
        <v>23</v>
      </c>
      <c r="H1522" s="17">
        <v>189</v>
      </c>
      <c r="I1522" s="8">
        <v>236</v>
      </c>
      <c r="J1522" s="21">
        <f t="shared" si="69"/>
        <v>0.24867724867724866</v>
      </c>
      <c r="K1522" s="1">
        <v>4</v>
      </c>
      <c r="L1522" s="24">
        <v>11.8</v>
      </c>
      <c r="M1522" s="24">
        <v>224.2</v>
      </c>
      <c r="N1522" s="21">
        <f t="shared" si="70"/>
        <v>0.18624338624338618</v>
      </c>
      <c r="P1522" s="1">
        <v>10</v>
      </c>
      <c r="Q1522" s="24">
        <v>28.319999999999993</v>
      </c>
      <c r="R1522" s="24">
        <v>207.68</v>
      </c>
      <c r="S1522" s="21">
        <f t="shared" si="71"/>
        <v>9.8835978835978874E-2</v>
      </c>
    </row>
    <row r="1523" spans="2:19" ht="11.4" customHeight="1" x14ac:dyDescent="0.2">
      <c r="B1523" s="24"/>
      <c r="C1523" s="7">
        <v>39286</v>
      </c>
      <c r="D1523" s="18" t="s">
        <v>1601</v>
      </c>
      <c r="E1523" s="18" t="s">
        <v>1598</v>
      </c>
      <c r="F1523" s="17">
        <v>6</v>
      </c>
      <c r="G1523" s="18" t="s">
        <v>23</v>
      </c>
      <c r="H1523" s="17">
        <v>223.2</v>
      </c>
      <c r="I1523" s="8">
        <v>301.3</v>
      </c>
      <c r="J1523" s="21">
        <f t="shared" si="69"/>
        <v>0.34991039426523307</v>
      </c>
      <c r="K1523" s="1">
        <v>4</v>
      </c>
      <c r="L1523" s="24">
        <v>15</v>
      </c>
      <c r="M1523" s="24">
        <v>286.23500000000001</v>
      </c>
      <c r="N1523" s="21">
        <f t="shared" si="70"/>
        <v>0.28241487455197145</v>
      </c>
      <c r="P1523" s="1">
        <v>10</v>
      </c>
      <c r="Q1523" s="24">
        <v>36.156000000000006</v>
      </c>
      <c r="R1523" s="24">
        <v>265.14400000000001</v>
      </c>
      <c r="S1523" s="21">
        <f t="shared" si="71"/>
        <v>0.18792114695340512</v>
      </c>
    </row>
    <row r="1524" spans="2:19" ht="11.4" customHeight="1" x14ac:dyDescent="0.2">
      <c r="B1524" s="24"/>
      <c r="C1524" s="7">
        <v>2062</v>
      </c>
      <c r="D1524" s="18" t="s">
        <v>1602</v>
      </c>
      <c r="E1524" s="18" t="s">
        <v>1598</v>
      </c>
      <c r="F1524" s="17">
        <v>15</v>
      </c>
      <c r="G1524" s="18" t="s">
        <v>23</v>
      </c>
      <c r="H1524" s="17">
        <v>128.5</v>
      </c>
      <c r="I1524" s="8">
        <v>130</v>
      </c>
      <c r="J1524" s="21">
        <f t="shared" si="69"/>
        <v>1.1673151750972763E-2</v>
      </c>
      <c r="K1524" s="1">
        <v>4</v>
      </c>
      <c r="L1524" s="24">
        <v>6.5</v>
      </c>
      <c r="M1524" s="24">
        <v>123.5</v>
      </c>
      <c r="N1524" s="21">
        <f t="shared" si="70"/>
        <v>-3.8910505836575876E-2</v>
      </c>
      <c r="P1524" s="1">
        <v>10</v>
      </c>
      <c r="Q1524" s="24">
        <v>15.599999999999994</v>
      </c>
      <c r="R1524" s="24">
        <v>114.4</v>
      </c>
      <c r="S1524" s="21">
        <f t="shared" si="71"/>
        <v>-0.10972762645914393</v>
      </c>
    </row>
    <row r="1525" spans="2:19" ht="11.4" customHeight="1" x14ac:dyDescent="0.2">
      <c r="B1525" s="24"/>
      <c r="C1525" s="7">
        <v>39044</v>
      </c>
      <c r="D1525" s="18" t="s">
        <v>1603</v>
      </c>
      <c r="E1525" s="18" t="s">
        <v>1598</v>
      </c>
      <c r="F1525" s="17">
        <v>6</v>
      </c>
      <c r="G1525" s="18" t="s">
        <v>23</v>
      </c>
      <c r="H1525" s="17">
        <v>209</v>
      </c>
      <c r="I1525" s="8">
        <v>227.5</v>
      </c>
      <c r="J1525" s="21">
        <f t="shared" si="69"/>
        <v>8.8516746411483258E-2</v>
      </c>
      <c r="K1525" s="1">
        <v>4</v>
      </c>
      <c r="L1525" s="24">
        <v>11.3</v>
      </c>
      <c r="M1525" s="24">
        <v>216.125</v>
      </c>
      <c r="N1525" s="21">
        <f t="shared" si="70"/>
        <v>3.4090909090909088E-2</v>
      </c>
      <c r="P1525" s="1">
        <v>10</v>
      </c>
      <c r="Q1525" s="24">
        <v>27.300000000000011</v>
      </c>
      <c r="R1525" s="24">
        <v>200.2</v>
      </c>
      <c r="S1525" s="21">
        <f t="shared" si="71"/>
        <v>-4.2105263157894791E-2</v>
      </c>
    </row>
    <row r="1526" spans="2:19" ht="11.4" customHeight="1" x14ac:dyDescent="0.2">
      <c r="B1526" s="24"/>
      <c r="C1526" s="7">
        <v>39042</v>
      </c>
      <c r="D1526" s="18" t="s">
        <v>1604</v>
      </c>
      <c r="E1526" s="18" t="s">
        <v>1598</v>
      </c>
      <c r="F1526" s="17">
        <v>6</v>
      </c>
      <c r="G1526" s="18" t="s">
        <v>23</v>
      </c>
      <c r="H1526" s="17">
        <v>129</v>
      </c>
      <c r="I1526" s="8">
        <v>138.4</v>
      </c>
      <c r="J1526" s="21">
        <f t="shared" si="69"/>
        <v>7.2868217054263607E-2</v>
      </c>
      <c r="K1526" s="1">
        <v>4</v>
      </c>
      <c r="L1526" s="24">
        <v>6.9</v>
      </c>
      <c r="M1526" s="24">
        <v>131.47999999999999</v>
      </c>
      <c r="N1526" s="21">
        <f t="shared" si="70"/>
        <v>1.9224806201550308E-2</v>
      </c>
      <c r="P1526" s="1">
        <v>10</v>
      </c>
      <c r="Q1526" s="24">
        <v>16.608000000000004</v>
      </c>
      <c r="R1526" s="24">
        <v>121.792</v>
      </c>
      <c r="S1526" s="21">
        <f t="shared" si="71"/>
        <v>-5.5875968992248053E-2</v>
      </c>
    </row>
    <row r="1527" spans="2:19" ht="11.4" customHeight="1" x14ac:dyDescent="0.2">
      <c r="B1527" s="24"/>
      <c r="C1527" s="7">
        <v>38843</v>
      </c>
      <c r="D1527" s="18" t="s">
        <v>1605</v>
      </c>
      <c r="E1527" s="18" t="s">
        <v>1598</v>
      </c>
      <c r="F1527" s="17">
        <v>12</v>
      </c>
      <c r="G1527" s="18" t="s">
        <v>23</v>
      </c>
      <c r="H1527" s="17">
        <v>120.2</v>
      </c>
      <c r="I1527" s="8">
        <v>129</v>
      </c>
      <c r="J1527" s="21">
        <f t="shared" si="69"/>
        <v>7.3211314475873521E-2</v>
      </c>
      <c r="K1527" s="1">
        <v>4</v>
      </c>
      <c r="L1527" s="24">
        <v>6.4</v>
      </c>
      <c r="M1527" s="24">
        <v>122.55</v>
      </c>
      <c r="N1527" s="21">
        <f t="shared" si="70"/>
        <v>1.9550748752079818E-2</v>
      </c>
      <c r="P1527" s="1">
        <v>10</v>
      </c>
      <c r="Q1527" s="24">
        <v>15.480000000000004</v>
      </c>
      <c r="R1527" s="24">
        <v>113.52</v>
      </c>
      <c r="S1527" s="21">
        <f t="shared" si="71"/>
        <v>-5.5574043261231339E-2</v>
      </c>
    </row>
    <row r="1528" spans="2:19" ht="11.4" customHeight="1" x14ac:dyDescent="0.2">
      <c r="B1528" s="24"/>
      <c r="C1528" s="7">
        <v>39289</v>
      </c>
      <c r="D1528" s="18" t="s">
        <v>1606</v>
      </c>
      <c r="E1528" s="18" t="s">
        <v>1596</v>
      </c>
      <c r="F1528" s="17">
        <v>12</v>
      </c>
      <c r="G1528" s="18" t="s">
        <v>23</v>
      </c>
      <c r="H1528" s="17">
        <v>579</v>
      </c>
      <c r="I1528" s="8">
        <v>639.9</v>
      </c>
      <c r="J1528" s="21">
        <f t="shared" si="69"/>
        <v>0.10518134715025902</v>
      </c>
      <c r="K1528" s="1">
        <v>4</v>
      </c>
      <c r="L1528" s="24">
        <v>31.9</v>
      </c>
      <c r="M1528" s="24">
        <v>607.90499999999997</v>
      </c>
      <c r="N1528" s="21">
        <f t="shared" si="70"/>
        <v>4.992227979274607E-2</v>
      </c>
      <c r="P1528" s="1">
        <v>10</v>
      </c>
      <c r="Q1528" s="24">
        <v>76.788000000000011</v>
      </c>
      <c r="R1528" s="24">
        <v>563.11199999999997</v>
      </c>
      <c r="S1528" s="21">
        <f t="shared" si="71"/>
        <v>-2.7440414507772078E-2</v>
      </c>
    </row>
    <row r="1529" spans="2:19" ht="11.4" customHeight="1" x14ac:dyDescent="0.2">
      <c r="B1529" s="24"/>
      <c r="C1529" s="7">
        <v>39252</v>
      </c>
      <c r="D1529" s="18" t="s">
        <v>1607</v>
      </c>
      <c r="E1529" s="18" t="s">
        <v>1596</v>
      </c>
      <c r="F1529" s="17">
        <v>6</v>
      </c>
      <c r="G1529" s="18" t="s">
        <v>23</v>
      </c>
      <c r="H1529" s="17">
        <v>235.5</v>
      </c>
      <c r="I1529" s="8">
        <v>269.5</v>
      </c>
      <c r="J1529" s="21">
        <f t="shared" si="69"/>
        <v>0.14437367303609341</v>
      </c>
      <c r="K1529" s="1">
        <v>4</v>
      </c>
      <c r="L1529" s="24">
        <v>13.4</v>
      </c>
      <c r="M1529" s="24">
        <v>256.02499999999998</v>
      </c>
      <c r="N1529" s="21">
        <f t="shared" si="70"/>
        <v>8.7154989384288645E-2</v>
      </c>
      <c r="P1529" s="1">
        <v>10</v>
      </c>
      <c r="Q1529" s="24">
        <v>32.340000000000003</v>
      </c>
      <c r="R1529" s="24">
        <v>237.16</v>
      </c>
      <c r="S1529" s="21">
        <f t="shared" si="71"/>
        <v>7.048832271762194E-3</v>
      </c>
    </row>
    <row r="1530" spans="2:19" ht="11.4" customHeight="1" x14ac:dyDescent="0.2">
      <c r="B1530" s="24"/>
      <c r="C1530" s="7">
        <v>44285</v>
      </c>
      <c r="D1530" s="18" t="s">
        <v>1608</v>
      </c>
      <c r="E1530" s="18" t="s">
        <v>1596</v>
      </c>
      <c r="F1530" s="17">
        <v>12</v>
      </c>
      <c r="G1530" s="18" t="s">
        <v>23</v>
      </c>
      <c r="H1530" s="17">
        <v>360</v>
      </c>
      <c r="I1530" s="8">
        <v>499</v>
      </c>
      <c r="J1530" s="21">
        <f t="shared" si="69"/>
        <v>0.38611111111111113</v>
      </c>
      <c r="K1530" s="1">
        <v>4</v>
      </c>
      <c r="L1530" s="24">
        <v>24.9</v>
      </c>
      <c r="M1530" s="24">
        <v>474.04999999999995</v>
      </c>
      <c r="N1530" s="21">
        <f t="shared" si="70"/>
        <v>0.31680555555555545</v>
      </c>
      <c r="P1530" s="1">
        <v>10</v>
      </c>
      <c r="Q1530" s="24">
        <v>59.879999999999995</v>
      </c>
      <c r="R1530" s="24">
        <v>439.12</v>
      </c>
      <c r="S1530" s="21">
        <f t="shared" si="71"/>
        <v>0.21977777777777779</v>
      </c>
    </row>
    <row r="1531" spans="2:19" ht="11.4" customHeight="1" x14ac:dyDescent="0.2">
      <c r="B1531" s="24"/>
      <c r="C1531" s="7">
        <v>38830</v>
      </c>
      <c r="D1531" s="18" t="s">
        <v>1609</v>
      </c>
      <c r="E1531" s="18" t="s">
        <v>1596</v>
      </c>
      <c r="F1531" s="17">
        <v>6</v>
      </c>
      <c r="G1531" s="18" t="s">
        <v>23</v>
      </c>
      <c r="H1531" s="17">
        <v>337</v>
      </c>
      <c r="I1531" s="8">
        <v>354</v>
      </c>
      <c r="J1531" s="21">
        <f t="shared" si="69"/>
        <v>5.0445103857566766E-2</v>
      </c>
      <c r="K1531" s="1">
        <v>4</v>
      </c>
      <c r="L1531" s="24">
        <v>17.7</v>
      </c>
      <c r="M1531" s="24">
        <v>336.3</v>
      </c>
      <c r="N1531" s="21">
        <f t="shared" si="70"/>
        <v>-2.0771513353115391E-3</v>
      </c>
      <c r="P1531" s="1">
        <v>10</v>
      </c>
      <c r="Q1531" s="24">
        <v>42.480000000000018</v>
      </c>
      <c r="R1531" s="24">
        <v>311.52</v>
      </c>
      <c r="S1531" s="21">
        <f t="shared" si="71"/>
        <v>-7.5608308605341304E-2</v>
      </c>
    </row>
    <row r="1532" spans="2:19" ht="11.4" customHeight="1" x14ac:dyDescent="0.2">
      <c r="B1532" s="24"/>
      <c r="C1532" s="7">
        <v>38831</v>
      </c>
      <c r="D1532" s="18" t="s">
        <v>1610</v>
      </c>
      <c r="E1532" s="18" t="s">
        <v>1596</v>
      </c>
      <c r="F1532" s="17">
        <v>6</v>
      </c>
      <c r="G1532" s="18" t="s">
        <v>23</v>
      </c>
      <c r="H1532" s="17">
        <v>584.70000000000005</v>
      </c>
      <c r="I1532" s="8">
        <v>614.1</v>
      </c>
      <c r="J1532" s="21">
        <f t="shared" si="69"/>
        <v>5.0282195997947622E-2</v>
      </c>
      <c r="K1532" s="1">
        <v>4</v>
      </c>
      <c r="L1532" s="24">
        <v>30.7</v>
      </c>
      <c r="M1532" s="24">
        <v>583.39499999999998</v>
      </c>
      <c r="N1532" s="21">
        <f t="shared" si="70"/>
        <v>-2.2319138019498267E-3</v>
      </c>
      <c r="P1532" s="1">
        <v>10</v>
      </c>
      <c r="Q1532" s="24">
        <v>73.692000000000007</v>
      </c>
      <c r="R1532" s="24">
        <v>540.40800000000002</v>
      </c>
      <c r="S1532" s="21">
        <f t="shared" si="71"/>
        <v>-7.5751667521806093E-2</v>
      </c>
    </row>
    <row r="1533" spans="2:19" ht="11.4" customHeight="1" x14ac:dyDescent="0.2">
      <c r="B1533" s="24"/>
      <c r="C1533" s="7">
        <v>44286</v>
      </c>
      <c r="D1533" s="18" t="s">
        <v>1611</v>
      </c>
      <c r="E1533" s="18" t="s">
        <v>1596</v>
      </c>
      <c r="F1533" s="17">
        <v>12</v>
      </c>
      <c r="G1533" s="18" t="s">
        <v>23</v>
      </c>
      <c r="H1533" s="17">
        <v>360</v>
      </c>
      <c r="I1533" s="8">
        <v>499</v>
      </c>
      <c r="J1533" s="21">
        <f t="shared" si="69"/>
        <v>0.38611111111111113</v>
      </c>
      <c r="K1533" s="1">
        <v>4</v>
      </c>
      <c r="L1533" s="24">
        <v>24.9</v>
      </c>
      <c r="M1533" s="24">
        <v>474.04999999999995</v>
      </c>
      <c r="N1533" s="21">
        <f t="shared" si="70"/>
        <v>0.31680555555555545</v>
      </c>
      <c r="P1533" s="1">
        <v>10</v>
      </c>
      <c r="Q1533" s="24">
        <v>59.879999999999995</v>
      </c>
      <c r="R1533" s="24">
        <v>439.12</v>
      </c>
      <c r="S1533" s="21">
        <f t="shared" si="71"/>
        <v>0.21977777777777779</v>
      </c>
    </row>
    <row r="1534" spans="2:19" ht="11.4" customHeight="1" x14ac:dyDescent="0.2">
      <c r="B1534" s="24"/>
      <c r="C1534" s="7">
        <v>44289</v>
      </c>
      <c r="D1534" s="18" t="s">
        <v>1612</v>
      </c>
      <c r="E1534" s="18" t="s">
        <v>1596</v>
      </c>
      <c r="F1534" s="17">
        <v>12</v>
      </c>
      <c r="G1534" s="18" t="s">
        <v>23</v>
      </c>
      <c r="H1534" s="17">
        <v>214.98</v>
      </c>
      <c r="I1534" s="8">
        <v>299</v>
      </c>
      <c r="J1534" s="21">
        <f t="shared" si="69"/>
        <v>0.39082705367941212</v>
      </c>
      <c r="K1534" s="1">
        <v>4</v>
      </c>
      <c r="L1534" s="24">
        <v>14.9</v>
      </c>
      <c r="M1534" s="24">
        <v>284.05</v>
      </c>
      <c r="N1534" s="21">
        <f t="shared" si="70"/>
        <v>0.32128570099544157</v>
      </c>
      <c r="P1534" s="1">
        <v>10</v>
      </c>
      <c r="Q1534" s="24">
        <v>35.879999999999995</v>
      </c>
      <c r="R1534" s="24">
        <v>263.12</v>
      </c>
      <c r="S1534" s="21">
        <f t="shared" si="71"/>
        <v>0.22392780723788266</v>
      </c>
    </row>
    <row r="1535" spans="2:19" ht="11.4" customHeight="1" x14ac:dyDescent="0.2">
      <c r="B1535" s="24"/>
      <c r="C1535" s="7">
        <v>39288</v>
      </c>
      <c r="D1535" s="18" t="s">
        <v>1613</v>
      </c>
      <c r="E1535" s="18" t="s">
        <v>1596</v>
      </c>
      <c r="F1535" s="17">
        <v>12</v>
      </c>
      <c r="G1535" s="18" t="s">
        <v>23</v>
      </c>
      <c r="H1535" s="17">
        <v>579</v>
      </c>
      <c r="I1535" s="8">
        <v>639.9</v>
      </c>
      <c r="J1535" s="21">
        <f t="shared" si="69"/>
        <v>0.10518134715025902</v>
      </c>
      <c r="K1535" s="1">
        <v>4</v>
      </c>
      <c r="L1535" s="24">
        <v>31.9</v>
      </c>
      <c r="M1535" s="24">
        <v>607.90499999999997</v>
      </c>
      <c r="N1535" s="21">
        <f t="shared" si="70"/>
        <v>4.992227979274607E-2</v>
      </c>
      <c r="P1535" s="1">
        <v>10</v>
      </c>
      <c r="Q1535" s="24">
        <v>76.788000000000011</v>
      </c>
      <c r="R1535" s="24">
        <v>563.11199999999997</v>
      </c>
      <c r="S1535" s="21">
        <f t="shared" si="71"/>
        <v>-2.7440414507772078E-2</v>
      </c>
    </row>
    <row r="1536" spans="2:19" ht="11.4" customHeight="1" x14ac:dyDescent="0.2">
      <c r="B1536" s="24"/>
      <c r="C1536" s="7">
        <v>3042</v>
      </c>
      <c r="D1536" s="18" t="s">
        <v>1614</v>
      </c>
      <c r="E1536" s="18" t="s">
        <v>1596</v>
      </c>
      <c r="F1536" s="17">
        <v>6</v>
      </c>
      <c r="G1536" s="18" t="s">
        <v>23</v>
      </c>
      <c r="H1536" s="17">
        <v>494.3</v>
      </c>
      <c r="I1536" s="8">
        <v>321.5</v>
      </c>
      <c r="J1536" s="21">
        <f t="shared" si="69"/>
        <v>-0.34958527210196239</v>
      </c>
      <c r="K1536" s="1">
        <v>4</v>
      </c>
      <c r="L1536" s="24">
        <v>16</v>
      </c>
      <c r="M1536" s="24">
        <v>305.42500000000001</v>
      </c>
      <c r="N1536" s="21">
        <f t="shared" si="70"/>
        <v>-0.38210600849686427</v>
      </c>
      <c r="P1536" s="1">
        <v>10</v>
      </c>
      <c r="Q1536" s="24">
        <v>38.579999999999984</v>
      </c>
      <c r="R1536" s="24">
        <v>282.92</v>
      </c>
      <c r="S1536" s="21">
        <f t="shared" si="71"/>
        <v>-0.42763503944972686</v>
      </c>
    </row>
    <row r="1537" spans="2:19" ht="11.4" customHeight="1" x14ac:dyDescent="0.2">
      <c r="B1537" s="24"/>
      <c r="C1537" s="7">
        <v>39287</v>
      </c>
      <c r="D1537" s="18" t="s">
        <v>1615</v>
      </c>
      <c r="E1537" s="18" t="s">
        <v>1596</v>
      </c>
      <c r="F1537" s="17">
        <v>6</v>
      </c>
      <c r="G1537" s="18" t="s">
        <v>23</v>
      </c>
      <c r="H1537" s="19">
        <v>1249.9000000000001</v>
      </c>
      <c r="I1537" s="9">
        <v>1425.5</v>
      </c>
      <c r="J1537" s="21">
        <f t="shared" si="69"/>
        <v>0.14049123929914384</v>
      </c>
      <c r="K1537" s="1">
        <v>4</v>
      </c>
      <c r="L1537" s="24">
        <v>71.2</v>
      </c>
      <c r="M1537" s="24">
        <v>1354.2249999999999</v>
      </c>
      <c r="N1537" s="21">
        <f t="shared" si="70"/>
        <v>8.3466677334186584E-2</v>
      </c>
      <c r="P1537" s="1">
        <v>10</v>
      </c>
      <c r="Q1537" s="24">
        <v>171.05999999999995</v>
      </c>
      <c r="R1537" s="24">
        <v>1254.44</v>
      </c>
      <c r="S1537" s="21">
        <f t="shared" si="71"/>
        <v>3.6322905832466305E-3</v>
      </c>
    </row>
    <row r="1538" spans="2:19" ht="11.4" customHeight="1" x14ac:dyDescent="0.2">
      <c r="B1538" s="24"/>
      <c r="C1538" s="7">
        <v>38832</v>
      </c>
      <c r="D1538" s="18" t="s">
        <v>1616</v>
      </c>
      <c r="E1538" s="18" t="s">
        <v>1596</v>
      </c>
      <c r="F1538" s="17">
        <v>6</v>
      </c>
      <c r="G1538" s="18" t="s">
        <v>23</v>
      </c>
      <c r="H1538" s="17">
        <v>234.5</v>
      </c>
      <c r="I1538" s="8">
        <v>296.5</v>
      </c>
      <c r="J1538" s="21">
        <f t="shared" si="69"/>
        <v>0.26439232409381663</v>
      </c>
      <c r="K1538" s="1">
        <v>4</v>
      </c>
      <c r="L1538" s="24">
        <v>14.8</v>
      </c>
      <c r="M1538" s="24">
        <v>281.67500000000001</v>
      </c>
      <c r="N1538" s="21">
        <f t="shared" si="70"/>
        <v>0.20117270788912583</v>
      </c>
      <c r="P1538" s="1">
        <v>10</v>
      </c>
      <c r="Q1538" s="24">
        <v>35.579999999999984</v>
      </c>
      <c r="R1538" s="24">
        <v>260.92</v>
      </c>
      <c r="S1538" s="21">
        <f t="shared" si="71"/>
        <v>0.1126652452025587</v>
      </c>
    </row>
    <row r="1539" spans="2:19" ht="11.4" customHeight="1" x14ac:dyDescent="0.2">
      <c r="B1539" s="24"/>
      <c r="C1539" s="7">
        <v>38833</v>
      </c>
      <c r="D1539" s="18" t="s">
        <v>1617</v>
      </c>
      <c r="E1539" s="18" t="s">
        <v>1596</v>
      </c>
      <c r="F1539" s="17">
        <v>6</v>
      </c>
      <c r="G1539" s="18" t="s">
        <v>23</v>
      </c>
      <c r="H1539" s="17">
        <v>439.1</v>
      </c>
      <c r="I1539" s="8">
        <v>536.5</v>
      </c>
      <c r="J1539" s="21">
        <f t="shared" ref="J1539:J1602" si="72">(I1539-H1539)/H1539</f>
        <v>0.22181735367797761</v>
      </c>
      <c r="K1539" s="1">
        <v>4</v>
      </c>
      <c r="L1539" s="24">
        <v>26.8</v>
      </c>
      <c r="M1539" s="24">
        <v>509.67499999999995</v>
      </c>
      <c r="N1539" s="21">
        <f t="shared" ref="N1539:N1602" si="73">(M1539-H1539)/H1539</f>
        <v>0.16072648599407863</v>
      </c>
      <c r="P1539" s="1">
        <v>10</v>
      </c>
      <c r="Q1539" s="24">
        <v>64.38</v>
      </c>
      <c r="R1539" s="24">
        <v>472.12</v>
      </c>
      <c r="S1539" s="21">
        <f t="shared" ref="S1539:S1602" si="74">(R1539-H1539)/H1539</f>
        <v>7.5199271236620319E-2</v>
      </c>
    </row>
    <row r="1540" spans="2:19" ht="11.4" customHeight="1" x14ac:dyDescent="0.2">
      <c r="B1540" s="24"/>
      <c r="C1540" s="7">
        <v>39250</v>
      </c>
      <c r="D1540" s="18" t="s">
        <v>1618</v>
      </c>
      <c r="E1540" s="18" t="s">
        <v>1596</v>
      </c>
      <c r="F1540" s="17">
        <v>12</v>
      </c>
      <c r="G1540" s="18" t="s">
        <v>23</v>
      </c>
      <c r="H1540" s="17">
        <v>249.9</v>
      </c>
      <c r="I1540" s="8">
        <v>315.89999999999998</v>
      </c>
      <c r="J1540" s="21">
        <f t="shared" si="72"/>
        <v>0.26410564225690264</v>
      </c>
      <c r="K1540" s="1">
        <v>4</v>
      </c>
      <c r="L1540" s="24">
        <v>15.7</v>
      </c>
      <c r="M1540" s="24">
        <v>300.10499999999996</v>
      </c>
      <c r="N1540" s="21">
        <f t="shared" si="73"/>
        <v>0.20090036014405743</v>
      </c>
      <c r="P1540" s="1">
        <v>10</v>
      </c>
      <c r="Q1540" s="24">
        <v>37.908000000000015</v>
      </c>
      <c r="R1540" s="24">
        <v>277.99199999999996</v>
      </c>
      <c r="S1540" s="21">
        <f t="shared" si="74"/>
        <v>0.11241296518607426</v>
      </c>
    </row>
    <row r="1541" spans="2:19" ht="11.4" customHeight="1" x14ac:dyDescent="0.2">
      <c r="B1541" s="24"/>
      <c r="C1541" s="7">
        <v>39251</v>
      </c>
      <c r="D1541" s="18" t="s">
        <v>1619</v>
      </c>
      <c r="E1541" s="18" t="s">
        <v>1596</v>
      </c>
      <c r="F1541" s="17">
        <v>6</v>
      </c>
      <c r="G1541" s="18" t="s">
        <v>23</v>
      </c>
      <c r="H1541" s="17">
        <v>419.9</v>
      </c>
      <c r="I1541" s="8">
        <v>325</v>
      </c>
      <c r="J1541" s="21">
        <f t="shared" si="72"/>
        <v>-0.22600619195046434</v>
      </c>
      <c r="K1541" s="1">
        <v>4</v>
      </c>
      <c r="L1541" s="24">
        <v>16.2</v>
      </c>
      <c r="M1541" s="24">
        <v>308.75</v>
      </c>
      <c r="N1541" s="21">
        <f t="shared" si="73"/>
        <v>-0.26470588235294112</v>
      </c>
      <c r="P1541" s="1">
        <v>10</v>
      </c>
      <c r="Q1541" s="24">
        <v>39</v>
      </c>
      <c r="R1541" s="24">
        <v>286</v>
      </c>
      <c r="S1541" s="21">
        <f t="shared" si="74"/>
        <v>-0.31888544891640863</v>
      </c>
    </row>
    <row r="1542" spans="2:19" ht="11.4" customHeight="1" x14ac:dyDescent="0.2">
      <c r="B1542" s="24"/>
      <c r="C1542" s="7">
        <v>39249</v>
      </c>
      <c r="D1542" s="18" t="s">
        <v>1620</v>
      </c>
      <c r="E1542" s="18" t="s">
        <v>1596</v>
      </c>
      <c r="F1542" s="17">
        <v>12</v>
      </c>
      <c r="G1542" s="18" t="s">
        <v>23</v>
      </c>
      <c r="H1542" s="17">
        <v>239.5</v>
      </c>
      <c r="I1542" s="8">
        <v>299.89999999999998</v>
      </c>
      <c r="J1542" s="21">
        <f t="shared" si="72"/>
        <v>0.25219206680584544</v>
      </c>
      <c r="K1542" s="1">
        <v>4</v>
      </c>
      <c r="L1542" s="24">
        <v>14.9</v>
      </c>
      <c r="M1542" s="24">
        <v>284.90499999999997</v>
      </c>
      <c r="N1542" s="21">
        <f t="shared" si="73"/>
        <v>0.18958246346555313</v>
      </c>
      <c r="P1542" s="1">
        <v>10</v>
      </c>
      <c r="Q1542" s="24">
        <v>35.988</v>
      </c>
      <c r="R1542" s="24">
        <v>263.91199999999998</v>
      </c>
      <c r="S1542" s="21">
        <f t="shared" si="74"/>
        <v>0.10192901878914395</v>
      </c>
    </row>
    <row r="1543" spans="2:19" ht="11.4" customHeight="1" x14ac:dyDescent="0.2">
      <c r="B1543" s="24"/>
      <c r="C1543" s="7">
        <v>46194</v>
      </c>
      <c r="D1543" s="18" t="s">
        <v>1621</v>
      </c>
      <c r="E1543" s="18" t="s">
        <v>1596</v>
      </c>
      <c r="F1543" s="17">
        <v>6</v>
      </c>
      <c r="G1543" s="18" t="s">
        <v>23</v>
      </c>
      <c r="H1543" s="17">
        <v>177</v>
      </c>
      <c r="I1543" s="8">
        <v>249.5</v>
      </c>
      <c r="J1543" s="21">
        <f t="shared" si="72"/>
        <v>0.4096045197740113</v>
      </c>
      <c r="K1543" s="1">
        <v>4</v>
      </c>
      <c r="L1543" s="24">
        <v>12.4</v>
      </c>
      <c r="M1543" s="24">
        <v>237.02499999999998</v>
      </c>
      <c r="N1543" s="21">
        <f t="shared" si="73"/>
        <v>0.33912429378531062</v>
      </c>
      <c r="P1543" s="1">
        <v>10</v>
      </c>
      <c r="Q1543" s="24">
        <v>29.939999999999998</v>
      </c>
      <c r="R1543" s="24">
        <v>219.56</v>
      </c>
      <c r="S1543" s="21">
        <f t="shared" si="74"/>
        <v>0.24045197740112995</v>
      </c>
    </row>
    <row r="1544" spans="2:19" ht="11.4" customHeight="1" x14ac:dyDescent="0.2">
      <c r="B1544" s="24"/>
      <c r="C1544" s="7">
        <v>38845</v>
      </c>
      <c r="D1544" s="18" t="s">
        <v>1622</v>
      </c>
      <c r="E1544" s="18" t="s">
        <v>1598</v>
      </c>
      <c r="F1544" s="17">
        <v>12</v>
      </c>
      <c r="G1544" s="18" t="s">
        <v>23</v>
      </c>
      <c r="H1544" s="17">
        <v>90.5</v>
      </c>
      <c r="I1544" s="8">
        <v>105.9</v>
      </c>
      <c r="J1544" s="21">
        <f t="shared" si="72"/>
        <v>0.17016574585635366</v>
      </c>
      <c r="K1544" s="1">
        <v>4</v>
      </c>
      <c r="L1544" s="24">
        <v>5.2</v>
      </c>
      <c r="M1544" s="24">
        <v>100.605</v>
      </c>
      <c r="N1544" s="21">
        <f t="shared" si="73"/>
        <v>0.11165745856353596</v>
      </c>
      <c r="P1544" s="1">
        <v>10</v>
      </c>
      <c r="Q1544" s="24">
        <v>12.707999999999998</v>
      </c>
      <c r="R1544" s="24">
        <v>93.192000000000007</v>
      </c>
      <c r="S1544" s="21">
        <f t="shared" si="74"/>
        <v>2.9745856353591241E-2</v>
      </c>
    </row>
    <row r="1545" spans="2:19" ht="11.4" customHeight="1" x14ac:dyDescent="0.2">
      <c r="B1545" s="24"/>
      <c r="C1545" s="7">
        <v>38844</v>
      </c>
      <c r="D1545" s="18" t="s">
        <v>1623</v>
      </c>
      <c r="E1545" s="18" t="s">
        <v>1598</v>
      </c>
      <c r="F1545" s="17">
        <v>12</v>
      </c>
      <c r="G1545" s="18" t="s">
        <v>23</v>
      </c>
      <c r="H1545" s="17">
        <v>90.5</v>
      </c>
      <c r="I1545" s="8">
        <v>105.9</v>
      </c>
      <c r="J1545" s="21">
        <f t="shared" si="72"/>
        <v>0.17016574585635366</v>
      </c>
      <c r="K1545" s="1">
        <v>4</v>
      </c>
      <c r="L1545" s="24">
        <v>5.2</v>
      </c>
      <c r="M1545" s="24">
        <v>100.605</v>
      </c>
      <c r="N1545" s="21">
        <f t="shared" si="73"/>
        <v>0.11165745856353596</v>
      </c>
      <c r="P1545" s="1">
        <v>10</v>
      </c>
      <c r="Q1545" s="24">
        <v>12.707999999999998</v>
      </c>
      <c r="R1545" s="24">
        <v>93.192000000000007</v>
      </c>
      <c r="S1545" s="21">
        <f t="shared" si="74"/>
        <v>2.9745856353591241E-2</v>
      </c>
    </row>
    <row r="1546" spans="2:19" ht="11.4" customHeight="1" x14ac:dyDescent="0.2">
      <c r="B1546" s="24"/>
      <c r="C1546" s="7">
        <v>38847</v>
      </c>
      <c r="D1546" s="18" t="s">
        <v>1624</v>
      </c>
      <c r="E1546" s="18" t="s">
        <v>1598</v>
      </c>
      <c r="F1546" s="17">
        <v>12</v>
      </c>
      <c r="G1546" s="18" t="s">
        <v>23</v>
      </c>
      <c r="H1546" s="17">
        <v>90.5</v>
      </c>
      <c r="I1546" s="8">
        <v>105.9</v>
      </c>
      <c r="J1546" s="21">
        <f t="shared" si="72"/>
        <v>0.17016574585635366</v>
      </c>
      <c r="K1546" s="1">
        <v>4</v>
      </c>
      <c r="L1546" s="24">
        <v>5.2</v>
      </c>
      <c r="M1546" s="24">
        <v>100.605</v>
      </c>
      <c r="N1546" s="21">
        <f t="shared" si="73"/>
        <v>0.11165745856353596</v>
      </c>
      <c r="P1546" s="1">
        <v>10</v>
      </c>
      <c r="Q1546" s="24">
        <v>12.707999999999998</v>
      </c>
      <c r="R1546" s="24">
        <v>93.192000000000007</v>
      </c>
      <c r="S1546" s="21">
        <f t="shared" si="74"/>
        <v>2.9745856353591241E-2</v>
      </c>
    </row>
    <row r="1547" spans="2:19" ht="11.4" customHeight="1" x14ac:dyDescent="0.2">
      <c r="B1547" s="24"/>
      <c r="C1547" s="7">
        <v>38846</v>
      </c>
      <c r="D1547" s="18" t="s">
        <v>1625</v>
      </c>
      <c r="E1547" s="18" t="s">
        <v>1598</v>
      </c>
      <c r="F1547" s="17">
        <v>12</v>
      </c>
      <c r="G1547" s="18" t="s">
        <v>23</v>
      </c>
      <c r="H1547" s="17">
        <v>90.5</v>
      </c>
      <c r="I1547" s="8">
        <v>105.9</v>
      </c>
      <c r="J1547" s="21">
        <f t="shared" si="72"/>
        <v>0.17016574585635366</v>
      </c>
      <c r="K1547" s="1">
        <v>4</v>
      </c>
      <c r="L1547" s="24">
        <v>5.2</v>
      </c>
      <c r="M1547" s="24">
        <v>100.605</v>
      </c>
      <c r="N1547" s="21">
        <f t="shared" si="73"/>
        <v>0.11165745856353596</v>
      </c>
      <c r="P1547" s="1">
        <v>10</v>
      </c>
      <c r="Q1547" s="24">
        <v>12.707999999999998</v>
      </c>
      <c r="R1547" s="24">
        <v>93.192000000000007</v>
      </c>
      <c r="S1547" s="21">
        <f t="shared" si="74"/>
        <v>2.9745856353591241E-2</v>
      </c>
    </row>
    <row r="1548" spans="2:19" ht="11.4" customHeight="1" x14ac:dyDescent="0.2">
      <c r="B1548" s="24"/>
      <c r="C1548" s="7">
        <v>8828</v>
      </c>
      <c r="D1548" s="18" t="s">
        <v>1626</v>
      </c>
      <c r="E1548" s="18" t="s">
        <v>1627</v>
      </c>
      <c r="F1548" s="17">
        <v>15</v>
      </c>
      <c r="G1548" s="18" t="s">
        <v>23</v>
      </c>
      <c r="H1548" s="17">
        <v>91.5</v>
      </c>
      <c r="I1548" s="8">
        <v>99.9</v>
      </c>
      <c r="J1548" s="21">
        <f t="shared" si="72"/>
        <v>9.1803278688524656E-2</v>
      </c>
      <c r="K1548" s="1">
        <v>4</v>
      </c>
      <c r="L1548" s="24">
        <v>4.9000000000000004</v>
      </c>
      <c r="M1548" s="24">
        <v>94.905000000000001</v>
      </c>
      <c r="N1548" s="21">
        <f t="shared" si="73"/>
        <v>3.7213114754098373E-2</v>
      </c>
      <c r="P1548" s="1">
        <v>10</v>
      </c>
      <c r="Q1548" s="24">
        <v>11.988</v>
      </c>
      <c r="R1548" s="24">
        <v>87.912000000000006</v>
      </c>
      <c r="S1548" s="21">
        <f t="shared" si="74"/>
        <v>-3.9213114754098291E-2</v>
      </c>
    </row>
    <row r="1549" spans="2:19" ht="11.4" customHeight="1" x14ac:dyDescent="0.2">
      <c r="B1549" s="24"/>
      <c r="C1549" s="7">
        <v>932</v>
      </c>
      <c r="D1549" s="18" t="s">
        <v>1628</v>
      </c>
      <c r="E1549" s="18" t="s">
        <v>1627</v>
      </c>
      <c r="F1549" s="18"/>
      <c r="G1549" s="18" t="s">
        <v>23</v>
      </c>
      <c r="H1549" s="17">
        <v>284.39999999999998</v>
      </c>
      <c r="I1549" s="8">
        <v>459</v>
      </c>
      <c r="J1549" s="21">
        <f t="shared" si="72"/>
        <v>0.61392405063291156</v>
      </c>
      <c r="K1549" s="1">
        <v>4</v>
      </c>
      <c r="L1549" s="24">
        <v>22.9</v>
      </c>
      <c r="M1549" s="24">
        <v>436.04999999999995</v>
      </c>
      <c r="N1549" s="21">
        <f t="shared" si="73"/>
        <v>0.53322784810126578</v>
      </c>
      <c r="P1549" s="1">
        <v>10</v>
      </c>
      <c r="Q1549" s="24">
        <v>55.079999999999984</v>
      </c>
      <c r="R1549" s="24">
        <v>403.92</v>
      </c>
      <c r="S1549" s="21">
        <f t="shared" si="74"/>
        <v>0.42025316455696221</v>
      </c>
    </row>
    <row r="1550" spans="2:19" ht="11.4" customHeight="1" x14ac:dyDescent="0.2">
      <c r="B1550" s="24"/>
      <c r="C1550" s="7">
        <v>8946</v>
      </c>
      <c r="D1550" s="18" t="s">
        <v>1629</v>
      </c>
      <c r="E1550" s="18" t="s">
        <v>1627</v>
      </c>
      <c r="F1550" s="18"/>
      <c r="G1550" s="18" t="s">
        <v>23</v>
      </c>
      <c r="H1550" s="17">
        <v>87.5</v>
      </c>
      <c r="I1550" s="8">
        <v>97.5</v>
      </c>
      <c r="J1550" s="21">
        <f t="shared" si="72"/>
        <v>0.11428571428571428</v>
      </c>
      <c r="K1550" s="1">
        <v>4</v>
      </c>
      <c r="L1550" s="24">
        <v>4.8</v>
      </c>
      <c r="M1550" s="24">
        <v>92.625</v>
      </c>
      <c r="N1550" s="21">
        <f t="shared" si="73"/>
        <v>5.8571428571428573E-2</v>
      </c>
      <c r="P1550" s="1">
        <v>10</v>
      </c>
      <c r="Q1550" s="24">
        <v>11.700000000000003</v>
      </c>
      <c r="R1550" s="24">
        <v>85.8</v>
      </c>
      <c r="S1550" s="21">
        <f t="shared" si="74"/>
        <v>-1.9428571428571462E-2</v>
      </c>
    </row>
    <row r="1551" spans="2:19" ht="11.4" customHeight="1" x14ac:dyDescent="0.2">
      <c r="B1551" s="24"/>
      <c r="C1551" s="7">
        <v>45413</v>
      </c>
      <c r="D1551" s="18" t="s">
        <v>1630</v>
      </c>
      <c r="E1551" s="18" t="s">
        <v>1627</v>
      </c>
      <c r="F1551" s="17">
        <v>15</v>
      </c>
      <c r="G1551" s="18" t="s">
        <v>23</v>
      </c>
      <c r="H1551" s="17">
        <v>55</v>
      </c>
      <c r="I1551" s="8">
        <v>74.900000000000006</v>
      </c>
      <c r="J1551" s="21">
        <f t="shared" si="72"/>
        <v>0.36181818181818193</v>
      </c>
      <c r="K1551" s="1">
        <v>4</v>
      </c>
      <c r="L1551" s="24">
        <v>3.7</v>
      </c>
      <c r="M1551" s="24">
        <v>71.155000000000001</v>
      </c>
      <c r="N1551" s="21">
        <f t="shared" si="73"/>
        <v>0.29372727272727273</v>
      </c>
      <c r="P1551" s="1">
        <v>10</v>
      </c>
      <c r="Q1551" s="24">
        <v>8.9879999999999995</v>
      </c>
      <c r="R1551" s="24">
        <v>65.912000000000006</v>
      </c>
      <c r="S1551" s="21">
        <f t="shared" si="74"/>
        <v>0.1984000000000001</v>
      </c>
    </row>
    <row r="1552" spans="2:19" ht="11.4" customHeight="1" x14ac:dyDescent="0.2">
      <c r="B1552" s="24"/>
      <c r="C1552" s="7">
        <v>33690</v>
      </c>
      <c r="D1552" s="18" t="s">
        <v>1631</v>
      </c>
      <c r="E1552" s="18" t="s">
        <v>1627</v>
      </c>
      <c r="F1552" s="17">
        <v>15</v>
      </c>
      <c r="G1552" s="18" t="s">
        <v>23</v>
      </c>
      <c r="H1552" s="17">
        <v>155</v>
      </c>
      <c r="I1552" s="8">
        <v>162.19999999999999</v>
      </c>
      <c r="J1552" s="21">
        <f t="shared" si="72"/>
        <v>4.6451612903225734E-2</v>
      </c>
      <c r="K1552" s="1">
        <v>4</v>
      </c>
      <c r="L1552" s="24">
        <v>8.1</v>
      </c>
      <c r="M1552" s="24">
        <v>154.08999999999997</v>
      </c>
      <c r="N1552" s="21">
        <f t="shared" si="73"/>
        <v>-5.8709677419356452E-3</v>
      </c>
      <c r="P1552" s="1">
        <v>10</v>
      </c>
      <c r="Q1552" s="24">
        <v>19.463999999999999</v>
      </c>
      <c r="R1552" s="24">
        <v>142.73599999999999</v>
      </c>
      <c r="S1552" s="21">
        <f t="shared" si="74"/>
        <v>-7.9122580645161353E-2</v>
      </c>
    </row>
    <row r="1553" spans="2:19" ht="11.4" customHeight="1" x14ac:dyDescent="0.2">
      <c r="B1553" s="24"/>
      <c r="C1553" s="7">
        <v>41593</v>
      </c>
      <c r="D1553" s="18" t="s">
        <v>1632</v>
      </c>
      <c r="E1553" s="18" t="s">
        <v>1627</v>
      </c>
      <c r="F1553" s="18"/>
      <c r="G1553" s="18" t="s">
        <v>23</v>
      </c>
      <c r="H1553" s="17">
        <v>55.34</v>
      </c>
      <c r="I1553" s="8">
        <v>79.5</v>
      </c>
      <c r="J1553" s="21">
        <f t="shared" si="72"/>
        <v>0.43657390675822183</v>
      </c>
      <c r="K1553" s="1">
        <v>4</v>
      </c>
      <c r="L1553" s="24">
        <v>3.9</v>
      </c>
      <c r="M1553" s="24">
        <v>75.524999999999991</v>
      </c>
      <c r="N1553" s="21">
        <f t="shared" si="73"/>
        <v>0.36474521142031058</v>
      </c>
      <c r="P1553" s="1">
        <v>10</v>
      </c>
      <c r="Q1553" s="24">
        <v>9.5400000000000063</v>
      </c>
      <c r="R1553" s="24">
        <v>69.959999999999994</v>
      </c>
      <c r="S1553" s="21">
        <f t="shared" si="74"/>
        <v>0.26418503794723508</v>
      </c>
    </row>
    <row r="1554" spans="2:19" ht="11.4" customHeight="1" x14ac:dyDescent="0.2">
      <c r="B1554" s="24"/>
      <c r="C1554" s="7">
        <v>38052</v>
      </c>
      <c r="D1554" s="18" t="s">
        <v>1633</v>
      </c>
      <c r="E1554" s="18" t="s">
        <v>1627</v>
      </c>
      <c r="F1554" s="17">
        <v>15</v>
      </c>
      <c r="G1554" s="18" t="s">
        <v>23</v>
      </c>
      <c r="H1554" s="17">
        <v>36.72</v>
      </c>
      <c r="I1554" s="8">
        <v>47.9</v>
      </c>
      <c r="J1554" s="21">
        <f t="shared" si="72"/>
        <v>0.30446623093681918</v>
      </c>
      <c r="K1554" s="1">
        <v>4</v>
      </c>
      <c r="L1554" s="24">
        <v>2.2999999999999998</v>
      </c>
      <c r="M1554" s="24">
        <v>45.504999999999995</v>
      </c>
      <c r="N1554" s="21">
        <f t="shared" si="73"/>
        <v>0.23924291938997813</v>
      </c>
      <c r="P1554" s="1">
        <v>10</v>
      </c>
      <c r="Q1554" s="24">
        <v>5.7479999999999976</v>
      </c>
      <c r="R1554" s="24">
        <v>42.152000000000001</v>
      </c>
      <c r="S1554" s="21">
        <f t="shared" si="74"/>
        <v>0.14793028322440094</v>
      </c>
    </row>
    <row r="1555" spans="2:19" ht="11.4" customHeight="1" x14ac:dyDescent="0.2">
      <c r="B1555" s="24"/>
      <c r="C1555" s="7">
        <v>8829</v>
      </c>
      <c r="D1555" s="18" t="s">
        <v>1634</v>
      </c>
      <c r="E1555" s="18" t="s">
        <v>1627</v>
      </c>
      <c r="F1555" s="17">
        <v>6</v>
      </c>
      <c r="G1555" s="18" t="s">
        <v>23</v>
      </c>
      <c r="H1555" s="17">
        <v>145.30000000000001</v>
      </c>
      <c r="I1555" s="8">
        <v>183.9</v>
      </c>
      <c r="J1555" s="21">
        <f t="shared" si="72"/>
        <v>0.26565726083964208</v>
      </c>
      <c r="K1555" s="1">
        <v>4</v>
      </c>
      <c r="L1555" s="24">
        <v>9.1</v>
      </c>
      <c r="M1555" s="24">
        <v>174.70499999999998</v>
      </c>
      <c r="N1555" s="21">
        <f t="shared" si="73"/>
        <v>0.20237439779765981</v>
      </c>
      <c r="P1555" s="1">
        <v>10</v>
      </c>
      <c r="Q1555" s="24">
        <v>22.068000000000012</v>
      </c>
      <c r="R1555" s="24">
        <v>161.83199999999999</v>
      </c>
      <c r="S1555" s="21">
        <f t="shared" si="74"/>
        <v>0.11377838953888493</v>
      </c>
    </row>
    <row r="1556" spans="2:19" ht="11.4" customHeight="1" x14ac:dyDescent="0.2">
      <c r="B1556" s="24"/>
      <c r="C1556" s="7">
        <v>24378</v>
      </c>
      <c r="D1556" s="18" t="s">
        <v>1635</v>
      </c>
      <c r="E1556" s="18" t="s">
        <v>1627</v>
      </c>
      <c r="F1556" s="17">
        <v>6</v>
      </c>
      <c r="G1556" s="18" t="s">
        <v>23</v>
      </c>
      <c r="H1556" s="17">
        <v>231.3</v>
      </c>
      <c r="I1556" s="8">
        <v>289.89999999999998</v>
      </c>
      <c r="J1556" s="21">
        <f t="shared" si="72"/>
        <v>0.25335062689148274</v>
      </c>
      <c r="K1556" s="1">
        <v>4</v>
      </c>
      <c r="L1556" s="24">
        <v>14.4</v>
      </c>
      <c r="M1556" s="24">
        <v>275.40499999999997</v>
      </c>
      <c r="N1556" s="21">
        <f t="shared" si="73"/>
        <v>0.1906830955469086</v>
      </c>
      <c r="P1556" s="1">
        <v>10</v>
      </c>
      <c r="Q1556" s="24">
        <v>34.787999999999982</v>
      </c>
      <c r="R1556" s="24">
        <v>255.11199999999999</v>
      </c>
      <c r="S1556" s="21">
        <f t="shared" si="74"/>
        <v>0.10294855166450489</v>
      </c>
    </row>
    <row r="1557" spans="2:19" ht="11.4" customHeight="1" x14ac:dyDescent="0.2">
      <c r="B1557" s="24"/>
      <c r="C1557" s="7">
        <v>23099</v>
      </c>
      <c r="D1557" s="18" t="s">
        <v>1636</v>
      </c>
      <c r="E1557" s="18" t="s">
        <v>1627</v>
      </c>
      <c r="F1557" s="17">
        <v>3</v>
      </c>
      <c r="G1557" s="18" t="s">
        <v>23</v>
      </c>
      <c r="H1557" s="17">
        <v>364.75</v>
      </c>
      <c r="I1557" s="8">
        <v>495</v>
      </c>
      <c r="J1557" s="21">
        <f t="shared" si="72"/>
        <v>0.3570938999314599</v>
      </c>
      <c r="K1557" s="1">
        <v>4</v>
      </c>
      <c r="L1557" s="24">
        <v>24.7</v>
      </c>
      <c r="M1557" s="24">
        <v>470.25</v>
      </c>
      <c r="N1557" s="21">
        <f t="shared" si="73"/>
        <v>0.28923920493488692</v>
      </c>
      <c r="P1557" s="1">
        <v>10</v>
      </c>
      <c r="Q1557" s="24">
        <v>59.399999999999977</v>
      </c>
      <c r="R1557" s="24">
        <v>435.6</v>
      </c>
      <c r="S1557" s="21">
        <f t="shared" si="74"/>
        <v>0.19424263193968477</v>
      </c>
    </row>
    <row r="1558" spans="2:19" ht="11.4" customHeight="1" x14ac:dyDescent="0.2">
      <c r="B1558" s="24"/>
      <c r="C1558" s="7">
        <v>3658</v>
      </c>
      <c r="D1558" s="18" t="s">
        <v>1637</v>
      </c>
      <c r="E1558" s="18" t="s">
        <v>1627</v>
      </c>
      <c r="F1558" s="18"/>
      <c r="G1558" s="18" t="s">
        <v>23</v>
      </c>
      <c r="H1558" s="17">
        <v>87.5</v>
      </c>
      <c r="I1558" s="8">
        <v>97.5</v>
      </c>
      <c r="J1558" s="21">
        <f t="shared" si="72"/>
        <v>0.11428571428571428</v>
      </c>
      <c r="K1558" s="1">
        <v>4</v>
      </c>
      <c r="L1558" s="24">
        <v>4.8</v>
      </c>
      <c r="M1558" s="24">
        <v>92.625</v>
      </c>
      <c r="N1558" s="21">
        <f t="shared" si="73"/>
        <v>5.8571428571428573E-2</v>
      </c>
      <c r="P1558" s="1">
        <v>10</v>
      </c>
      <c r="Q1558" s="24">
        <v>11.700000000000003</v>
      </c>
      <c r="R1558" s="24">
        <v>85.8</v>
      </c>
      <c r="S1558" s="21">
        <f t="shared" si="74"/>
        <v>-1.9428571428571462E-2</v>
      </c>
    </row>
    <row r="1559" spans="2:19" ht="11.4" customHeight="1" x14ac:dyDescent="0.2">
      <c r="B1559" s="24"/>
      <c r="C1559" s="7">
        <v>36835</v>
      </c>
      <c r="D1559" s="18" t="s">
        <v>1638</v>
      </c>
      <c r="E1559" s="18" t="s">
        <v>1627</v>
      </c>
      <c r="F1559" s="18"/>
      <c r="G1559" s="18" t="s">
        <v>23</v>
      </c>
      <c r="H1559" s="17">
        <v>428.4</v>
      </c>
      <c r="I1559" s="8">
        <v>530.29999999999995</v>
      </c>
      <c r="J1559" s="21">
        <f t="shared" si="72"/>
        <v>0.23786181139122312</v>
      </c>
      <c r="K1559" s="1">
        <v>4</v>
      </c>
      <c r="L1559" s="24">
        <v>26.5</v>
      </c>
      <c r="M1559" s="24">
        <v>503.78499999999991</v>
      </c>
      <c r="N1559" s="21">
        <f t="shared" si="73"/>
        <v>0.17596872082166184</v>
      </c>
      <c r="P1559" s="1">
        <v>10</v>
      </c>
      <c r="Q1559" s="24">
        <v>63.635999999999967</v>
      </c>
      <c r="R1559" s="24">
        <v>466.66399999999999</v>
      </c>
      <c r="S1559" s="21">
        <f t="shared" si="74"/>
        <v>8.931839402427641E-2</v>
      </c>
    </row>
    <row r="1560" spans="2:19" ht="11.4" customHeight="1" x14ac:dyDescent="0.2">
      <c r="B1560" s="24"/>
      <c r="C1560" s="7">
        <v>9845</v>
      </c>
      <c r="D1560" s="18" t="s">
        <v>1639</v>
      </c>
      <c r="E1560" s="18" t="s">
        <v>1627</v>
      </c>
      <c r="F1560" s="17">
        <v>15</v>
      </c>
      <c r="G1560" s="18" t="s">
        <v>23</v>
      </c>
      <c r="H1560" s="17">
        <v>62.67</v>
      </c>
      <c r="I1560" s="8">
        <v>81.5</v>
      </c>
      <c r="J1560" s="21">
        <f t="shared" si="72"/>
        <v>0.3004627413435455</v>
      </c>
      <c r="K1560" s="1">
        <v>4</v>
      </c>
      <c r="L1560" s="24">
        <v>4</v>
      </c>
      <c r="M1560" s="24">
        <v>77.424999999999997</v>
      </c>
      <c r="N1560" s="21">
        <f t="shared" si="73"/>
        <v>0.2354396042763682</v>
      </c>
      <c r="P1560" s="1">
        <v>10</v>
      </c>
      <c r="Q1560" s="24">
        <v>9.7800000000000011</v>
      </c>
      <c r="R1560" s="24">
        <v>71.72</v>
      </c>
      <c r="S1560" s="21">
        <f t="shared" si="74"/>
        <v>0.14440721238232004</v>
      </c>
    </row>
    <row r="1561" spans="2:19" ht="11.4" customHeight="1" x14ac:dyDescent="0.2">
      <c r="B1561" s="24"/>
      <c r="C1561" s="7">
        <v>3659</v>
      </c>
      <c r="D1561" s="18" t="s">
        <v>1640</v>
      </c>
      <c r="E1561" s="18" t="s">
        <v>1627</v>
      </c>
      <c r="F1561" s="18"/>
      <c r="G1561" s="18" t="s">
        <v>23</v>
      </c>
      <c r="H1561" s="17">
        <v>81.5</v>
      </c>
      <c r="I1561" s="8">
        <v>90.5</v>
      </c>
      <c r="J1561" s="21">
        <f t="shared" si="72"/>
        <v>0.11042944785276074</v>
      </c>
      <c r="K1561" s="1">
        <v>4</v>
      </c>
      <c r="L1561" s="24">
        <v>4.5</v>
      </c>
      <c r="M1561" s="24">
        <v>85.974999999999994</v>
      </c>
      <c r="N1561" s="21">
        <f t="shared" si="73"/>
        <v>5.4907975460122632E-2</v>
      </c>
      <c r="P1561" s="1">
        <v>10</v>
      </c>
      <c r="Q1561" s="24">
        <v>10.86</v>
      </c>
      <c r="R1561" s="24">
        <v>79.64</v>
      </c>
      <c r="S1561" s="21">
        <f t="shared" si="74"/>
        <v>-2.2822085889570545E-2</v>
      </c>
    </row>
    <row r="1562" spans="2:19" ht="11.4" customHeight="1" x14ac:dyDescent="0.2">
      <c r="B1562" s="24"/>
      <c r="C1562" s="7">
        <v>26748</v>
      </c>
      <c r="D1562" s="18" t="s">
        <v>1641</v>
      </c>
      <c r="E1562" s="18" t="s">
        <v>1627</v>
      </c>
      <c r="F1562" s="17">
        <v>4</v>
      </c>
      <c r="G1562" s="18" t="s">
        <v>23</v>
      </c>
      <c r="H1562" s="17">
        <v>171.8</v>
      </c>
      <c r="I1562" s="8">
        <v>239.9</v>
      </c>
      <c r="J1562" s="21">
        <f t="shared" si="72"/>
        <v>0.39639115250291029</v>
      </c>
      <c r="K1562" s="1">
        <v>4</v>
      </c>
      <c r="L1562" s="24">
        <v>11.9</v>
      </c>
      <c r="M1562" s="24">
        <v>227.905</v>
      </c>
      <c r="N1562" s="21">
        <f t="shared" si="73"/>
        <v>0.32657159487776477</v>
      </c>
      <c r="P1562" s="1">
        <v>10</v>
      </c>
      <c r="Q1562" s="24">
        <v>28.788000000000011</v>
      </c>
      <c r="R1562" s="24">
        <v>211.11199999999999</v>
      </c>
      <c r="S1562" s="21">
        <f t="shared" si="74"/>
        <v>0.22882421420256099</v>
      </c>
    </row>
    <row r="1563" spans="2:19" ht="11.4" customHeight="1" x14ac:dyDescent="0.2">
      <c r="B1563" s="24"/>
      <c r="C1563" s="7">
        <v>36836</v>
      </c>
      <c r="D1563" s="18" t="s">
        <v>1642</v>
      </c>
      <c r="E1563" s="18" t="s">
        <v>1627</v>
      </c>
      <c r="F1563" s="18"/>
      <c r="G1563" s="18" t="s">
        <v>23</v>
      </c>
      <c r="H1563" s="17">
        <v>417.1</v>
      </c>
      <c r="I1563" s="8">
        <v>516.20000000000005</v>
      </c>
      <c r="J1563" s="21">
        <f t="shared" si="72"/>
        <v>0.23759290338048433</v>
      </c>
      <c r="K1563" s="1">
        <v>4</v>
      </c>
      <c r="L1563" s="24">
        <v>25.8</v>
      </c>
      <c r="M1563" s="24">
        <v>490.39000000000004</v>
      </c>
      <c r="N1563" s="21">
        <f t="shared" si="73"/>
        <v>0.17571325821146011</v>
      </c>
      <c r="P1563" s="1">
        <v>10</v>
      </c>
      <c r="Q1563" s="24">
        <v>61.944000000000017</v>
      </c>
      <c r="R1563" s="24">
        <v>454.25600000000003</v>
      </c>
      <c r="S1563" s="21">
        <f t="shared" si="74"/>
        <v>8.9081754974826191E-2</v>
      </c>
    </row>
    <row r="1564" spans="2:19" ht="11.4" customHeight="1" x14ac:dyDescent="0.2">
      <c r="B1564" s="24"/>
      <c r="C1564" s="7">
        <v>8961</v>
      </c>
      <c r="D1564" s="18" t="s">
        <v>1643</v>
      </c>
      <c r="E1564" s="18" t="s">
        <v>1627</v>
      </c>
      <c r="F1564" s="17">
        <v>15</v>
      </c>
      <c r="G1564" s="18" t="s">
        <v>23</v>
      </c>
      <c r="H1564" s="17">
        <v>56.9</v>
      </c>
      <c r="I1564" s="8">
        <v>79.900000000000006</v>
      </c>
      <c r="J1564" s="21">
        <f t="shared" si="72"/>
        <v>0.40421792618629188</v>
      </c>
      <c r="K1564" s="1">
        <v>4</v>
      </c>
      <c r="L1564" s="24">
        <v>3.9</v>
      </c>
      <c r="M1564" s="24">
        <v>75.905000000000001</v>
      </c>
      <c r="N1564" s="21">
        <f t="shared" si="73"/>
        <v>0.33400702987697722</v>
      </c>
      <c r="P1564" s="1">
        <v>10</v>
      </c>
      <c r="Q1564" s="24">
        <v>9.5879999999999939</v>
      </c>
      <c r="R1564" s="24">
        <v>70.312000000000012</v>
      </c>
      <c r="S1564" s="21">
        <f t="shared" si="74"/>
        <v>0.23571177504393698</v>
      </c>
    </row>
    <row r="1565" spans="2:19" ht="11.4" customHeight="1" x14ac:dyDescent="0.2">
      <c r="B1565" s="24"/>
      <c r="C1565" s="7">
        <v>36828</v>
      </c>
      <c r="D1565" s="18" t="s">
        <v>1644</v>
      </c>
      <c r="E1565" s="18" t="s">
        <v>1627</v>
      </c>
      <c r="F1565" s="18"/>
      <c r="G1565" s="18" t="s">
        <v>23</v>
      </c>
      <c r="H1565" s="17">
        <v>249.9</v>
      </c>
      <c r="I1565" s="8">
        <v>309.39999999999998</v>
      </c>
      <c r="J1565" s="21">
        <f t="shared" si="72"/>
        <v>0.23809523809523797</v>
      </c>
      <c r="K1565" s="1">
        <v>4</v>
      </c>
      <c r="L1565" s="24">
        <v>15.4</v>
      </c>
      <c r="M1565" s="24">
        <v>293.92999999999995</v>
      </c>
      <c r="N1565" s="21">
        <f t="shared" si="73"/>
        <v>0.17619047619047595</v>
      </c>
      <c r="P1565" s="1">
        <v>10</v>
      </c>
      <c r="Q1565" s="24">
        <v>37.127999999999986</v>
      </c>
      <c r="R1565" s="24">
        <v>272.27199999999999</v>
      </c>
      <c r="S1565" s="21">
        <f t="shared" si="74"/>
        <v>8.9523809523809464E-2</v>
      </c>
    </row>
    <row r="1566" spans="2:19" ht="11.4" customHeight="1" x14ac:dyDescent="0.2">
      <c r="B1566" s="24"/>
      <c r="C1566" s="7">
        <v>38842</v>
      </c>
      <c r="D1566" s="18" t="s">
        <v>1645</v>
      </c>
      <c r="E1566" s="18" t="s">
        <v>1598</v>
      </c>
      <c r="F1566" s="17">
        <v>12</v>
      </c>
      <c r="G1566" s="18" t="s">
        <v>23</v>
      </c>
      <c r="H1566" s="17">
        <v>133.69999999999999</v>
      </c>
      <c r="I1566" s="8">
        <v>169</v>
      </c>
      <c r="J1566" s="21">
        <f t="shared" si="72"/>
        <v>0.26402393418100234</v>
      </c>
      <c r="K1566" s="1">
        <v>4</v>
      </c>
      <c r="L1566" s="24">
        <v>8.4</v>
      </c>
      <c r="M1566" s="24">
        <v>160.54999999999998</v>
      </c>
      <c r="N1566" s="21">
        <f t="shared" si="73"/>
        <v>0.20082273747195212</v>
      </c>
      <c r="P1566" s="1">
        <v>10</v>
      </c>
      <c r="Q1566" s="24">
        <v>20.28</v>
      </c>
      <c r="R1566" s="24">
        <v>148.72</v>
      </c>
      <c r="S1566" s="21">
        <f t="shared" si="74"/>
        <v>0.11234106207928206</v>
      </c>
    </row>
    <row r="1567" spans="2:19" ht="11.4" customHeight="1" x14ac:dyDescent="0.2">
      <c r="B1567" s="24"/>
      <c r="C1567" s="7">
        <v>28264</v>
      </c>
      <c r="D1567" s="18" t="s">
        <v>1646</v>
      </c>
      <c r="E1567" s="18" t="s">
        <v>1568</v>
      </c>
      <c r="F1567" s="18"/>
      <c r="G1567" s="18" t="s">
        <v>902</v>
      </c>
      <c r="H1567" s="17">
        <v>16.899999999999999</v>
      </c>
      <c r="I1567" s="8">
        <v>15.9</v>
      </c>
      <c r="J1567" s="21">
        <f t="shared" si="72"/>
        <v>-5.9171597633135994E-2</v>
      </c>
      <c r="K1567" s="1">
        <v>1</v>
      </c>
      <c r="L1567" s="24">
        <v>0.7</v>
      </c>
      <c r="M1567" s="24">
        <v>15.105</v>
      </c>
      <c r="N1567" s="21">
        <f t="shared" si="73"/>
        <v>-0.10621301775147919</v>
      </c>
      <c r="P1567" s="1">
        <v>4</v>
      </c>
      <c r="Q1567" s="24">
        <v>1.5899999999999999</v>
      </c>
      <c r="R1567" s="24">
        <v>14.31</v>
      </c>
      <c r="S1567" s="21">
        <f t="shared" si="74"/>
        <v>-0.15325443786982237</v>
      </c>
    </row>
    <row r="1568" spans="2:19" ht="11.4" customHeight="1" x14ac:dyDescent="0.2">
      <c r="B1568" s="24"/>
      <c r="C1568" s="7">
        <v>10462</v>
      </c>
      <c r="D1568" s="18" t="s">
        <v>1647</v>
      </c>
      <c r="E1568" s="18" t="s">
        <v>1568</v>
      </c>
      <c r="F1568" s="17">
        <v>10</v>
      </c>
      <c r="G1568" s="18" t="s">
        <v>23</v>
      </c>
      <c r="H1568" s="17">
        <v>33.5</v>
      </c>
      <c r="I1568" s="8">
        <v>44.6</v>
      </c>
      <c r="J1568" s="21">
        <f t="shared" si="72"/>
        <v>0.33134328358208959</v>
      </c>
      <c r="K1568" s="1">
        <v>4</v>
      </c>
      <c r="L1568" s="24">
        <v>2.2000000000000002</v>
      </c>
      <c r="M1568" s="24">
        <v>42.37</v>
      </c>
      <c r="N1568" s="21">
        <f t="shared" si="73"/>
        <v>0.26477611940298501</v>
      </c>
      <c r="P1568" s="1">
        <v>10</v>
      </c>
      <c r="Q1568" s="24">
        <v>5.3519999999999968</v>
      </c>
      <c r="R1568" s="24">
        <v>39.248000000000005</v>
      </c>
      <c r="S1568" s="21">
        <f t="shared" si="74"/>
        <v>0.17158208955223894</v>
      </c>
    </row>
    <row r="1569" spans="2:19" ht="11.4" customHeight="1" x14ac:dyDescent="0.2">
      <c r="B1569" s="24"/>
      <c r="C1569" s="7">
        <v>10463</v>
      </c>
      <c r="D1569" s="18" t="s">
        <v>1648</v>
      </c>
      <c r="E1569" s="18" t="s">
        <v>1568</v>
      </c>
      <c r="F1569" s="17">
        <v>10</v>
      </c>
      <c r="G1569" s="18" t="s">
        <v>23</v>
      </c>
      <c r="H1569" s="17">
        <v>44.9</v>
      </c>
      <c r="I1569" s="8">
        <v>60.2</v>
      </c>
      <c r="J1569" s="21">
        <f t="shared" si="72"/>
        <v>0.34075723830734977</v>
      </c>
      <c r="K1569" s="1">
        <v>4</v>
      </c>
      <c r="L1569" s="24">
        <v>3</v>
      </c>
      <c r="M1569" s="24">
        <v>57.19</v>
      </c>
      <c r="N1569" s="21">
        <f t="shared" si="73"/>
        <v>0.27371937639198218</v>
      </c>
      <c r="P1569" s="1">
        <v>10</v>
      </c>
      <c r="Q1569" s="24">
        <v>7.2239999999999966</v>
      </c>
      <c r="R1569" s="24">
        <v>52.976000000000006</v>
      </c>
      <c r="S1569" s="21">
        <f t="shared" si="74"/>
        <v>0.17986636971046788</v>
      </c>
    </row>
    <row r="1570" spans="2:19" ht="11.4" customHeight="1" x14ac:dyDescent="0.2">
      <c r="B1570" s="24"/>
      <c r="C1570" s="7">
        <v>23419</v>
      </c>
      <c r="D1570" s="18" t="s">
        <v>1649</v>
      </c>
      <c r="E1570" s="18" t="s">
        <v>1568</v>
      </c>
      <c r="F1570" s="17">
        <v>25</v>
      </c>
      <c r="G1570" s="18" t="s">
        <v>23</v>
      </c>
      <c r="H1570" s="17">
        <v>16.899999999999999</v>
      </c>
      <c r="I1570" s="8">
        <v>20.3</v>
      </c>
      <c r="J1570" s="21">
        <f t="shared" si="72"/>
        <v>0.20118343195266286</v>
      </c>
      <c r="K1570" s="1">
        <v>4</v>
      </c>
      <c r="L1570" s="24">
        <v>1</v>
      </c>
      <c r="M1570" s="24">
        <v>19.285</v>
      </c>
      <c r="N1570" s="21">
        <f t="shared" si="73"/>
        <v>0.1411242603550297</v>
      </c>
      <c r="P1570" s="1">
        <v>10</v>
      </c>
      <c r="Q1570" s="24">
        <v>2.4359999999999999</v>
      </c>
      <c r="R1570" s="24">
        <v>17.864000000000001</v>
      </c>
      <c r="S1570" s="21">
        <f t="shared" si="74"/>
        <v>5.7041420118343331E-2</v>
      </c>
    </row>
    <row r="1571" spans="2:19" ht="11.4" customHeight="1" x14ac:dyDescent="0.2">
      <c r="B1571" s="24"/>
      <c r="C1571" s="7">
        <v>23803</v>
      </c>
      <c r="D1571" s="18" t="s">
        <v>1650</v>
      </c>
      <c r="E1571" s="18" t="s">
        <v>1568</v>
      </c>
      <c r="F1571" s="17">
        <v>8</v>
      </c>
      <c r="G1571" s="18" t="s">
        <v>23</v>
      </c>
      <c r="H1571" s="17">
        <v>19</v>
      </c>
      <c r="I1571" s="8">
        <v>19.899999999999999</v>
      </c>
      <c r="J1571" s="21">
        <f t="shared" si="72"/>
        <v>4.7368421052631504E-2</v>
      </c>
      <c r="K1571" s="1">
        <v>4</v>
      </c>
      <c r="L1571" s="24">
        <v>0.9</v>
      </c>
      <c r="M1571" s="24">
        <v>18.904999999999998</v>
      </c>
      <c r="N1571" s="21">
        <f t="shared" si="73"/>
        <v>-5.0000000000001267E-3</v>
      </c>
      <c r="P1571" s="1">
        <v>10</v>
      </c>
      <c r="Q1571" s="24">
        <v>2.3879999999999981</v>
      </c>
      <c r="R1571" s="24">
        <v>17.512</v>
      </c>
      <c r="S1571" s="21">
        <f t="shared" si="74"/>
        <v>-7.8315789473684186E-2</v>
      </c>
    </row>
    <row r="1572" spans="2:19" ht="11.4" customHeight="1" x14ac:dyDescent="0.2">
      <c r="B1572" s="24"/>
      <c r="C1572" s="7">
        <v>36377</v>
      </c>
      <c r="D1572" s="18" t="s">
        <v>1651</v>
      </c>
      <c r="E1572" s="18" t="s">
        <v>1568</v>
      </c>
      <c r="F1572" s="17">
        <v>25</v>
      </c>
      <c r="G1572" s="18" t="s">
        <v>23</v>
      </c>
      <c r="H1572" s="17">
        <v>16.5</v>
      </c>
      <c r="I1572" s="8">
        <v>12.9</v>
      </c>
      <c r="J1572" s="21">
        <f t="shared" si="72"/>
        <v>-0.21818181818181817</v>
      </c>
      <c r="K1572" s="1">
        <v>4</v>
      </c>
      <c r="L1572" s="24">
        <v>0.6</v>
      </c>
      <c r="M1572" s="24">
        <v>12.254999999999999</v>
      </c>
      <c r="N1572" s="21">
        <f t="shared" si="73"/>
        <v>-0.25727272727272732</v>
      </c>
      <c r="P1572" s="1">
        <v>10</v>
      </c>
      <c r="Q1572" s="24">
        <v>1.548</v>
      </c>
      <c r="R1572" s="24">
        <v>11.352</v>
      </c>
      <c r="S1572" s="21">
        <f t="shared" si="74"/>
        <v>-0.312</v>
      </c>
    </row>
    <row r="1573" spans="2:19" ht="11.4" customHeight="1" x14ac:dyDescent="0.2">
      <c r="B1573" s="24"/>
      <c r="C1573" s="7">
        <v>39420</v>
      </c>
      <c r="D1573" s="18" t="s">
        <v>1652</v>
      </c>
      <c r="E1573" s="18" t="s">
        <v>1568</v>
      </c>
      <c r="F1573" s="17">
        <v>14</v>
      </c>
      <c r="G1573" s="18" t="s">
        <v>23</v>
      </c>
      <c r="H1573" s="17">
        <v>37.4</v>
      </c>
      <c r="I1573" s="8">
        <v>38.9</v>
      </c>
      <c r="J1573" s="21">
        <f t="shared" si="72"/>
        <v>4.0106951871657755E-2</v>
      </c>
      <c r="K1573" s="1">
        <v>4</v>
      </c>
      <c r="L1573" s="24">
        <v>1.9</v>
      </c>
      <c r="M1573" s="24">
        <v>36.954999999999998</v>
      </c>
      <c r="N1573" s="21">
        <f t="shared" si="73"/>
        <v>-1.1898395721925142E-2</v>
      </c>
      <c r="P1573" s="1">
        <v>10</v>
      </c>
      <c r="Q1573" s="24">
        <v>4.6679999999999993</v>
      </c>
      <c r="R1573" s="24">
        <v>34.231999999999999</v>
      </c>
      <c r="S1573" s="21">
        <f t="shared" si="74"/>
        <v>-8.4705882352941159E-2</v>
      </c>
    </row>
    <row r="1574" spans="2:19" ht="11.4" customHeight="1" x14ac:dyDescent="0.2">
      <c r="B1574" s="24"/>
      <c r="C1574" s="7">
        <v>39327</v>
      </c>
      <c r="D1574" s="18" t="s">
        <v>1653</v>
      </c>
      <c r="E1574" s="18" t="s">
        <v>1568</v>
      </c>
      <c r="F1574" s="17">
        <v>6</v>
      </c>
      <c r="G1574" s="18" t="s">
        <v>23</v>
      </c>
      <c r="H1574" s="17">
        <v>115.9</v>
      </c>
      <c r="I1574" s="8">
        <v>148</v>
      </c>
      <c r="J1574" s="21">
        <f t="shared" si="72"/>
        <v>0.27696289905090588</v>
      </c>
      <c r="K1574" s="1">
        <v>4</v>
      </c>
      <c r="L1574" s="24">
        <v>7.4</v>
      </c>
      <c r="M1574" s="24">
        <v>140.6</v>
      </c>
      <c r="N1574" s="21">
        <f t="shared" si="73"/>
        <v>0.21311475409836056</v>
      </c>
      <c r="P1574" s="1">
        <v>10</v>
      </c>
      <c r="Q1574" s="24">
        <v>17.759999999999991</v>
      </c>
      <c r="R1574" s="24">
        <v>130.24</v>
      </c>
      <c r="S1574" s="21">
        <f t="shared" si="74"/>
        <v>0.12372735116479726</v>
      </c>
    </row>
    <row r="1575" spans="2:19" ht="11.4" customHeight="1" x14ac:dyDescent="0.2">
      <c r="B1575" s="24"/>
      <c r="C1575" s="7">
        <v>39423</v>
      </c>
      <c r="D1575" s="18" t="s">
        <v>1654</v>
      </c>
      <c r="E1575" s="18" t="s">
        <v>1568</v>
      </c>
      <c r="F1575" s="17">
        <v>18</v>
      </c>
      <c r="G1575" s="18" t="s">
        <v>23</v>
      </c>
      <c r="H1575" s="17">
        <v>54.4</v>
      </c>
      <c r="I1575" s="8">
        <v>54.9</v>
      </c>
      <c r="J1575" s="21">
        <f t="shared" si="72"/>
        <v>9.1911764705882356E-3</v>
      </c>
      <c r="K1575" s="1">
        <v>4</v>
      </c>
      <c r="L1575" s="24">
        <v>2.7</v>
      </c>
      <c r="M1575" s="24">
        <v>52.154999999999994</v>
      </c>
      <c r="N1575" s="21">
        <f t="shared" si="73"/>
        <v>-4.1268382352941259E-2</v>
      </c>
      <c r="P1575" s="1">
        <v>10</v>
      </c>
      <c r="Q1575" s="24">
        <v>6.588000000000001</v>
      </c>
      <c r="R1575" s="24">
        <v>48.311999999999998</v>
      </c>
      <c r="S1575" s="21">
        <f t="shared" si="74"/>
        <v>-0.11191176470588238</v>
      </c>
    </row>
    <row r="1576" spans="2:19" ht="11.4" customHeight="1" x14ac:dyDescent="0.2">
      <c r="B1576" s="24"/>
      <c r="C1576" s="7">
        <v>39422</v>
      </c>
      <c r="D1576" s="18" t="s">
        <v>1655</v>
      </c>
      <c r="E1576" s="18" t="s">
        <v>1568</v>
      </c>
      <c r="F1576" s="17">
        <v>14</v>
      </c>
      <c r="G1576" s="18" t="s">
        <v>23</v>
      </c>
      <c r="H1576" s="17">
        <v>37.4</v>
      </c>
      <c r="I1576" s="8">
        <v>38.9</v>
      </c>
      <c r="J1576" s="21">
        <f t="shared" si="72"/>
        <v>4.0106951871657755E-2</v>
      </c>
      <c r="K1576" s="1">
        <v>4</v>
      </c>
      <c r="L1576" s="24">
        <v>1.9</v>
      </c>
      <c r="M1576" s="24">
        <v>36.954999999999998</v>
      </c>
      <c r="N1576" s="21">
        <f t="shared" si="73"/>
        <v>-1.1898395721925142E-2</v>
      </c>
      <c r="P1576" s="1">
        <v>10</v>
      </c>
      <c r="Q1576" s="24">
        <v>4.6679999999999993</v>
      </c>
      <c r="R1576" s="24">
        <v>34.231999999999999</v>
      </c>
      <c r="S1576" s="21">
        <f t="shared" si="74"/>
        <v>-8.4705882352941159E-2</v>
      </c>
    </row>
    <row r="1577" spans="2:19" ht="11.4" customHeight="1" x14ac:dyDescent="0.2">
      <c r="B1577" s="24"/>
      <c r="C1577" s="7">
        <v>39421</v>
      </c>
      <c r="D1577" s="18" t="s">
        <v>1656</v>
      </c>
      <c r="E1577" s="18" t="s">
        <v>1568</v>
      </c>
      <c r="F1577" s="17">
        <v>14</v>
      </c>
      <c r="G1577" s="18" t="s">
        <v>23</v>
      </c>
      <c r="H1577" s="17">
        <v>37.4</v>
      </c>
      <c r="I1577" s="8">
        <v>38.9</v>
      </c>
      <c r="J1577" s="21">
        <f t="shared" si="72"/>
        <v>4.0106951871657755E-2</v>
      </c>
      <c r="K1577" s="1">
        <v>4</v>
      </c>
      <c r="L1577" s="24">
        <v>1.9</v>
      </c>
      <c r="M1577" s="24">
        <v>36.954999999999998</v>
      </c>
      <c r="N1577" s="21">
        <f t="shared" si="73"/>
        <v>-1.1898395721925142E-2</v>
      </c>
      <c r="P1577" s="1">
        <v>10</v>
      </c>
      <c r="Q1577" s="24">
        <v>4.6679999999999993</v>
      </c>
      <c r="R1577" s="24">
        <v>34.231999999999999</v>
      </c>
      <c r="S1577" s="21">
        <f t="shared" si="74"/>
        <v>-8.4705882352941159E-2</v>
      </c>
    </row>
    <row r="1578" spans="2:19" ht="11.4" customHeight="1" x14ac:dyDescent="0.2">
      <c r="B1578" s="24"/>
      <c r="C1578" s="7">
        <v>9960</v>
      </c>
      <c r="D1578" s="18" t="s">
        <v>1657</v>
      </c>
      <c r="E1578" s="18" t="s">
        <v>1568</v>
      </c>
      <c r="F1578" s="17">
        <v>18</v>
      </c>
      <c r="G1578" s="18" t="s">
        <v>23</v>
      </c>
      <c r="H1578" s="17">
        <v>54.4</v>
      </c>
      <c r="I1578" s="8">
        <v>56.9</v>
      </c>
      <c r="J1578" s="21">
        <f t="shared" si="72"/>
        <v>4.595588235294118E-2</v>
      </c>
      <c r="K1578" s="1">
        <v>4</v>
      </c>
      <c r="L1578" s="24">
        <v>2.8</v>
      </c>
      <c r="M1578" s="24">
        <v>54.054999999999993</v>
      </c>
      <c r="N1578" s="21">
        <f t="shared" si="73"/>
        <v>-6.3419117647059925E-3</v>
      </c>
      <c r="P1578" s="1">
        <v>10</v>
      </c>
      <c r="Q1578" s="24">
        <v>6.828000000000003</v>
      </c>
      <c r="R1578" s="24">
        <v>50.071999999999996</v>
      </c>
      <c r="S1578" s="21">
        <f t="shared" si="74"/>
        <v>-7.9558823529411821E-2</v>
      </c>
    </row>
    <row r="1579" spans="2:19" ht="11.4" customHeight="1" x14ac:dyDescent="0.2">
      <c r="B1579" s="24"/>
      <c r="C1579" s="7">
        <v>39413</v>
      </c>
      <c r="D1579" s="18" t="s">
        <v>1658</v>
      </c>
      <c r="E1579" s="18" t="s">
        <v>1568</v>
      </c>
      <c r="F1579" s="17">
        <v>12</v>
      </c>
      <c r="G1579" s="18" t="s">
        <v>23</v>
      </c>
      <c r="H1579" s="17">
        <v>37.4</v>
      </c>
      <c r="I1579" s="8">
        <v>39.9</v>
      </c>
      <c r="J1579" s="21">
        <f t="shared" si="72"/>
        <v>6.684491978609626E-2</v>
      </c>
      <c r="K1579" s="1">
        <v>4</v>
      </c>
      <c r="L1579" s="24">
        <v>1.9</v>
      </c>
      <c r="M1579" s="24">
        <v>37.904999999999994</v>
      </c>
      <c r="N1579" s="21">
        <f t="shared" si="73"/>
        <v>1.3502673796791322E-2</v>
      </c>
      <c r="P1579" s="1">
        <v>10</v>
      </c>
      <c r="Q1579" s="24">
        <v>4.7879999999999967</v>
      </c>
      <c r="R1579" s="24">
        <v>35.112000000000002</v>
      </c>
      <c r="S1579" s="21">
        <f t="shared" si="74"/>
        <v>-6.1176470588235207E-2</v>
      </c>
    </row>
    <row r="1580" spans="2:19" ht="11.4" customHeight="1" x14ac:dyDescent="0.2">
      <c r="B1580" s="24"/>
      <c r="C1580" s="7">
        <v>39416</v>
      </c>
      <c r="D1580" s="18" t="s">
        <v>1659</v>
      </c>
      <c r="E1580" s="18" t="s">
        <v>1568</v>
      </c>
      <c r="F1580" s="17">
        <v>20</v>
      </c>
      <c r="G1580" s="18" t="s">
        <v>23</v>
      </c>
      <c r="H1580" s="17">
        <v>19.899999999999999</v>
      </c>
      <c r="I1580" s="8">
        <v>20.9</v>
      </c>
      <c r="J1580" s="21">
        <f t="shared" si="72"/>
        <v>5.0251256281407038E-2</v>
      </c>
      <c r="K1580" s="1">
        <v>4</v>
      </c>
      <c r="L1580" s="24">
        <v>1</v>
      </c>
      <c r="M1580" s="24">
        <v>19.854999999999997</v>
      </c>
      <c r="N1580" s="21">
        <f t="shared" si="73"/>
        <v>-2.2613065326634024E-3</v>
      </c>
      <c r="P1580" s="1">
        <v>10</v>
      </c>
      <c r="Q1580" s="24">
        <v>2.5079999999999991</v>
      </c>
      <c r="R1580" s="24">
        <v>18.391999999999999</v>
      </c>
      <c r="S1580" s="21">
        <f t="shared" si="74"/>
        <v>-7.5778894472361774E-2</v>
      </c>
    </row>
    <row r="1581" spans="2:19" ht="11.4" customHeight="1" x14ac:dyDescent="0.2">
      <c r="B1581" s="24"/>
      <c r="C1581" s="7">
        <v>39419</v>
      </c>
      <c r="D1581" s="18" t="s">
        <v>1660</v>
      </c>
      <c r="E1581" s="18" t="s">
        <v>1568</v>
      </c>
      <c r="F1581" s="17">
        <v>18</v>
      </c>
      <c r="G1581" s="18" t="s">
        <v>23</v>
      </c>
      <c r="H1581" s="17">
        <v>47</v>
      </c>
      <c r="I1581" s="8">
        <v>48.9</v>
      </c>
      <c r="J1581" s="21">
        <f t="shared" si="72"/>
        <v>4.0425531914893585E-2</v>
      </c>
      <c r="K1581" s="1">
        <v>4</v>
      </c>
      <c r="L1581" s="24">
        <v>2.4</v>
      </c>
      <c r="M1581" s="24">
        <v>46.454999999999998</v>
      </c>
      <c r="N1581" s="21">
        <f t="shared" si="73"/>
        <v>-1.1595744680851099E-2</v>
      </c>
      <c r="P1581" s="1">
        <v>10</v>
      </c>
      <c r="Q1581" s="24">
        <v>5.8680000000000021</v>
      </c>
      <c r="R1581" s="24">
        <v>43.031999999999996</v>
      </c>
      <c r="S1581" s="21">
        <f t="shared" si="74"/>
        <v>-8.4425531914893687E-2</v>
      </c>
    </row>
    <row r="1582" spans="2:19" ht="11.4" customHeight="1" x14ac:dyDescent="0.2">
      <c r="B1582" s="24"/>
      <c r="C1582" s="7">
        <v>39415</v>
      </c>
      <c r="D1582" s="18" t="s">
        <v>1661</v>
      </c>
      <c r="E1582" s="18" t="s">
        <v>1568</v>
      </c>
      <c r="F1582" s="17">
        <v>12</v>
      </c>
      <c r="G1582" s="18" t="s">
        <v>23</v>
      </c>
      <c r="H1582" s="17">
        <v>38.6</v>
      </c>
      <c r="I1582" s="8">
        <v>39.9</v>
      </c>
      <c r="J1582" s="21">
        <f t="shared" si="72"/>
        <v>3.3678756476683863E-2</v>
      </c>
      <c r="K1582" s="1">
        <v>4</v>
      </c>
      <c r="L1582" s="24">
        <v>1.9</v>
      </c>
      <c r="M1582" s="24">
        <v>37.904999999999994</v>
      </c>
      <c r="N1582" s="21">
        <f t="shared" si="73"/>
        <v>-1.8005181347150449E-2</v>
      </c>
      <c r="P1582" s="1">
        <v>10</v>
      </c>
      <c r="Q1582" s="24">
        <v>4.7879999999999967</v>
      </c>
      <c r="R1582" s="24">
        <v>35.112000000000002</v>
      </c>
      <c r="S1582" s="21">
        <f t="shared" si="74"/>
        <v>-9.0362694300518118E-2</v>
      </c>
    </row>
    <row r="1583" spans="2:19" ht="11.4" customHeight="1" x14ac:dyDescent="0.2">
      <c r="B1583" s="24"/>
      <c r="C1583" s="7">
        <v>39418</v>
      </c>
      <c r="D1583" s="18" t="s">
        <v>1662</v>
      </c>
      <c r="E1583" s="18" t="s">
        <v>1568</v>
      </c>
      <c r="F1583" s="17">
        <v>20</v>
      </c>
      <c r="G1583" s="18" t="s">
        <v>23</v>
      </c>
      <c r="H1583" s="17">
        <v>20.399999999999999</v>
      </c>
      <c r="I1583" s="8">
        <v>20.9</v>
      </c>
      <c r="J1583" s="21">
        <f t="shared" si="72"/>
        <v>2.4509803921568631E-2</v>
      </c>
      <c r="K1583" s="1">
        <v>4</v>
      </c>
      <c r="L1583" s="24">
        <v>1</v>
      </c>
      <c r="M1583" s="24">
        <v>19.854999999999997</v>
      </c>
      <c r="N1583" s="21">
        <f t="shared" si="73"/>
        <v>-2.6715686274509889E-2</v>
      </c>
      <c r="P1583" s="1">
        <v>10</v>
      </c>
      <c r="Q1583" s="24">
        <v>2.5079999999999991</v>
      </c>
      <c r="R1583" s="24">
        <v>18.391999999999999</v>
      </c>
      <c r="S1583" s="21">
        <f t="shared" si="74"/>
        <v>-9.8431372549019569E-2</v>
      </c>
    </row>
    <row r="1584" spans="2:19" ht="11.4" customHeight="1" x14ac:dyDescent="0.2">
      <c r="B1584" s="24"/>
      <c r="C1584" s="7">
        <v>39426</v>
      </c>
      <c r="D1584" s="18" t="s">
        <v>1663</v>
      </c>
      <c r="E1584" s="18" t="s">
        <v>1568</v>
      </c>
      <c r="F1584" s="17">
        <v>12</v>
      </c>
      <c r="G1584" s="18" t="s">
        <v>23</v>
      </c>
      <c r="H1584" s="17">
        <v>42.5</v>
      </c>
      <c r="I1584" s="8">
        <v>44.9</v>
      </c>
      <c r="J1584" s="21">
        <f t="shared" si="72"/>
        <v>5.6470588235294085E-2</v>
      </c>
      <c r="K1584" s="1">
        <v>4</v>
      </c>
      <c r="L1584" s="24">
        <v>2.2000000000000002</v>
      </c>
      <c r="M1584" s="24">
        <v>42.654999999999994</v>
      </c>
      <c r="N1584" s="21">
        <f t="shared" si="73"/>
        <v>3.6470588235292711E-3</v>
      </c>
      <c r="P1584" s="1">
        <v>10</v>
      </c>
      <c r="Q1584" s="24">
        <v>5.3879999999999981</v>
      </c>
      <c r="R1584" s="24">
        <v>39.512</v>
      </c>
      <c r="S1584" s="21">
        <f t="shared" si="74"/>
        <v>-7.0305882352941163E-2</v>
      </c>
    </row>
    <row r="1585" spans="2:19" ht="11.4" customHeight="1" x14ac:dyDescent="0.2">
      <c r="B1585" s="24"/>
      <c r="C1585" s="7">
        <v>39425</v>
      </c>
      <c r="D1585" s="18" t="s">
        <v>1664</v>
      </c>
      <c r="E1585" s="18" t="s">
        <v>1568</v>
      </c>
      <c r="F1585" s="17">
        <v>12</v>
      </c>
      <c r="G1585" s="18" t="s">
        <v>23</v>
      </c>
      <c r="H1585" s="17">
        <v>45.4</v>
      </c>
      <c r="I1585" s="8">
        <v>47.9</v>
      </c>
      <c r="J1585" s="21">
        <f t="shared" si="72"/>
        <v>5.506607929515419E-2</v>
      </c>
      <c r="K1585" s="1">
        <v>4</v>
      </c>
      <c r="L1585" s="24">
        <v>2.2999999999999998</v>
      </c>
      <c r="M1585" s="24">
        <v>45.504999999999995</v>
      </c>
      <c r="N1585" s="21">
        <f t="shared" si="73"/>
        <v>2.3127753303964068E-3</v>
      </c>
      <c r="P1585" s="1">
        <v>10</v>
      </c>
      <c r="Q1585" s="24">
        <v>5.7479999999999976</v>
      </c>
      <c r="R1585" s="24">
        <v>42.152000000000001</v>
      </c>
      <c r="S1585" s="21">
        <f t="shared" si="74"/>
        <v>-7.1541850220264269E-2</v>
      </c>
    </row>
    <row r="1586" spans="2:19" ht="11.4" customHeight="1" x14ac:dyDescent="0.2">
      <c r="B1586" s="24"/>
      <c r="C1586" s="7">
        <v>39424</v>
      </c>
      <c r="D1586" s="18" t="s">
        <v>1665</v>
      </c>
      <c r="E1586" s="18" t="s">
        <v>1568</v>
      </c>
      <c r="F1586" s="17">
        <v>12</v>
      </c>
      <c r="G1586" s="18" t="s">
        <v>23</v>
      </c>
      <c r="H1586" s="17">
        <v>42.5</v>
      </c>
      <c r="I1586" s="8">
        <v>44.9</v>
      </c>
      <c r="J1586" s="21">
        <f t="shared" si="72"/>
        <v>5.6470588235294085E-2</v>
      </c>
      <c r="K1586" s="1">
        <v>4</v>
      </c>
      <c r="L1586" s="24">
        <v>2.2000000000000002</v>
      </c>
      <c r="M1586" s="24">
        <v>42.654999999999994</v>
      </c>
      <c r="N1586" s="21">
        <f t="shared" si="73"/>
        <v>3.6470588235292711E-3</v>
      </c>
      <c r="P1586" s="1">
        <v>10</v>
      </c>
      <c r="Q1586" s="24">
        <v>5.3879999999999981</v>
      </c>
      <c r="R1586" s="24">
        <v>39.512</v>
      </c>
      <c r="S1586" s="21">
        <f t="shared" si="74"/>
        <v>-7.0305882352941163E-2</v>
      </c>
    </row>
    <row r="1587" spans="2:19" ht="11.4" customHeight="1" x14ac:dyDescent="0.2">
      <c r="B1587" s="24"/>
      <c r="C1587" s="7">
        <v>39414</v>
      </c>
      <c r="D1587" s="18" t="s">
        <v>1666</v>
      </c>
      <c r="E1587" s="18" t="s">
        <v>1568</v>
      </c>
      <c r="F1587" s="17">
        <v>12</v>
      </c>
      <c r="G1587" s="18" t="s">
        <v>23</v>
      </c>
      <c r="H1587" s="17">
        <v>38.6</v>
      </c>
      <c r="I1587" s="8">
        <v>39.9</v>
      </c>
      <c r="J1587" s="21">
        <f t="shared" si="72"/>
        <v>3.3678756476683863E-2</v>
      </c>
      <c r="K1587" s="1">
        <v>4</v>
      </c>
      <c r="L1587" s="24">
        <v>1.9</v>
      </c>
      <c r="M1587" s="24">
        <v>37.904999999999994</v>
      </c>
      <c r="N1587" s="21">
        <f t="shared" si="73"/>
        <v>-1.8005181347150449E-2</v>
      </c>
      <c r="P1587" s="1">
        <v>10</v>
      </c>
      <c r="Q1587" s="24">
        <v>4.7879999999999967</v>
      </c>
      <c r="R1587" s="24">
        <v>35.112000000000002</v>
      </c>
      <c r="S1587" s="21">
        <f t="shared" si="74"/>
        <v>-9.0362694300518118E-2</v>
      </c>
    </row>
    <row r="1588" spans="2:19" ht="11.4" customHeight="1" x14ac:dyDescent="0.2">
      <c r="B1588" s="24"/>
      <c r="C1588" s="7">
        <v>39417</v>
      </c>
      <c r="D1588" s="18" t="s">
        <v>1667</v>
      </c>
      <c r="E1588" s="18" t="s">
        <v>1568</v>
      </c>
      <c r="F1588" s="17">
        <v>20</v>
      </c>
      <c r="G1588" s="18" t="s">
        <v>23</v>
      </c>
      <c r="H1588" s="17">
        <v>20.399999999999999</v>
      </c>
      <c r="I1588" s="8">
        <v>21.9</v>
      </c>
      <c r="J1588" s="21">
        <f t="shared" si="72"/>
        <v>7.3529411764705885E-2</v>
      </c>
      <c r="K1588" s="1">
        <v>4</v>
      </c>
      <c r="L1588" s="24">
        <v>1</v>
      </c>
      <c r="M1588" s="24">
        <v>20.804999999999996</v>
      </c>
      <c r="N1588" s="21">
        <f t="shared" si="73"/>
        <v>1.9852941176470473E-2</v>
      </c>
      <c r="P1588" s="1">
        <v>10</v>
      </c>
      <c r="Q1588" s="24">
        <v>2.6280000000000001</v>
      </c>
      <c r="R1588" s="24">
        <v>19.271999999999998</v>
      </c>
      <c r="S1588" s="21">
        <f t="shared" si="74"/>
        <v>-5.5294117647058834E-2</v>
      </c>
    </row>
    <row r="1589" spans="2:19" ht="11.4" customHeight="1" x14ac:dyDescent="0.2">
      <c r="B1589" s="24"/>
      <c r="C1589" s="7">
        <v>39330</v>
      </c>
      <c r="D1589" s="18" t="s">
        <v>1668</v>
      </c>
      <c r="E1589" s="18" t="s">
        <v>1568</v>
      </c>
      <c r="F1589" s="17">
        <v>6</v>
      </c>
      <c r="G1589" s="18" t="s">
        <v>23</v>
      </c>
      <c r="H1589" s="17">
        <v>249.9</v>
      </c>
      <c r="I1589" s="8">
        <v>343</v>
      </c>
      <c r="J1589" s="21">
        <f t="shared" si="72"/>
        <v>0.37254901960784309</v>
      </c>
      <c r="K1589" s="1">
        <v>4</v>
      </c>
      <c r="L1589" s="24">
        <v>17.100000000000001</v>
      </c>
      <c r="M1589" s="24">
        <v>325.84999999999997</v>
      </c>
      <c r="N1589" s="21">
        <f t="shared" si="73"/>
        <v>0.30392156862745079</v>
      </c>
      <c r="P1589" s="1">
        <v>10</v>
      </c>
      <c r="Q1589" s="24">
        <v>41.160000000000025</v>
      </c>
      <c r="R1589" s="24">
        <v>301.83999999999997</v>
      </c>
      <c r="S1589" s="21">
        <f t="shared" si="74"/>
        <v>0.20784313725490183</v>
      </c>
    </row>
    <row r="1590" spans="2:19" ht="11.4" customHeight="1" x14ac:dyDescent="0.2">
      <c r="B1590" s="24"/>
      <c r="C1590" s="7">
        <v>39329</v>
      </c>
      <c r="D1590" s="18" t="s">
        <v>1669</v>
      </c>
      <c r="E1590" s="18" t="s">
        <v>1568</v>
      </c>
      <c r="F1590" s="17">
        <v>6</v>
      </c>
      <c r="G1590" s="18" t="s">
        <v>23</v>
      </c>
      <c r="H1590" s="17">
        <v>107.9</v>
      </c>
      <c r="I1590" s="8">
        <v>177.5</v>
      </c>
      <c r="J1590" s="21">
        <f t="shared" si="72"/>
        <v>0.64504170528266902</v>
      </c>
      <c r="K1590" s="1">
        <v>4</v>
      </c>
      <c r="L1590" s="24">
        <v>8.8000000000000007</v>
      </c>
      <c r="M1590" s="24">
        <v>168.625</v>
      </c>
      <c r="N1590" s="21">
        <f t="shared" si="73"/>
        <v>0.56278962001853561</v>
      </c>
      <c r="P1590" s="1">
        <v>10</v>
      </c>
      <c r="Q1590" s="24">
        <v>21.300000000000011</v>
      </c>
      <c r="R1590" s="24">
        <v>156.19999999999999</v>
      </c>
      <c r="S1590" s="21">
        <f t="shared" si="74"/>
        <v>0.44763670064874866</v>
      </c>
    </row>
    <row r="1591" spans="2:19" ht="11.4" customHeight="1" x14ac:dyDescent="0.2">
      <c r="B1591" s="24"/>
      <c r="C1591" s="7">
        <v>39325</v>
      </c>
      <c r="D1591" s="18" t="s">
        <v>1670</v>
      </c>
      <c r="E1591" s="18" t="s">
        <v>1568</v>
      </c>
      <c r="F1591" s="17">
        <v>8</v>
      </c>
      <c r="G1591" s="18" t="s">
        <v>23</v>
      </c>
      <c r="H1591" s="17">
        <v>199.9</v>
      </c>
      <c r="I1591" s="8">
        <v>205.5</v>
      </c>
      <c r="J1591" s="21">
        <f t="shared" si="72"/>
        <v>2.801400700350172E-2</v>
      </c>
      <c r="K1591" s="1">
        <v>4</v>
      </c>
      <c r="L1591" s="24">
        <v>10.199999999999999</v>
      </c>
      <c r="M1591" s="24">
        <v>195.22499999999999</v>
      </c>
      <c r="N1591" s="21">
        <f t="shared" si="73"/>
        <v>-2.3386693346673391E-2</v>
      </c>
      <c r="P1591" s="1">
        <v>10</v>
      </c>
      <c r="Q1591" s="24">
        <v>24.659999999999997</v>
      </c>
      <c r="R1591" s="24">
        <v>180.84</v>
      </c>
      <c r="S1591" s="21">
        <f t="shared" si="74"/>
        <v>-9.5347673836918473E-2</v>
      </c>
    </row>
    <row r="1592" spans="2:19" ht="11.4" customHeight="1" x14ac:dyDescent="0.2">
      <c r="B1592" s="24"/>
      <c r="C1592" s="7">
        <v>24101</v>
      </c>
      <c r="D1592" s="18" t="s">
        <v>1671</v>
      </c>
      <c r="E1592" s="18" t="s">
        <v>1568</v>
      </c>
      <c r="F1592" s="17">
        <v>20</v>
      </c>
      <c r="G1592" s="18" t="s">
        <v>23</v>
      </c>
      <c r="H1592" s="17">
        <v>47.6</v>
      </c>
      <c r="I1592" s="8">
        <v>49.9</v>
      </c>
      <c r="J1592" s="21">
        <f t="shared" si="72"/>
        <v>4.8319327731092376E-2</v>
      </c>
      <c r="K1592" s="1">
        <v>4</v>
      </c>
      <c r="L1592" s="24">
        <v>2.4</v>
      </c>
      <c r="M1592" s="24">
        <v>47.404999999999994</v>
      </c>
      <c r="N1592" s="21">
        <f t="shared" si="73"/>
        <v>-4.0966386554623403E-3</v>
      </c>
      <c r="P1592" s="1">
        <v>10</v>
      </c>
      <c r="Q1592" s="24">
        <v>5.9879999999999995</v>
      </c>
      <c r="R1592" s="24">
        <v>43.911999999999999</v>
      </c>
      <c r="S1592" s="21">
        <f t="shared" si="74"/>
        <v>-7.7478991596638708E-2</v>
      </c>
    </row>
    <row r="1593" spans="2:19" ht="11.4" customHeight="1" x14ac:dyDescent="0.2">
      <c r="B1593" s="24"/>
      <c r="C1593" s="7">
        <v>24102</v>
      </c>
      <c r="D1593" s="18" t="s">
        <v>1672</v>
      </c>
      <c r="E1593" s="18" t="s">
        <v>1568</v>
      </c>
      <c r="F1593" s="17">
        <v>20</v>
      </c>
      <c r="G1593" s="18" t="s">
        <v>23</v>
      </c>
      <c r="H1593" s="17">
        <v>53.3</v>
      </c>
      <c r="I1593" s="8">
        <v>55.9</v>
      </c>
      <c r="J1593" s="21">
        <f t="shared" si="72"/>
        <v>4.8780487804878078E-2</v>
      </c>
      <c r="K1593" s="1">
        <v>4</v>
      </c>
      <c r="L1593" s="24">
        <v>2.7</v>
      </c>
      <c r="M1593" s="24">
        <v>53.104999999999997</v>
      </c>
      <c r="N1593" s="21">
        <f t="shared" si="73"/>
        <v>-3.6585365853658591E-3</v>
      </c>
      <c r="P1593" s="1">
        <v>10</v>
      </c>
      <c r="Q1593" s="24">
        <v>6.7079999999999984</v>
      </c>
      <c r="R1593" s="24">
        <v>49.192</v>
      </c>
      <c r="S1593" s="21">
        <f t="shared" si="74"/>
        <v>-7.7073170731707261E-2</v>
      </c>
    </row>
    <row r="1594" spans="2:19" ht="11.4" customHeight="1" x14ac:dyDescent="0.2">
      <c r="B1594" s="24"/>
      <c r="C1594" s="7">
        <v>23804</v>
      </c>
      <c r="D1594" s="18" t="s">
        <v>1673</v>
      </c>
      <c r="E1594" s="18" t="s">
        <v>1568</v>
      </c>
      <c r="F1594" s="17">
        <v>10</v>
      </c>
      <c r="G1594" s="18" t="s">
        <v>23</v>
      </c>
      <c r="H1594" s="17">
        <v>35.1</v>
      </c>
      <c r="I1594" s="8">
        <v>46.9</v>
      </c>
      <c r="J1594" s="21">
        <f t="shared" si="72"/>
        <v>0.33618233618233606</v>
      </c>
      <c r="K1594" s="1">
        <v>4</v>
      </c>
      <c r="L1594" s="24">
        <v>2.2999999999999998</v>
      </c>
      <c r="M1594" s="24">
        <v>44.555</v>
      </c>
      <c r="N1594" s="21">
        <f t="shared" si="73"/>
        <v>0.26937321937321934</v>
      </c>
      <c r="P1594" s="1">
        <v>10</v>
      </c>
      <c r="Q1594" s="24">
        <v>5.6280000000000001</v>
      </c>
      <c r="R1594" s="24">
        <v>41.271999999999998</v>
      </c>
      <c r="S1594" s="21">
        <f t="shared" si="74"/>
        <v>0.17584045584045574</v>
      </c>
    </row>
    <row r="1595" spans="2:19" ht="11.4" customHeight="1" x14ac:dyDescent="0.2">
      <c r="B1595" s="24"/>
      <c r="C1595" s="7">
        <v>39328</v>
      </c>
      <c r="D1595" s="18" t="s">
        <v>1674</v>
      </c>
      <c r="E1595" s="18" t="s">
        <v>1568</v>
      </c>
      <c r="F1595" s="17">
        <v>6</v>
      </c>
      <c r="G1595" s="18" t="s">
        <v>23</v>
      </c>
      <c r="H1595" s="17">
        <v>135.9</v>
      </c>
      <c r="I1595" s="8">
        <v>177.9</v>
      </c>
      <c r="J1595" s="21">
        <f t="shared" si="72"/>
        <v>0.30905077262693154</v>
      </c>
      <c r="K1595" s="1">
        <v>4</v>
      </c>
      <c r="L1595" s="24">
        <v>8.8000000000000007</v>
      </c>
      <c r="M1595" s="24">
        <v>169.005</v>
      </c>
      <c r="N1595" s="21">
        <f t="shared" si="73"/>
        <v>0.24359823399558489</v>
      </c>
      <c r="P1595" s="1">
        <v>10</v>
      </c>
      <c r="Q1595" s="24">
        <v>21.348000000000013</v>
      </c>
      <c r="R1595" s="24">
        <v>156.55199999999999</v>
      </c>
      <c r="S1595" s="21">
        <f t="shared" si="74"/>
        <v>0.15196467991169968</v>
      </c>
    </row>
    <row r="1596" spans="2:19" ht="11.4" customHeight="1" x14ac:dyDescent="0.2">
      <c r="B1596" s="24"/>
      <c r="C1596" s="7">
        <v>26888</v>
      </c>
      <c r="D1596" s="18" t="s">
        <v>1675</v>
      </c>
      <c r="E1596" s="18" t="s">
        <v>1676</v>
      </c>
      <c r="F1596" s="17">
        <v>2</v>
      </c>
      <c r="G1596" s="18" t="s">
        <v>23</v>
      </c>
      <c r="H1596" s="17">
        <v>235.5</v>
      </c>
      <c r="I1596" s="8">
        <v>165.5</v>
      </c>
      <c r="J1596" s="21">
        <f t="shared" si="72"/>
        <v>-0.29723991507430997</v>
      </c>
      <c r="K1596" s="1">
        <v>4</v>
      </c>
      <c r="L1596" s="24">
        <v>8.1999999999999993</v>
      </c>
      <c r="M1596" s="24">
        <v>157.22499999999999</v>
      </c>
      <c r="N1596" s="21">
        <f t="shared" si="73"/>
        <v>-0.33237791932059452</v>
      </c>
      <c r="P1596" s="1">
        <v>10</v>
      </c>
      <c r="Q1596" s="24">
        <v>19.859999999999985</v>
      </c>
      <c r="R1596" s="24">
        <v>145.64000000000001</v>
      </c>
      <c r="S1596" s="21">
        <f t="shared" si="74"/>
        <v>-0.38157112526539272</v>
      </c>
    </row>
    <row r="1597" spans="2:19" ht="11.4" customHeight="1" x14ac:dyDescent="0.2">
      <c r="B1597" s="24"/>
      <c r="C1597" s="7">
        <v>25676</v>
      </c>
      <c r="D1597" s="18" t="s">
        <v>1677</v>
      </c>
      <c r="E1597" s="18" t="s">
        <v>1676</v>
      </c>
      <c r="F1597" s="17">
        <v>32</v>
      </c>
      <c r="G1597" s="18" t="s">
        <v>23</v>
      </c>
      <c r="H1597" s="17">
        <v>26.95</v>
      </c>
      <c r="I1597" s="8">
        <v>39.9</v>
      </c>
      <c r="J1597" s="21">
        <f t="shared" si="72"/>
        <v>0.48051948051948051</v>
      </c>
      <c r="K1597" s="1">
        <v>4</v>
      </c>
      <c r="L1597" s="24">
        <v>1.9</v>
      </c>
      <c r="M1597" s="24">
        <v>37.904999999999994</v>
      </c>
      <c r="N1597" s="21">
        <f t="shared" si="73"/>
        <v>0.4064935064935063</v>
      </c>
      <c r="P1597" s="1">
        <v>10</v>
      </c>
      <c r="Q1597" s="24">
        <v>4.7879999999999967</v>
      </c>
      <c r="R1597" s="24">
        <v>35.112000000000002</v>
      </c>
      <c r="S1597" s="21">
        <f t="shared" si="74"/>
        <v>0.30285714285714294</v>
      </c>
    </row>
    <row r="1598" spans="2:19" ht="11.4" customHeight="1" x14ac:dyDescent="0.2">
      <c r="B1598" s="24"/>
      <c r="C1598" s="7">
        <v>3014</v>
      </c>
      <c r="D1598" s="18" t="s">
        <v>1678</v>
      </c>
      <c r="E1598" s="18" t="s">
        <v>1676</v>
      </c>
      <c r="F1598" s="17">
        <v>60</v>
      </c>
      <c r="G1598" s="18" t="s">
        <v>23</v>
      </c>
      <c r="H1598" s="17">
        <v>20.3</v>
      </c>
      <c r="I1598" s="8">
        <v>22.9</v>
      </c>
      <c r="J1598" s="21">
        <f t="shared" si="72"/>
        <v>0.12807881773399005</v>
      </c>
      <c r="K1598" s="1">
        <v>4</v>
      </c>
      <c r="L1598" s="24">
        <v>1.6</v>
      </c>
      <c r="M1598" s="24">
        <v>21.297000000000001</v>
      </c>
      <c r="N1598" s="21">
        <f t="shared" si="73"/>
        <v>4.9113300492610833E-2</v>
      </c>
      <c r="P1598" s="1">
        <v>10</v>
      </c>
      <c r="Q1598" s="24">
        <v>2.7480000000000011</v>
      </c>
      <c r="R1598" s="24">
        <v>20.151999999999997</v>
      </c>
      <c r="S1598" s="21">
        <f t="shared" si="74"/>
        <v>-7.2906403940888294E-3</v>
      </c>
    </row>
    <row r="1599" spans="2:19" ht="11.4" customHeight="1" x14ac:dyDescent="0.2">
      <c r="B1599" s="24"/>
      <c r="C1599" s="7">
        <v>19448</v>
      </c>
      <c r="D1599" s="18" t="s">
        <v>1679</v>
      </c>
      <c r="E1599" s="18" t="s">
        <v>1676</v>
      </c>
      <c r="F1599" s="17">
        <v>50</v>
      </c>
      <c r="G1599" s="18" t="s">
        <v>902</v>
      </c>
      <c r="H1599" s="17">
        <v>26.9</v>
      </c>
      <c r="I1599" s="8">
        <v>27.9</v>
      </c>
      <c r="J1599" s="21">
        <f t="shared" si="72"/>
        <v>3.717472118959108E-2</v>
      </c>
      <c r="K1599" s="1">
        <v>1</v>
      </c>
      <c r="L1599" s="24">
        <v>1.3</v>
      </c>
      <c r="M1599" s="24">
        <v>26.504999999999999</v>
      </c>
      <c r="N1599" s="21">
        <f t="shared" si="73"/>
        <v>-1.468401486988846E-2</v>
      </c>
      <c r="P1599" s="1">
        <v>4</v>
      </c>
      <c r="Q1599" s="24">
        <v>2.7899999999999991</v>
      </c>
      <c r="R1599" s="24">
        <v>25.11</v>
      </c>
      <c r="S1599" s="21">
        <f t="shared" si="74"/>
        <v>-6.6542750929367997E-2</v>
      </c>
    </row>
    <row r="1600" spans="2:19" ht="11.4" customHeight="1" x14ac:dyDescent="0.2">
      <c r="B1600" s="24"/>
      <c r="C1600" s="7">
        <v>1196</v>
      </c>
      <c r="D1600" s="18" t="s">
        <v>1680</v>
      </c>
      <c r="E1600" s="18" t="s">
        <v>1676</v>
      </c>
      <c r="F1600" s="17">
        <v>60</v>
      </c>
      <c r="G1600" s="18" t="s">
        <v>23</v>
      </c>
      <c r="H1600" s="17">
        <v>12.67</v>
      </c>
      <c r="I1600" s="8">
        <v>21.3</v>
      </c>
      <c r="J1600" s="21">
        <f t="shared" si="72"/>
        <v>0.68113654301499615</v>
      </c>
      <c r="K1600" s="1">
        <v>4</v>
      </c>
      <c r="L1600" s="24">
        <v>1.4</v>
      </c>
      <c r="M1600" s="24">
        <v>19.809000000000001</v>
      </c>
      <c r="N1600" s="21">
        <f t="shared" si="73"/>
        <v>0.56345698500394648</v>
      </c>
      <c r="P1600" s="1">
        <v>10</v>
      </c>
      <c r="Q1600" s="24">
        <v>2.5560000000000009</v>
      </c>
      <c r="R1600" s="24">
        <v>18.744</v>
      </c>
      <c r="S1600" s="21">
        <f t="shared" si="74"/>
        <v>0.47940015785319651</v>
      </c>
    </row>
    <row r="1601" spans="2:19" ht="11.4" customHeight="1" x14ac:dyDescent="0.2">
      <c r="B1601" s="24"/>
      <c r="C1601" s="7">
        <v>1197</v>
      </c>
      <c r="D1601" s="18" t="s">
        <v>1681</v>
      </c>
      <c r="E1601" s="18" t="s">
        <v>1676</v>
      </c>
      <c r="F1601" s="17">
        <v>30</v>
      </c>
      <c r="G1601" s="18" t="s">
        <v>23</v>
      </c>
      <c r="H1601" s="17">
        <v>24.53</v>
      </c>
      <c r="I1601" s="8">
        <v>39.9</v>
      </c>
      <c r="J1601" s="21">
        <f t="shared" si="72"/>
        <v>0.62657969832857707</v>
      </c>
      <c r="K1601" s="1">
        <v>4</v>
      </c>
      <c r="L1601" s="24">
        <v>2.7</v>
      </c>
      <c r="M1601" s="24">
        <v>37.106999999999999</v>
      </c>
      <c r="N1601" s="21">
        <f t="shared" si="73"/>
        <v>0.5127191194455768</v>
      </c>
      <c r="P1601" s="1">
        <v>10</v>
      </c>
      <c r="Q1601" s="24">
        <v>4.7879999999999967</v>
      </c>
      <c r="R1601" s="24">
        <v>35.112000000000002</v>
      </c>
      <c r="S1601" s="21">
        <f t="shared" si="74"/>
        <v>0.43139013452914798</v>
      </c>
    </row>
    <row r="1602" spans="2:19" ht="11.4" customHeight="1" x14ac:dyDescent="0.2">
      <c r="B1602" s="24"/>
      <c r="C1602" s="7">
        <v>44323</v>
      </c>
      <c r="D1602" s="18" t="s">
        <v>1682</v>
      </c>
      <c r="E1602" s="18" t="s">
        <v>1676</v>
      </c>
      <c r="F1602" s="17">
        <v>12</v>
      </c>
      <c r="G1602" s="18" t="s">
        <v>23</v>
      </c>
      <c r="H1602" s="17">
        <v>84.47</v>
      </c>
      <c r="I1602" s="8">
        <v>122.5</v>
      </c>
      <c r="J1602" s="21">
        <f t="shared" si="72"/>
        <v>0.45021901266721914</v>
      </c>
      <c r="K1602" s="1">
        <v>4</v>
      </c>
      <c r="L1602" s="24">
        <v>8.5</v>
      </c>
      <c r="M1602" s="24">
        <v>113.92500000000001</v>
      </c>
      <c r="N1602" s="21">
        <f t="shared" si="73"/>
        <v>0.34870368178051392</v>
      </c>
      <c r="P1602" s="1">
        <v>10</v>
      </c>
      <c r="Q1602" s="24">
        <v>14.700000000000003</v>
      </c>
      <c r="R1602" s="24">
        <v>107.8</v>
      </c>
      <c r="S1602" s="21">
        <f t="shared" si="74"/>
        <v>0.27619273114715281</v>
      </c>
    </row>
    <row r="1603" spans="2:19" ht="11.4" customHeight="1" x14ac:dyDescent="0.2">
      <c r="B1603" s="24"/>
      <c r="C1603" s="7">
        <v>44327</v>
      </c>
      <c r="D1603" s="18" t="s">
        <v>1683</v>
      </c>
      <c r="E1603" s="18" t="s">
        <v>1676</v>
      </c>
      <c r="F1603" s="17">
        <v>12</v>
      </c>
      <c r="G1603" s="18" t="s">
        <v>23</v>
      </c>
      <c r="H1603" s="17">
        <v>102.76</v>
      </c>
      <c r="I1603" s="8">
        <v>149</v>
      </c>
      <c r="J1603" s="21">
        <f t="shared" ref="J1603:J1666" si="75">(I1603-H1603)/H1603</f>
        <v>0.44998053717399761</v>
      </c>
      <c r="K1603" s="1">
        <v>4</v>
      </c>
      <c r="L1603" s="24">
        <v>10.4</v>
      </c>
      <c r="M1603" s="24">
        <v>138.57</v>
      </c>
      <c r="N1603" s="21">
        <f t="shared" ref="N1603:N1666" si="76">(M1603-H1603)/H1603</f>
        <v>0.34848189957181769</v>
      </c>
      <c r="P1603" s="1">
        <v>10</v>
      </c>
      <c r="Q1603" s="24">
        <v>17.879999999999995</v>
      </c>
      <c r="R1603" s="24">
        <v>131.12</v>
      </c>
      <c r="S1603" s="21">
        <f t="shared" ref="S1603:S1666" si="77">(R1603-H1603)/H1603</f>
        <v>0.27598287271311794</v>
      </c>
    </row>
    <row r="1604" spans="2:19" ht="11.4" customHeight="1" x14ac:dyDescent="0.2">
      <c r="B1604" s="24"/>
      <c r="C1604" s="7">
        <v>6960</v>
      </c>
      <c r="D1604" s="18" t="s">
        <v>1684</v>
      </c>
      <c r="E1604" s="18" t="s">
        <v>1400</v>
      </c>
      <c r="F1604" s="17">
        <v>6</v>
      </c>
      <c r="G1604" s="18" t="s">
        <v>23</v>
      </c>
      <c r="H1604" s="17">
        <v>41.3</v>
      </c>
      <c r="I1604" s="8">
        <v>42.5</v>
      </c>
      <c r="J1604" s="21">
        <f t="shared" si="75"/>
        <v>2.9055690072639296E-2</v>
      </c>
      <c r="K1604" s="1">
        <v>4</v>
      </c>
      <c r="L1604" s="24">
        <v>2.9</v>
      </c>
      <c r="M1604" s="24">
        <v>39.524999999999999</v>
      </c>
      <c r="N1604" s="21">
        <f t="shared" si="76"/>
        <v>-4.297820823244549E-2</v>
      </c>
      <c r="P1604" s="1">
        <v>10</v>
      </c>
      <c r="Q1604" s="24">
        <v>5.1000000000000014</v>
      </c>
      <c r="R1604" s="24">
        <v>37.4</v>
      </c>
      <c r="S1604" s="21">
        <f t="shared" si="77"/>
        <v>-9.4430992736077454E-2</v>
      </c>
    </row>
    <row r="1605" spans="2:19" ht="11.4" customHeight="1" x14ac:dyDescent="0.2">
      <c r="B1605" s="24"/>
      <c r="C1605" s="7">
        <v>4186</v>
      </c>
      <c r="D1605" s="18" t="s">
        <v>1685</v>
      </c>
      <c r="E1605" s="18" t="s">
        <v>1400</v>
      </c>
      <c r="F1605" s="17">
        <v>10</v>
      </c>
      <c r="G1605" s="18" t="s">
        <v>23</v>
      </c>
      <c r="H1605" s="17">
        <v>18.899999999999999</v>
      </c>
      <c r="I1605" s="8">
        <v>19.8</v>
      </c>
      <c r="J1605" s="21">
        <f t="shared" si="75"/>
        <v>4.7619047619047734E-2</v>
      </c>
      <c r="K1605" s="1">
        <v>4</v>
      </c>
      <c r="L1605" s="24">
        <v>1.3</v>
      </c>
      <c r="M1605" s="24">
        <v>18.414000000000001</v>
      </c>
      <c r="N1605" s="21">
        <f t="shared" si="76"/>
        <v>-2.5714285714285561E-2</v>
      </c>
      <c r="P1605" s="1">
        <v>10</v>
      </c>
      <c r="Q1605" s="24">
        <v>2.3760000000000012</v>
      </c>
      <c r="R1605" s="24">
        <v>17.423999999999999</v>
      </c>
      <c r="S1605" s="21">
        <f t="shared" si="77"/>
        <v>-7.8095238095238051E-2</v>
      </c>
    </row>
    <row r="1606" spans="2:19" ht="11.4" customHeight="1" x14ac:dyDescent="0.2">
      <c r="B1606" s="24"/>
      <c r="C1606" s="7">
        <v>5079</v>
      </c>
      <c r="D1606" s="18" t="s">
        <v>1686</v>
      </c>
      <c r="E1606" s="18" t="s">
        <v>1400</v>
      </c>
      <c r="F1606" s="17">
        <v>16</v>
      </c>
      <c r="G1606" s="18" t="s">
        <v>23</v>
      </c>
      <c r="H1606" s="17">
        <v>26.2</v>
      </c>
      <c r="I1606" s="8">
        <v>26.3</v>
      </c>
      <c r="J1606" s="21">
        <f t="shared" si="75"/>
        <v>3.8167938931298255E-3</v>
      </c>
      <c r="K1606" s="1">
        <v>4</v>
      </c>
      <c r="L1606" s="24">
        <v>1.8</v>
      </c>
      <c r="M1606" s="24">
        <v>24.459000000000003</v>
      </c>
      <c r="N1606" s="21">
        <f t="shared" si="76"/>
        <v>-6.6450381679389173E-2</v>
      </c>
      <c r="P1606" s="1">
        <v>10</v>
      </c>
      <c r="Q1606" s="24">
        <v>3.1559999999999988</v>
      </c>
      <c r="R1606" s="24">
        <v>23.144000000000002</v>
      </c>
      <c r="S1606" s="21">
        <f t="shared" si="77"/>
        <v>-0.1166412213740457</v>
      </c>
    </row>
    <row r="1607" spans="2:19" ht="11.4" customHeight="1" x14ac:dyDescent="0.2">
      <c r="B1607" s="24"/>
      <c r="C1607" s="7">
        <v>44329</v>
      </c>
      <c r="D1607" s="18" t="s">
        <v>1687</v>
      </c>
      <c r="E1607" s="18" t="s">
        <v>1400</v>
      </c>
      <c r="F1607" s="17">
        <v>16</v>
      </c>
      <c r="G1607" s="18" t="s">
        <v>23</v>
      </c>
      <c r="H1607" s="17">
        <v>19.440000000000001</v>
      </c>
      <c r="I1607" s="8">
        <v>26.3</v>
      </c>
      <c r="J1607" s="21">
        <f t="shared" si="75"/>
        <v>0.35288065843621391</v>
      </c>
      <c r="K1607" s="1">
        <v>4</v>
      </c>
      <c r="L1607" s="24">
        <v>1.8</v>
      </c>
      <c r="M1607" s="24">
        <v>24.459000000000003</v>
      </c>
      <c r="N1607" s="21">
        <f t="shared" si="76"/>
        <v>0.25817901234567908</v>
      </c>
      <c r="P1607" s="1">
        <v>10</v>
      </c>
      <c r="Q1607" s="24">
        <v>3.1559999999999988</v>
      </c>
      <c r="R1607" s="24">
        <v>23.144000000000002</v>
      </c>
      <c r="S1607" s="21">
        <f t="shared" si="77"/>
        <v>0.19053497942386832</v>
      </c>
    </row>
    <row r="1608" spans="2:19" ht="11.4" customHeight="1" x14ac:dyDescent="0.2">
      <c r="B1608" s="24"/>
      <c r="C1608" s="7">
        <v>10563</v>
      </c>
      <c r="D1608" s="18" t="s">
        <v>1688</v>
      </c>
      <c r="E1608" s="18" t="s">
        <v>1400</v>
      </c>
      <c r="F1608" s="17">
        <v>6</v>
      </c>
      <c r="G1608" s="18" t="s">
        <v>23</v>
      </c>
      <c r="H1608" s="17">
        <v>41.3</v>
      </c>
      <c r="I1608" s="8">
        <v>42.5</v>
      </c>
      <c r="J1608" s="21">
        <f t="shared" si="75"/>
        <v>2.9055690072639296E-2</v>
      </c>
      <c r="K1608" s="1">
        <v>4</v>
      </c>
      <c r="L1608" s="24">
        <v>2.9</v>
      </c>
      <c r="M1608" s="24">
        <v>39.524999999999999</v>
      </c>
      <c r="N1608" s="21">
        <f t="shared" si="76"/>
        <v>-4.297820823244549E-2</v>
      </c>
      <c r="P1608" s="1">
        <v>10</v>
      </c>
      <c r="Q1608" s="24">
        <v>5.1000000000000014</v>
      </c>
      <c r="R1608" s="24">
        <v>37.4</v>
      </c>
      <c r="S1608" s="21">
        <f t="shared" si="77"/>
        <v>-9.4430992736077454E-2</v>
      </c>
    </row>
    <row r="1609" spans="2:19" ht="11.4" customHeight="1" x14ac:dyDescent="0.2">
      <c r="B1609" s="24"/>
      <c r="C1609" s="7">
        <v>6116</v>
      </c>
      <c r="D1609" s="18" t="s">
        <v>1689</v>
      </c>
      <c r="E1609" s="18" t="s">
        <v>1400</v>
      </c>
      <c r="F1609" s="17">
        <v>6</v>
      </c>
      <c r="G1609" s="18" t="s">
        <v>23</v>
      </c>
      <c r="H1609" s="17">
        <v>41.3</v>
      </c>
      <c r="I1609" s="8">
        <v>45.9</v>
      </c>
      <c r="J1609" s="21">
        <f t="shared" si="75"/>
        <v>0.1113801452784504</v>
      </c>
      <c r="K1609" s="1">
        <v>4</v>
      </c>
      <c r="L1609" s="24">
        <v>3.2</v>
      </c>
      <c r="M1609" s="24">
        <v>42.686999999999998</v>
      </c>
      <c r="N1609" s="21">
        <f t="shared" si="76"/>
        <v>3.3583535108958854E-2</v>
      </c>
      <c r="P1609" s="1">
        <v>10</v>
      </c>
      <c r="Q1609" s="24">
        <v>5.5080000000000027</v>
      </c>
      <c r="R1609" s="24">
        <v>40.391999999999996</v>
      </c>
      <c r="S1609" s="21">
        <f t="shared" si="77"/>
        <v>-2.1985472154963711E-2</v>
      </c>
    </row>
    <row r="1610" spans="2:19" ht="11.4" customHeight="1" x14ac:dyDescent="0.2">
      <c r="B1610" s="24"/>
      <c r="C1610" s="7">
        <v>41849</v>
      </c>
      <c r="D1610" s="18" t="s">
        <v>1690</v>
      </c>
      <c r="E1610" s="18" t="s">
        <v>1400</v>
      </c>
      <c r="F1610" s="17">
        <v>8</v>
      </c>
      <c r="G1610" s="18" t="s">
        <v>23</v>
      </c>
      <c r="H1610" s="17">
        <v>41.1</v>
      </c>
      <c r="I1610" s="8">
        <v>65.900000000000006</v>
      </c>
      <c r="J1610" s="21">
        <f t="shared" si="75"/>
        <v>0.6034063260340633</v>
      </c>
      <c r="K1610" s="1">
        <v>4</v>
      </c>
      <c r="L1610" s="24">
        <v>4.5999999999999996</v>
      </c>
      <c r="M1610" s="24">
        <v>61.287000000000006</v>
      </c>
      <c r="N1610" s="21">
        <f t="shared" si="76"/>
        <v>0.49116788321167892</v>
      </c>
      <c r="P1610" s="1">
        <v>10</v>
      </c>
      <c r="Q1610" s="24">
        <v>7.9080000000000013</v>
      </c>
      <c r="R1610" s="24">
        <v>57.992000000000004</v>
      </c>
      <c r="S1610" s="21">
        <f t="shared" si="77"/>
        <v>0.41099756690997574</v>
      </c>
    </row>
    <row r="1611" spans="2:19" ht="11.4" customHeight="1" x14ac:dyDescent="0.2">
      <c r="B1611" s="24"/>
      <c r="C1611" s="7">
        <v>37726</v>
      </c>
      <c r="D1611" s="18" t="s">
        <v>1691</v>
      </c>
      <c r="E1611" s="18" t="s">
        <v>1400</v>
      </c>
      <c r="F1611" s="18"/>
      <c r="G1611" s="18" t="s">
        <v>23</v>
      </c>
      <c r="H1611" s="17">
        <v>69.5</v>
      </c>
      <c r="I1611" s="8">
        <v>47.5</v>
      </c>
      <c r="J1611" s="21">
        <f t="shared" si="75"/>
        <v>-0.31654676258992803</v>
      </c>
      <c r="K1611" s="1">
        <v>4</v>
      </c>
      <c r="L1611" s="24">
        <v>3.3</v>
      </c>
      <c r="M1611" s="24">
        <v>44.175000000000004</v>
      </c>
      <c r="N1611" s="21">
        <f t="shared" si="76"/>
        <v>-0.36438848920863304</v>
      </c>
      <c r="P1611" s="1">
        <v>10</v>
      </c>
      <c r="Q1611" s="24">
        <v>5.7000000000000028</v>
      </c>
      <c r="R1611" s="24">
        <v>41.8</v>
      </c>
      <c r="S1611" s="21">
        <f t="shared" si="77"/>
        <v>-0.39856115107913676</v>
      </c>
    </row>
    <row r="1612" spans="2:19" ht="11.4" customHeight="1" x14ac:dyDescent="0.2">
      <c r="B1612" s="24"/>
      <c r="C1612" s="7">
        <v>44328</v>
      </c>
      <c r="D1612" s="18" t="s">
        <v>1692</v>
      </c>
      <c r="E1612" s="18" t="s">
        <v>1400</v>
      </c>
      <c r="F1612" s="17">
        <v>16</v>
      </c>
      <c r="G1612" s="18" t="s">
        <v>23</v>
      </c>
      <c r="H1612" s="17">
        <v>19.440000000000001</v>
      </c>
      <c r="I1612" s="8">
        <v>26.3</v>
      </c>
      <c r="J1612" s="21">
        <f t="shared" si="75"/>
        <v>0.35288065843621391</v>
      </c>
      <c r="K1612" s="1">
        <v>4</v>
      </c>
      <c r="L1612" s="24">
        <v>1.8</v>
      </c>
      <c r="M1612" s="24">
        <v>24.459000000000003</v>
      </c>
      <c r="N1612" s="21">
        <f t="shared" si="76"/>
        <v>0.25817901234567908</v>
      </c>
      <c r="P1612" s="1">
        <v>10</v>
      </c>
      <c r="Q1612" s="24">
        <v>3.1559999999999988</v>
      </c>
      <c r="R1612" s="24">
        <v>23.144000000000002</v>
      </c>
      <c r="S1612" s="21">
        <f t="shared" si="77"/>
        <v>0.19053497942386832</v>
      </c>
    </row>
    <row r="1613" spans="2:19" ht="11.4" customHeight="1" x14ac:dyDescent="0.2">
      <c r="B1613" s="24"/>
      <c r="C1613" s="7">
        <v>35892</v>
      </c>
      <c r="D1613" s="18" t="s">
        <v>1693</v>
      </c>
      <c r="E1613" s="18" t="s">
        <v>1393</v>
      </c>
      <c r="F1613" s="17">
        <v>15</v>
      </c>
      <c r="G1613" s="18" t="s">
        <v>23</v>
      </c>
      <c r="H1613" s="17">
        <v>84.1</v>
      </c>
      <c r="I1613" s="8">
        <v>91.5</v>
      </c>
      <c r="J1613" s="21">
        <f t="shared" si="75"/>
        <v>8.7990487514863325E-2</v>
      </c>
      <c r="K1613" s="1">
        <v>4</v>
      </c>
      <c r="L1613" s="24">
        <v>6.4</v>
      </c>
      <c r="M1613" s="24">
        <v>85.094999999999999</v>
      </c>
      <c r="N1613" s="21">
        <f t="shared" si="76"/>
        <v>1.1831153388822884E-2</v>
      </c>
      <c r="P1613" s="1">
        <v>10</v>
      </c>
      <c r="Q1613" s="24">
        <v>10.980000000000004</v>
      </c>
      <c r="R1613" s="24">
        <v>80.52</v>
      </c>
      <c r="S1613" s="21">
        <f t="shared" si="77"/>
        <v>-4.2568370986920318E-2</v>
      </c>
    </row>
    <row r="1614" spans="2:19" ht="11.4" customHeight="1" x14ac:dyDescent="0.2">
      <c r="B1614" s="24"/>
      <c r="C1614" s="7">
        <v>4863</v>
      </c>
      <c r="D1614" s="18" t="s">
        <v>1694</v>
      </c>
      <c r="E1614" s="18" t="s">
        <v>1400</v>
      </c>
      <c r="F1614" s="17">
        <v>24</v>
      </c>
      <c r="G1614" s="18" t="s">
        <v>23</v>
      </c>
      <c r="H1614" s="17">
        <v>21.5</v>
      </c>
      <c r="I1614" s="8">
        <v>21.2</v>
      </c>
      <c r="J1614" s="21">
        <f t="shared" si="75"/>
        <v>-1.3953488372093056E-2</v>
      </c>
      <c r="K1614" s="1">
        <v>4</v>
      </c>
      <c r="L1614" s="24">
        <v>1.4</v>
      </c>
      <c r="M1614" s="24">
        <v>19.716000000000001</v>
      </c>
      <c r="N1614" s="21">
        <f t="shared" si="76"/>
        <v>-8.2976744186046461E-2</v>
      </c>
      <c r="P1614" s="1">
        <v>10</v>
      </c>
      <c r="Q1614" s="24">
        <v>2.5440000000000005</v>
      </c>
      <c r="R1614" s="24">
        <v>18.655999999999999</v>
      </c>
      <c r="S1614" s="21">
        <f t="shared" si="77"/>
        <v>-0.13227906976744191</v>
      </c>
    </row>
    <row r="1615" spans="2:19" ht="11.4" customHeight="1" x14ac:dyDescent="0.2">
      <c r="B1615" s="24"/>
      <c r="C1615" s="7">
        <v>39046</v>
      </c>
      <c r="D1615" s="18" t="s">
        <v>1695</v>
      </c>
      <c r="E1615" s="18" t="s">
        <v>1400</v>
      </c>
      <c r="F1615" s="17">
        <v>10</v>
      </c>
      <c r="G1615" s="18" t="s">
        <v>23</v>
      </c>
      <c r="H1615" s="17">
        <v>129.5</v>
      </c>
      <c r="I1615" s="8">
        <v>138</v>
      </c>
      <c r="J1615" s="21">
        <f t="shared" si="75"/>
        <v>6.5637065637065631E-2</v>
      </c>
      <c r="K1615" s="1">
        <v>4</v>
      </c>
      <c r="L1615" s="24">
        <v>9.6</v>
      </c>
      <c r="M1615" s="24">
        <v>128.34</v>
      </c>
      <c r="N1615" s="21">
        <f t="shared" si="76"/>
        <v>-8.9575289575289305E-3</v>
      </c>
      <c r="P1615" s="1">
        <v>10</v>
      </c>
      <c r="Q1615" s="24">
        <v>16.560000000000002</v>
      </c>
      <c r="R1615" s="24">
        <v>121.44</v>
      </c>
      <c r="S1615" s="21">
        <f t="shared" si="77"/>
        <v>-6.223938223938226E-2</v>
      </c>
    </row>
    <row r="1616" spans="2:19" ht="11.4" customHeight="1" x14ac:dyDescent="0.2">
      <c r="B1616" s="24"/>
      <c r="C1616" s="7">
        <v>1886</v>
      </c>
      <c r="D1616" s="18" t="s">
        <v>1696</v>
      </c>
      <c r="E1616" s="18" t="s">
        <v>1400</v>
      </c>
      <c r="F1616" s="17">
        <v>30</v>
      </c>
      <c r="G1616" s="18" t="s">
        <v>23</v>
      </c>
      <c r="H1616" s="17">
        <v>20.5</v>
      </c>
      <c r="I1616" s="8">
        <v>22.4</v>
      </c>
      <c r="J1616" s="21">
        <f t="shared" si="75"/>
        <v>9.2682926829268222E-2</v>
      </c>
      <c r="K1616" s="1">
        <v>4</v>
      </c>
      <c r="L1616" s="24">
        <v>1.5</v>
      </c>
      <c r="M1616" s="24">
        <v>20.832000000000001</v>
      </c>
      <c r="N1616" s="21">
        <f t="shared" si="76"/>
        <v>1.6195121951219547E-2</v>
      </c>
      <c r="P1616" s="1">
        <v>10</v>
      </c>
      <c r="Q1616" s="24">
        <v>2.6879999999999988</v>
      </c>
      <c r="R1616" s="24">
        <v>19.712</v>
      </c>
      <c r="S1616" s="21">
        <f t="shared" si="77"/>
        <v>-3.8439024390243916E-2</v>
      </c>
    </row>
    <row r="1617" spans="2:19" ht="11.4" customHeight="1" x14ac:dyDescent="0.2">
      <c r="B1617" s="24"/>
      <c r="C1617" s="7">
        <v>4080</v>
      </c>
      <c r="D1617" s="18" t="s">
        <v>1697</v>
      </c>
      <c r="E1617" s="18" t="s">
        <v>1400</v>
      </c>
      <c r="F1617" s="17">
        <v>24</v>
      </c>
      <c r="G1617" s="18" t="s">
        <v>23</v>
      </c>
      <c r="H1617" s="17">
        <v>20.5</v>
      </c>
      <c r="I1617" s="8">
        <v>21.2</v>
      </c>
      <c r="J1617" s="21">
        <f t="shared" si="75"/>
        <v>3.4146341463414602E-2</v>
      </c>
      <c r="K1617" s="1">
        <v>4</v>
      </c>
      <c r="L1617" s="24">
        <v>1.4</v>
      </c>
      <c r="M1617" s="24">
        <v>19.716000000000001</v>
      </c>
      <c r="N1617" s="21">
        <f t="shared" si="76"/>
        <v>-3.8243902439024341E-2</v>
      </c>
      <c r="P1617" s="1">
        <v>10</v>
      </c>
      <c r="Q1617" s="24">
        <v>2.5440000000000005</v>
      </c>
      <c r="R1617" s="24">
        <v>18.655999999999999</v>
      </c>
      <c r="S1617" s="21">
        <f t="shared" si="77"/>
        <v>-8.9951219512195174E-2</v>
      </c>
    </row>
    <row r="1618" spans="2:19" ht="11.4" customHeight="1" x14ac:dyDescent="0.2">
      <c r="B1618" s="24"/>
      <c r="C1618" s="7">
        <v>33712</v>
      </c>
      <c r="D1618" s="18" t="s">
        <v>1698</v>
      </c>
      <c r="E1618" s="18" t="s">
        <v>1400</v>
      </c>
      <c r="F1618" s="17">
        <v>6</v>
      </c>
      <c r="G1618" s="18" t="s">
        <v>23</v>
      </c>
      <c r="H1618" s="17">
        <v>119.5</v>
      </c>
      <c r="I1618" s="8">
        <v>145.5</v>
      </c>
      <c r="J1618" s="21">
        <f t="shared" si="75"/>
        <v>0.21757322175732219</v>
      </c>
      <c r="K1618" s="1">
        <v>4</v>
      </c>
      <c r="L1618" s="24">
        <v>10.1</v>
      </c>
      <c r="M1618" s="24">
        <v>135.315</v>
      </c>
      <c r="N1618" s="21">
        <f t="shared" si="76"/>
        <v>0.13234309623430959</v>
      </c>
      <c r="P1618" s="1">
        <v>10</v>
      </c>
      <c r="Q1618" s="24">
        <v>17.460000000000008</v>
      </c>
      <c r="R1618" s="24">
        <v>128.04</v>
      </c>
      <c r="S1618" s="21">
        <f t="shared" si="77"/>
        <v>7.1464435146443447E-2</v>
      </c>
    </row>
    <row r="1619" spans="2:19" ht="11.4" customHeight="1" x14ac:dyDescent="0.2">
      <c r="B1619" s="24"/>
      <c r="C1619" s="7">
        <v>4780</v>
      </c>
      <c r="D1619" s="18" t="s">
        <v>1699</v>
      </c>
      <c r="E1619" s="18" t="s">
        <v>1400</v>
      </c>
      <c r="F1619" s="17">
        <v>20</v>
      </c>
      <c r="G1619" s="18" t="s">
        <v>23</v>
      </c>
      <c r="H1619" s="17">
        <v>18.5</v>
      </c>
      <c r="I1619" s="8">
        <v>20.5</v>
      </c>
      <c r="J1619" s="21">
        <f t="shared" si="75"/>
        <v>0.10810810810810811</v>
      </c>
      <c r="K1619" s="1">
        <v>4</v>
      </c>
      <c r="L1619" s="24">
        <v>1.4</v>
      </c>
      <c r="M1619" s="24">
        <v>19.065000000000001</v>
      </c>
      <c r="N1619" s="21">
        <f t="shared" si="76"/>
        <v>3.054054054054061E-2</v>
      </c>
      <c r="P1619" s="1">
        <v>10</v>
      </c>
      <c r="Q1619" s="24">
        <v>2.4600000000000009</v>
      </c>
      <c r="R1619" s="24">
        <v>18.04</v>
      </c>
      <c r="S1619" s="21">
        <f t="shared" si="77"/>
        <v>-2.4864864864864909E-2</v>
      </c>
    </row>
    <row r="1620" spans="2:19" ht="11.4" customHeight="1" x14ac:dyDescent="0.2">
      <c r="B1620" s="24"/>
      <c r="C1620" s="7">
        <v>11689</v>
      </c>
      <c r="D1620" s="18" t="s">
        <v>1700</v>
      </c>
      <c r="E1620" s="18" t="s">
        <v>1400</v>
      </c>
      <c r="F1620" s="17">
        <v>36</v>
      </c>
      <c r="G1620" s="18" t="s">
        <v>23</v>
      </c>
      <c r="H1620" s="17">
        <v>17.899999999999999</v>
      </c>
      <c r="I1620" s="8">
        <v>22.9</v>
      </c>
      <c r="J1620" s="21">
        <f t="shared" si="75"/>
        <v>0.27932960893854752</v>
      </c>
      <c r="K1620" s="1">
        <v>4</v>
      </c>
      <c r="L1620" s="24">
        <v>1.6</v>
      </c>
      <c r="M1620" s="24">
        <v>21.297000000000001</v>
      </c>
      <c r="N1620" s="21">
        <f t="shared" si="76"/>
        <v>0.1897765363128493</v>
      </c>
      <c r="P1620" s="1">
        <v>10</v>
      </c>
      <c r="Q1620" s="24">
        <v>2.7480000000000011</v>
      </c>
      <c r="R1620" s="24">
        <v>20.151999999999997</v>
      </c>
      <c r="S1620" s="21">
        <f t="shared" si="77"/>
        <v>0.12581005586592173</v>
      </c>
    </row>
    <row r="1621" spans="2:19" ht="11.4" customHeight="1" x14ac:dyDescent="0.2">
      <c r="B1621" s="24"/>
      <c r="C1621" s="7">
        <v>39369</v>
      </c>
      <c r="D1621" s="18" t="s">
        <v>1701</v>
      </c>
      <c r="E1621" s="18" t="s">
        <v>1400</v>
      </c>
      <c r="F1621" s="17">
        <v>8</v>
      </c>
      <c r="G1621" s="18" t="s">
        <v>23</v>
      </c>
      <c r="H1621" s="17">
        <v>106.4</v>
      </c>
      <c r="I1621" s="8">
        <v>119.9</v>
      </c>
      <c r="J1621" s="21">
        <f t="shared" si="75"/>
        <v>0.12687969924812029</v>
      </c>
      <c r="K1621" s="1">
        <v>4</v>
      </c>
      <c r="L1621" s="24">
        <v>8.3000000000000007</v>
      </c>
      <c r="M1621" s="24">
        <v>111.50700000000001</v>
      </c>
      <c r="N1621" s="21">
        <f t="shared" si="76"/>
        <v>4.7998120300751873E-2</v>
      </c>
      <c r="P1621" s="1">
        <v>10</v>
      </c>
      <c r="Q1621" s="24">
        <v>14.388000000000005</v>
      </c>
      <c r="R1621" s="24">
        <v>105.512</v>
      </c>
      <c r="S1621" s="21">
        <f t="shared" si="77"/>
        <v>-8.3458646616541843E-3</v>
      </c>
    </row>
    <row r="1622" spans="2:19" ht="11.4" customHeight="1" x14ac:dyDescent="0.2">
      <c r="B1622" s="24"/>
      <c r="C1622" s="7">
        <v>19048</v>
      </c>
      <c r="D1622" s="18" t="s">
        <v>1702</v>
      </c>
      <c r="E1622" s="18" t="s">
        <v>1400</v>
      </c>
      <c r="F1622" s="17">
        <v>30</v>
      </c>
      <c r="G1622" s="18" t="s">
        <v>23</v>
      </c>
      <c r="H1622" s="17">
        <v>20.5</v>
      </c>
      <c r="I1622" s="8">
        <v>22.4</v>
      </c>
      <c r="J1622" s="21">
        <f t="shared" si="75"/>
        <v>9.2682926829268222E-2</v>
      </c>
      <c r="K1622" s="1">
        <v>4</v>
      </c>
      <c r="L1622" s="24">
        <v>1.5</v>
      </c>
      <c r="M1622" s="24">
        <v>20.832000000000001</v>
      </c>
      <c r="N1622" s="21">
        <f t="shared" si="76"/>
        <v>1.6195121951219547E-2</v>
      </c>
      <c r="P1622" s="1">
        <v>10</v>
      </c>
      <c r="Q1622" s="24">
        <v>2.6879999999999988</v>
      </c>
      <c r="R1622" s="24">
        <v>19.712</v>
      </c>
      <c r="S1622" s="21">
        <f t="shared" si="77"/>
        <v>-3.8439024390243916E-2</v>
      </c>
    </row>
    <row r="1623" spans="2:19" ht="11.4" customHeight="1" x14ac:dyDescent="0.2">
      <c r="B1623" s="24"/>
      <c r="C1623" s="7">
        <v>11000</v>
      </c>
      <c r="D1623" s="18" t="s">
        <v>1703</v>
      </c>
      <c r="E1623" s="18" t="s">
        <v>1400</v>
      </c>
      <c r="F1623" s="17">
        <v>36</v>
      </c>
      <c r="G1623" s="18" t="s">
        <v>23</v>
      </c>
      <c r="H1623" s="17">
        <v>17.899999999999999</v>
      </c>
      <c r="I1623" s="8">
        <v>23.9</v>
      </c>
      <c r="J1623" s="21">
        <f t="shared" si="75"/>
        <v>0.33519553072625702</v>
      </c>
      <c r="K1623" s="1">
        <v>4</v>
      </c>
      <c r="L1623" s="24">
        <v>1.6</v>
      </c>
      <c r="M1623" s="24">
        <v>22.227</v>
      </c>
      <c r="N1623" s="21">
        <f t="shared" si="76"/>
        <v>0.2417318435754191</v>
      </c>
      <c r="P1623" s="1">
        <v>10</v>
      </c>
      <c r="Q1623" s="24">
        <v>2.8679999999999986</v>
      </c>
      <c r="R1623" s="24">
        <v>21.032</v>
      </c>
      <c r="S1623" s="21">
        <f t="shared" si="77"/>
        <v>0.17497206703910623</v>
      </c>
    </row>
    <row r="1624" spans="2:19" ht="11.4" customHeight="1" x14ac:dyDescent="0.2">
      <c r="B1624" s="24"/>
      <c r="C1624" s="7">
        <v>7876</v>
      </c>
      <c r="D1624" s="18" t="s">
        <v>1704</v>
      </c>
      <c r="E1624" s="18" t="s">
        <v>1400</v>
      </c>
      <c r="F1624" s="17">
        <v>30</v>
      </c>
      <c r="G1624" s="18" t="s">
        <v>23</v>
      </c>
      <c r="H1624" s="17">
        <v>17.5</v>
      </c>
      <c r="I1624" s="8">
        <v>17.100000000000001</v>
      </c>
      <c r="J1624" s="21">
        <f t="shared" si="75"/>
        <v>-2.2857142857142777E-2</v>
      </c>
      <c r="K1624" s="1">
        <v>4</v>
      </c>
      <c r="L1624" s="24">
        <v>1.1000000000000001</v>
      </c>
      <c r="M1624" s="24">
        <v>15.903000000000002</v>
      </c>
      <c r="N1624" s="21">
        <f t="shared" si="76"/>
        <v>-9.1257142857142731E-2</v>
      </c>
      <c r="P1624" s="1">
        <v>10</v>
      </c>
      <c r="Q1624" s="24">
        <v>2.0519999999999996</v>
      </c>
      <c r="R1624" s="24">
        <v>15.048000000000002</v>
      </c>
      <c r="S1624" s="21">
        <f t="shared" si="77"/>
        <v>-0.14011428571428561</v>
      </c>
    </row>
    <row r="1625" spans="2:19" ht="11.4" customHeight="1" x14ac:dyDescent="0.2">
      <c r="B1625" s="24"/>
      <c r="C1625" s="7">
        <v>19781</v>
      </c>
      <c r="D1625" s="18" t="s">
        <v>1705</v>
      </c>
      <c r="E1625" s="18" t="s">
        <v>1400</v>
      </c>
      <c r="F1625" s="17">
        <v>18</v>
      </c>
      <c r="G1625" s="18" t="s">
        <v>23</v>
      </c>
      <c r="H1625" s="17">
        <v>16.600000000000001</v>
      </c>
      <c r="I1625" s="8">
        <v>14.2</v>
      </c>
      <c r="J1625" s="21">
        <f t="shared" si="75"/>
        <v>-0.14457831325301215</v>
      </c>
      <c r="K1625" s="1">
        <v>4</v>
      </c>
      <c r="L1625" s="24">
        <v>0.9</v>
      </c>
      <c r="M1625" s="24">
        <v>13.206</v>
      </c>
      <c r="N1625" s="21">
        <f t="shared" si="76"/>
        <v>-0.20445783132530129</v>
      </c>
      <c r="P1625" s="1">
        <v>10</v>
      </c>
      <c r="Q1625" s="24">
        <v>1.7040000000000006</v>
      </c>
      <c r="R1625" s="24">
        <v>12.495999999999999</v>
      </c>
      <c r="S1625" s="21">
        <f t="shared" si="77"/>
        <v>-0.24722891566265076</v>
      </c>
    </row>
    <row r="1626" spans="2:19" ht="11.4" customHeight="1" x14ac:dyDescent="0.2">
      <c r="B1626" s="24"/>
      <c r="C1626" s="7">
        <v>4081</v>
      </c>
      <c r="D1626" s="18" t="s">
        <v>1706</v>
      </c>
      <c r="E1626" s="18" t="s">
        <v>1400</v>
      </c>
      <c r="F1626" s="17">
        <v>48</v>
      </c>
      <c r="G1626" s="18" t="s">
        <v>23</v>
      </c>
      <c r="H1626" s="17">
        <v>21.5</v>
      </c>
      <c r="I1626" s="8">
        <v>21.2</v>
      </c>
      <c r="J1626" s="21">
        <f t="shared" si="75"/>
        <v>-1.3953488372093056E-2</v>
      </c>
      <c r="K1626" s="1">
        <v>4</v>
      </c>
      <c r="L1626" s="24">
        <v>1.4</v>
      </c>
      <c r="M1626" s="24">
        <v>19.716000000000001</v>
      </c>
      <c r="N1626" s="21">
        <f t="shared" si="76"/>
        <v>-8.2976744186046461E-2</v>
      </c>
      <c r="P1626" s="1">
        <v>10</v>
      </c>
      <c r="Q1626" s="24">
        <v>2.5440000000000005</v>
      </c>
      <c r="R1626" s="24">
        <v>18.655999999999999</v>
      </c>
      <c r="S1626" s="21">
        <f t="shared" si="77"/>
        <v>-0.13227906976744191</v>
      </c>
    </row>
    <row r="1627" spans="2:19" ht="11.4" customHeight="1" x14ac:dyDescent="0.2">
      <c r="B1627" s="24"/>
      <c r="C1627" s="7">
        <v>33713</v>
      </c>
      <c r="D1627" s="18" t="s">
        <v>1707</v>
      </c>
      <c r="E1627" s="18" t="s">
        <v>1400</v>
      </c>
      <c r="F1627" s="17">
        <v>10</v>
      </c>
      <c r="G1627" s="18" t="s">
        <v>23</v>
      </c>
      <c r="H1627" s="17">
        <v>119.5</v>
      </c>
      <c r="I1627" s="8">
        <v>138.9</v>
      </c>
      <c r="J1627" s="21">
        <f t="shared" si="75"/>
        <v>0.16234309623430968</v>
      </c>
      <c r="K1627" s="1">
        <v>4</v>
      </c>
      <c r="L1627" s="24">
        <v>9.6999999999999993</v>
      </c>
      <c r="M1627" s="24">
        <v>129.17700000000002</v>
      </c>
      <c r="N1627" s="21">
        <f t="shared" si="76"/>
        <v>8.0979079497908127E-2</v>
      </c>
      <c r="P1627" s="1">
        <v>10</v>
      </c>
      <c r="Q1627" s="24">
        <v>16.668000000000006</v>
      </c>
      <c r="R1627" s="24">
        <v>122.232</v>
      </c>
      <c r="S1627" s="21">
        <f t="shared" si="77"/>
        <v>2.2861924686192463E-2</v>
      </c>
    </row>
    <row r="1628" spans="2:19" ht="11.4" customHeight="1" x14ac:dyDescent="0.2">
      <c r="B1628" s="24"/>
      <c r="C1628" s="7">
        <v>34512</v>
      </c>
      <c r="D1628" s="18" t="s">
        <v>1708</v>
      </c>
      <c r="E1628" s="18" t="s">
        <v>1400</v>
      </c>
      <c r="F1628" s="17">
        <v>10</v>
      </c>
      <c r="G1628" s="18" t="s">
        <v>23</v>
      </c>
      <c r="H1628" s="17">
        <v>29.5</v>
      </c>
      <c r="I1628" s="8">
        <v>30.6</v>
      </c>
      <c r="J1628" s="21">
        <f t="shared" si="75"/>
        <v>3.728813559322039E-2</v>
      </c>
      <c r="K1628" s="1">
        <v>4</v>
      </c>
      <c r="L1628" s="24">
        <v>2.1</v>
      </c>
      <c r="M1628" s="24">
        <v>28.458000000000002</v>
      </c>
      <c r="N1628" s="21">
        <f t="shared" si="76"/>
        <v>-3.5322033898305016E-2</v>
      </c>
      <c r="P1628" s="1">
        <v>10</v>
      </c>
      <c r="Q1628" s="24">
        <v>3.6720000000000006</v>
      </c>
      <c r="R1628" s="24">
        <v>26.928000000000001</v>
      </c>
      <c r="S1628" s="21">
        <f t="shared" si="77"/>
        <v>-8.7186440677966076E-2</v>
      </c>
    </row>
    <row r="1629" spans="2:19" ht="11.4" customHeight="1" x14ac:dyDescent="0.2">
      <c r="B1629" s="24"/>
      <c r="C1629" s="7">
        <v>11002</v>
      </c>
      <c r="D1629" s="18" t="s">
        <v>1709</v>
      </c>
      <c r="E1629" s="18" t="s">
        <v>1400</v>
      </c>
      <c r="F1629" s="17">
        <v>36</v>
      </c>
      <c r="G1629" s="18" t="s">
        <v>23</v>
      </c>
      <c r="H1629" s="17">
        <v>19.600000000000001</v>
      </c>
      <c r="I1629" s="8">
        <v>25.9</v>
      </c>
      <c r="J1629" s="21">
        <f t="shared" si="75"/>
        <v>0.32142857142857129</v>
      </c>
      <c r="K1629" s="1">
        <v>4</v>
      </c>
      <c r="L1629" s="24">
        <v>1.8</v>
      </c>
      <c r="M1629" s="24">
        <v>24.087</v>
      </c>
      <c r="N1629" s="21">
        <f t="shared" si="76"/>
        <v>0.22892857142857131</v>
      </c>
      <c r="P1629" s="1">
        <v>10</v>
      </c>
      <c r="Q1629" s="24">
        <v>3.1080000000000005</v>
      </c>
      <c r="R1629" s="24">
        <v>22.791999999999998</v>
      </c>
      <c r="S1629" s="21">
        <f t="shared" si="77"/>
        <v>0.16285714285714267</v>
      </c>
    </row>
    <row r="1630" spans="2:19" ht="11.4" customHeight="1" x14ac:dyDescent="0.2">
      <c r="B1630" s="24"/>
      <c r="C1630" s="7">
        <v>36023</v>
      </c>
      <c r="D1630" s="18" t="s">
        <v>1710</v>
      </c>
      <c r="E1630" s="18" t="s">
        <v>1711</v>
      </c>
      <c r="F1630" s="17">
        <v>33</v>
      </c>
      <c r="G1630" s="18" t="s">
        <v>23</v>
      </c>
      <c r="H1630" s="17">
        <v>40.700000000000003</v>
      </c>
      <c r="I1630" s="8">
        <v>44.8</v>
      </c>
      <c r="J1630" s="21">
        <f t="shared" si="75"/>
        <v>0.10073710073710058</v>
      </c>
      <c r="K1630" s="1">
        <v>4</v>
      </c>
      <c r="L1630" s="24">
        <v>3.1</v>
      </c>
      <c r="M1630" s="24">
        <v>41.664000000000001</v>
      </c>
      <c r="N1630" s="21">
        <f t="shared" si="76"/>
        <v>2.368550368550365E-2</v>
      </c>
      <c r="P1630" s="1">
        <v>10</v>
      </c>
      <c r="Q1630" s="24">
        <v>5.3759999999999977</v>
      </c>
      <c r="R1630" s="24">
        <v>39.423999999999999</v>
      </c>
      <c r="S1630" s="21">
        <f t="shared" si="77"/>
        <v>-3.1351351351351434E-2</v>
      </c>
    </row>
    <row r="1631" spans="2:19" ht="11.4" customHeight="1" x14ac:dyDescent="0.2">
      <c r="B1631" s="24"/>
      <c r="C1631" s="7">
        <v>27773</v>
      </c>
      <c r="D1631" s="18" t="s">
        <v>1712</v>
      </c>
      <c r="E1631" s="18" t="s">
        <v>1711</v>
      </c>
      <c r="F1631" s="17">
        <v>20</v>
      </c>
      <c r="G1631" s="18" t="s">
        <v>23</v>
      </c>
      <c r="H1631" s="17">
        <v>24.7</v>
      </c>
      <c r="I1631" s="8">
        <v>60.8</v>
      </c>
      <c r="J1631" s="21">
        <f t="shared" si="75"/>
        <v>1.4615384615384615</v>
      </c>
      <c r="K1631" s="1">
        <v>4</v>
      </c>
      <c r="L1631" s="24">
        <v>4.2</v>
      </c>
      <c r="M1631" s="24">
        <v>56.543999999999997</v>
      </c>
      <c r="N1631" s="21">
        <f t="shared" si="76"/>
        <v>1.2892307692307692</v>
      </c>
      <c r="P1631" s="1">
        <v>10</v>
      </c>
      <c r="Q1631" s="24">
        <v>7.2959999999999994</v>
      </c>
      <c r="R1631" s="24">
        <v>53.503999999999998</v>
      </c>
      <c r="S1631" s="21">
        <f t="shared" si="77"/>
        <v>1.1661538461538461</v>
      </c>
    </row>
    <row r="1632" spans="2:19" ht="11.4" customHeight="1" x14ac:dyDescent="0.2">
      <c r="B1632" s="24"/>
      <c r="C1632" s="7">
        <v>7969</v>
      </c>
      <c r="D1632" s="18" t="s">
        <v>1713</v>
      </c>
      <c r="E1632" s="18" t="s">
        <v>1711</v>
      </c>
      <c r="F1632" s="17">
        <v>12</v>
      </c>
      <c r="G1632" s="18" t="s">
        <v>23</v>
      </c>
      <c r="H1632" s="17">
        <v>62</v>
      </c>
      <c r="I1632" s="8">
        <v>66.900000000000006</v>
      </c>
      <c r="J1632" s="21">
        <f t="shared" si="75"/>
        <v>7.903225806451622E-2</v>
      </c>
      <c r="K1632" s="1">
        <v>4</v>
      </c>
      <c r="L1632" s="24">
        <v>4.5999999999999996</v>
      </c>
      <c r="M1632" s="24">
        <v>62.217000000000006</v>
      </c>
      <c r="N1632" s="21">
        <f t="shared" si="76"/>
        <v>3.5000000000000946E-3</v>
      </c>
      <c r="P1632" s="1">
        <v>10</v>
      </c>
      <c r="Q1632" s="24">
        <v>8.0279999999999987</v>
      </c>
      <c r="R1632" s="24">
        <v>58.872000000000007</v>
      </c>
      <c r="S1632" s="21">
        <f t="shared" si="77"/>
        <v>-5.0451612903225695E-2</v>
      </c>
    </row>
    <row r="1633" spans="2:19" ht="11.4" customHeight="1" x14ac:dyDescent="0.2">
      <c r="B1633" s="24"/>
      <c r="C1633" s="7">
        <v>36024</v>
      </c>
      <c r="D1633" s="18" t="s">
        <v>1714</v>
      </c>
      <c r="E1633" s="18" t="s">
        <v>1711</v>
      </c>
      <c r="F1633" s="17">
        <v>33</v>
      </c>
      <c r="G1633" s="18" t="s">
        <v>23</v>
      </c>
      <c r="H1633" s="17">
        <v>40.700000000000003</v>
      </c>
      <c r="I1633" s="8">
        <v>44.8</v>
      </c>
      <c r="J1633" s="21">
        <f t="shared" si="75"/>
        <v>0.10073710073710058</v>
      </c>
      <c r="K1633" s="1">
        <v>4</v>
      </c>
      <c r="L1633" s="24">
        <v>3.1</v>
      </c>
      <c r="M1633" s="24">
        <v>41.664000000000001</v>
      </c>
      <c r="N1633" s="21">
        <f t="shared" si="76"/>
        <v>2.368550368550365E-2</v>
      </c>
      <c r="P1633" s="1">
        <v>10</v>
      </c>
      <c r="Q1633" s="24">
        <v>5.3759999999999977</v>
      </c>
      <c r="R1633" s="24">
        <v>39.423999999999999</v>
      </c>
      <c r="S1633" s="21">
        <f t="shared" si="77"/>
        <v>-3.1351351351351434E-2</v>
      </c>
    </row>
    <row r="1634" spans="2:19" ht="11.4" customHeight="1" x14ac:dyDescent="0.2">
      <c r="B1634" s="24"/>
      <c r="C1634" s="7">
        <v>33254</v>
      </c>
      <c r="D1634" s="18" t="s">
        <v>1715</v>
      </c>
      <c r="E1634" s="18" t="s">
        <v>1711</v>
      </c>
      <c r="F1634" s="17">
        <v>42</v>
      </c>
      <c r="G1634" s="18" t="s">
        <v>23</v>
      </c>
      <c r="H1634" s="17">
        <v>33.4</v>
      </c>
      <c r="I1634" s="8">
        <v>38.200000000000003</v>
      </c>
      <c r="J1634" s="21">
        <f t="shared" si="75"/>
        <v>0.14371257485029953</v>
      </c>
      <c r="K1634" s="1">
        <v>4</v>
      </c>
      <c r="L1634" s="24">
        <v>2.6</v>
      </c>
      <c r="M1634" s="24">
        <v>35.526000000000003</v>
      </c>
      <c r="N1634" s="21">
        <f t="shared" si="76"/>
        <v>6.365269461077859E-2</v>
      </c>
      <c r="P1634" s="1">
        <v>10</v>
      </c>
      <c r="Q1634" s="24">
        <v>4.5840000000000032</v>
      </c>
      <c r="R1634" s="24">
        <v>33.616</v>
      </c>
      <c r="S1634" s="21">
        <f t="shared" si="77"/>
        <v>6.4670658682635055E-3</v>
      </c>
    </row>
    <row r="1635" spans="2:19" ht="11.4" customHeight="1" x14ac:dyDescent="0.2">
      <c r="B1635" s="24"/>
      <c r="C1635" s="7">
        <v>28645</v>
      </c>
      <c r="D1635" s="18" t="s">
        <v>1716</v>
      </c>
      <c r="E1635" s="18" t="s">
        <v>1717</v>
      </c>
      <c r="F1635" s="17">
        <v>20</v>
      </c>
      <c r="G1635" s="18" t="s">
        <v>23</v>
      </c>
      <c r="H1635" s="17">
        <v>29.9</v>
      </c>
      <c r="I1635" s="8">
        <v>33.5</v>
      </c>
      <c r="J1635" s="21">
        <f t="shared" si="75"/>
        <v>0.1204013377926422</v>
      </c>
      <c r="K1635" s="1">
        <v>4</v>
      </c>
      <c r="L1635" s="24">
        <v>2.2999999999999998</v>
      </c>
      <c r="M1635" s="24">
        <v>31.155000000000001</v>
      </c>
      <c r="N1635" s="21">
        <f t="shared" si="76"/>
        <v>4.1973244147157279E-2</v>
      </c>
      <c r="P1635" s="1">
        <v>10</v>
      </c>
      <c r="Q1635" s="24">
        <v>4.0199999999999996</v>
      </c>
      <c r="R1635" s="24">
        <v>29.48</v>
      </c>
      <c r="S1635" s="21">
        <f t="shared" si="77"/>
        <v>-1.4046822742474855E-2</v>
      </c>
    </row>
    <row r="1636" spans="2:19" ht="11.4" customHeight="1" x14ac:dyDescent="0.2">
      <c r="B1636" s="24"/>
      <c r="C1636" s="7">
        <v>44204</v>
      </c>
      <c r="D1636" s="18" t="s">
        <v>1718</v>
      </c>
      <c r="E1636" s="18" t="s">
        <v>1717</v>
      </c>
      <c r="F1636" s="17">
        <v>12</v>
      </c>
      <c r="G1636" s="18" t="s">
        <v>23</v>
      </c>
      <c r="H1636" s="17">
        <v>36.549999999999997</v>
      </c>
      <c r="I1636" s="8">
        <v>58.7</v>
      </c>
      <c r="J1636" s="21">
        <f t="shared" si="75"/>
        <v>0.60601915184678545</v>
      </c>
      <c r="K1636" s="1">
        <v>4</v>
      </c>
      <c r="L1636" s="24">
        <v>4.0999999999999996</v>
      </c>
      <c r="M1636" s="24">
        <v>54.591000000000008</v>
      </c>
      <c r="N1636" s="21">
        <f t="shared" si="76"/>
        <v>0.49359781121751062</v>
      </c>
      <c r="P1636" s="1">
        <v>10</v>
      </c>
      <c r="Q1636" s="24">
        <v>7.0439999999999969</v>
      </c>
      <c r="R1636" s="24">
        <v>51.656000000000006</v>
      </c>
      <c r="S1636" s="21">
        <f t="shared" si="77"/>
        <v>0.41329685362517127</v>
      </c>
    </row>
    <row r="1637" spans="2:19" ht="11.4" customHeight="1" x14ac:dyDescent="0.2">
      <c r="B1637" s="24"/>
      <c r="C1637" s="7">
        <v>44189</v>
      </c>
      <c r="D1637" s="18" t="s">
        <v>1719</v>
      </c>
      <c r="E1637" s="18" t="s">
        <v>1717</v>
      </c>
      <c r="F1637" s="17">
        <v>10</v>
      </c>
      <c r="G1637" s="18" t="s">
        <v>23</v>
      </c>
      <c r="H1637" s="17">
        <v>53</v>
      </c>
      <c r="I1637" s="8">
        <v>82.3</v>
      </c>
      <c r="J1637" s="21">
        <f t="shared" si="75"/>
        <v>0.55283018867924527</v>
      </c>
      <c r="K1637" s="1">
        <v>4</v>
      </c>
      <c r="L1637" s="24">
        <v>5.7</v>
      </c>
      <c r="M1637" s="24">
        <v>76.539000000000001</v>
      </c>
      <c r="N1637" s="21">
        <f t="shared" si="76"/>
        <v>0.44413207547169814</v>
      </c>
      <c r="P1637" s="1">
        <v>10</v>
      </c>
      <c r="Q1637" s="24">
        <v>9.8760000000000048</v>
      </c>
      <c r="R1637" s="24">
        <v>72.423999999999992</v>
      </c>
      <c r="S1637" s="21">
        <f t="shared" si="77"/>
        <v>0.36649056603773572</v>
      </c>
    </row>
    <row r="1638" spans="2:19" ht="11.4" customHeight="1" x14ac:dyDescent="0.2">
      <c r="B1638" s="24"/>
      <c r="C1638" s="7">
        <v>42778</v>
      </c>
      <c r="D1638" s="18" t="s">
        <v>1720</v>
      </c>
      <c r="E1638" s="18" t="s">
        <v>1717</v>
      </c>
      <c r="F1638" s="17">
        <v>50</v>
      </c>
      <c r="G1638" s="18" t="s">
        <v>23</v>
      </c>
      <c r="H1638" s="17">
        <v>20.52</v>
      </c>
      <c r="I1638" s="8">
        <v>30.9</v>
      </c>
      <c r="J1638" s="21">
        <f t="shared" si="75"/>
        <v>0.50584795321637421</v>
      </c>
      <c r="K1638" s="1">
        <v>4</v>
      </c>
      <c r="L1638" s="24">
        <v>2.1</v>
      </c>
      <c r="M1638" s="24">
        <v>28.737000000000002</v>
      </c>
      <c r="N1638" s="21">
        <f t="shared" si="76"/>
        <v>0.4004385964912282</v>
      </c>
      <c r="P1638" s="1">
        <v>10</v>
      </c>
      <c r="Q1638" s="24">
        <v>3.7079999999999984</v>
      </c>
      <c r="R1638" s="24">
        <v>27.192</v>
      </c>
      <c r="S1638" s="21">
        <f t="shared" si="77"/>
        <v>0.32514619883040941</v>
      </c>
    </row>
    <row r="1639" spans="2:19" ht="11.4" customHeight="1" x14ac:dyDescent="0.2">
      <c r="B1639" s="24"/>
      <c r="C1639" s="7">
        <v>28530</v>
      </c>
      <c r="D1639" s="18" t="s">
        <v>1721</v>
      </c>
      <c r="E1639" s="18" t="s">
        <v>1717</v>
      </c>
      <c r="F1639" s="17">
        <v>12</v>
      </c>
      <c r="G1639" s="18" t="s">
        <v>23</v>
      </c>
      <c r="H1639" s="17">
        <v>59.9</v>
      </c>
      <c r="I1639" s="8">
        <v>65.2</v>
      </c>
      <c r="J1639" s="21">
        <f t="shared" si="75"/>
        <v>8.8480801335559342E-2</v>
      </c>
      <c r="K1639" s="1">
        <v>4</v>
      </c>
      <c r="L1639" s="24">
        <v>4.5</v>
      </c>
      <c r="M1639" s="24">
        <v>60.636000000000003</v>
      </c>
      <c r="N1639" s="21">
        <f t="shared" si="76"/>
        <v>1.2287145242070188E-2</v>
      </c>
      <c r="P1639" s="1">
        <v>10</v>
      </c>
      <c r="Q1639" s="24">
        <v>7.8239999999999981</v>
      </c>
      <c r="R1639" s="24">
        <v>57.376000000000005</v>
      </c>
      <c r="S1639" s="21">
        <f t="shared" si="77"/>
        <v>-4.2136894824707741E-2</v>
      </c>
    </row>
    <row r="1640" spans="2:19" ht="11.4" customHeight="1" x14ac:dyDescent="0.2">
      <c r="B1640" s="24"/>
      <c r="C1640" s="7">
        <v>33797</v>
      </c>
      <c r="D1640" s="18" t="s">
        <v>1722</v>
      </c>
      <c r="E1640" s="18" t="s">
        <v>1717</v>
      </c>
      <c r="F1640" s="17">
        <v>40</v>
      </c>
      <c r="G1640" s="18" t="s">
        <v>23</v>
      </c>
      <c r="H1640" s="17">
        <v>31.7</v>
      </c>
      <c r="I1640" s="8">
        <v>34.5</v>
      </c>
      <c r="J1640" s="21">
        <f t="shared" si="75"/>
        <v>8.83280757097792E-2</v>
      </c>
      <c r="K1640" s="1">
        <v>4</v>
      </c>
      <c r="L1640" s="24">
        <v>2.4</v>
      </c>
      <c r="M1640" s="24">
        <v>32.085000000000001</v>
      </c>
      <c r="N1640" s="21">
        <f t="shared" si="76"/>
        <v>1.2145110410094686E-2</v>
      </c>
      <c r="P1640" s="1">
        <v>10</v>
      </c>
      <c r="Q1640" s="24">
        <v>4.1400000000000006</v>
      </c>
      <c r="R1640" s="24">
        <v>30.36</v>
      </c>
      <c r="S1640" s="21">
        <f t="shared" si="77"/>
        <v>-4.2271293375394321E-2</v>
      </c>
    </row>
    <row r="1641" spans="2:19" ht="11.4" customHeight="1" x14ac:dyDescent="0.2">
      <c r="B1641" s="24"/>
      <c r="C1641" s="7">
        <v>36517</v>
      </c>
      <c r="D1641" s="18" t="s">
        <v>1723</v>
      </c>
      <c r="E1641" s="18" t="s">
        <v>1717</v>
      </c>
      <c r="F1641" s="17">
        <v>48</v>
      </c>
      <c r="G1641" s="18" t="s">
        <v>23</v>
      </c>
      <c r="H1641" s="17">
        <v>31.5</v>
      </c>
      <c r="I1641" s="8">
        <v>38.299999999999997</v>
      </c>
      <c r="J1641" s="21">
        <f t="shared" si="75"/>
        <v>0.21587301587301577</v>
      </c>
      <c r="K1641" s="1">
        <v>4</v>
      </c>
      <c r="L1641" s="24">
        <v>2.6</v>
      </c>
      <c r="M1641" s="24">
        <v>35.619</v>
      </c>
      <c r="N1641" s="21">
        <f t="shared" si="76"/>
        <v>0.13076190476190475</v>
      </c>
      <c r="P1641" s="1">
        <v>10</v>
      </c>
      <c r="Q1641" s="24">
        <v>4.5959999999999965</v>
      </c>
      <c r="R1641" s="24">
        <v>33.704000000000001</v>
      </c>
      <c r="S1641" s="21">
        <f t="shared" si="77"/>
        <v>6.9968253968253985E-2</v>
      </c>
    </row>
    <row r="1642" spans="2:19" ht="11.4" customHeight="1" x14ac:dyDescent="0.2">
      <c r="B1642" s="24"/>
      <c r="C1642" s="7">
        <v>1894</v>
      </c>
      <c r="D1642" s="18" t="s">
        <v>1724</v>
      </c>
      <c r="E1642" s="18" t="s">
        <v>1717</v>
      </c>
      <c r="F1642" s="17">
        <v>40</v>
      </c>
      <c r="G1642" s="18" t="s">
        <v>23</v>
      </c>
      <c r="H1642" s="17">
        <v>31.1</v>
      </c>
      <c r="I1642" s="8">
        <v>32.9</v>
      </c>
      <c r="J1642" s="21">
        <f t="shared" si="75"/>
        <v>5.7877813504823059E-2</v>
      </c>
      <c r="K1642" s="1">
        <v>4</v>
      </c>
      <c r="L1642" s="24">
        <v>2.2999999999999998</v>
      </c>
      <c r="M1642" s="24">
        <v>30.597000000000001</v>
      </c>
      <c r="N1642" s="21">
        <f t="shared" si="76"/>
        <v>-1.6173633440514472E-2</v>
      </c>
      <c r="P1642" s="1">
        <v>10</v>
      </c>
      <c r="Q1642" s="24">
        <v>3.9480000000000004</v>
      </c>
      <c r="R1642" s="24">
        <v>28.951999999999998</v>
      </c>
      <c r="S1642" s="21">
        <f t="shared" si="77"/>
        <v>-6.906752411575573E-2</v>
      </c>
    </row>
    <row r="1643" spans="2:19" ht="11.4" customHeight="1" x14ac:dyDescent="0.2">
      <c r="B1643" s="24"/>
      <c r="C1643" s="7">
        <v>13572</v>
      </c>
      <c r="D1643" s="18" t="s">
        <v>1725</v>
      </c>
      <c r="E1643" s="18" t="s">
        <v>1717</v>
      </c>
      <c r="F1643" s="17">
        <v>48</v>
      </c>
      <c r="G1643" s="18" t="s">
        <v>23</v>
      </c>
      <c r="H1643" s="17">
        <v>35.6</v>
      </c>
      <c r="I1643" s="8">
        <v>42.5</v>
      </c>
      <c r="J1643" s="21">
        <f t="shared" si="75"/>
        <v>0.19382022471910107</v>
      </c>
      <c r="K1643" s="1">
        <v>4</v>
      </c>
      <c r="L1643" s="24">
        <v>2.9</v>
      </c>
      <c r="M1643" s="24">
        <v>39.524999999999999</v>
      </c>
      <c r="N1643" s="21">
        <f t="shared" si="76"/>
        <v>0.11025280898876397</v>
      </c>
      <c r="P1643" s="1">
        <v>10</v>
      </c>
      <c r="Q1643" s="24">
        <v>5.1000000000000014</v>
      </c>
      <c r="R1643" s="24">
        <v>37.4</v>
      </c>
      <c r="S1643" s="21">
        <f t="shared" si="77"/>
        <v>5.0561797752808904E-2</v>
      </c>
    </row>
    <row r="1644" spans="2:19" ht="11.4" customHeight="1" x14ac:dyDescent="0.2">
      <c r="B1644" s="24"/>
      <c r="C1644" s="7">
        <v>33799</v>
      </c>
      <c r="D1644" s="18" t="s">
        <v>1726</v>
      </c>
      <c r="E1644" s="18" t="s">
        <v>1717</v>
      </c>
      <c r="F1644" s="17">
        <v>40</v>
      </c>
      <c r="G1644" s="18" t="s">
        <v>23</v>
      </c>
      <c r="H1644" s="17">
        <v>31.7</v>
      </c>
      <c r="I1644" s="8">
        <v>40.9</v>
      </c>
      <c r="J1644" s="21">
        <f t="shared" si="75"/>
        <v>0.29022082018927442</v>
      </c>
      <c r="K1644" s="1">
        <v>4</v>
      </c>
      <c r="L1644" s="24">
        <v>2.8</v>
      </c>
      <c r="M1644" s="24">
        <v>38.036999999999999</v>
      </c>
      <c r="N1644" s="21">
        <f t="shared" si="76"/>
        <v>0.19990536277602522</v>
      </c>
      <c r="P1644" s="1">
        <v>10</v>
      </c>
      <c r="Q1644" s="24">
        <v>4.9080000000000013</v>
      </c>
      <c r="R1644" s="24">
        <v>35.991999999999997</v>
      </c>
      <c r="S1644" s="21">
        <f t="shared" si="77"/>
        <v>0.13539432176656147</v>
      </c>
    </row>
    <row r="1645" spans="2:19" ht="11.4" customHeight="1" x14ac:dyDescent="0.2">
      <c r="B1645" s="24"/>
      <c r="C1645" s="7">
        <v>36514</v>
      </c>
      <c r="D1645" s="18" t="s">
        <v>1727</v>
      </c>
      <c r="E1645" s="18" t="s">
        <v>1717</v>
      </c>
      <c r="F1645" s="17">
        <v>40</v>
      </c>
      <c r="G1645" s="18" t="s">
        <v>23</v>
      </c>
      <c r="H1645" s="17">
        <v>32.5</v>
      </c>
      <c r="I1645" s="8">
        <v>39.299999999999997</v>
      </c>
      <c r="J1645" s="21">
        <f t="shared" si="75"/>
        <v>0.20923076923076914</v>
      </c>
      <c r="K1645" s="1">
        <v>4</v>
      </c>
      <c r="L1645" s="24">
        <v>2.7</v>
      </c>
      <c r="M1645" s="24">
        <v>36.548999999999999</v>
      </c>
      <c r="N1645" s="21">
        <f t="shared" si="76"/>
        <v>0.12458461538461536</v>
      </c>
      <c r="P1645" s="1">
        <v>10</v>
      </c>
      <c r="Q1645" s="24">
        <v>4.7160000000000011</v>
      </c>
      <c r="R1645" s="24">
        <v>34.583999999999996</v>
      </c>
      <c r="S1645" s="21">
        <f t="shared" si="77"/>
        <v>6.4123076923076797E-2</v>
      </c>
    </row>
    <row r="1646" spans="2:19" ht="11.4" customHeight="1" x14ac:dyDescent="0.2">
      <c r="B1646" s="24"/>
      <c r="C1646" s="7">
        <v>44947</v>
      </c>
      <c r="D1646" s="18" t="s">
        <v>1728</v>
      </c>
      <c r="E1646" s="18" t="s">
        <v>1717</v>
      </c>
      <c r="F1646" s="17">
        <v>20</v>
      </c>
      <c r="G1646" s="18" t="s">
        <v>23</v>
      </c>
      <c r="H1646" s="17">
        <v>17.7</v>
      </c>
      <c r="I1646" s="8">
        <v>31.5</v>
      </c>
      <c r="J1646" s="21">
        <f t="shared" si="75"/>
        <v>0.77966101694915257</v>
      </c>
      <c r="K1646" s="1">
        <v>4</v>
      </c>
      <c r="L1646" s="24">
        <v>2.2000000000000002</v>
      </c>
      <c r="M1646" s="24">
        <v>29.295000000000002</v>
      </c>
      <c r="N1646" s="21">
        <f t="shared" si="76"/>
        <v>0.65508474576271203</v>
      </c>
      <c r="P1646" s="1">
        <v>10</v>
      </c>
      <c r="Q1646" s="24">
        <v>3.7800000000000011</v>
      </c>
      <c r="R1646" s="24">
        <v>27.72</v>
      </c>
      <c r="S1646" s="21">
        <f t="shared" si="77"/>
        <v>0.56610169491525419</v>
      </c>
    </row>
    <row r="1647" spans="2:19" ht="11.4" customHeight="1" x14ac:dyDescent="0.2">
      <c r="B1647" s="24"/>
      <c r="C1647" s="7">
        <v>33800</v>
      </c>
      <c r="D1647" s="18" t="s">
        <v>1729</v>
      </c>
      <c r="E1647" s="18" t="s">
        <v>1717</v>
      </c>
      <c r="F1647" s="17">
        <v>40</v>
      </c>
      <c r="G1647" s="18" t="s">
        <v>23</v>
      </c>
      <c r="H1647" s="17">
        <v>31.7</v>
      </c>
      <c r="I1647" s="8">
        <v>40.9</v>
      </c>
      <c r="J1647" s="21">
        <f t="shared" si="75"/>
        <v>0.29022082018927442</v>
      </c>
      <c r="K1647" s="1">
        <v>4</v>
      </c>
      <c r="L1647" s="24">
        <v>2.8</v>
      </c>
      <c r="M1647" s="24">
        <v>38.036999999999999</v>
      </c>
      <c r="N1647" s="21">
        <f t="shared" si="76"/>
        <v>0.19990536277602522</v>
      </c>
      <c r="P1647" s="1">
        <v>10</v>
      </c>
      <c r="Q1647" s="24">
        <v>4.9080000000000013</v>
      </c>
      <c r="R1647" s="24">
        <v>35.991999999999997</v>
      </c>
      <c r="S1647" s="21">
        <f t="shared" si="77"/>
        <v>0.13539432176656147</v>
      </c>
    </row>
    <row r="1648" spans="2:19" ht="11.4" customHeight="1" x14ac:dyDescent="0.2">
      <c r="B1648" s="24"/>
      <c r="C1648" s="7">
        <v>34608</v>
      </c>
      <c r="D1648" s="18" t="s">
        <v>1730</v>
      </c>
      <c r="E1648" s="18" t="s">
        <v>1717</v>
      </c>
      <c r="F1648" s="17">
        <v>46</v>
      </c>
      <c r="G1648" s="18" t="s">
        <v>23</v>
      </c>
      <c r="H1648" s="17">
        <v>31.7</v>
      </c>
      <c r="I1648" s="8">
        <v>41.5</v>
      </c>
      <c r="J1648" s="21">
        <f t="shared" si="75"/>
        <v>0.30914826498422715</v>
      </c>
      <c r="K1648" s="1">
        <v>4</v>
      </c>
      <c r="L1648" s="24">
        <v>2.9</v>
      </c>
      <c r="M1648" s="24">
        <v>38.594999999999999</v>
      </c>
      <c r="N1648" s="21">
        <f t="shared" si="76"/>
        <v>0.21750788643533123</v>
      </c>
      <c r="P1648" s="1">
        <v>10</v>
      </c>
      <c r="Q1648" s="24">
        <v>4.9799999999999969</v>
      </c>
      <c r="R1648" s="24">
        <v>36.520000000000003</v>
      </c>
      <c r="S1648" s="21">
        <f t="shared" si="77"/>
        <v>0.15205047318612</v>
      </c>
    </row>
    <row r="1649" spans="2:19" ht="11.4" customHeight="1" x14ac:dyDescent="0.2">
      <c r="B1649" s="24"/>
      <c r="C1649" s="7">
        <v>38821</v>
      </c>
      <c r="D1649" s="18" t="s">
        <v>1731</v>
      </c>
      <c r="E1649" s="18" t="s">
        <v>1717</v>
      </c>
      <c r="F1649" s="17">
        <v>30</v>
      </c>
      <c r="G1649" s="18" t="s">
        <v>23</v>
      </c>
      <c r="H1649" s="17">
        <v>30.7</v>
      </c>
      <c r="I1649" s="8">
        <v>32.9</v>
      </c>
      <c r="J1649" s="21">
        <f t="shared" si="75"/>
        <v>7.1661237785016263E-2</v>
      </c>
      <c r="K1649" s="1">
        <v>4</v>
      </c>
      <c r="L1649" s="24">
        <v>2.2999999999999998</v>
      </c>
      <c r="M1649" s="24">
        <v>30.597000000000001</v>
      </c>
      <c r="N1649" s="21">
        <f t="shared" si="76"/>
        <v>-3.3550488599347877E-3</v>
      </c>
      <c r="P1649" s="1">
        <v>10</v>
      </c>
      <c r="Q1649" s="24">
        <v>3.9480000000000004</v>
      </c>
      <c r="R1649" s="24">
        <v>28.951999999999998</v>
      </c>
      <c r="S1649" s="21">
        <f t="shared" si="77"/>
        <v>-5.6938110749185707E-2</v>
      </c>
    </row>
    <row r="1650" spans="2:19" ht="11.4" customHeight="1" x14ac:dyDescent="0.2">
      <c r="B1650" s="24"/>
      <c r="C1650" s="7">
        <v>34514</v>
      </c>
      <c r="D1650" s="18" t="s">
        <v>1732</v>
      </c>
      <c r="E1650" s="18" t="s">
        <v>1717</v>
      </c>
      <c r="F1650" s="17">
        <v>18</v>
      </c>
      <c r="G1650" s="18" t="s">
        <v>23</v>
      </c>
      <c r="H1650" s="17">
        <v>22.3</v>
      </c>
      <c r="I1650" s="8">
        <v>23.3</v>
      </c>
      <c r="J1650" s="21">
        <f t="shared" si="75"/>
        <v>4.4843049327354258E-2</v>
      </c>
      <c r="K1650" s="1">
        <v>4</v>
      </c>
      <c r="L1650" s="24">
        <v>1.6</v>
      </c>
      <c r="M1650" s="24">
        <v>21.669</v>
      </c>
      <c r="N1650" s="21">
        <f t="shared" si="76"/>
        <v>-2.8295964125560548E-2</v>
      </c>
      <c r="P1650" s="1">
        <v>10</v>
      </c>
      <c r="Q1650" s="24">
        <v>2.7959999999999994</v>
      </c>
      <c r="R1650" s="24">
        <v>20.504000000000001</v>
      </c>
      <c r="S1650" s="21">
        <f t="shared" si="77"/>
        <v>-8.0538116591928222E-2</v>
      </c>
    </row>
    <row r="1651" spans="2:19" ht="11.4" customHeight="1" x14ac:dyDescent="0.2">
      <c r="B1651" s="24"/>
      <c r="C1651" s="7">
        <v>28212</v>
      </c>
      <c r="D1651" s="18" t="s">
        <v>1733</v>
      </c>
      <c r="E1651" s="18" t="s">
        <v>1717</v>
      </c>
      <c r="F1651" s="17">
        <v>20</v>
      </c>
      <c r="G1651" s="18" t="s">
        <v>23</v>
      </c>
      <c r="H1651" s="17">
        <v>31.8</v>
      </c>
      <c r="I1651" s="8">
        <v>31.5</v>
      </c>
      <c r="J1651" s="21">
        <f t="shared" si="75"/>
        <v>-9.4339622641509656E-3</v>
      </c>
      <c r="K1651" s="1">
        <v>4</v>
      </c>
      <c r="L1651" s="24">
        <v>2.2000000000000002</v>
      </c>
      <c r="M1651" s="24">
        <v>29.295000000000002</v>
      </c>
      <c r="N1651" s="21">
        <f t="shared" si="76"/>
        <v>-7.8773584905660346E-2</v>
      </c>
      <c r="P1651" s="1">
        <v>10</v>
      </c>
      <c r="Q1651" s="24">
        <v>3.7800000000000011</v>
      </c>
      <c r="R1651" s="24">
        <v>27.72</v>
      </c>
      <c r="S1651" s="21">
        <f t="shared" si="77"/>
        <v>-0.12830188679245288</v>
      </c>
    </row>
    <row r="1652" spans="2:19" ht="11.4" customHeight="1" x14ac:dyDescent="0.2">
      <c r="B1652" s="24"/>
      <c r="C1652" s="7">
        <v>33798</v>
      </c>
      <c r="D1652" s="18" t="s">
        <v>1734</v>
      </c>
      <c r="E1652" s="18" t="s">
        <v>1717</v>
      </c>
      <c r="F1652" s="17">
        <v>40</v>
      </c>
      <c r="G1652" s="18" t="s">
        <v>23</v>
      </c>
      <c r="H1652" s="17">
        <v>31.7</v>
      </c>
      <c r="I1652" s="8">
        <v>40.9</v>
      </c>
      <c r="J1652" s="21">
        <f t="shared" si="75"/>
        <v>0.29022082018927442</v>
      </c>
      <c r="K1652" s="1">
        <v>4</v>
      </c>
      <c r="L1652" s="24">
        <v>2.8</v>
      </c>
      <c r="M1652" s="24">
        <v>38.036999999999999</v>
      </c>
      <c r="N1652" s="21">
        <f t="shared" si="76"/>
        <v>0.19990536277602522</v>
      </c>
      <c r="P1652" s="1">
        <v>10</v>
      </c>
      <c r="Q1652" s="24">
        <v>4.9080000000000013</v>
      </c>
      <c r="R1652" s="24">
        <v>35.991999999999997</v>
      </c>
      <c r="S1652" s="21">
        <f t="shared" si="77"/>
        <v>0.13539432176656147</v>
      </c>
    </row>
    <row r="1653" spans="2:19" ht="11.4" customHeight="1" x14ac:dyDescent="0.2">
      <c r="B1653" s="24"/>
      <c r="C1653" s="7">
        <v>23496</v>
      </c>
      <c r="D1653" s="18" t="s">
        <v>1735</v>
      </c>
      <c r="E1653" s="18" t="s">
        <v>1717</v>
      </c>
      <c r="F1653" s="17">
        <v>20</v>
      </c>
      <c r="G1653" s="18" t="s">
        <v>23</v>
      </c>
      <c r="H1653" s="17">
        <v>29.9</v>
      </c>
      <c r="I1653" s="8">
        <v>33.5</v>
      </c>
      <c r="J1653" s="21">
        <f t="shared" si="75"/>
        <v>0.1204013377926422</v>
      </c>
      <c r="K1653" s="1">
        <v>4</v>
      </c>
      <c r="L1653" s="24">
        <v>2.2999999999999998</v>
      </c>
      <c r="M1653" s="24">
        <v>31.155000000000001</v>
      </c>
      <c r="N1653" s="21">
        <f t="shared" si="76"/>
        <v>4.1973244147157279E-2</v>
      </c>
      <c r="P1653" s="1">
        <v>10</v>
      </c>
      <c r="Q1653" s="24">
        <v>4.0199999999999996</v>
      </c>
      <c r="R1653" s="24">
        <v>29.48</v>
      </c>
      <c r="S1653" s="21">
        <f t="shared" si="77"/>
        <v>-1.4046822742474855E-2</v>
      </c>
    </row>
    <row r="1654" spans="2:19" ht="11.4" customHeight="1" x14ac:dyDescent="0.2">
      <c r="B1654" s="24"/>
      <c r="C1654" s="7">
        <v>23070</v>
      </c>
      <c r="D1654" s="18" t="s">
        <v>1736</v>
      </c>
      <c r="E1654" s="18" t="s">
        <v>1717</v>
      </c>
      <c r="F1654" s="17">
        <v>48</v>
      </c>
      <c r="G1654" s="18" t="s">
        <v>23</v>
      </c>
      <c r="H1654" s="17">
        <v>35.6</v>
      </c>
      <c r="I1654" s="8">
        <v>42.5</v>
      </c>
      <c r="J1654" s="21">
        <f t="shared" si="75"/>
        <v>0.19382022471910107</v>
      </c>
      <c r="K1654" s="1">
        <v>4</v>
      </c>
      <c r="L1654" s="24">
        <v>2.9</v>
      </c>
      <c r="M1654" s="24">
        <v>39.524999999999999</v>
      </c>
      <c r="N1654" s="21">
        <f t="shared" si="76"/>
        <v>0.11025280898876397</v>
      </c>
      <c r="P1654" s="1">
        <v>10</v>
      </c>
      <c r="Q1654" s="24">
        <v>5.1000000000000014</v>
      </c>
      <c r="R1654" s="24">
        <v>37.4</v>
      </c>
      <c r="S1654" s="21">
        <f t="shared" si="77"/>
        <v>5.0561797752808904E-2</v>
      </c>
    </row>
    <row r="1655" spans="2:19" ht="11.4" customHeight="1" x14ac:dyDescent="0.2">
      <c r="B1655" s="24"/>
      <c r="C1655" s="7">
        <v>36515</v>
      </c>
      <c r="D1655" s="18" t="s">
        <v>1737</v>
      </c>
      <c r="E1655" s="18" t="s">
        <v>1717</v>
      </c>
      <c r="F1655" s="17">
        <v>40</v>
      </c>
      <c r="G1655" s="18" t="s">
        <v>23</v>
      </c>
      <c r="H1655" s="17">
        <v>32.5</v>
      </c>
      <c r="I1655" s="8">
        <v>39.299999999999997</v>
      </c>
      <c r="J1655" s="21">
        <f t="shared" si="75"/>
        <v>0.20923076923076914</v>
      </c>
      <c r="K1655" s="1">
        <v>4</v>
      </c>
      <c r="L1655" s="24">
        <v>2.7</v>
      </c>
      <c r="M1655" s="24">
        <v>36.548999999999999</v>
      </c>
      <c r="N1655" s="21">
        <f t="shared" si="76"/>
        <v>0.12458461538461536</v>
      </c>
      <c r="P1655" s="1">
        <v>10</v>
      </c>
      <c r="Q1655" s="24">
        <v>4.7160000000000011</v>
      </c>
      <c r="R1655" s="24">
        <v>34.583999999999996</v>
      </c>
      <c r="S1655" s="21">
        <f t="shared" si="77"/>
        <v>6.4123076923076797E-2</v>
      </c>
    </row>
    <row r="1656" spans="2:19" ht="11.4" customHeight="1" x14ac:dyDescent="0.2">
      <c r="B1656" s="24"/>
      <c r="C1656" s="7">
        <v>23069</v>
      </c>
      <c r="D1656" s="18" t="s">
        <v>1738</v>
      </c>
      <c r="E1656" s="18" t="s">
        <v>1717</v>
      </c>
      <c r="F1656" s="17">
        <v>48</v>
      </c>
      <c r="G1656" s="18" t="s">
        <v>23</v>
      </c>
      <c r="H1656" s="17">
        <v>35.6</v>
      </c>
      <c r="I1656" s="8">
        <v>42.5</v>
      </c>
      <c r="J1656" s="21">
        <f t="shared" si="75"/>
        <v>0.19382022471910107</v>
      </c>
      <c r="K1656" s="1">
        <v>4</v>
      </c>
      <c r="L1656" s="24">
        <v>2.9</v>
      </c>
      <c r="M1656" s="24">
        <v>39.524999999999999</v>
      </c>
      <c r="N1656" s="21">
        <f t="shared" si="76"/>
        <v>0.11025280898876397</v>
      </c>
      <c r="P1656" s="1">
        <v>10</v>
      </c>
      <c r="Q1656" s="24">
        <v>5.1000000000000014</v>
      </c>
      <c r="R1656" s="24">
        <v>37.4</v>
      </c>
      <c r="S1656" s="21">
        <f t="shared" si="77"/>
        <v>5.0561797752808904E-2</v>
      </c>
    </row>
    <row r="1657" spans="2:19" ht="11.4" customHeight="1" x14ac:dyDescent="0.2">
      <c r="B1657" s="24"/>
      <c r="C1657" s="7">
        <v>23500</v>
      </c>
      <c r="D1657" s="18" t="s">
        <v>1739</v>
      </c>
      <c r="E1657" s="18" t="s">
        <v>1717</v>
      </c>
      <c r="F1657" s="17">
        <v>20</v>
      </c>
      <c r="G1657" s="18" t="s">
        <v>23</v>
      </c>
      <c r="H1657" s="17">
        <v>29.9</v>
      </c>
      <c r="I1657" s="8">
        <v>33.5</v>
      </c>
      <c r="J1657" s="21">
        <f t="shared" si="75"/>
        <v>0.1204013377926422</v>
      </c>
      <c r="K1657" s="1">
        <v>4</v>
      </c>
      <c r="L1657" s="24">
        <v>2.2999999999999998</v>
      </c>
      <c r="M1657" s="24">
        <v>31.155000000000001</v>
      </c>
      <c r="N1657" s="21">
        <f t="shared" si="76"/>
        <v>4.1973244147157279E-2</v>
      </c>
      <c r="P1657" s="1">
        <v>10</v>
      </c>
      <c r="Q1657" s="24">
        <v>4.0199999999999996</v>
      </c>
      <c r="R1657" s="24">
        <v>29.48</v>
      </c>
      <c r="S1657" s="21">
        <f t="shared" si="77"/>
        <v>-1.4046822742474855E-2</v>
      </c>
    </row>
    <row r="1658" spans="2:19" ht="11.4" customHeight="1" x14ac:dyDescent="0.2">
      <c r="B1658" s="24"/>
      <c r="C1658" s="7">
        <v>12871</v>
      </c>
      <c r="D1658" s="18" t="s">
        <v>1740</v>
      </c>
      <c r="E1658" s="18" t="s">
        <v>1717</v>
      </c>
      <c r="F1658" s="17">
        <v>15</v>
      </c>
      <c r="G1658" s="18" t="s">
        <v>23</v>
      </c>
      <c r="H1658" s="17">
        <v>24.9</v>
      </c>
      <c r="I1658" s="8">
        <v>26.9</v>
      </c>
      <c r="J1658" s="21">
        <f t="shared" si="75"/>
        <v>8.0321285140562249E-2</v>
      </c>
      <c r="K1658" s="1">
        <v>4</v>
      </c>
      <c r="L1658" s="24">
        <v>1.8</v>
      </c>
      <c r="M1658" s="24">
        <v>25.016999999999999</v>
      </c>
      <c r="N1658" s="21">
        <f t="shared" si="76"/>
        <v>4.6987951807229275E-3</v>
      </c>
      <c r="P1658" s="1">
        <v>10</v>
      </c>
      <c r="Q1658" s="24">
        <v>3.227999999999998</v>
      </c>
      <c r="R1658" s="24">
        <v>23.672000000000001</v>
      </c>
      <c r="S1658" s="21">
        <f t="shared" si="77"/>
        <v>-4.931726907630514E-2</v>
      </c>
    </row>
    <row r="1659" spans="2:19" ht="11.4" customHeight="1" x14ac:dyDescent="0.2">
      <c r="B1659" s="24"/>
      <c r="C1659" s="7">
        <v>44213</v>
      </c>
      <c r="D1659" s="18" t="s">
        <v>1741</v>
      </c>
      <c r="E1659" s="18" t="s">
        <v>1717</v>
      </c>
      <c r="F1659" s="17">
        <v>12</v>
      </c>
      <c r="G1659" s="18" t="s">
        <v>23</v>
      </c>
      <c r="H1659" s="17">
        <v>36.5</v>
      </c>
      <c r="I1659" s="8">
        <v>58.7</v>
      </c>
      <c r="J1659" s="21">
        <f t="shared" si="75"/>
        <v>0.60821917808219184</v>
      </c>
      <c r="K1659" s="1">
        <v>4</v>
      </c>
      <c r="L1659" s="24">
        <v>4.0999999999999996</v>
      </c>
      <c r="M1659" s="24">
        <v>54.591000000000008</v>
      </c>
      <c r="N1659" s="21">
        <f t="shared" si="76"/>
        <v>0.4956438356164386</v>
      </c>
      <c r="P1659" s="1">
        <v>10</v>
      </c>
      <c r="Q1659" s="24">
        <v>7.0439999999999969</v>
      </c>
      <c r="R1659" s="24">
        <v>51.656000000000006</v>
      </c>
      <c r="S1659" s="21">
        <f t="shared" si="77"/>
        <v>0.41523287671232895</v>
      </c>
    </row>
    <row r="1660" spans="2:19" ht="11.4" customHeight="1" x14ac:dyDescent="0.2">
      <c r="B1660" s="24"/>
      <c r="C1660" s="7">
        <v>44214</v>
      </c>
      <c r="D1660" s="18" t="s">
        <v>1742</v>
      </c>
      <c r="E1660" s="18" t="s">
        <v>1717</v>
      </c>
      <c r="F1660" s="17">
        <v>10</v>
      </c>
      <c r="G1660" s="18" t="s">
        <v>23</v>
      </c>
      <c r="H1660" s="17">
        <v>53</v>
      </c>
      <c r="I1660" s="8">
        <v>82.3</v>
      </c>
      <c r="J1660" s="21">
        <f t="shared" si="75"/>
        <v>0.55283018867924527</v>
      </c>
      <c r="K1660" s="1">
        <v>4</v>
      </c>
      <c r="L1660" s="24">
        <v>5.7</v>
      </c>
      <c r="M1660" s="24">
        <v>76.539000000000001</v>
      </c>
      <c r="N1660" s="21">
        <f t="shared" si="76"/>
        <v>0.44413207547169814</v>
      </c>
      <c r="P1660" s="1">
        <v>10</v>
      </c>
      <c r="Q1660" s="24">
        <v>9.8760000000000048</v>
      </c>
      <c r="R1660" s="24">
        <v>72.423999999999992</v>
      </c>
      <c r="S1660" s="21">
        <f t="shared" si="77"/>
        <v>0.36649056603773572</v>
      </c>
    </row>
    <row r="1661" spans="2:19" ht="11.4" customHeight="1" x14ac:dyDescent="0.2">
      <c r="B1661" s="24"/>
      <c r="C1661" s="7">
        <v>33801</v>
      </c>
      <c r="D1661" s="18" t="s">
        <v>1743</v>
      </c>
      <c r="E1661" s="18" t="s">
        <v>1717</v>
      </c>
      <c r="F1661" s="17">
        <v>40</v>
      </c>
      <c r="G1661" s="18" t="s">
        <v>23</v>
      </c>
      <c r="H1661" s="17">
        <v>31.7</v>
      </c>
      <c r="I1661" s="8">
        <v>34.5</v>
      </c>
      <c r="J1661" s="21">
        <f t="shared" si="75"/>
        <v>8.83280757097792E-2</v>
      </c>
      <c r="K1661" s="1">
        <v>4</v>
      </c>
      <c r="L1661" s="24">
        <v>2.4</v>
      </c>
      <c r="M1661" s="24">
        <v>32.085000000000001</v>
      </c>
      <c r="N1661" s="21">
        <f t="shared" si="76"/>
        <v>1.2145110410094686E-2</v>
      </c>
      <c r="P1661" s="1">
        <v>10</v>
      </c>
      <c r="Q1661" s="24">
        <v>4.1400000000000006</v>
      </c>
      <c r="R1661" s="24">
        <v>30.36</v>
      </c>
      <c r="S1661" s="21">
        <f t="shared" si="77"/>
        <v>-4.2271293375394321E-2</v>
      </c>
    </row>
    <row r="1662" spans="2:19" ht="11.4" customHeight="1" x14ac:dyDescent="0.2">
      <c r="B1662" s="24"/>
      <c r="C1662" s="7">
        <v>19360</v>
      </c>
      <c r="D1662" s="18" t="s">
        <v>1744</v>
      </c>
      <c r="E1662" s="18" t="s">
        <v>1717</v>
      </c>
      <c r="F1662" s="17">
        <v>40</v>
      </c>
      <c r="G1662" s="18" t="s">
        <v>23</v>
      </c>
      <c r="H1662" s="17">
        <v>22.39</v>
      </c>
      <c r="I1662" s="8">
        <v>35.299999999999997</v>
      </c>
      <c r="J1662" s="21">
        <f t="shared" si="75"/>
        <v>0.57659669495310395</v>
      </c>
      <c r="K1662" s="1">
        <v>4</v>
      </c>
      <c r="L1662" s="24">
        <v>2.4</v>
      </c>
      <c r="M1662" s="24">
        <v>32.829000000000001</v>
      </c>
      <c r="N1662" s="21">
        <f t="shared" si="76"/>
        <v>0.46623492630638674</v>
      </c>
      <c r="P1662" s="1">
        <v>10</v>
      </c>
      <c r="Q1662" s="24">
        <v>4.2360000000000007</v>
      </c>
      <c r="R1662" s="24">
        <v>31.063999999999997</v>
      </c>
      <c r="S1662" s="21">
        <f t="shared" si="77"/>
        <v>0.38740509155873137</v>
      </c>
    </row>
    <row r="1663" spans="2:19" ht="11.4" customHeight="1" x14ac:dyDescent="0.2">
      <c r="B1663" s="24"/>
      <c r="C1663" s="7">
        <v>38822</v>
      </c>
      <c r="D1663" s="18" t="s">
        <v>1745</v>
      </c>
      <c r="E1663" s="18" t="s">
        <v>1717</v>
      </c>
      <c r="F1663" s="17">
        <v>30</v>
      </c>
      <c r="G1663" s="18" t="s">
        <v>23</v>
      </c>
      <c r="H1663" s="17">
        <v>30.7</v>
      </c>
      <c r="I1663" s="8">
        <v>32.9</v>
      </c>
      <c r="J1663" s="21">
        <f t="shared" si="75"/>
        <v>7.1661237785016263E-2</v>
      </c>
      <c r="K1663" s="1">
        <v>4</v>
      </c>
      <c r="L1663" s="24">
        <v>2.2999999999999998</v>
      </c>
      <c r="M1663" s="24">
        <v>30.597000000000001</v>
      </c>
      <c r="N1663" s="21">
        <f t="shared" si="76"/>
        <v>-3.3550488599347877E-3</v>
      </c>
      <c r="P1663" s="1">
        <v>10</v>
      </c>
      <c r="Q1663" s="24">
        <v>3.9480000000000004</v>
      </c>
      <c r="R1663" s="24">
        <v>28.951999999999998</v>
      </c>
      <c r="S1663" s="21">
        <f t="shared" si="77"/>
        <v>-5.6938110749185707E-2</v>
      </c>
    </row>
    <row r="1664" spans="2:19" ht="11.4" customHeight="1" x14ac:dyDescent="0.2">
      <c r="B1664" s="24"/>
      <c r="C1664" s="7">
        <v>29775</v>
      </c>
      <c r="D1664" s="18" t="s">
        <v>1746</v>
      </c>
      <c r="E1664" s="18" t="s">
        <v>1717</v>
      </c>
      <c r="F1664" s="17">
        <v>12</v>
      </c>
      <c r="G1664" s="18" t="s">
        <v>23</v>
      </c>
      <c r="H1664" s="17">
        <v>31.5</v>
      </c>
      <c r="I1664" s="8">
        <v>34.9</v>
      </c>
      <c r="J1664" s="21">
        <f t="shared" si="75"/>
        <v>0.10793650793650789</v>
      </c>
      <c r="K1664" s="1">
        <v>4</v>
      </c>
      <c r="L1664" s="24">
        <v>2.4</v>
      </c>
      <c r="M1664" s="24">
        <v>32.457000000000001</v>
      </c>
      <c r="N1664" s="21">
        <f t="shared" si="76"/>
        <v>3.0380952380952404E-2</v>
      </c>
      <c r="P1664" s="1">
        <v>10</v>
      </c>
      <c r="Q1664" s="24">
        <v>4.1879999999999988</v>
      </c>
      <c r="R1664" s="24">
        <v>30.712</v>
      </c>
      <c r="S1664" s="21">
        <f t="shared" si="77"/>
        <v>-2.5015873015873023E-2</v>
      </c>
    </row>
    <row r="1665" spans="2:19" ht="11.4" customHeight="1" x14ac:dyDescent="0.2">
      <c r="B1665" s="24"/>
      <c r="C1665" s="7">
        <v>1895</v>
      </c>
      <c r="D1665" s="18" t="s">
        <v>1747</v>
      </c>
      <c r="E1665" s="18" t="s">
        <v>1748</v>
      </c>
      <c r="F1665" s="17">
        <v>50</v>
      </c>
      <c r="G1665" s="18" t="s">
        <v>23</v>
      </c>
      <c r="H1665" s="17">
        <v>36.5</v>
      </c>
      <c r="I1665" s="8">
        <v>42.9</v>
      </c>
      <c r="J1665" s="21">
        <f t="shared" si="75"/>
        <v>0.17534246575342463</v>
      </c>
      <c r="K1665" s="1">
        <v>4</v>
      </c>
      <c r="L1665" s="24">
        <v>3</v>
      </c>
      <c r="M1665" s="24">
        <v>39.896999999999998</v>
      </c>
      <c r="N1665" s="21">
        <f t="shared" si="76"/>
        <v>9.3068493150684883E-2</v>
      </c>
      <c r="P1665" s="1">
        <v>10</v>
      </c>
      <c r="Q1665" s="24">
        <v>5.1479999999999961</v>
      </c>
      <c r="R1665" s="24">
        <v>37.752000000000002</v>
      </c>
      <c r="S1665" s="21">
        <f t="shared" si="77"/>
        <v>3.4301369863013763E-2</v>
      </c>
    </row>
    <row r="1666" spans="2:19" ht="11.4" customHeight="1" x14ac:dyDescent="0.2">
      <c r="B1666" s="24"/>
      <c r="C1666" s="7">
        <v>43061</v>
      </c>
      <c r="D1666" s="18" t="s">
        <v>1749</v>
      </c>
      <c r="E1666" s="18" t="s">
        <v>1748</v>
      </c>
      <c r="F1666" s="17">
        <v>18</v>
      </c>
      <c r="G1666" s="18" t="s">
        <v>23</v>
      </c>
      <c r="H1666" s="17">
        <v>38.159999999999997</v>
      </c>
      <c r="I1666" s="8">
        <v>71.599999999999994</v>
      </c>
      <c r="J1666" s="21">
        <f t="shared" si="75"/>
        <v>0.8763102725366877</v>
      </c>
      <c r="K1666" s="1">
        <v>3</v>
      </c>
      <c r="L1666" s="24">
        <v>5</v>
      </c>
      <c r="M1666" s="24">
        <v>66.587999999999994</v>
      </c>
      <c r="N1666" s="21">
        <f t="shared" si="76"/>
        <v>0.7449685534591195</v>
      </c>
      <c r="P1666" s="1">
        <v>9</v>
      </c>
      <c r="Q1666" s="24">
        <v>8.5919999999999987</v>
      </c>
      <c r="R1666" s="24">
        <v>63.007999999999996</v>
      </c>
      <c r="S1666" s="21">
        <f t="shared" si="77"/>
        <v>0.65115303983228512</v>
      </c>
    </row>
    <row r="1667" spans="2:19" ht="11.4" customHeight="1" x14ac:dyDescent="0.2">
      <c r="B1667" s="24"/>
      <c r="C1667" s="7">
        <v>2978</v>
      </c>
      <c r="D1667" s="18" t="s">
        <v>1750</v>
      </c>
      <c r="E1667" s="18" t="s">
        <v>1748</v>
      </c>
      <c r="F1667" s="17">
        <v>30</v>
      </c>
      <c r="G1667" s="18" t="s">
        <v>23</v>
      </c>
      <c r="H1667" s="17">
        <v>57.5</v>
      </c>
      <c r="I1667" s="8">
        <v>62</v>
      </c>
      <c r="J1667" s="21">
        <f t="shared" ref="J1667:J1730" si="78">(I1667-H1667)/H1667</f>
        <v>7.8260869565217397E-2</v>
      </c>
      <c r="K1667" s="1">
        <v>3</v>
      </c>
      <c r="L1667" s="24">
        <v>4.3</v>
      </c>
      <c r="M1667" s="24">
        <v>57.660000000000004</v>
      </c>
      <c r="N1667" s="21">
        <f t="shared" ref="N1667:N1730" si="79">(M1667-H1667)/H1667</f>
        <v>2.7826086956522383E-3</v>
      </c>
      <c r="P1667" s="1">
        <v>9</v>
      </c>
      <c r="Q1667" s="24">
        <v>7.4399999999999977</v>
      </c>
      <c r="R1667" s="24">
        <v>54.56</v>
      </c>
      <c r="S1667" s="21">
        <f t="shared" ref="S1667:S1730" si="80">(R1667-H1667)/H1667</f>
        <v>-5.1130434782608654E-2</v>
      </c>
    </row>
    <row r="1668" spans="2:19" ht="11.4" customHeight="1" x14ac:dyDescent="0.2">
      <c r="B1668" s="24"/>
      <c r="C1668" s="7">
        <v>21820</v>
      </c>
      <c r="D1668" s="18" t="s">
        <v>1751</v>
      </c>
      <c r="E1668" s="18" t="s">
        <v>1748</v>
      </c>
      <c r="F1668" s="17">
        <v>50</v>
      </c>
      <c r="G1668" s="18" t="s">
        <v>23</v>
      </c>
      <c r="H1668" s="17">
        <v>24</v>
      </c>
      <c r="I1668" s="8">
        <v>28.5</v>
      </c>
      <c r="J1668" s="21">
        <f t="shared" si="78"/>
        <v>0.1875</v>
      </c>
      <c r="K1668" s="1">
        <v>3</v>
      </c>
      <c r="L1668" s="24">
        <v>1.9</v>
      </c>
      <c r="M1668" s="24">
        <v>26.505000000000003</v>
      </c>
      <c r="N1668" s="21">
        <f t="shared" si="79"/>
        <v>0.10437500000000011</v>
      </c>
      <c r="P1668" s="1">
        <v>9</v>
      </c>
      <c r="Q1668" s="24">
        <v>3.4199999999999982</v>
      </c>
      <c r="R1668" s="24">
        <v>25.080000000000002</v>
      </c>
      <c r="S1668" s="21">
        <f t="shared" si="80"/>
        <v>4.5000000000000075E-2</v>
      </c>
    </row>
    <row r="1669" spans="2:19" ht="11.4" customHeight="1" x14ac:dyDescent="0.2">
      <c r="B1669" s="24"/>
      <c r="C1669" s="7">
        <v>21513</v>
      </c>
      <c r="D1669" s="18" t="s">
        <v>1752</v>
      </c>
      <c r="E1669" s="18" t="s">
        <v>1748</v>
      </c>
      <c r="F1669" s="17">
        <v>30</v>
      </c>
      <c r="G1669" s="18" t="s">
        <v>23</v>
      </c>
      <c r="H1669" s="17">
        <v>44.4</v>
      </c>
      <c r="I1669" s="8">
        <v>54.9</v>
      </c>
      <c r="J1669" s="21">
        <f t="shared" si="78"/>
        <v>0.23648648648648649</v>
      </c>
      <c r="K1669" s="1">
        <v>3</v>
      </c>
      <c r="L1669" s="24">
        <v>3.8</v>
      </c>
      <c r="M1669" s="24">
        <v>51.057000000000002</v>
      </c>
      <c r="N1669" s="21">
        <f t="shared" si="79"/>
        <v>0.14993243243243251</v>
      </c>
      <c r="P1669" s="1">
        <v>9</v>
      </c>
      <c r="Q1669" s="24">
        <v>6.588000000000001</v>
      </c>
      <c r="R1669" s="24">
        <v>48.311999999999998</v>
      </c>
      <c r="S1669" s="21">
        <f t="shared" si="80"/>
        <v>8.8108108108108082E-2</v>
      </c>
    </row>
    <row r="1670" spans="2:19" ht="11.4" customHeight="1" x14ac:dyDescent="0.2">
      <c r="B1670" s="24"/>
      <c r="C1670" s="7">
        <v>24697</v>
      </c>
      <c r="D1670" s="18" t="s">
        <v>1753</v>
      </c>
      <c r="E1670" s="18" t="s">
        <v>1748</v>
      </c>
      <c r="F1670" s="17">
        <v>16</v>
      </c>
      <c r="G1670" s="18" t="s">
        <v>23</v>
      </c>
      <c r="H1670" s="17">
        <v>60.84</v>
      </c>
      <c r="I1670" s="8">
        <v>86.7</v>
      </c>
      <c r="J1670" s="21">
        <f t="shared" si="78"/>
        <v>0.42504930966469423</v>
      </c>
      <c r="K1670" s="1">
        <v>3</v>
      </c>
      <c r="L1670" s="24">
        <v>6</v>
      </c>
      <c r="M1670" s="24">
        <v>80.631</v>
      </c>
      <c r="N1670" s="21">
        <f t="shared" si="79"/>
        <v>0.32529585798816563</v>
      </c>
      <c r="P1670" s="1">
        <v>9</v>
      </c>
      <c r="Q1670" s="24">
        <v>10.403999999999996</v>
      </c>
      <c r="R1670" s="24">
        <v>76.296000000000006</v>
      </c>
      <c r="S1670" s="21">
        <f t="shared" si="80"/>
        <v>0.25404339250493102</v>
      </c>
    </row>
    <row r="1671" spans="2:19" ht="11.4" customHeight="1" x14ac:dyDescent="0.2">
      <c r="B1671" s="24"/>
      <c r="C1671" s="7">
        <v>10387</v>
      </c>
      <c r="D1671" s="18" t="s">
        <v>1754</v>
      </c>
      <c r="E1671" s="18" t="s">
        <v>1748</v>
      </c>
      <c r="F1671" s="17">
        <v>40</v>
      </c>
      <c r="G1671" s="18" t="s">
        <v>23</v>
      </c>
      <c r="H1671" s="17">
        <v>22.9</v>
      </c>
      <c r="I1671" s="8">
        <v>29.9</v>
      </c>
      <c r="J1671" s="21">
        <f t="shared" si="78"/>
        <v>0.30567685589519655</v>
      </c>
      <c r="K1671" s="1">
        <v>3</v>
      </c>
      <c r="L1671" s="24">
        <v>2</v>
      </c>
      <c r="M1671" s="24">
        <v>27.806999999999999</v>
      </c>
      <c r="N1671" s="21">
        <f t="shared" si="79"/>
        <v>0.21427947598253277</v>
      </c>
      <c r="P1671" s="1">
        <v>9</v>
      </c>
      <c r="Q1671" s="24">
        <v>3.588000000000001</v>
      </c>
      <c r="R1671" s="24">
        <v>26.311999999999998</v>
      </c>
      <c r="S1671" s="21">
        <f t="shared" si="80"/>
        <v>0.1489956331877729</v>
      </c>
    </row>
    <row r="1672" spans="2:19" ht="11.4" customHeight="1" x14ac:dyDescent="0.2">
      <c r="B1672" s="24"/>
      <c r="C1672" s="7">
        <v>21806</v>
      </c>
      <c r="D1672" s="18" t="s">
        <v>1755</v>
      </c>
      <c r="E1672" s="18" t="s">
        <v>1748</v>
      </c>
      <c r="F1672" s="18"/>
      <c r="G1672" s="18" t="s">
        <v>23</v>
      </c>
      <c r="H1672" s="17">
        <v>39.479999999999997</v>
      </c>
      <c r="I1672" s="8">
        <v>54.5</v>
      </c>
      <c r="J1672" s="21">
        <f t="shared" si="78"/>
        <v>0.38044579533941247</v>
      </c>
      <c r="K1672" s="1">
        <v>3</v>
      </c>
      <c r="L1672" s="24">
        <v>3.8</v>
      </c>
      <c r="M1672" s="24">
        <v>50.685000000000002</v>
      </c>
      <c r="N1672" s="21">
        <f t="shared" si="79"/>
        <v>0.28381458966565365</v>
      </c>
      <c r="P1672" s="1">
        <v>9</v>
      </c>
      <c r="Q1672" s="24">
        <v>6.5399999999999991</v>
      </c>
      <c r="R1672" s="24">
        <v>47.96</v>
      </c>
      <c r="S1672" s="21">
        <f t="shared" si="80"/>
        <v>0.21479229989868301</v>
      </c>
    </row>
    <row r="1673" spans="2:19" ht="11.4" customHeight="1" x14ac:dyDescent="0.2">
      <c r="B1673" s="24"/>
      <c r="C1673" s="7">
        <v>14205</v>
      </c>
      <c r="D1673" s="18" t="s">
        <v>1756</v>
      </c>
      <c r="E1673" s="18" t="s">
        <v>1748</v>
      </c>
      <c r="F1673" s="17">
        <v>30</v>
      </c>
      <c r="G1673" s="18" t="s">
        <v>23</v>
      </c>
      <c r="H1673" s="17">
        <v>39.24</v>
      </c>
      <c r="I1673" s="8">
        <v>60.9</v>
      </c>
      <c r="J1673" s="21">
        <f t="shared" si="78"/>
        <v>0.55198776758409773</v>
      </c>
      <c r="K1673" s="1">
        <v>3</v>
      </c>
      <c r="L1673" s="24">
        <v>4.2</v>
      </c>
      <c r="M1673" s="24">
        <v>56.637</v>
      </c>
      <c r="N1673" s="21">
        <f t="shared" si="79"/>
        <v>0.44334862385321094</v>
      </c>
      <c r="P1673" s="1">
        <v>9</v>
      </c>
      <c r="Q1673" s="24">
        <v>7.3079999999999998</v>
      </c>
      <c r="R1673" s="24">
        <v>53.591999999999999</v>
      </c>
      <c r="S1673" s="21">
        <f t="shared" si="80"/>
        <v>0.36574923547400601</v>
      </c>
    </row>
    <row r="1674" spans="2:19" ht="11.4" customHeight="1" x14ac:dyDescent="0.2">
      <c r="B1674" s="24"/>
      <c r="C1674" s="7">
        <v>21156</v>
      </c>
      <c r="D1674" s="18" t="s">
        <v>1757</v>
      </c>
      <c r="E1674" s="18" t="s">
        <v>1748</v>
      </c>
      <c r="F1674" s="17">
        <v>20</v>
      </c>
      <c r="G1674" s="18" t="s">
        <v>23</v>
      </c>
      <c r="H1674" s="17">
        <v>36.299999999999997</v>
      </c>
      <c r="I1674" s="8">
        <v>56.3</v>
      </c>
      <c r="J1674" s="21">
        <f t="shared" si="78"/>
        <v>0.55096418732782371</v>
      </c>
      <c r="K1674" s="1">
        <v>3</v>
      </c>
      <c r="L1674" s="24">
        <v>3.9</v>
      </c>
      <c r="M1674" s="24">
        <v>52.359000000000002</v>
      </c>
      <c r="N1674" s="21">
        <f t="shared" si="79"/>
        <v>0.44239669421487621</v>
      </c>
      <c r="P1674" s="1">
        <v>9</v>
      </c>
      <c r="Q1674" s="24">
        <v>6.7560000000000002</v>
      </c>
      <c r="R1674" s="24">
        <v>49.543999999999997</v>
      </c>
      <c r="S1674" s="21">
        <f t="shared" si="80"/>
        <v>0.36484848484848487</v>
      </c>
    </row>
    <row r="1675" spans="2:19" ht="11.4" customHeight="1" x14ac:dyDescent="0.2">
      <c r="B1675" s="24"/>
      <c r="C1675" s="7">
        <v>34517</v>
      </c>
      <c r="D1675" s="18" t="s">
        <v>1758</v>
      </c>
      <c r="E1675" s="18" t="s">
        <v>1748</v>
      </c>
      <c r="F1675" s="17">
        <v>24</v>
      </c>
      <c r="G1675" s="18" t="s">
        <v>23</v>
      </c>
      <c r="H1675" s="17">
        <v>42</v>
      </c>
      <c r="I1675" s="8">
        <v>48.3</v>
      </c>
      <c r="J1675" s="21">
        <f t="shared" si="78"/>
        <v>0.14999999999999994</v>
      </c>
      <c r="K1675" s="1">
        <v>3</v>
      </c>
      <c r="L1675" s="24">
        <v>3.3</v>
      </c>
      <c r="M1675" s="24">
        <v>44.918999999999997</v>
      </c>
      <c r="N1675" s="21">
        <f t="shared" si="79"/>
        <v>6.9499999999999923E-2</v>
      </c>
      <c r="P1675" s="1">
        <v>9</v>
      </c>
      <c r="Q1675" s="24">
        <v>5.7959999999999994</v>
      </c>
      <c r="R1675" s="24">
        <v>42.503999999999998</v>
      </c>
      <c r="S1675" s="21">
        <f t="shared" si="80"/>
        <v>1.1999999999999946E-2</v>
      </c>
    </row>
    <row r="1676" spans="2:19" ht="11.4" customHeight="1" x14ac:dyDescent="0.2">
      <c r="B1676" s="24"/>
      <c r="C1676" s="7">
        <v>42278</v>
      </c>
      <c r="D1676" s="18" t="s">
        <v>1759</v>
      </c>
      <c r="E1676" s="18" t="s">
        <v>1748</v>
      </c>
      <c r="F1676" s="17">
        <v>20</v>
      </c>
      <c r="G1676" s="18" t="s">
        <v>23</v>
      </c>
      <c r="H1676" s="17">
        <v>40.68</v>
      </c>
      <c r="I1676" s="8">
        <v>64.900000000000006</v>
      </c>
      <c r="J1676" s="21">
        <f t="shared" si="78"/>
        <v>0.59537856440511328</v>
      </c>
      <c r="K1676" s="1">
        <v>3</v>
      </c>
      <c r="L1676" s="24">
        <v>4.5</v>
      </c>
      <c r="M1676" s="24">
        <v>60.357000000000006</v>
      </c>
      <c r="N1676" s="21">
        <f t="shared" si="79"/>
        <v>0.48370206489675532</v>
      </c>
      <c r="P1676" s="1">
        <v>9</v>
      </c>
      <c r="Q1676" s="24">
        <v>7.7880000000000038</v>
      </c>
      <c r="R1676" s="24">
        <v>57.112000000000002</v>
      </c>
      <c r="S1676" s="21">
        <f t="shared" si="80"/>
        <v>0.40393313667649955</v>
      </c>
    </row>
    <row r="1677" spans="2:19" ht="11.4" customHeight="1" x14ac:dyDescent="0.2">
      <c r="B1677" s="24"/>
      <c r="C1677" s="7">
        <v>34516</v>
      </c>
      <c r="D1677" s="18" t="s">
        <v>1760</v>
      </c>
      <c r="E1677" s="18" t="s">
        <v>1748</v>
      </c>
      <c r="F1677" s="17">
        <v>20</v>
      </c>
      <c r="G1677" s="18" t="s">
        <v>23</v>
      </c>
      <c r="H1677" s="17">
        <v>33.9</v>
      </c>
      <c r="I1677" s="8">
        <v>37.9</v>
      </c>
      <c r="J1677" s="21">
        <f t="shared" si="78"/>
        <v>0.11799410029498525</v>
      </c>
      <c r="K1677" s="1">
        <v>3</v>
      </c>
      <c r="L1677" s="24">
        <v>2.6</v>
      </c>
      <c r="M1677" s="24">
        <v>35.247</v>
      </c>
      <c r="N1677" s="21">
        <f t="shared" si="79"/>
        <v>3.9734513274336324E-2</v>
      </c>
      <c r="P1677" s="1">
        <v>9</v>
      </c>
      <c r="Q1677" s="24">
        <v>4.5480000000000018</v>
      </c>
      <c r="R1677" s="24">
        <v>33.351999999999997</v>
      </c>
      <c r="S1677" s="21">
        <f t="shared" si="80"/>
        <v>-1.6165191740413035E-2</v>
      </c>
    </row>
    <row r="1678" spans="2:19" ht="11.4" customHeight="1" x14ac:dyDescent="0.2">
      <c r="B1678" s="24"/>
      <c r="C1678" s="7">
        <v>24555</v>
      </c>
      <c r="D1678" s="18" t="s">
        <v>1761</v>
      </c>
      <c r="E1678" s="18" t="s">
        <v>1748</v>
      </c>
      <c r="F1678" s="17">
        <v>25</v>
      </c>
      <c r="G1678" s="18" t="s">
        <v>23</v>
      </c>
      <c r="H1678" s="17">
        <v>38.5</v>
      </c>
      <c r="I1678" s="8">
        <v>42.6</v>
      </c>
      <c r="J1678" s="21">
        <f t="shared" si="78"/>
        <v>0.10649350649350653</v>
      </c>
      <c r="K1678" s="1">
        <v>3</v>
      </c>
      <c r="L1678" s="24">
        <v>2.9</v>
      </c>
      <c r="M1678" s="24">
        <v>39.618000000000002</v>
      </c>
      <c r="N1678" s="21">
        <f t="shared" si="79"/>
        <v>2.9038961038961093E-2</v>
      </c>
      <c r="P1678" s="1">
        <v>9</v>
      </c>
      <c r="Q1678" s="24">
        <v>5.1120000000000019</v>
      </c>
      <c r="R1678" s="24">
        <v>37.488</v>
      </c>
      <c r="S1678" s="21">
        <f t="shared" si="80"/>
        <v>-2.6285714285714298E-2</v>
      </c>
    </row>
    <row r="1679" spans="2:19" ht="11.4" customHeight="1" x14ac:dyDescent="0.2">
      <c r="B1679" s="24"/>
      <c r="C1679" s="7">
        <v>27821</v>
      </c>
      <c r="D1679" s="18" t="s">
        <v>1762</v>
      </c>
      <c r="E1679" s="18" t="s">
        <v>1748</v>
      </c>
      <c r="F1679" s="17">
        <v>8</v>
      </c>
      <c r="G1679" s="18" t="s">
        <v>23</v>
      </c>
      <c r="H1679" s="17">
        <v>67.599999999999994</v>
      </c>
      <c r="I1679" s="8">
        <v>109.5</v>
      </c>
      <c r="J1679" s="21">
        <f t="shared" si="78"/>
        <v>0.6198224852071007</v>
      </c>
      <c r="K1679" s="1">
        <v>3</v>
      </c>
      <c r="L1679" s="24">
        <v>7.6</v>
      </c>
      <c r="M1679" s="24">
        <v>101.83500000000001</v>
      </c>
      <c r="N1679" s="21">
        <f t="shared" si="79"/>
        <v>0.50643491124260376</v>
      </c>
      <c r="P1679" s="1">
        <v>9</v>
      </c>
      <c r="Q1679" s="24">
        <v>13.14</v>
      </c>
      <c r="R1679" s="24">
        <v>96.36</v>
      </c>
      <c r="S1679" s="21">
        <f t="shared" si="80"/>
        <v>0.42544378698224861</v>
      </c>
    </row>
    <row r="1680" spans="2:19" ht="11.4" customHeight="1" x14ac:dyDescent="0.2">
      <c r="B1680" s="24"/>
      <c r="C1680" s="7">
        <v>2982</v>
      </c>
      <c r="D1680" s="18" t="s">
        <v>1763</v>
      </c>
      <c r="E1680" s="18" t="s">
        <v>1748</v>
      </c>
      <c r="F1680" s="17">
        <v>30</v>
      </c>
      <c r="G1680" s="18" t="s">
        <v>23</v>
      </c>
      <c r="H1680" s="17">
        <v>22.5</v>
      </c>
      <c r="I1680" s="8">
        <v>30.3</v>
      </c>
      <c r="J1680" s="21">
        <f t="shared" si="78"/>
        <v>0.34666666666666668</v>
      </c>
      <c r="K1680" s="1">
        <v>3</v>
      </c>
      <c r="L1680" s="24">
        <v>2.1</v>
      </c>
      <c r="M1680" s="24">
        <v>28.179000000000002</v>
      </c>
      <c r="N1680" s="21">
        <f t="shared" si="79"/>
        <v>0.25240000000000007</v>
      </c>
      <c r="P1680" s="1">
        <v>9</v>
      </c>
      <c r="Q1680" s="24">
        <v>3.6359999999999992</v>
      </c>
      <c r="R1680" s="24">
        <v>26.664000000000001</v>
      </c>
      <c r="S1680" s="21">
        <f t="shared" si="80"/>
        <v>0.18506666666666674</v>
      </c>
    </row>
    <row r="1681" spans="2:19" ht="11.4" customHeight="1" x14ac:dyDescent="0.2">
      <c r="B1681" s="24"/>
      <c r="C1681" s="7">
        <v>41532</v>
      </c>
      <c r="D1681" s="18" t="s">
        <v>1764</v>
      </c>
      <c r="E1681" s="18" t="s">
        <v>1748</v>
      </c>
      <c r="F1681" s="17">
        <v>20</v>
      </c>
      <c r="G1681" s="18" t="s">
        <v>23</v>
      </c>
      <c r="H1681" s="17">
        <v>34.5</v>
      </c>
      <c r="I1681" s="8">
        <v>55.8</v>
      </c>
      <c r="J1681" s="21">
        <f t="shared" si="78"/>
        <v>0.61739130434782596</v>
      </c>
      <c r="K1681" s="1">
        <v>3</v>
      </c>
      <c r="L1681" s="24">
        <v>3.9</v>
      </c>
      <c r="M1681" s="24">
        <v>51.893999999999998</v>
      </c>
      <c r="N1681" s="21">
        <f t="shared" si="79"/>
        <v>0.50417391304347825</v>
      </c>
      <c r="P1681" s="1">
        <v>9</v>
      </c>
      <c r="Q1681" s="24">
        <v>6.695999999999998</v>
      </c>
      <c r="R1681" s="24">
        <v>49.103999999999999</v>
      </c>
      <c r="S1681" s="21">
        <f t="shared" si="80"/>
        <v>0.42330434782608695</v>
      </c>
    </row>
    <row r="1682" spans="2:19" ht="11.4" customHeight="1" x14ac:dyDescent="0.2">
      <c r="B1682" s="24"/>
      <c r="C1682" s="7">
        <v>22088</v>
      </c>
      <c r="D1682" s="18" t="s">
        <v>1765</v>
      </c>
      <c r="E1682" s="18" t="s">
        <v>1748</v>
      </c>
      <c r="F1682" s="17">
        <v>20</v>
      </c>
      <c r="G1682" s="18" t="s">
        <v>23</v>
      </c>
      <c r="H1682" s="17">
        <v>54</v>
      </c>
      <c r="I1682" s="8">
        <v>67.900000000000006</v>
      </c>
      <c r="J1682" s="21">
        <f t="shared" si="78"/>
        <v>0.25740740740740753</v>
      </c>
      <c r="K1682" s="1">
        <v>3</v>
      </c>
      <c r="L1682" s="24">
        <v>4.7</v>
      </c>
      <c r="M1682" s="24">
        <v>63.147000000000006</v>
      </c>
      <c r="N1682" s="21">
        <f t="shared" si="79"/>
        <v>0.16938888888888901</v>
      </c>
      <c r="P1682" s="1">
        <v>9</v>
      </c>
      <c r="Q1682" s="24">
        <v>8.1480000000000032</v>
      </c>
      <c r="R1682" s="24">
        <v>59.752000000000002</v>
      </c>
      <c r="S1682" s="21">
        <f t="shared" si="80"/>
        <v>0.10651851851851857</v>
      </c>
    </row>
    <row r="1683" spans="2:19" ht="11.4" customHeight="1" x14ac:dyDescent="0.2">
      <c r="B1683" s="24"/>
      <c r="C1683" s="7">
        <v>31920</v>
      </c>
      <c r="D1683" s="18" t="s">
        <v>1766</v>
      </c>
      <c r="E1683" s="18" t="s">
        <v>1748</v>
      </c>
      <c r="F1683" s="17">
        <v>38</v>
      </c>
      <c r="G1683" s="18" t="s">
        <v>23</v>
      </c>
      <c r="H1683" s="17">
        <v>46.5</v>
      </c>
      <c r="I1683" s="8">
        <v>48.8</v>
      </c>
      <c r="J1683" s="21">
        <f t="shared" si="78"/>
        <v>4.9462365591397786E-2</v>
      </c>
      <c r="K1683" s="1">
        <v>3</v>
      </c>
      <c r="L1683" s="24">
        <v>3.4</v>
      </c>
      <c r="M1683" s="24">
        <v>45.384</v>
      </c>
      <c r="N1683" s="21">
        <f t="shared" si="79"/>
        <v>-2.3999999999999994E-2</v>
      </c>
      <c r="P1683" s="1">
        <v>9</v>
      </c>
      <c r="Q1683" s="24">
        <v>5.8560000000000016</v>
      </c>
      <c r="R1683" s="24">
        <v>42.943999999999996</v>
      </c>
      <c r="S1683" s="21">
        <f t="shared" si="80"/>
        <v>-7.6473118279569985E-2</v>
      </c>
    </row>
    <row r="1684" spans="2:19" ht="11.4" customHeight="1" x14ac:dyDescent="0.2">
      <c r="B1684" s="24"/>
      <c r="C1684" s="7">
        <v>33662</v>
      </c>
      <c r="D1684" s="18" t="s">
        <v>1767</v>
      </c>
      <c r="E1684" s="18" t="s">
        <v>1748</v>
      </c>
      <c r="F1684" s="17">
        <v>12</v>
      </c>
      <c r="G1684" s="18" t="s">
        <v>23</v>
      </c>
      <c r="H1684" s="17">
        <v>48.48</v>
      </c>
      <c r="I1684" s="8">
        <v>75.5</v>
      </c>
      <c r="J1684" s="21">
        <f t="shared" si="78"/>
        <v>0.55734323432343247</v>
      </c>
      <c r="K1684" s="1">
        <v>3</v>
      </c>
      <c r="L1684" s="24">
        <v>5.2</v>
      </c>
      <c r="M1684" s="24">
        <v>70.215000000000003</v>
      </c>
      <c r="N1684" s="21">
        <f t="shared" si="79"/>
        <v>0.44832920792079223</v>
      </c>
      <c r="P1684" s="1">
        <v>9</v>
      </c>
      <c r="Q1684" s="24">
        <v>9.0600000000000023</v>
      </c>
      <c r="R1684" s="24">
        <v>66.44</v>
      </c>
      <c r="S1684" s="21">
        <f t="shared" si="80"/>
        <v>0.37046204620462048</v>
      </c>
    </row>
    <row r="1685" spans="2:19" ht="11.4" customHeight="1" x14ac:dyDescent="0.2">
      <c r="B1685" s="24"/>
      <c r="C1685" s="7">
        <v>42381</v>
      </c>
      <c r="D1685" s="18" t="s">
        <v>1768</v>
      </c>
      <c r="E1685" s="18" t="s">
        <v>1748</v>
      </c>
      <c r="F1685" s="17">
        <v>12</v>
      </c>
      <c r="G1685" s="18" t="s">
        <v>23</v>
      </c>
      <c r="H1685" s="17">
        <v>59.04</v>
      </c>
      <c r="I1685" s="8">
        <v>82.5</v>
      </c>
      <c r="J1685" s="21">
        <f t="shared" si="78"/>
        <v>0.39735772357723581</v>
      </c>
      <c r="K1685" s="1">
        <v>3</v>
      </c>
      <c r="L1685" s="24">
        <v>5.7</v>
      </c>
      <c r="M1685" s="24">
        <v>76.725000000000009</v>
      </c>
      <c r="N1685" s="21">
        <f t="shared" si="79"/>
        <v>0.29954268292682945</v>
      </c>
      <c r="P1685" s="1">
        <v>9</v>
      </c>
      <c r="Q1685" s="24">
        <v>9.9000000000000057</v>
      </c>
      <c r="R1685" s="24">
        <v>72.599999999999994</v>
      </c>
      <c r="S1685" s="21">
        <f t="shared" si="80"/>
        <v>0.2296747967479674</v>
      </c>
    </row>
    <row r="1686" spans="2:19" ht="11.4" customHeight="1" x14ac:dyDescent="0.2">
      <c r="B1686" s="24"/>
      <c r="C1686" s="7">
        <v>43066</v>
      </c>
      <c r="D1686" s="18" t="s">
        <v>1769</v>
      </c>
      <c r="E1686" s="18" t="s">
        <v>1748</v>
      </c>
      <c r="F1686" s="17">
        <v>20</v>
      </c>
      <c r="G1686" s="18" t="s">
        <v>23</v>
      </c>
      <c r="H1686" s="17">
        <v>49.74</v>
      </c>
      <c r="I1686" s="8">
        <v>74.599999999999994</v>
      </c>
      <c r="J1686" s="21">
        <f t="shared" si="78"/>
        <v>0.49979895456373125</v>
      </c>
      <c r="K1686" s="1">
        <v>3</v>
      </c>
      <c r="L1686" s="24">
        <v>5.2</v>
      </c>
      <c r="M1686" s="24">
        <v>69.378</v>
      </c>
      <c r="N1686" s="21">
        <f t="shared" si="79"/>
        <v>0.39481302774427013</v>
      </c>
      <c r="P1686" s="1">
        <v>9</v>
      </c>
      <c r="Q1686" s="24">
        <v>8.9519999999999982</v>
      </c>
      <c r="R1686" s="24">
        <v>65.647999999999996</v>
      </c>
      <c r="S1686" s="21">
        <f t="shared" si="80"/>
        <v>0.31982308001608351</v>
      </c>
    </row>
    <row r="1687" spans="2:19" ht="11.4" customHeight="1" x14ac:dyDescent="0.2">
      <c r="B1687" s="24"/>
      <c r="C1687" s="7">
        <v>11995</v>
      </c>
      <c r="D1687" s="18" t="s">
        <v>1770</v>
      </c>
      <c r="E1687" s="18" t="s">
        <v>1748</v>
      </c>
      <c r="F1687" s="17">
        <v>25</v>
      </c>
      <c r="G1687" s="18" t="s">
        <v>23</v>
      </c>
      <c r="H1687" s="17">
        <v>24</v>
      </c>
      <c r="I1687" s="8">
        <v>26.3</v>
      </c>
      <c r="J1687" s="21">
        <f t="shared" si="78"/>
        <v>9.5833333333333368E-2</v>
      </c>
      <c r="K1687" s="1">
        <v>3</v>
      </c>
      <c r="L1687" s="24">
        <v>1.8</v>
      </c>
      <c r="M1687" s="24">
        <v>24.459000000000003</v>
      </c>
      <c r="N1687" s="21">
        <f t="shared" si="79"/>
        <v>1.9125000000000131E-2</v>
      </c>
      <c r="P1687" s="1">
        <v>9</v>
      </c>
      <c r="Q1687" s="24">
        <v>3.1559999999999988</v>
      </c>
      <c r="R1687" s="24">
        <v>23.144000000000002</v>
      </c>
      <c r="S1687" s="21">
        <f t="shared" si="80"/>
        <v>-3.566666666666659E-2</v>
      </c>
    </row>
    <row r="1688" spans="2:19" ht="11.4" customHeight="1" x14ac:dyDescent="0.2">
      <c r="B1688" s="24"/>
      <c r="C1688" s="7">
        <v>19778</v>
      </c>
      <c r="D1688" s="18" t="s">
        <v>1771</v>
      </c>
      <c r="E1688" s="18" t="s">
        <v>1748</v>
      </c>
      <c r="F1688" s="17">
        <v>18</v>
      </c>
      <c r="G1688" s="18" t="s">
        <v>23</v>
      </c>
      <c r="H1688" s="17">
        <v>55.38</v>
      </c>
      <c r="I1688" s="8">
        <v>83.1</v>
      </c>
      <c r="J1688" s="21">
        <f t="shared" si="78"/>
        <v>0.50054171180931728</v>
      </c>
      <c r="K1688" s="1">
        <v>3</v>
      </c>
      <c r="L1688" s="24">
        <v>5.8</v>
      </c>
      <c r="M1688" s="24">
        <v>77.283000000000001</v>
      </c>
      <c r="N1688" s="21">
        <f t="shared" si="79"/>
        <v>0.39550379198266516</v>
      </c>
      <c r="P1688" s="1">
        <v>9</v>
      </c>
      <c r="Q1688" s="24">
        <v>9.9719999999999942</v>
      </c>
      <c r="R1688" s="24">
        <v>73.128</v>
      </c>
      <c r="S1688" s="21">
        <f t="shared" si="80"/>
        <v>0.32047670639219927</v>
      </c>
    </row>
    <row r="1689" spans="2:19" ht="11.4" customHeight="1" x14ac:dyDescent="0.2">
      <c r="B1689" s="24"/>
      <c r="C1689" s="7">
        <v>12388</v>
      </c>
      <c r="D1689" s="18" t="s">
        <v>1772</v>
      </c>
      <c r="E1689" s="18" t="s">
        <v>1748</v>
      </c>
      <c r="F1689" s="17">
        <v>35</v>
      </c>
      <c r="G1689" s="18" t="s">
        <v>23</v>
      </c>
      <c r="H1689" s="17">
        <v>21.24</v>
      </c>
      <c r="I1689" s="8">
        <v>28.7</v>
      </c>
      <c r="J1689" s="21">
        <f t="shared" si="78"/>
        <v>0.35122410546139365</v>
      </c>
      <c r="K1689" s="1">
        <v>3</v>
      </c>
      <c r="L1689" s="24">
        <v>2</v>
      </c>
      <c r="M1689" s="24">
        <v>26.691000000000003</v>
      </c>
      <c r="N1689" s="21">
        <f t="shared" si="79"/>
        <v>0.25663841807909626</v>
      </c>
      <c r="P1689" s="1">
        <v>9</v>
      </c>
      <c r="Q1689" s="24">
        <v>3.4439999999999991</v>
      </c>
      <c r="R1689" s="24">
        <v>25.256</v>
      </c>
      <c r="S1689" s="21">
        <f t="shared" si="80"/>
        <v>0.18907721280602646</v>
      </c>
    </row>
    <row r="1690" spans="2:19" ht="11.4" customHeight="1" x14ac:dyDescent="0.2">
      <c r="B1690" s="24"/>
      <c r="C1690" s="7">
        <v>11259</v>
      </c>
      <c r="D1690" s="18" t="s">
        <v>1773</v>
      </c>
      <c r="E1690" s="18" t="s">
        <v>1748</v>
      </c>
      <c r="F1690" s="17">
        <v>32</v>
      </c>
      <c r="G1690" s="18" t="s">
        <v>23</v>
      </c>
      <c r="H1690" s="17">
        <v>42</v>
      </c>
      <c r="I1690" s="8">
        <v>54.3</v>
      </c>
      <c r="J1690" s="21">
        <f t="shared" si="78"/>
        <v>0.29285714285714282</v>
      </c>
      <c r="K1690" s="1">
        <v>3</v>
      </c>
      <c r="L1690" s="24">
        <v>3.8</v>
      </c>
      <c r="M1690" s="24">
        <v>50.499000000000002</v>
      </c>
      <c r="N1690" s="21">
        <f t="shared" si="79"/>
        <v>0.2023571428571429</v>
      </c>
      <c r="P1690" s="1">
        <v>9</v>
      </c>
      <c r="Q1690" s="24">
        <v>6.5159999999999982</v>
      </c>
      <c r="R1690" s="24">
        <v>47.783999999999999</v>
      </c>
      <c r="S1690" s="21">
        <f t="shared" si="80"/>
        <v>0.13771428571428568</v>
      </c>
    </row>
    <row r="1691" spans="2:19" ht="11.4" customHeight="1" x14ac:dyDescent="0.2">
      <c r="B1691" s="24"/>
      <c r="C1691" s="7">
        <v>43065</v>
      </c>
      <c r="D1691" s="18" t="s">
        <v>1774</v>
      </c>
      <c r="E1691" s="18" t="s">
        <v>1748</v>
      </c>
      <c r="F1691" s="17">
        <v>20</v>
      </c>
      <c r="G1691" s="18" t="s">
        <v>23</v>
      </c>
      <c r="H1691" s="17">
        <v>41.46</v>
      </c>
      <c r="I1691" s="8">
        <v>77.7</v>
      </c>
      <c r="J1691" s="21">
        <f t="shared" si="78"/>
        <v>0.87409551374819106</v>
      </c>
      <c r="K1691" s="1">
        <v>3</v>
      </c>
      <c r="L1691" s="24">
        <v>5.4</v>
      </c>
      <c r="M1691" s="24">
        <v>72.26100000000001</v>
      </c>
      <c r="N1691" s="21">
        <f t="shared" si="79"/>
        <v>0.7429088277858179</v>
      </c>
      <c r="P1691" s="1">
        <v>9</v>
      </c>
      <c r="Q1691" s="24">
        <v>9.3239999999999981</v>
      </c>
      <c r="R1691" s="24">
        <v>68.376000000000005</v>
      </c>
      <c r="S1691" s="21">
        <f t="shared" si="80"/>
        <v>0.64920405209840815</v>
      </c>
    </row>
    <row r="1692" spans="2:19" ht="11.4" customHeight="1" x14ac:dyDescent="0.2">
      <c r="B1692" s="24"/>
      <c r="C1692" s="7">
        <v>42775</v>
      </c>
      <c r="D1692" s="18" t="s">
        <v>1775</v>
      </c>
      <c r="E1692" s="18" t="s">
        <v>1748</v>
      </c>
      <c r="F1692" s="17">
        <v>30</v>
      </c>
      <c r="G1692" s="18" t="s">
        <v>23</v>
      </c>
      <c r="H1692" s="17">
        <v>32.340000000000003</v>
      </c>
      <c r="I1692" s="8">
        <v>49.9</v>
      </c>
      <c r="J1692" s="21">
        <f t="shared" si="78"/>
        <v>0.54298082869511421</v>
      </c>
      <c r="K1692" s="1">
        <v>3</v>
      </c>
      <c r="L1692" s="24">
        <v>3.4</v>
      </c>
      <c r="M1692" s="24">
        <v>46.407000000000004</v>
      </c>
      <c r="N1692" s="21">
        <f t="shared" si="79"/>
        <v>0.43497217068645638</v>
      </c>
      <c r="P1692" s="1">
        <v>9</v>
      </c>
      <c r="Q1692" s="24">
        <v>5.9879999999999995</v>
      </c>
      <c r="R1692" s="24">
        <v>43.911999999999999</v>
      </c>
      <c r="S1692" s="21">
        <f t="shared" si="80"/>
        <v>0.35782312925170051</v>
      </c>
    </row>
    <row r="1693" spans="2:19" ht="11.4" customHeight="1" x14ac:dyDescent="0.2">
      <c r="B1693" s="24"/>
      <c r="C1693" s="7">
        <v>28533</v>
      </c>
      <c r="D1693" s="18" t="s">
        <v>1776</v>
      </c>
      <c r="E1693" s="18" t="s">
        <v>1748</v>
      </c>
      <c r="F1693" s="17">
        <v>12</v>
      </c>
      <c r="G1693" s="18" t="s">
        <v>23</v>
      </c>
      <c r="H1693" s="17">
        <v>58.3</v>
      </c>
      <c r="I1693" s="8">
        <v>63.7</v>
      </c>
      <c r="J1693" s="21">
        <f t="shared" si="78"/>
        <v>9.2624356775300273E-2</v>
      </c>
      <c r="K1693" s="1">
        <v>3</v>
      </c>
      <c r="L1693" s="24">
        <v>4.4000000000000004</v>
      </c>
      <c r="M1693" s="24">
        <v>59.241000000000007</v>
      </c>
      <c r="N1693" s="21">
        <f t="shared" si="79"/>
        <v>1.6140651801029325E-2</v>
      </c>
      <c r="P1693" s="1">
        <v>9</v>
      </c>
      <c r="Q1693" s="24">
        <v>7.6439999999999984</v>
      </c>
      <c r="R1693" s="24">
        <v>56.056000000000004</v>
      </c>
      <c r="S1693" s="21">
        <f t="shared" si="80"/>
        <v>-3.8490566037735728E-2</v>
      </c>
    </row>
    <row r="1694" spans="2:19" ht="11.4" customHeight="1" x14ac:dyDescent="0.2">
      <c r="B1694" s="24"/>
      <c r="C1694" s="7">
        <v>42777</v>
      </c>
      <c r="D1694" s="18" t="s">
        <v>1777</v>
      </c>
      <c r="E1694" s="18" t="s">
        <v>1748</v>
      </c>
      <c r="F1694" s="17">
        <v>20</v>
      </c>
      <c r="G1694" s="18" t="s">
        <v>23</v>
      </c>
      <c r="H1694" s="17">
        <v>25.74</v>
      </c>
      <c r="I1694" s="8">
        <v>39.9</v>
      </c>
      <c r="J1694" s="21">
        <f t="shared" si="78"/>
        <v>0.55011655011655014</v>
      </c>
      <c r="K1694" s="1">
        <v>3</v>
      </c>
      <c r="L1694" s="24">
        <v>2.7</v>
      </c>
      <c r="M1694" s="24">
        <v>37.106999999999999</v>
      </c>
      <c r="N1694" s="21">
        <f t="shared" si="79"/>
        <v>0.44160839160839166</v>
      </c>
      <c r="P1694" s="1">
        <v>9</v>
      </c>
      <c r="Q1694" s="24">
        <v>4.7879999999999967</v>
      </c>
      <c r="R1694" s="24">
        <v>35.112000000000002</v>
      </c>
      <c r="S1694" s="21">
        <f t="shared" si="80"/>
        <v>0.36410256410256425</v>
      </c>
    </row>
    <row r="1695" spans="2:19" ht="11.4" customHeight="1" x14ac:dyDescent="0.2">
      <c r="B1695" s="24"/>
      <c r="C1695" s="7">
        <v>2975</v>
      </c>
      <c r="D1695" s="18" t="s">
        <v>1778</v>
      </c>
      <c r="E1695" s="18" t="s">
        <v>1748</v>
      </c>
      <c r="F1695" s="17">
        <v>30</v>
      </c>
      <c r="G1695" s="18" t="s">
        <v>23</v>
      </c>
      <c r="H1695" s="17">
        <v>31.5</v>
      </c>
      <c r="I1695" s="8">
        <v>38</v>
      </c>
      <c r="J1695" s="21">
        <f t="shared" si="78"/>
        <v>0.20634920634920634</v>
      </c>
      <c r="K1695" s="1">
        <v>3</v>
      </c>
      <c r="L1695" s="24">
        <v>2.6</v>
      </c>
      <c r="M1695" s="24">
        <v>35.340000000000003</v>
      </c>
      <c r="N1695" s="21">
        <f t="shared" si="79"/>
        <v>0.12190476190476202</v>
      </c>
      <c r="P1695" s="1">
        <v>9</v>
      </c>
      <c r="Q1695" s="24">
        <v>4.5600000000000023</v>
      </c>
      <c r="R1695" s="24">
        <v>33.44</v>
      </c>
      <c r="S1695" s="21">
        <f t="shared" si="80"/>
        <v>6.1587301587301517E-2</v>
      </c>
    </row>
    <row r="1696" spans="2:19" ht="11.4" customHeight="1" x14ac:dyDescent="0.2">
      <c r="B1696" s="24"/>
      <c r="C1696" s="7">
        <v>11987</v>
      </c>
      <c r="D1696" s="18" t="s">
        <v>1779</v>
      </c>
      <c r="E1696" s="18" t="s">
        <v>1748</v>
      </c>
      <c r="F1696" s="17">
        <v>30</v>
      </c>
      <c r="G1696" s="18" t="s">
        <v>23</v>
      </c>
      <c r="H1696" s="17">
        <v>22.92</v>
      </c>
      <c r="I1696" s="8">
        <v>34.4</v>
      </c>
      <c r="J1696" s="21">
        <f t="shared" si="78"/>
        <v>0.50087260034904002</v>
      </c>
      <c r="K1696" s="1">
        <v>3</v>
      </c>
      <c r="L1696" s="24">
        <v>2.4</v>
      </c>
      <c r="M1696" s="24">
        <v>31.992000000000001</v>
      </c>
      <c r="N1696" s="21">
        <f t="shared" si="79"/>
        <v>0.39581151832460726</v>
      </c>
      <c r="P1696" s="1">
        <v>9</v>
      </c>
      <c r="Q1696" s="24">
        <v>4.1280000000000001</v>
      </c>
      <c r="R1696" s="24">
        <v>30.271999999999998</v>
      </c>
      <c r="S1696" s="21">
        <f t="shared" si="80"/>
        <v>0.32076788830715514</v>
      </c>
    </row>
    <row r="1697" spans="2:19" ht="11.4" customHeight="1" x14ac:dyDescent="0.2">
      <c r="B1697" s="24"/>
      <c r="C1697" s="7">
        <v>19780</v>
      </c>
      <c r="D1697" s="18" t="s">
        <v>1780</v>
      </c>
      <c r="E1697" s="18" t="s">
        <v>1748</v>
      </c>
      <c r="F1697" s="17">
        <v>18</v>
      </c>
      <c r="G1697" s="18" t="s">
        <v>23</v>
      </c>
      <c r="H1697" s="17">
        <v>33.06</v>
      </c>
      <c r="I1697" s="8">
        <v>61.9</v>
      </c>
      <c r="J1697" s="21">
        <f t="shared" si="78"/>
        <v>0.87235329703569253</v>
      </c>
      <c r="K1697" s="1">
        <v>3</v>
      </c>
      <c r="L1697" s="24">
        <v>4.3</v>
      </c>
      <c r="M1697" s="24">
        <v>57.567</v>
      </c>
      <c r="N1697" s="21">
        <f t="shared" si="79"/>
        <v>0.74128856624319406</v>
      </c>
      <c r="P1697" s="1">
        <v>9</v>
      </c>
      <c r="Q1697" s="24">
        <v>7.4279999999999973</v>
      </c>
      <c r="R1697" s="24">
        <v>54.472000000000001</v>
      </c>
      <c r="S1697" s="21">
        <f t="shared" si="80"/>
        <v>0.64767090139140948</v>
      </c>
    </row>
    <row r="1698" spans="2:19" ht="11.4" customHeight="1" x14ac:dyDescent="0.2">
      <c r="B1698" s="24"/>
      <c r="C1698" s="7">
        <v>12389</v>
      </c>
      <c r="D1698" s="18" t="s">
        <v>1781</v>
      </c>
      <c r="E1698" s="18" t="s">
        <v>1748</v>
      </c>
      <c r="F1698" s="17">
        <v>35</v>
      </c>
      <c r="G1698" s="18" t="s">
        <v>23</v>
      </c>
      <c r="H1698" s="17">
        <v>14.58</v>
      </c>
      <c r="I1698" s="8">
        <v>19.7</v>
      </c>
      <c r="J1698" s="21">
        <f t="shared" si="78"/>
        <v>0.35116598079561034</v>
      </c>
      <c r="K1698" s="1">
        <v>3</v>
      </c>
      <c r="L1698" s="24">
        <v>1.3</v>
      </c>
      <c r="M1698" s="24">
        <v>18.321000000000002</v>
      </c>
      <c r="N1698" s="21">
        <f t="shared" si="79"/>
        <v>0.25658436213991781</v>
      </c>
      <c r="P1698" s="1">
        <v>9</v>
      </c>
      <c r="Q1698" s="24">
        <v>2.3640000000000008</v>
      </c>
      <c r="R1698" s="24">
        <v>17.335999999999999</v>
      </c>
      <c r="S1698" s="21">
        <f t="shared" si="80"/>
        <v>0.18902606310013706</v>
      </c>
    </row>
    <row r="1699" spans="2:19" ht="11.4" customHeight="1" x14ac:dyDescent="0.2">
      <c r="B1699" s="24"/>
      <c r="C1699" s="7">
        <v>22801</v>
      </c>
      <c r="D1699" s="18" t="s">
        <v>1782</v>
      </c>
      <c r="E1699" s="18" t="s">
        <v>1748</v>
      </c>
      <c r="F1699" s="17">
        <v>32</v>
      </c>
      <c r="G1699" s="18" t="s">
        <v>23</v>
      </c>
      <c r="H1699" s="17">
        <v>25.74</v>
      </c>
      <c r="I1699" s="8">
        <v>34.700000000000003</v>
      </c>
      <c r="J1699" s="21">
        <f t="shared" si="78"/>
        <v>0.34809634809634826</v>
      </c>
      <c r="K1699" s="1">
        <v>3</v>
      </c>
      <c r="L1699" s="24">
        <v>2.4</v>
      </c>
      <c r="M1699" s="24">
        <v>32.271000000000001</v>
      </c>
      <c r="N1699" s="21">
        <f t="shared" si="79"/>
        <v>0.25372960372960385</v>
      </c>
      <c r="P1699" s="1">
        <v>9</v>
      </c>
      <c r="Q1699" s="24">
        <v>4.1640000000000015</v>
      </c>
      <c r="R1699" s="24">
        <v>30.536000000000001</v>
      </c>
      <c r="S1699" s="21">
        <f t="shared" si="80"/>
        <v>0.18632478632478644</v>
      </c>
    </row>
    <row r="1700" spans="2:19" ht="11.4" customHeight="1" x14ac:dyDescent="0.2">
      <c r="B1700" s="24"/>
      <c r="C1700" s="7">
        <v>34271</v>
      </c>
      <c r="D1700" s="18" t="s">
        <v>1783</v>
      </c>
      <c r="E1700" s="18" t="s">
        <v>1711</v>
      </c>
      <c r="F1700" s="17">
        <v>6</v>
      </c>
      <c r="G1700" s="18" t="s">
        <v>23</v>
      </c>
      <c r="H1700" s="17">
        <v>219.5</v>
      </c>
      <c r="I1700" s="8">
        <v>274.5</v>
      </c>
      <c r="J1700" s="21">
        <f t="shared" si="78"/>
        <v>0.25056947608200458</v>
      </c>
      <c r="K1700" s="1">
        <v>3</v>
      </c>
      <c r="L1700" s="24">
        <v>19.2</v>
      </c>
      <c r="M1700" s="24">
        <v>255.28500000000003</v>
      </c>
      <c r="N1700" s="21">
        <f t="shared" si="79"/>
        <v>0.16302961275626435</v>
      </c>
      <c r="P1700" s="1">
        <v>9</v>
      </c>
      <c r="Q1700" s="24">
        <v>32.94</v>
      </c>
      <c r="R1700" s="24">
        <v>241.56</v>
      </c>
      <c r="S1700" s="21">
        <f t="shared" si="80"/>
        <v>0.10050113895216402</v>
      </c>
    </row>
    <row r="1701" spans="2:19" ht="11.4" customHeight="1" x14ac:dyDescent="0.2">
      <c r="B1701" s="24"/>
      <c r="C1701" s="7">
        <v>2729</v>
      </c>
      <c r="D1701" s="18" t="s">
        <v>1784</v>
      </c>
      <c r="E1701" s="18" t="s">
        <v>1711</v>
      </c>
      <c r="F1701" s="17">
        <v>16</v>
      </c>
      <c r="G1701" s="18" t="s">
        <v>23</v>
      </c>
      <c r="H1701" s="17">
        <v>27.5</v>
      </c>
      <c r="I1701" s="8">
        <v>28.9</v>
      </c>
      <c r="J1701" s="21">
        <f t="shared" si="78"/>
        <v>5.0909090909090855E-2</v>
      </c>
      <c r="K1701" s="1">
        <v>3</v>
      </c>
      <c r="L1701" s="24">
        <v>2</v>
      </c>
      <c r="M1701" s="24">
        <v>26.876999999999999</v>
      </c>
      <c r="N1701" s="21">
        <f t="shared" si="79"/>
        <v>-2.2654545454545493E-2</v>
      </c>
      <c r="P1701" s="1">
        <v>9</v>
      </c>
      <c r="Q1701" s="24">
        <v>3.468</v>
      </c>
      <c r="R1701" s="24">
        <v>25.431999999999999</v>
      </c>
      <c r="S1701" s="21">
        <f t="shared" si="80"/>
        <v>-7.5200000000000045E-2</v>
      </c>
    </row>
    <row r="1702" spans="2:19" ht="11.4" customHeight="1" x14ac:dyDescent="0.2">
      <c r="B1702" s="24"/>
      <c r="C1702" s="7">
        <v>5097</v>
      </c>
      <c r="D1702" s="18" t="s">
        <v>1785</v>
      </c>
      <c r="E1702" s="18" t="s">
        <v>1711</v>
      </c>
      <c r="F1702" s="17">
        <v>16</v>
      </c>
      <c r="G1702" s="18" t="s">
        <v>23</v>
      </c>
      <c r="H1702" s="17">
        <v>28</v>
      </c>
      <c r="I1702" s="8">
        <v>28.9</v>
      </c>
      <c r="J1702" s="21">
        <f t="shared" si="78"/>
        <v>3.2142857142857091E-2</v>
      </c>
      <c r="K1702" s="1">
        <v>3</v>
      </c>
      <c r="L1702" s="24">
        <v>2</v>
      </c>
      <c r="M1702" s="24">
        <v>26.876999999999999</v>
      </c>
      <c r="N1702" s="21">
        <f t="shared" si="79"/>
        <v>-4.0107142857142897E-2</v>
      </c>
      <c r="P1702" s="1">
        <v>9</v>
      </c>
      <c r="Q1702" s="24">
        <v>3.468</v>
      </c>
      <c r="R1702" s="24">
        <v>25.431999999999999</v>
      </c>
      <c r="S1702" s="21">
        <f t="shared" si="80"/>
        <v>-9.1714285714285762E-2</v>
      </c>
    </row>
    <row r="1703" spans="2:19" ht="11.4" customHeight="1" x14ac:dyDescent="0.2">
      <c r="B1703" s="24"/>
      <c r="C1703" s="7">
        <v>5099</v>
      </c>
      <c r="D1703" s="18" t="s">
        <v>1786</v>
      </c>
      <c r="E1703" s="18" t="s">
        <v>1711</v>
      </c>
      <c r="F1703" s="17">
        <v>16</v>
      </c>
      <c r="G1703" s="18" t="s">
        <v>23</v>
      </c>
      <c r="H1703" s="17">
        <v>28</v>
      </c>
      <c r="I1703" s="8">
        <v>28.9</v>
      </c>
      <c r="J1703" s="21">
        <f t="shared" si="78"/>
        <v>3.2142857142857091E-2</v>
      </c>
      <c r="K1703" s="1">
        <v>3</v>
      </c>
      <c r="L1703" s="24">
        <v>2</v>
      </c>
      <c r="M1703" s="24">
        <v>26.876999999999999</v>
      </c>
      <c r="N1703" s="21">
        <f t="shared" si="79"/>
        <v>-4.0107142857142897E-2</v>
      </c>
      <c r="P1703" s="1">
        <v>9</v>
      </c>
      <c r="Q1703" s="24">
        <v>3.468</v>
      </c>
      <c r="R1703" s="24">
        <v>25.431999999999999</v>
      </c>
      <c r="S1703" s="21">
        <f t="shared" si="80"/>
        <v>-9.1714285714285762E-2</v>
      </c>
    </row>
    <row r="1704" spans="2:19" ht="11.4" customHeight="1" x14ac:dyDescent="0.2">
      <c r="B1704" s="24"/>
      <c r="C1704" s="7">
        <v>10340</v>
      </c>
      <c r="D1704" s="18" t="s">
        <v>1787</v>
      </c>
      <c r="E1704" s="18" t="s">
        <v>1711</v>
      </c>
      <c r="F1704" s="17">
        <v>30</v>
      </c>
      <c r="G1704" s="18" t="s">
        <v>23</v>
      </c>
      <c r="H1704" s="17">
        <v>32.700000000000003</v>
      </c>
      <c r="I1704" s="8">
        <v>34.4</v>
      </c>
      <c r="J1704" s="21">
        <f t="shared" si="78"/>
        <v>5.1987767584097726E-2</v>
      </c>
      <c r="K1704" s="1">
        <v>3</v>
      </c>
      <c r="L1704" s="24">
        <v>2.4</v>
      </c>
      <c r="M1704" s="24">
        <v>31.992000000000001</v>
      </c>
      <c r="N1704" s="21">
        <f t="shared" si="79"/>
        <v>-2.165137614678905E-2</v>
      </c>
      <c r="P1704" s="1">
        <v>9</v>
      </c>
      <c r="Q1704" s="24">
        <v>4.1280000000000001</v>
      </c>
      <c r="R1704" s="24">
        <v>30.271999999999998</v>
      </c>
      <c r="S1704" s="21">
        <f t="shared" si="80"/>
        <v>-7.4250764525994009E-2</v>
      </c>
    </row>
    <row r="1705" spans="2:19" ht="11.4" customHeight="1" x14ac:dyDescent="0.2">
      <c r="B1705" s="24"/>
      <c r="C1705" s="7">
        <v>10689</v>
      </c>
      <c r="D1705" s="18" t="s">
        <v>1788</v>
      </c>
      <c r="E1705" s="18" t="s">
        <v>1711</v>
      </c>
      <c r="F1705" s="18"/>
      <c r="G1705" s="18" t="s">
        <v>23</v>
      </c>
      <c r="H1705" s="17">
        <v>25.9</v>
      </c>
      <c r="I1705" s="8">
        <v>34.4</v>
      </c>
      <c r="J1705" s="21">
        <f t="shared" si="78"/>
        <v>0.3281853281853282</v>
      </c>
      <c r="K1705" s="1">
        <v>3</v>
      </c>
      <c r="L1705" s="24">
        <v>2.4</v>
      </c>
      <c r="M1705" s="24">
        <v>31.992000000000001</v>
      </c>
      <c r="N1705" s="21">
        <f t="shared" si="79"/>
        <v>0.23521235521235531</v>
      </c>
      <c r="P1705" s="1">
        <v>9</v>
      </c>
      <c r="Q1705" s="24">
        <v>4.1280000000000001</v>
      </c>
      <c r="R1705" s="24">
        <v>30.271999999999998</v>
      </c>
      <c r="S1705" s="21">
        <f t="shared" si="80"/>
        <v>0.16880308880308881</v>
      </c>
    </row>
    <row r="1706" spans="2:19" ht="11.4" customHeight="1" x14ac:dyDescent="0.2">
      <c r="B1706" s="24"/>
      <c r="C1706" s="7">
        <v>44963</v>
      </c>
      <c r="D1706" s="18" t="s">
        <v>1789</v>
      </c>
      <c r="E1706" s="18" t="s">
        <v>1790</v>
      </c>
      <c r="F1706" s="17">
        <v>20</v>
      </c>
      <c r="G1706" s="18" t="s">
        <v>23</v>
      </c>
      <c r="H1706" s="17">
        <v>21.12</v>
      </c>
      <c r="I1706" s="8">
        <v>38.5</v>
      </c>
      <c r="J1706" s="21">
        <f t="shared" si="78"/>
        <v>0.82291666666666663</v>
      </c>
      <c r="K1706" s="1">
        <v>3</v>
      </c>
      <c r="L1706" s="24">
        <v>2.6</v>
      </c>
      <c r="M1706" s="24">
        <v>35.805</v>
      </c>
      <c r="N1706" s="21">
        <f t="shared" si="79"/>
        <v>0.69531249999999989</v>
      </c>
      <c r="P1706" s="1">
        <v>9</v>
      </c>
      <c r="Q1706" s="24">
        <v>4.6199999999999974</v>
      </c>
      <c r="R1706" s="24">
        <v>33.880000000000003</v>
      </c>
      <c r="S1706" s="21">
        <f t="shared" si="80"/>
        <v>0.60416666666666674</v>
      </c>
    </row>
    <row r="1707" spans="2:19" ht="11.4" customHeight="1" x14ac:dyDescent="0.2">
      <c r="B1707" s="24"/>
      <c r="C1707" s="7">
        <v>42627</v>
      </c>
      <c r="D1707" s="18" t="s">
        <v>1791</v>
      </c>
      <c r="E1707" s="18" t="s">
        <v>1790</v>
      </c>
      <c r="F1707" s="18"/>
      <c r="G1707" s="18" t="s">
        <v>23</v>
      </c>
      <c r="H1707" s="17">
        <v>65</v>
      </c>
      <c r="I1707" s="8">
        <v>83.5</v>
      </c>
      <c r="J1707" s="21">
        <f t="shared" si="78"/>
        <v>0.2846153846153846</v>
      </c>
      <c r="K1707" s="1">
        <v>3</v>
      </c>
      <c r="L1707" s="24">
        <v>5.8</v>
      </c>
      <c r="M1707" s="24">
        <v>77.655000000000001</v>
      </c>
      <c r="N1707" s="21">
        <f t="shared" si="79"/>
        <v>0.19469230769230772</v>
      </c>
      <c r="P1707" s="1">
        <v>9</v>
      </c>
      <c r="Q1707" s="24">
        <v>10.019999999999996</v>
      </c>
      <c r="R1707" s="24">
        <v>73.48</v>
      </c>
      <c r="S1707" s="21">
        <f t="shared" si="80"/>
        <v>0.13046153846153852</v>
      </c>
    </row>
    <row r="1708" spans="2:19" ht="11.4" customHeight="1" x14ac:dyDescent="0.2">
      <c r="B1708" s="24"/>
      <c r="C1708" s="7">
        <v>4641</v>
      </c>
      <c r="D1708" s="18" t="s">
        <v>1792</v>
      </c>
      <c r="E1708" s="18" t="s">
        <v>1790</v>
      </c>
      <c r="F1708" s="17">
        <v>12</v>
      </c>
      <c r="G1708" s="18" t="s">
        <v>23</v>
      </c>
      <c r="H1708" s="17">
        <v>57.57</v>
      </c>
      <c r="I1708" s="8">
        <v>85.9</v>
      </c>
      <c r="J1708" s="21">
        <f t="shared" si="78"/>
        <v>0.49209657807886059</v>
      </c>
      <c r="K1708" s="1">
        <v>3</v>
      </c>
      <c r="L1708" s="24">
        <v>6</v>
      </c>
      <c r="M1708" s="24">
        <v>79.887000000000015</v>
      </c>
      <c r="N1708" s="21">
        <f t="shared" si="79"/>
        <v>0.38764981761334055</v>
      </c>
      <c r="P1708" s="1">
        <v>5</v>
      </c>
      <c r="Q1708" s="24">
        <v>10.308000000000007</v>
      </c>
      <c r="R1708" s="24">
        <v>75.591999999999999</v>
      </c>
      <c r="S1708" s="21">
        <f t="shared" si="80"/>
        <v>0.31304498870939723</v>
      </c>
    </row>
    <row r="1709" spans="2:19" ht="11.4" customHeight="1" x14ac:dyDescent="0.2">
      <c r="B1709" s="24"/>
      <c r="C1709" s="7">
        <v>38418</v>
      </c>
      <c r="D1709" s="18" t="s">
        <v>1793</v>
      </c>
      <c r="E1709" s="18" t="s">
        <v>1790</v>
      </c>
      <c r="F1709" s="17">
        <v>24</v>
      </c>
      <c r="G1709" s="18" t="s">
        <v>23</v>
      </c>
      <c r="H1709" s="17">
        <v>69.900000000000006</v>
      </c>
      <c r="I1709" s="8">
        <v>69.900000000000006</v>
      </c>
      <c r="J1709" s="21">
        <f t="shared" si="78"/>
        <v>0</v>
      </c>
      <c r="K1709" s="1">
        <v>3</v>
      </c>
      <c r="L1709" s="24">
        <v>4.8</v>
      </c>
      <c r="M1709" s="24">
        <v>65.007000000000005</v>
      </c>
      <c r="N1709" s="21">
        <f t="shared" si="79"/>
        <v>-7.0000000000000007E-2</v>
      </c>
      <c r="P1709" s="1">
        <v>5</v>
      </c>
      <c r="Q1709" s="24">
        <v>8.3879999999999981</v>
      </c>
      <c r="R1709" s="24">
        <v>61.512000000000008</v>
      </c>
      <c r="S1709" s="21">
        <f t="shared" si="80"/>
        <v>-0.11999999999999997</v>
      </c>
    </row>
    <row r="1710" spans="2:19" ht="11.4" customHeight="1" x14ac:dyDescent="0.2">
      <c r="B1710" s="24"/>
      <c r="C1710" s="7">
        <v>10144</v>
      </c>
      <c r="D1710" s="18" t="s">
        <v>1794</v>
      </c>
      <c r="E1710" s="18" t="s">
        <v>1790</v>
      </c>
      <c r="F1710" s="17">
        <v>45</v>
      </c>
      <c r="G1710" s="18" t="s">
        <v>23</v>
      </c>
      <c r="H1710" s="17">
        <v>13.5</v>
      </c>
      <c r="I1710" s="8">
        <v>13.5</v>
      </c>
      <c r="J1710" s="21">
        <f t="shared" si="78"/>
        <v>0</v>
      </c>
      <c r="K1710" s="1">
        <v>3</v>
      </c>
      <c r="L1710" s="24">
        <v>0.9</v>
      </c>
      <c r="M1710" s="24">
        <v>12.555000000000001</v>
      </c>
      <c r="N1710" s="21">
        <f t="shared" si="79"/>
        <v>-6.9999999999999896E-2</v>
      </c>
      <c r="P1710" s="1">
        <v>5</v>
      </c>
      <c r="Q1710" s="24">
        <v>1.6199999999999992</v>
      </c>
      <c r="R1710" s="24">
        <v>11.88</v>
      </c>
      <c r="S1710" s="21">
        <f t="shared" si="80"/>
        <v>-0.11999999999999994</v>
      </c>
    </row>
    <row r="1711" spans="2:19" ht="11.4" customHeight="1" x14ac:dyDescent="0.2">
      <c r="B1711" s="24"/>
      <c r="C1711" s="7">
        <v>10125</v>
      </c>
      <c r="D1711" s="18" t="s">
        <v>1795</v>
      </c>
      <c r="E1711" s="18" t="s">
        <v>1790</v>
      </c>
      <c r="F1711" s="17">
        <v>15</v>
      </c>
      <c r="G1711" s="18" t="s">
        <v>23</v>
      </c>
      <c r="H1711" s="17">
        <v>37.96</v>
      </c>
      <c r="I1711" s="8">
        <v>58.9</v>
      </c>
      <c r="J1711" s="21">
        <f t="shared" si="78"/>
        <v>0.5516332982086406</v>
      </c>
      <c r="K1711" s="1">
        <v>3</v>
      </c>
      <c r="L1711" s="24">
        <v>4.0999999999999996</v>
      </c>
      <c r="M1711" s="24">
        <v>54.777000000000001</v>
      </c>
      <c r="N1711" s="21">
        <f t="shared" si="79"/>
        <v>0.44301896733403584</v>
      </c>
      <c r="P1711" s="1">
        <v>5</v>
      </c>
      <c r="Q1711" s="24">
        <v>7.0679999999999978</v>
      </c>
      <c r="R1711" s="24">
        <v>51.832000000000001</v>
      </c>
      <c r="S1711" s="21">
        <f t="shared" si="80"/>
        <v>0.36543730242360378</v>
      </c>
    </row>
    <row r="1712" spans="2:19" ht="11.4" customHeight="1" x14ac:dyDescent="0.2">
      <c r="B1712" s="24"/>
      <c r="C1712" s="7">
        <v>29754</v>
      </c>
      <c r="D1712" s="18" t="s">
        <v>1796</v>
      </c>
      <c r="E1712" s="18" t="s">
        <v>1790</v>
      </c>
      <c r="F1712" s="17">
        <v>10</v>
      </c>
      <c r="G1712" s="18" t="s">
        <v>23</v>
      </c>
      <c r="H1712" s="17">
        <v>16.899999999999999</v>
      </c>
      <c r="I1712" s="8">
        <v>15.4</v>
      </c>
      <c r="J1712" s="21">
        <f t="shared" si="78"/>
        <v>-8.875739644970404E-2</v>
      </c>
      <c r="K1712" s="1">
        <v>3</v>
      </c>
      <c r="L1712" s="24">
        <v>1</v>
      </c>
      <c r="M1712" s="24">
        <v>14.322000000000001</v>
      </c>
      <c r="N1712" s="21">
        <f t="shared" si="79"/>
        <v>-0.15254437869822474</v>
      </c>
      <c r="P1712" s="1">
        <v>5</v>
      </c>
      <c r="Q1712" s="24">
        <v>1.8480000000000008</v>
      </c>
      <c r="R1712" s="24">
        <v>13.552</v>
      </c>
      <c r="S1712" s="21">
        <f t="shared" si="80"/>
        <v>-0.19810650887573961</v>
      </c>
    </row>
    <row r="1713" spans="2:19" ht="11.4" customHeight="1" x14ac:dyDescent="0.2">
      <c r="B1713" s="24"/>
      <c r="C1713" s="7">
        <v>42051</v>
      </c>
      <c r="D1713" s="18" t="s">
        <v>1797</v>
      </c>
      <c r="E1713" s="18" t="s">
        <v>1790</v>
      </c>
      <c r="F1713" s="17">
        <v>20</v>
      </c>
      <c r="G1713" s="18" t="s">
        <v>23</v>
      </c>
      <c r="H1713" s="17">
        <v>46.45</v>
      </c>
      <c r="I1713" s="8">
        <v>77.900000000000006</v>
      </c>
      <c r="J1713" s="21">
        <f t="shared" si="78"/>
        <v>0.67707212055974164</v>
      </c>
      <c r="K1713" s="1">
        <v>3</v>
      </c>
      <c r="L1713" s="24">
        <v>5.4</v>
      </c>
      <c r="M1713" s="24">
        <v>72.447000000000003</v>
      </c>
      <c r="N1713" s="21">
        <f t="shared" si="79"/>
        <v>0.55967707212055973</v>
      </c>
      <c r="P1713" s="1">
        <v>5</v>
      </c>
      <c r="Q1713" s="24">
        <v>9.347999999999999</v>
      </c>
      <c r="R1713" s="24">
        <v>68.552000000000007</v>
      </c>
      <c r="S1713" s="21">
        <f t="shared" si="80"/>
        <v>0.4758234660925727</v>
      </c>
    </row>
    <row r="1714" spans="2:19" ht="11.4" customHeight="1" x14ac:dyDescent="0.2">
      <c r="B1714" s="24"/>
      <c r="C1714" s="7">
        <v>39300</v>
      </c>
      <c r="D1714" s="18" t="s">
        <v>1798</v>
      </c>
      <c r="E1714" s="18" t="s">
        <v>1790</v>
      </c>
      <c r="F1714" s="17">
        <v>12</v>
      </c>
      <c r="G1714" s="18" t="s">
        <v>23</v>
      </c>
      <c r="H1714" s="17">
        <v>114.78</v>
      </c>
      <c r="I1714" s="8">
        <v>149.5</v>
      </c>
      <c r="J1714" s="21">
        <f t="shared" si="78"/>
        <v>0.30249172329674157</v>
      </c>
      <c r="K1714" s="1">
        <v>3</v>
      </c>
      <c r="L1714" s="24">
        <v>10.4</v>
      </c>
      <c r="M1714" s="24">
        <v>139.035</v>
      </c>
      <c r="N1714" s="21">
        <f t="shared" si="79"/>
        <v>0.21131730266596965</v>
      </c>
      <c r="P1714" s="1">
        <v>5</v>
      </c>
      <c r="Q1714" s="24">
        <v>17.939999999999998</v>
      </c>
      <c r="R1714" s="24">
        <v>131.56</v>
      </c>
      <c r="S1714" s="21">
        <f t="shared" si="80"/>
        <v>0.14619271650113261</v>
      </c>
    </row>
    <row r="1715" spans="2:19" ht="11.4" customHeight="1" x14ac:dyDescent="0.2">
      <c r="B1715" s="24"/>
      <c r="C1715" s="7">
        <v>29393</v>
      </c>
      <c r="D1715" s="18" t="s">
        <v>1799</v>
      </c>
      <c r="E1715" s="18" t="s">
        <v>1790</v>
      </c>
      <c r="F1715" s="18"/>
      <c r="G1715" s="18" t="s">
        <v>23</v>
      </c>
      <c r="H1715" s="17">
        <v>62.34</v>
      </c>
      <c r="I1715" s="8">
        <v>79.5</v>
      </c>
      <c r="J1715" s="21">
        <f t="shared" si="78"/>
        <v>0.27526467757459089</v>
      </c>
      <c r="K1715" s="1">
        <v>3</v>
      </c>
      <c r="L1715" s="24">
        <v>5.5</v>
      </c>
      <c r="M1715" s="24">
        <v>73.935000000000002</v>
      </c>
      <c r="N1715" s="21">
        <f t="shared" si="79"/>
        <v>0.18599615014436957</v>
      </c>
      <c r="P1715" s="1">
        <v>5</v>
      </c>
      <c r="Q1715" s="24">
        <v>9.5400000000000063</v>
      </c>
      <c r="R1715" s="24">
        <v>69.959999999999994</v>
      </c>
      <c r="S1715" s="21">
        <f t="shared" si="80"/>
        <v>0.12223291626563988</v>
      </c>
    </row>
    <row r="1716" spans="2:19" ht="11.4" customHeight="1" x14ac:dyDescent="0.2">
      <c r="B1716" s="24"/>
      <c r="C1716" s="7">
        <v>44551</v>
      </c>
      <c r="D1716" s="18" t="s">
        <v>1800</v>
      </c>
      <c r="E1716" s="18" t="s">
        <v>1790</v>
      </c>
      <c r="F1716" s="17">
        <v>24</v>
      </c>
      <c r="G1716" s="18" t="s">
        <v>23</v>
      </c>
      <c r="H1716" s="17">
        <v>30.9</v>
      </c>
      <c r="I1716" s="8">
        <v>41.9</v>
      </c>
      <c r="J1716" s="21">
        <f t="shared" si="78"/>
        <v>0.35598705501618122</v>
      </c>
      <c r="K1716" s="1">
        <v>3</v>
      </c>
      <c r="L1716" s="24">
        <v>2.9</v>
      </c>
      <c r="M1716" s="24">
        <v>38.966999999999999</v>
      </c>
      <c r="N1716" s="21">
        <f t="shared" si="79"/>
        <v>0.26106796116504855</v>
      </c>
      <c r="P1716" s="1">
        <v>5</v>
      </c>
      <c r="Q1716" s="24">
        <v>5.0279999999999987</v>
      </c>
      <c r="R1716" s="24">
        <v>36.872</v>
      </c>
      <c r="S1716" s="21">
        <f t="shared" si="80"/>
        <v>0.19326860841423954</v>
      </c>
    </row>
    <row r="1717" spans="2:19" ht="11.4" customHeight="1" x14ac:dyDescent="0.2">
      <c r="B1717" s="24"/>
      <c r="C1717" s="7">
        <v>10167</v>
      </c>
      <c r="D1717" s="18" t="s">
        <v>1801</v>
      </c>
      <c r="E1717" s="18" t="s">
        <v>1790</v>
      </c>
      <c r="F1717" s="17">
        <v>30</v>
      </c>
      <c r="G1717" s="18" t="s">
        <v>23</v>
      </c>
      <c r="H1717" s="17">
        <v>8.4</v>
      </c>
      <c r="I1717" s="8">
        <v>13.9</v>
      </c>
      <c r="J1717" s="21">
        <f t="shared" si="78"/>
        <v>0.65476190476190477</v>
      </c>
      <c r="K1717" s="1">
        <v>3</v>
      </c>
      <c r="L1717" s="24">
        <v>0.9</v>
      </c>
      <c r="M1717" s="24">
        <v>12.927000000000001</v>
      </c>
      <c r="N1717" s="21">
        <f t="shared" si="79"/>
        <v>0.53892857142857153</v>
      </c>
      <c r="P1717" s="1">
        <v>5</v>
      </c>
      <c r="Q1717" s="24">
        <v>1.6679999999999993</v>
      </c>
      <c r="R1717" s="24">
        <v>12.232000000000001</v>
      </c>
      <c r="S1717" s="21">
        <f t="shared" si="80"/>
        <v>0.45619047619047626</v>
      </c>
    </row>
    <row r="1718" spans="2:19" ht="11.4" customHeight="1" x14ac:dyDescent="0.2">
      <c r="B1718" s="24"/>
      <c r="C1718" s="7">
        <v>23768</v>
      </c>
      <c r="D1718" s="18" t="s">
        <v>1802</v>
      </c>
      <c r="E1718" s="18" t="s">
        <v>1790</v>
      </c>
      <c r="F1718" s="17">
        <v>8</v>
      </c>
      <c r="G1718" s="18" t="s">
        <v>23</v>
      </c>
      <c r="H1718" s="17">
        <v>68.5</v>
      </c>
      <c r="I1718" s="8">
        <v>67.900000000000006</v>
      </c>
      <c r="J1718" s="21">
        <f t="shared" si="78"/>
        <v>-8.7591240875911584E-3</v>
      </c>
      <c r="K1718" s="1">
        <v>3</v>
      </c>
      <c r="L1718" s="24">
        <v>4.7</v>
      </c>
      <c r="M1718" s="24">
        <v>63.147000000000006</v>
      </c>
      <c r="N1718" s="21">
        <f t="shared" si="79"/>
        <v>-7.8145985401459769E-2</v>
      </c>
      <c r="P1718" s="1">
        <v>5</v>
      </c>
      <c r="Q1718" s="24">
        <v>8.1480000000000032</v>
      </c>
      <c r="R1718" s="24">
        <v>59.752000000000002</v>
      </c>
      <c r="S1718" s="21">
        <f t="shared" si="80"/>
        <v>-0.12770802919708027</v>
      </c>
    </row>
    <row r="1719" spans="2:19" ht="11.4" customHeight="1" x14ac:dyDescent="0.2">
      <c r="B1719" s="24"/>
      <c r="C1719" s="7">
        <v>34209</v>
      </c>
      <c r="D1719" s="18" t="s">
        <v>1803</v>
      </c>
      <c r="E1719" s="18" t="s">
        <v>1711</v>
      </c>
      <c r="F1719" s="17">
        <v>12</v>
      </c>
      <c r="G1719" s="18" t="s">
        <v>23</v>
      </c>
      <c r="H1719" s="17">
        <v>27.7</v>
      </c>
      <c r="I1719" s="8">
        <v>34.9</v>
      </c>
      <c r="J1719" s="21">
        <f t="shared" si="78"/>
        <v>0.25992779783393499</v>
      </c>
      <c r="K1719" s="1">
        <v>3</v>
      </c>
      <c r="L1719" s="24">
        <v>2.4</v>
      </c>
      <c r="M1719" s="24">
        <v>32.457000000000001</v>
      </c>
      <c r="N1719" s="21">
        <f t="shared" si="79"/>
        <v>0.17173285198555963</v>
      </c>
      <c r="P1719" s="1">
        <v>5</v>
      </c>
      <c r="Q1719" s="24">
        <v>4.1879999999999988</v>
      </c>
      <c r="R1719" s="24">
        <v>30.712</v>
      </c>
      <c r="S1719" s="21">
        <f t="shared" si="80"/>
        <v>0.10873646209386284</v>
      </c>
    </row>
    <row r="1720" spans="2:19" ht="11.4" customHeight="1" x14ac:dyDescent="0.2">
      <c r="B1720" s="24"/>
      <c r="C1720" s="7">
        <v>24784</v>
      </c>
      <c r="D1720" s="18" t="s">
        <v>1804</v>
      </c>
      <c r="E1720" s="18" t="s">
        <v>1711</v>
      </c>
      <c r="F1720" s="17">
        <v>15</v>
      </c>
      <c r="G1720" s="18" t="s">
        <v>23</v>
      </c>
      <c r="H1720" s="17">
        <v>26.28</v>
      </c>
      <c r="I1720" s="8">
        <v>39.9</v>
      </c>
      <c r="J1720" s="21">
        <f t="shared" si="78"/>
        <v>0.51826484018264829</v>
      </c>
      <c r="K1720" s="1">
        <v>3</v>
      </c>
      <c r="L1720" s="24">
        <v>2.7</v>
      </c>
      <c r="M1720" s="24">
        <v>37.106999999999999</v>
      </c>
      <c r="N1720" s="21">
        <f t="shared" si="79"/>
        <v>0.41198630136986292</v>
      </c>
      <c r="P1720" s="1">
        <v>5</v>
      </c>
      <c r="Q1720" s="24">
        <v>4.7879999999999967</v>
      </c>
      <c r="R1720" s="24">
        <v>35.112000000000002</v>
      </c>
      <c r="S1720" s="21">
        <f t="shared" si="80"/>
        <v>0.33607305936073062</v>
      </c>
    </row>
    <row r="1721" spans="2:19" ht="11.4" customHeight="1" x14ac:dyDescent="0.2">
      <c r="B1721" s="24"/>
      <c r="C1721" s="7">
        <v>34208</v>
      </c>
      <c r="D1721" s="18" t="s">
        <v>1805</v>
      </c>
      <c r="E1721" s="18" t="s">
        <v>1711</v>
      </c>
      <c r="F1721" s="17">
        <v>12</v>
      </c>
      <c r="G1721" s="18" t="s">
        <v>23</v>
      </c>
      <c r="H1721" s="17">
        <v>27.7</v>
      </c>
      <c r="I1721" s="8">
        <v>34.9</v>
      </c>
      <c r="J1721" s="21">
        <f t="shared" si="78"/>
        <v>0.25992779783393499</v>
      </c>
      <c r="K1721" s="1">
        <v>3</v>
      </c>
      <c r="L1721" s="24">
        <v>2.4</v>
      </c>
      <c r="M1721" s="24">
        <v>32.457000000000001</v>
      </c>
      <c r="N1721" s="21">
        <f t="shared" si="79"/>
        <v>0.17173285198555963</v>
      </c>
      <c r="P1721" s="1">
        <v>5</v>
      </c>
      <c r="Q1721" s="24">
        <v>4.1879999999999988</v>
      </c>
      <c r="R1721" s="24">
        <v>30.712</v>
      </c>
      <c r="S1721" s="21">
        <f t="shared" si="80"/>
        <v>0.10873646209386284</v>
      </c>
    </row>
    <row r="1722" spans="2:19" ht="11.4" customHeight="1" x14ac:dyDescent="0.2">
      <c r="B1722" s="24"/>
      <c r="C1722" s="7">
        <v>29776</v>
      </c>
      <c r="D1722" s="18" t="s">
        <v>1806</v>
      </c>
      <c r="E1722" s="18" t="s">
        <v>1717</v>
      </c>
      <c r="F1722" s="17">
        <v>12</v>
      </c>
      <c r="G1722" s="18" t="s">
        <v>23</v>
      </c>
      <c r="H1722" s="17">
        <v>31.5</v>
      </c>
      <c r="I1722" s="8">
        <v>34.9</v>
      </c>
      <c r="J1722" s="21">
        <f t="shared" si="78"/>
        <v>0.10793650793650789</v>
      </c>
      <c r="K1722" s="1">
        <v>3</v>
      </c>
      <c r="L1722" s="24">
        <v>2.4</v>
      </c>
      <c r="M1722" s="24">
        <v>32.457000000000001</v>
      </c>
      <c r="N1722" s="21">
        <f t="shared" si="79"/>
        <v>3.0380952380952404E-2</v>
      </c>
      <c r="P1722" s="1">
        <v>5</v>
      </c>
      <c r="Q1722" s="24">
        <v>4.1879999999999988</v>
      </c>
      <c r="R1722" s="24">
        <v>30.712</v>
      </c>
      <c r="S1722" s="21">
        <f t="shared" si="80"/>
        <v>-2.5015873015873023E-2</v>
      </c>
    </row>
    <row r="1723" spans="2:19" ht="11.4" customHeight="1" x14ac:dyDescent="0.2">
      <c r="B1723" s="24"/>
      <c r="C1723" s="7">
        <v>34422</v>
      </c>
      <c r="D1723" s="18" t="s">
        <v>1807</v>
      </c>
      <c r="E1723" s="18" t="s">
        <v>1808</v>
      </c>
      <c r="F1723" s="17">
        <v>12</v>
      </c>
      <c r="G1723" s="18" t="s">
        <v>23</v>
      </c>
      <c r="H1723" s="17">
        <v>93.9</v>
      </c>
      <c r="I1723" s="8">
        <v>114.5</v>
      </c>
      <c r="J1723" s="21">
        <f t="shared" si="78"/>
        <v>0.21938232161874327</v>
      </c>
      <c r="K1723" s="1">
        <v>3</v>
      </c>
      <c r="L1723" s="24">
        <v>8</v>
      </c>
      <c r="M1723" s="24">
        <v>106.485</v>
      </c>
      <c r="N1723" s="21">
        <f t="shared" si="79"/>
        <v>0.13402555910543124</v>
      </c>
      <c r="P1723" s="1">
        <v>5</v>
      </c>
      <c r="Q1723" s="24">
        <v>13.739999999999995</v>
      </c>
      <c r="R1723" s="24">
        <v>100.76</v>
      </c>
      <c r="S1723" s="21">
        <f t="shared" si="80"/>
        <v>7.3056443024494128E-2</v>
      </c>
    </row>
    <row r="1724" spans="2:19" ht="11.4" customHeight="1" x14ac:dyDescent="0.2">
      <c r="B1724" s="24"/>
      <c r="C1724" s="7">
        <v>40499</v>
      </c>
      <c r="D1724" s="18" t="s">
        <v>1809</v>
      </c>
      <c r="E1724" s="18" t="s">
        <v>1717</v>
      </c>
      <c r="F1724" s="17">
        <v>6</v>
      </c>
      <c r="G1724" s="18" t="s">
        <v>23</v>
      </c>
      <c r="H1724" s="17">
        <v>128.16</v>
      </c>
      <c r="I1724" s="8">
        <v>179.4</v>
      </c>
      <c r="J1724" s="21">
        <f t="shared" si="78"/>
        <v>0.39981273408239709</v>
      </c>
      <c r="K1724" s="1">
        <v>3</v>
      </c>
      <c r="L1724" s="24">
        <v>12.5</v>
      </c>
      <c r="M1724" s="24">
        <v>166.84200000000001</v>
      </c>
      <c r="N1724" s="21">
        <f t="shared" si="79"/>
        <v>0.30182584269662938</v>
      </c>
      <c r="P1724" s="1">
        <v>5</v>
      </c>
      <c r="Q1724" s="24">
        <v>21.527999999999992</v>
      </c>
      <c r="R1724" s="24">
        <v>157.87200000000001</v>
      </c>
      <c r="S1724" s="21">
        <f t="shared" si="80"/>
        <v>0.23183520599250951</v>
      </c>
    </row>
    <row r="1725" spans="2:19" ht="11.4" customHeight="1" x14ac:dyDescent="0.2">
      <c r="B1725" s="24"/>
      <c r="C1725" s="7">
        <v>34346</v>
      </c>
      <c r="D1725" s="18" t="s">
        <v>1810</v>
      </c>
      <c r="E1725" s="18" t="s">
        <v>1717</v>
      </c>
      <c r="F1725" s="17">
        <v>6</v>
      </c>
      <c r="G1725" s="18" t="s">
        <v>23</v>
      </c>
      <c r="H1725" s="17">
        <v>105.9</v>
      </c>
      <c r="I1725" s="8">
        <v>135</v>
      </c>
      <c r="J1725" s="21">
        <f t="shared" si="78"/>
        <v>0.27478753541076478</v>
      </c>
      <c r="K1725" s="1">
        <v>3</v>
      </c>
      <c r="L1725" s="24">
        <v>9.4</v>
      </c>
      <c r="M1725" s="24">
        <v>125.55000000000001</v>
      </c>
      <c r="N1725" s="21">
        <f t="shared" si="79"/>
        <v>0.18555240793201139</v>
      </c>
      <c r="P1725" s="1">
        <v>5</v>
      </c>
      <c r="Q1725" s="24">
        <v>16.200000000000003</v>
      </c>
      <c r="R1725" s="24">
        <v>118.8</v>
      </c>
      <c r="S1725" s="21">
        <f t="shared" si="80"/>
        <v>0.121813031161473</v>
      </c>
    </row>
    <row r="1726" spans="2:19" ht="11.4" customHeight="1" x14ac:dyDescent="0.2">
      <c r="B1726" s="24"/>
      <c r="C1726" s="7">
        <v>37691</v>
      </c>
      <c r="D1726" s="18" t="s">
        <v>1811</v>
      </c>
      <c r="E1726" s="18" t="s">
        <v>1717</v>
      </c>
      <c r="F1726" s="17">
        <v>6</v>
      </c>
      <c r="G1726" s="18" t="s">
        <v>23</v>
      </c>
      <c r="H1726" s="17">
        <v>77.900000000000006</v>
      </c>
      <c r="I1726" s="8">
        <v>94.9</v>
      </c>
      <c r="J1726" s="21">
        <f t="shared" si="78"/>
        <v>0.21822849807445441</v>
      </c>
      <c r="K1726" s="1">
        <v>3</v>
      </c>
      <c r="L1726" s="24">
        <v>6.6</v>
      </c>
      <c r="M1726" s="24">
        <v>88.257000000000005</v>
      </c>
      <c r="N1726" s="21">
        <f t="shared" si="79"/>
        <v>0.1329525032092426</v>
      </c>
      <c r="P1726" s="1">
        <v>5</v>
      </c>
      <c r="Q1726" s="24">
        <v>11.388000000000005</v>
      </c>
      <c r="R1726" s="24">
        <v>83.512</v>
      </c>
      <c r="S1726" s="21">
        <f t="shared" si="80"/>
        <v>7.2041078305519826E-2</v>
      </c>
    </row>
    <row r="1727" spans="2:19" ht="11.4" customHeight="1" x14ac:dyDescent="0.2">
      <c r="B1727" s="24"/>
      <c r="C1727" s="7">
        <v>37861</v>
      </c>
      <c r="D1727" s="18" t="s">
        <v>1812</v>
      </c>
      <c r="E1727" s="18" t="s">
        <v>1717</v>
      </c>
      <c r="F1727" s="17">
        <v>15</v>
      </c>
      <c r="G1727" s="18" t="s">
        <v>23</v>
      </c>
      <c r="H1727" s="17">
        <v>49.9</v>
      </c>
      <c r="I1727" s="8">
        <v>49.9</v>
      </c>
      <c r="J1727" s="21">
        <f t="shared" si="78"/>
        <v>0</v>
      </c>
      <c r="K1727" s="1">
        <v>3</v>
      </c>
      <c r="L1727" s="24">
        <v>3.4</v>
      </c>
      <c r="M1727" s="24">
        <v>46.407000000000004</v>
      </c>
      <c r="N1727" s="21">
        <f t="shared" si="79"/>
        <v>-6.9999999999999896E-2</v>
      </c>
      <c r="P1727" s="1">
        <v>5</v>
      </c>
      <c r="Q1727" s="24">
        <v>5.9879999999999995</v>
      </c>
      <c r="R1727" s="24">
        <v>43.911999999999999</v>
      </c>
      <c r="S1727" s="21">
        <f t="shared" si="80"/>
        <v>-0.12</v>
      </c>
    </row>
    <row r="1728" spans="2:19" ht="11.4" customHeight="1" x14ac:dyDescent="0.2">
      <c r="B1728" s="24"/>
      <c r="C1728" s="7">
        <v>38931</v>
      </c>
      <c r="D1728" s="18" t="s">
        <v>1813</v>
      </c>
      <c r="E1728" s="18" t="s">
        <v>1717</v>
      </c>
      <c r="F1728" s="17">
        <v>12</v>
      </c>
      <c r="G1728" s="18" t="s">
        <v>23</v>
      </c>
      <c r="H1728" s="17">
        <v>151.13999999999999</v>
      </c>
      <c r="I1728" s="8">
        <v>204</v>
      </c>
      <c r="J1728" s="21">
        <f t="shared" si="78"/>
        <v>0.34974196109567302</v>
      </c>
      <c r="K1728" s="1">
        <v>3</v>
      </c>
      <c r="L1728" s="24">
        <v>14.2</v>
      </c>
      <c r="M1728" s="24">
        <v>189.72</v>
      </c>
      <c r="N1728" s="21">
        <f t="shared" si="79"/>
        <v>0.25526002381897589</v>
      </c>
      <c r="P1728" s="1">
        <v>5</v>
      </c>
      <c r="Q1728" s="24">
        <v>24.47999999999999</v>
      </c>
      <c r="R1728" s="24">
        <v>179.52</v>
      </c>
      <c r="S1728" s="21">
        <f t="shared" si="80"/>
        <v>0.18777292576419233</v>
      </c>
    </row>
    <row r="1729" spans="2:19" ht="11.4" customHeight="1" x14ac:dyDescent="0.2">
      <c r="B1729" s="24"/>
      <c r="C1729" s="7">
        <v>1104</v>
      </c>
      <c r="D1729" s="18" t="s">
        <v>1814</v>
      </c>
      <c r="E1729" s="18" t="s">
        <v>1717</v>
      </c>
      <c r="F1729" s="17">
        <v>20</v>
      </c>
      <c r="G1729" s="18" t="s">
        <v>23</v>
      </c>
      <c r="H1729" s="17">
        <v>21.78</v>
      </c>
      <c r="I1729" s="8">
        <v>34.299999999999997</v>
      </c>
      <c r="J1729" s="21">
        <f t="shared" si="78"/>
        <v>0.57483930211202916</v>
      </c>
      <c r="K1729" s="1">
        <v>3</v>
      </c>
      <c r="L1729" s="24">
        <v>2.4</v>
      </c>
      <c r="M1729" s="24">
        <v>31.898999999999997</v>
      </c>
      <c r="N1729" s="21">
        <f t="shared" si="79"/>
        <v>0.46460055096418712</v>
      </c>
      <c r="P1729" s="1">
        <v>5</v>
      </c>
      <c r="Q1729" s="24">
        <v>4.1159999999999997</v>
      </c>
      <c r="R1729" s="24">
        <v>30.183999999999997</v>
      </c>
      <c r="S1729" s="21">
        <f t="shared" si="80"/>
        <v>0.38585858585858568</v>
      </c>
    </row>
    <row r="1730" spans="2:19" ht="11.4" customHeight="1" x14ac:dyDescent="0.2">
      <c r="B1730" s="24"/>
      <c r="C1730" s="7">
        <v>28828</v>
      </c>
      <c r="D1730" s="18" t="s">
        <v>1815</v>
      </c>
      <c r="E1730" s="18" t="s">
        <v>1717</v>
      </c>
      <c r="F1730" s="17">
        <v>20</v>
      </c>
      <c r="G1730" s="18" t="s">
        <v>23</v>
      </c>
      <c r="H1730" s="17">
        <v>17.46</v>
      </c>
      <c r="I1730" s="8">
        <v>32.700000000000003</v>
      </c>
      <c r="J1730" s="21">
        <f t="shared" si="78"/>
        <v>0.87285223367697606</v>
      </c>
      <c r="K1730" s="1">
        <v>3</v>
      </c>
      <c r="L1730" s="24">
        <v>2.2000000000000002</v>
      </c>
      <c r="M1730" s="24">
        <v>30.411000000000005</v>
      </c>
      <c r="N1730" s="21">
        <f t="shared" si="79"/>
        <v>0.74175257731958788</v>
      </c>
      <c r="P1730" s="1">
        <v>5</v>
      </c>
      <c r="Q1730" s="24">
        <v>3.9239999999999995</v>
      </c>
      <c r="R1730" s="24">
        <v>28.776000000000003</v>
      </c>
      <c r="S1730" s="21">
        <f t="shared" si="80"/>
        <v>0.64810996563573897</v>
      </c>
    </row>
    <row r="1731" spans="2:19" ht="11.4" customHeight="1" x14ac:dyDescent="0.2">
      <c r="B1731" s="24"/>
      <c r="C1731" s="7">
        <v>42378</v>
      </c>
      <c r="D1731" s="18" t="s">
        <v>1816</v>
      </c>
      <c r="E1731" s="18" t="s">
        <v>1717</v>
      </c>
      <c r="F1731" s="17">
        <v>6</v>
      </c>
      <c r="G1731" s="18" t="s">
        <v>23</v>
      </c>
      <c r="H1731" s="17">
        <v>46.92</v>
      </c>
      <c r="I1731" s="8">
        <v>65.900000000000006</v>
      </c>
      <c r="J1731" s="21">
        <f t="shared" ref="J1731:J1794" si="81">(I1731-H1731)/H1731</f>
        <v>0.4045183290707588</v>
      </c>
      <c r="K1731" s="1">
        <v>3</v>
      </c>
      <c r="L1731" s="24">
        <v>4.5999999999999996</v>
      </c>
      <c r="M1731" s="24">
        <v>61.287000000000006</v>
      </c>
      <c r="N1731" s="21">
        <f t="shared" ref="N1731:N1794" si="82">(M1731-H1731)/H1731</f>
        <v>0.3062020460358057</v>
      </c>
      <c r="P1731" s="1">
        <v>5</v>
      </c>
      <c r="Q1731" s="24">
        <v>7.9080000000000013</v>
      </c>
      <c r="R1731" s="24">
        <v>57.992000000000004</v>
      </c>
      <c r="S1731" s="21">
        <f t="shared" ref="S1731:S1794" si="83">(R1731-H1731)/H1731</f>
        <v>0.23597612958226774</v>
      </c>
    </row>
    <row r="1732" spans="2:19" ht="11.4" customHeight="1" x14ac:dyDescent="0.2">
      <c r="B1732" s="24"/>
      <c r="C1732" s="7">
        <v>33724</v>
      </c>
      <c r="D1732" s="18" t="s">
        <v>1817</v>
      </c>
      <c r="E1732" s="18" t="s">
        <v>1717</v>
      </c>
      <c r="F1732" s="17">
        <v>6</v>
      </c>
      <c r="G1732" s="18" t="s">
        <v>23</v>
      </c>
      <c r="H1732" s="17">
        <v>89.9</v>
      </c>
      <c r="I1732" s="8">
        <v>114.9</v>
      </c>
      <c r="J1732" s="21">
        <f t="shared" si="81"/>
        <v>0.27808676307007785</v>
      </c>
      <c r="K1732" s="1">
        <v>3</v>
      </c>
      <c r="L1732" s="24">
        <v>8</v>
      </c>
      <c r="M1732" s="24">
        <v>106.85700000000001</v>
      </c>
      <c r="N1732" s="21">
        <f t="shared" si="82"/>
        <v>0.18862068965517248</v>
      </c>
      <c r="P1732" s="1">
        <v>5</v>
      </c>
      <c r="Q1732" s="24">
        <v>13.787999999999997</v>
      </c>
      <c r="R1732" s="24">
        <v>101.11200000000001</v>
      </c>
      <c r="S1732" s="21">
        <f t="shared" si="83"/>
        <v>0.12471635150166854</v>
      </c>
    </row>
    <row r="1733" spans="2:19" ht="11.4" customHeight="1" x14ac:dyDescent="0.2">
      <c r="B1733" s="24"/>
      <c r="C1733" s="7">
        <v>16989</v>
      </c>
      <c r="D1733" s="18" t="s">
        <v>1818</v>
      </c>
      <c r="E1733" s="18" t="s">
        <v>1717</v>
      </c>
      <c r="F1733" s="17">
        <v>8</v>
      </c>
      <c r="G1733" s="18" t="s">
        <v>23</v>
      </c>
      <c r="H1733" s="17">
        <v>93.9</v>
      </c>
      <c r="I1733" s="8">
        <v>114.5</v>
      </c>
      <c r="J1733" s="21">
        <f t="shared" si="81"/>
        <v>0.21938232161874327</v>
      </c>
      <c r="K1733" s="1">
        <v>3</v>
      </c>
      <c r="L1733" s="24">
        <v>8</v>
      </c>
      <c r="M1733" s="24">
        <v>106.485</v>
      </c>
      <c r="N1733" s="21">
        <f t="shared" si="82"/>
        <v>0.13402555910543124</v>
      </c>
      <c r="P1733" s="1">
        <v>5</v>
      </c>
      <c r="Q1733" s="24">
        <v>13.739999999999995</v>
      </c>
      <c r="R1733" s="24">
        <v>100.76</v>
      </c>
      <c r="S1733" s="21">
        <f t="shared" si="83"/>
        <v>7.3056443024494128E-2</v>
      </c>
    </row>
    <row r="1734" spans="2:19" ht="11.4" customHeight="1" x14ac:dyDescent="0.2">
      <c r="B1734" s="24"/>
      <c r="C1734" s="7">
        <v>37862</v>
      </c>
      <c r="D1734" s="18" t="s">
        <v>1819</v>
      </c>
      <c r="E1734" s="18" t="s">
        <v>1717</v>
      </c>
      <c r="F1734" s="17">
        <v>15</v>
      </c>
      <c r="G1734" s="18" t="s">
        <v>23</v>
      </c>
      <c r="H1734" s="17">
        <v>49.9</v>
      </c>
      <c r="I1734" s="8">
        <v>49.9</v>
      </c>
      <c r="J1734" s="21">
        <f t="shared" si="81"/>
        <v>0</v>
      </c>
      <c r="K1734" s="1">
        <v>3</v>
      </c>
      <c r="L1734" s="24">
        <v>3.4</v>
      </c>
      <c r="M1734" s="24">
        <v>46.407000000000004</v>
      </c>
      <c r="N1734" s="21">
        <f t="shared" si="82"/>
        <v>-6.9999999999999896E-2</v>
      </c>
      <c r="P1734" s="1">
        <v>5</v>
      </c>
      <c r="Q1734" s="24">
        <v>5.9879999999999995</v>
      </c>
      <c r="R1734" s="24">
        <v>43.911999999999999</v>
      </c>
      <c r="S1734" s="21">
        <f t="shared" si="83"/>
        <v>-0.12</v>
      </c>
    </row>
    <row r="1735" spans="2:19" ht="11.4" customHeight="1" x14ac:dyDescent="0.2">
      <c r="B1735" s="24"/>
      <c r="C1735" s="7">
        <v>11273</v>
      </c>
      <c r="D1735" s="18" t="s">
        <v>1820</v>
      </c>
      <c r="E1735" s="18" t="s">
        <v>1808</v>
      </c>
      <c r="F1735" s="17">
        <v>6</v>
      </c>
      <c r="G1735" s="18" t="s">
        <v>23</v>
      </c>
      <c r="H1735" s="17">
        <v>77.900000000000006</v>
      </c>
      <c r="I1735" s="8">
        <v>94.9</v>
      </c>
      <c r="J1735" s="21">
        <f t="shared" si="81"/>
        <v>0.21822849807445441</v>
      </c>
      <c r="K1735" s="1">
        <v>3</v>
      </c>
      <c r="L1735" s="24">
        <v>6.6</v>
      </c>
      <c r="M1735" s="24">
        <v>88.257000000000005</v>
      </c>
      <c r="N1735" s="21">
        <f t="shared" si="82"/>
        <v>0.1329525032092426</v>
      </c>
      <c r="P1735" s="1">
        <v>5</v>
      </c>
      <c r="Q1735" s="24">
        <v>11.388000000000005</v>
      </c>
      <c r="R1735" s="24">
        <v>83.512</v>
      </c>
      <c r="S1735" s="21">
        <f t="shared" si="83"/>
        <v>7.2041078305519826E-2</v>
      </c>
    </row>
    <row r="1736" spans="2:19" ht="11.4" customHeight="1" x14ac:dyDescent="0.2">
      <c r="B1736" s="24"/>
      <c r="C1736" s="7">
        <v>37703</v>
      </c>
      <c r="D1736" s="18" t="s">
        <v>1821</v>
      </c>
      <c r="E1736" s="18" t="s">
        <v>1717</v>
      </c>
      <c r="F1736" s="17">
        <v>6</v>
      </c>
      <c r="G1736" s="18" t="s">
        <v>23</v>
      </c>
      <c r="H1736" s="17">
        <v>105.9</v>
      </c>
      <c r="I1736" s="8">
        <v>135.9</v>
      </c>
      <c r="J1736" s="21">
        <f t="shared" si="81"/>
        <v>0.28328611898016998</v>
      </c>
      <c r="K1736" s="1">
        <v>3</v>
      </c>
      <c r="L1736" s="24">
        <v>9.5</v>
      </c>
      <c r="M1736" s="24">
        <v>126.38700000000001</v>
      </c>
      <c r="N1736" s="21">
        <f t="shared" si="82"/>
        <v>0.19345609065155814</v>
      </c>
      <c r="P1736" s="1">
        <v>5</v>
      </c>
      <c r="Q1736" s="24">
        <v>16.308000000000007</v>
      </c>
      <c r="R1736" s="24">
        <v>119.592</v>
      </c>
      <c r="S1736" s="21">
        <f t="shared" si="83"/>
        <v>0.12929178470254951</v>
      </c>
    </row>
    <row r="1737" spans="2:19" ht="11.4" customHeight="1" x14ac:dyDescent="0.2">
      <c r="B1737" s="24"/>
      <c r="C1737" s="7">
        <v>39045</v>
      </c>
      <c r="D1737" s="18" t="s">
        <v>1822</v>
      </c>
      <c r="E1737" s="18" t="s">
        <v>1717</v>
      </c>
      <c r="F1737" s="17">
        <v>6</v>
      </c>
      <c r="G1737" s="18" t="s">
        <v>23</v>
      </c>
      <c r="H1737" s="17">
        <v>129.5</v>
      </c>
      <c r="I1737" s="8">
        <v>158.5</v>
      </c>
      <c r="J1737" s="21">
        <f t="shared" si="81"/>
        <v>0.22393822393822393</v>
      </c>
      <c r="K1737" s="1">
        <v>3</v>
      </c>
      <c r="L1737" s="24">
        <v>11</v>
      </c>
      <c r="M1737" s="24">
        <v>147.405</v>
      </c>
      <c r="N1737" s="21">
        <f t="shared" si="82"/>
        <v>0.13826254826254827</v>
      </c>
      <c r="P1737" s="1">
        <v>5</v>
      </c>
      <c r="Q1737" s="24">
        <v>19.02000000000001</v>
      </c>
      <c r="R1737" s="24">
        <v>139.47999999999999</v>
      </c>
      <c r="S1737" s="21">
        <f t="shared" si="83"/>
        <v>7.7065637065636988E-2</v>
      </c>
    </row>
    <row r="1738" spans="2:19" ht="11.4" customHeight="1" x14ac:dyDescent="0.2">
      <c r="B1738" s="24"/>
      <c r="C1738" s="7">
        <v>39239</v>
      </c>
      <c r="D1738" s="18" t="s">
        <v>1823</v>
      </c>
      <c r="E1738" s="18" t="s">
        <v>1717</v>
      </c>
      <c r="F1738" s="17">
        <v>6</v>
      </c>
      <c r="G1738" s="18" t="s">
        <v>23</v>
      </c>
      <c r="H1738" s="17">
        <v>99.5</v>
      </c>
      <c r="I1738" s="8">
        <v>129.9</v>
      </c>
      <c r="J1738" s="21">
        <f t="shared" si="81"/>
        <v>0.30552763819095485</v>
      </c>
      <c r="K1738" s="1">
        <v>3</v>
      </c>
      <c r="L1738" s="24">
        <v>9</v>
      </c>
      <c r="M1738" s="24">
        <v>120.80700000000002</v>
      </c>
      <c r="N1738" s="21">
        <f t="shared" si="82"/>
        <v>0.2141407035175881</v>
      </c>
      <c r="P1738" s="1">
        <v>5</v>
      </c>
      <c r="Q1738" s="24">
        <v>15.587999999999994</v>
      </c>
      <c r="R1738" s="24">
        <v>114.31200000000001</v>
      </c>
      <c r="S1738" s="21">
        <f t="shared" si="83"/>
        <v>0.14886432160804031</v>
      </c>
    </row>
    <row r="1739" spans="2:19" ht="11.4" customHeight="1" x14ac:dyDescent="0.2">
      <c r="B1739" s="24"/>
      <c r="C1739" s="7">
        <v>38933</v>
      </c>
      <c r="D1739" s="18" t="s">
        <v>1824</v>
      </c>
      <c r="E1739" s="18" t="s">
        <v>1717</v>
      </c>
      <c r="F1739" s="17">
        <v>12</v>
      </c>
      <c r="G1739" s="18" t="s">
        <v>23</v>
      </c>
      <c r="H1739" s="17">
        <v>119.5</v>
      </c>
      <c r="I1739" s="8">
        <v>154</v>
      </c>
      <c r="J1739" s="21">
        <f t="shared" si="81"/>
        <v>0.28870292887029286</v>
      </c>
      <c r="K1739" s="1">
        <v>3</v>
      </c>
      <c r="L1739" s="24">
        <v>10.7</v>
      </c>
      <c r="M1739" s="24">
        <v>143.22</v>
      </c>
      <c r="N1739" s="21">
        <f t="shared" si="82"/>
        <v>0.19849372384937239</v>
      </c>
      <c r="P1739" s="1">
        <v>5</v>
      </c>
      <c r="Q1739" s="24">
        <v>18.47999999999999</v>
      </c>
      <c r="R1739" s="24">
        <v>135.52000000000001</v>
      </c>
      <c r="S1739" s="21">
        <f t="shared" si="83"/>
        <v>0.13405857740585783</v>
      </c>
    </row>
    <row r="1740" spans="2:19" ht="11.4" customHeight="1" x14ac:dyDescent="0.2">
      <c r="B1740" s="24"/>
      <c r="C1740" s="7">
        <v>42668</v>
      </c>
      <c r="D1740" s="18" t="s">
        <v>1825</v>
      </c>
      <c r="E1740" s="18" t="s">
        <v>1717</v>
      </c>
      <c r="F1740" s="17">
        <v>8</v>
      </c>
      <c r="G1740" s="18" t="s">
        <v>23</v>
      </c>
      <c r="H1740" s="17">
        <v>29.22</v>
      </c>
      <c r="I1740" s="8">
        <v>48.5</v>
      </c>
      <c r="J1740" s="21">
        <f t="shared" si="81"/>
        <v>0.65982203969883646</v>
      </c>
      <c r="K1740" s="1">
        <v>3</v>
      </c>
      <c r="L1740" s="24">
        <v>3.3</v>
      </c>
      <c r="M1740" s="24">
        <v>45.105000000000004</v>
      </c>
      <c r="N1740" s="21">
        <f t="shared" si="82"/>
        <v>0.54363449691991805</v>
      </c>
      <c r="P1740" s="1">
        <v>5</v>
      </c>
      <c r="Q1740" s="24">
        <v>5.82</v>
      </c>
      <c r="R1740" s="24">
        <v>42.68</v>
      </c>
      <c r="S1740" s="21">
        <f t="shared" si="83"/>
        <v>0.46064339493497608</v>
      </c>
    </row>
    <row r="1741" spans="2:19" ht="11.4" customHeight="1" x14ac:dyDescent="0.2">
      <c r="B1741" s="24"/>
      <c r="C1741" s="7">
        <v>20628</v>
      </c>
      <c r="D1741" s="18" t="s">
        <v>1826</v>
      </c>
      <c r="E1741" s="18" t="s">
        <v>1808</v>
      </c>
      <c r="F1741" s="17">
        <v>20</v>
      </c>
      <c r="G1741" s="18" t="s">
        <v>23</v>
      </c>
      <c r="H1741" s="17">
        <v>22.86</v>
      </c>
      <c r="I1741" s="8">
        <v>34.299999999999997</v>
      </c>
      <c r="J1741" s="21">
        <f t="shared" si="81"/>
        <v>0.50043744531933498</v>
      </c>
      <c r="K1741" s="1">
        <v>3</v>
      </c>
      <c r="L1741" s="24">
        <v>2.4</v>
      </c>
      <c r="M1741" s="24">
        <v>31.898999999999997</v>
      </c>
      <c r="N1741" s="21">
        <f t="shared" si="82"/>
        <v>0.39540682414698153</v>
      </c>
      <c r="P1741" s="1">
        <v>5</v>
      </c>
      <c r="Q1741" s="24">
        <v>4.1159999999999997</v>
      </c>
      <c r="R1741" s="24">
        <v>30.183999999999997</v>
      </c>
      <c r="S1741" s="21">
        <f t="shared" si="83"/>
        <v>0.32038495188101479</v>
      </c>
    </row>
    <row r="1742" spans="2:19" ht="11.4" customHeight="1" x14ac:dyDescent="0.2">
      <c r="B1742" s="24"/>
      <c r="C1742" s="7">
        <v>37702</v>
      </c>
      <c r="D1742" s="18" t="s">
        <v>1827</v>
      </c>
      <c r="E1742" s="18" t="s">
        <v>1717</v>
      </c>
      <c r="F1742" s="17">
        <v>6</v>
      </c>
      <c r="G1742" s="18" t="s">
        <v>23</v>
      </c>
      <c r="H1742" s="17">
        <v>89.9</v>
      </c>
      <c r="I1742" s="8">
        <v>119.9</v>
      </c>
      <c r="J1742" s="21">
        <f t="shared" si="81"/>
        <v>0.33370411568409342</v>
      </c>
      <c r="K1742" s="1">
        <v>3</v>
      </c>
      <c r="L1742" s="24">
        <v>8.3000000000000007</v>
      </c>
      <c r="M1742" s="24">
        <v>111.50700000000001</v>
      </c>
      <c r="N1742" s="21">
        <f t="shared" si="82"/>
        <v>0.24034482758620687</v>
      </c>
      <c r="P1742" s="1">
        <v>5</v>
      </c>
      <c r="Q1742" s="24">
        <v>14.388000000000005</v>
      </c>
      <c r="R1742" s="24">
        <v>105.512</v>
      </c>
      <c r="S1742" s="21">
        <f t="shared" si="83"/>
        <v>0.17365962180200215</v>
      </c>
    </row>
    <row r="1743" spans="2:19" ht="11.4" customHeight="1" x14ac:dyDescent="0.2">
      <c r="B1743" s="24"/>
      <c r="C1743" s="7">
        <v>44215</v>
      </c>
      <c r="D1743" s="18" t="s">
        <v>1828</v>
      </c>
      <c r="E1743" s="18" t="s">
        <v>1717</v>
      </c>
      <c r="F1743" s="17">
        <v>8</v>
      </c>
      <c r="G1743" s="18" t="s">
        <v>23</v>
      </c>
      <c r="H1743" s="17">
        <v>53</v>
      </c>
      <c r="I1743" s="8">
        <v>82.3</v>
      </c>
      <c r="J1743" s="21">
        <f t="shared" si="81"/>
        <v>0.55283018867924527</v>
      </c>
      <c r="K1743" s="1">
        <v>3</v>
      </c>
      <c r="L1743" s="24">
        <v>5.7</v>
      </c>
      <c r="M1743" s="24">
        <v>76.539000000000001</v>
      </c>
      <c r="N1743" s="21">
        <f t="shared" si="82"/>
        <v>0.44413207547169814</v>
      </c>
      <c r="P1743" s="1">
        <v>5</v>
      </c>
      <c r="Q1743" s="24">
        <v>9.8760000000000048</v>
      </c>
      <c r="R1743" s="24">
        <v>72.423999999999992</v>
      </c>
      <c r="S1743" s="21">
        <f t="shared" si="83"/>
        <v>0.36649056603773572</v>
      </c>
    </row>
    <row r="1744" spans="2:19" ht="11.4" customHeight="1" x14ac:dyDescent="0.2">
      <c r="B1744" s="24"/>
      <c r="C1744" s="7">
        <v>44217</v>
      </c>
      <c r="D1744" s="18" t="s">
        <v>1829</v>
      </c>
      <c r="E1744" s="18" t="s">
        <v>1717</v>
      </c>
      <c r="F1744" s="17">
        <v>8</v>
      </c>
      <c r="G1744" s="18" t="s">
        <v>23</v>
      </c>
      <c r="H1744" s="17">
        <v>53</v>
      </c>
      <c r="I1744" s="8">
        <v>82.3</v>
      </c>
      <c r="J1744" s="21">
        <f t="shared" si="81"/>
        <v>0.55283018867924527</v>
      </c>
      <c r="K1744" s="1">
        <v>3</v>
      </c>
      <c r="L1744" s="24">
        <v>5.7</v>
      </c>
      <c r="M1744" s="24">
        <v>76.539000000000001</v>
      </c>
      <c r="N1744" s="21">
        <f t="shared" si="82"/>
        <v>0.44413207547169814</v>
      </c>
      <c r="P1744" s="1">
        <v>5</v>
      </c>
      <c r="Q1744" s="24">
        <v>9.8760000000000048</v>
      </c>
      <c r="R1744" s="24">
        <v>72.423999999999992</v>
      </c>
      <c r="S1744" s="21">
        <f t="shared" si="83"/>
        <v>0.36649056603773572</v>
      </c>
    </row>
    <row r="1745" spans="2:19" ht="11.4" customHeight="1" x14ac:dyDescent="0.2">
      <c r="B1745" s="24"/>
      <c r="C1745" s="7">
        <v>44220</v>
      </c>
      <c r="D1745" s="18" t="s">
        <v>1830</v>
      </c>
      <c r="E1745" s="18" t="s">
        <v>1717</v>
      </c>
      <c r="F1745" s="17">
        <v>8</v>
      </c>
      <c r="G1745" s="18" t="s">
        <v>23</v>
      </c>
      <c r="H1745" s="17">
        <v>53</v>
      </c>
      <c r="I1745" s="8">
        <v>82.3</v>
      </c>
      <c r="J1745" s="21">
        <f t="shared" si="81"/>
        <v>0.55283018867924527</v>
      </c>
      <c r="K1745" s="1">
        <v>3</v>
      </c>
      <c r="L1745" s="24">
        <v>5.7</v>
      </c>
      <c r="M1745" s="24">
        <v>76.539000000000001</v>
      </c>
      <c r="N1745" s="21">
        <f t="shared" si="82"/>
        <v>0.44413207547169814</v>
      </c>
      <c r="P1745" s="1">
        <v>5</v>
      </c>
      <c r="Q1745" s="24">
        <v>9.8760000000000048</v>
      </c>
      <c r="R1745" s="24">
        <v>72.423999999999992</v>
      </c>
      <c r="S1745" s="21">
        <f t="shared" si="83"/>
        <v>0.36649056603773572</v>
      </c>
    </row>
    <row r="1746" spans="2:19" ht="11.4" customHeight="1" x14ac:dyDescent="0.2">
      <c r="B1746" s="24"/>
      <c r="C1746" s="7">
        <v>44218</v>
      </c>
      <c r="D1746" s="18" t="s">
        <v>1831</v>
      </c>
      <c r="E1746" s="18" t="s">
        <v>1717</v>
      </c>
      <c r="F1746" s="17">
        <v>8</v>
      </c>
      <c r="G1746" s="18" t="s">
        <v>23</v>
      </c>
      <c r="H1746" s="17">
        <v>53</v>
      </c>
      <c r="I1746" s="8">
        <v>82.3</v>
      </c>
      <c r="J1746" s="21">
        <f t="shared" si="81"/>
        <v>0.55283018867924527</v>
      </c>
      <c r="K1746" s="1">
        <v>3</v>
      </c>
      <c r="L1746" s="24">
        <v>5.7</v>
      </c>
      <c r="M1746" s="24">
        <v>76.539000000000001</v>
      </c>
      <c r="N1746" s="21">
        <f t="shared" si="82"/>
        <v>0.44413207547169814</v>
      </c>
      <c r="P1746" s="1">
        <v>5</v>
      </c>
      <c r="Q1746" s="24">
        <v>9.8760000000000048</v>
      </c>
      <c r="R1746" s="24">
        <v>72.423999999999992</v>
      </c>
      <c r="S1746" s="21">
        <f t="shared" si="83"/>
        <v>0.36649056603773572</v>
      </c>
    </row>
    <row r="1747" spans="2:19" ht="11.4" customHeight="1" x14ac:dyDescent="0.2">
      <c r="B1747" s="24"/>
      <c r="C1747" s="7">
        <v>37859</v>
      </c>
      <c r="D1747" s="18" t="s">
        <v>1832</v>
      </c>
      <c r="E1747" s="18" t="s">
        <v>1717</v>
      </c>
      <c r="F1747" s="17">
        <v>15</v>
      </c>
      <c r="G1747" s="18" t="s">
        <v>23</v>
      </c>
      <c r="H1747" s="17">
        <v>49.9</v>
      </c>
      <c r="I1747" s="8">
        <v>49.9</v>
      </c>
      <c r="J1747" s="21">
        <f t="shared" si="81"/>
        <v>0</v>
      </c>
      <c r="K1747" s="1">
        <v>3</v>
      </c>
      <c r="L1747" s="24">
        <v>3.4</v>
      </c>
      <c r="M1747" s="24">
        <v>46.407000000000004</v>
      </c>
      <c r="N1747" s="21">
        <f t="shared" si="82"/>
        <v>-6.9999999999999896E-2</v>
      </c>
      <c r="P1747" s="1">
        <v>5</v>
      </c>
      <c r="Q1747" s="24">
        <v>5.9879999999999995</v>
      </c>
      <c r="R1747" s="24">
        <v>43.911999999999999</v>
      </c>
      <c r="S1747" s="21">
        <f t="shared" si="83"/>
        <v>-0.12</v>
      </c>
    </row>
    <row r="1748" spans="2:19" ht="11.4" customHeight="1" x14ac:dyDescent="0.2">
      <c r="B1748" s="24"/>
      <c r="C1748" s="7">
        <v>37692</v>
      </c>
      <c r="D1748" s="18" t="s">
        <v>1833</v>
      </c>
      <c r="E1748" s="18" t="s">
        <v>1717</v>
      </c>
      <c r="F1748" s="17">
        <v>6</v>
      </c>
      <c r="G1748" s="18" t="s">
        <v>23</v>
      </c>
      <c r="H1748" s="17">
        <v>89.5</v>
      </c>
      <c r="I1748" s="8">
        <v>105.9</v>
      </c>
      <c r="J1748" s="21">
        <f t="shared" si="81"/>
        <v>0.18324022346368721</v>
      </c>
      <c r="K1748" s="1">
        <v>3</v>
      </c>
      <c r="L1748" s="24">
        <v>7.4</v>
      </c>
      <c r="M1748" s="24">
        <v>98.487000000000009</v>
      </c>
      <c r="N1748" s="21">
        <f t="shared" si="82"/>
        <v>0.10041340782122915</v>
      </c>
      <c r="P1748" s="1">
        <v>5</v>
      </c>
      <c r="Q1748" s="24">
        <v>12.707999999999998</v>
      </c>
      <c r="R1748" s="24">
        <v>93.192000000000007</v>
      </c>
      <c r="S1748" s="21">
        <f t="shared" si="83"/>
        <v>4.1251396648044773E-2</v>
      </c>
    </row>
    <row r="1749" spans="2:19" ht="11.4" customHeight="1" x14ac:dyDescent="0.2">
      <c r="B1749" s="24"/>
      <c r="C1749" s="7">
        <v>38936</v>
      </c>
      <c r="D1749" s="18" t="s">
        <v>1834</v>
      </c>
      <c r="E1749" s="18" t="s">
        <v>1717</v>
      </c>
      <c r="F1749" s="17">
        <v>12</v>
      </c>
      <c r="G1749" s="18" t="s">
        <v>23</v>
      </c>
      <c r="H1749" s="17">
        <v>119.5</v>
      </c>
      <c r="I1749" s="8">
        <v>152</v>
      </c>
      <c r="J1749" s="21">
        <f t="shared" si="81"/>
        <v>0.27196652719665271</v>
      </c>
      <c r="K1749" s="1">
        <v>3</v>
      </c>
      <c r="L1749" s="24">
        <v>10.6</v>
      </c>
      <c r="M1749" s="24">
        <v>141.36000000000001</v>
      </c>
      <c r="N1749" s="21">
        <f t="shared" si="82"/>
        <v>0.18292887029288715</v>
      </c>
      <c r="P1749" s="1">
        <v>5</v>
      </c>
      <c r="Q1749" s="24">
        <v>18.240000000000009</v>
      </c>
      <c r="R1749" s="24">
        <v>133.76</v>
      </c>
      <c r="S1749" s="21">
        <f t="shared" si="83"/>
        <v>0.11933054393305431</v>
      </c>
    </row>
    <row r="1750" spans="2:19" ht="11.4" customHeight="1" x14ac:dyDescent="0.2">
      <c r="B1750" s="24"/>
      <c r="C1750" s="7">
        <v>38937</v>
      </c>
      <c r="D1750" s="18" t="s">
        <v>1835</v>
      </c>
      <c r="E1750" s="18" t="s">
        <v>1717</v>
      </c>
      <c r="F1750" s="17">
        <v>12</v>
      </c>
      <c r="G1750" s="18" t="s">
        <v>23</v>
      </c>
      <c r="H1750" s="17">
        <v>119.5</v>
      </c>
      <c r="I1750" s="8">
        <v>152</v>
      </c>
      <c r="J1750" s="21">
        <f t="shared" si="81"/>
        <v>0.27196652719665271</v>
      </c>
      <c r="K1750" s="1">
        <v>3</v>
      </c>
      <c r="L1750" s="24">
        <v>10.6</v>
      </c>
      <c r="M1750" s="24">
        <v>141.36000000000001</v>
      </c>
      <c r="N1750" s="21">
        <f t="shared" si="82"/>
        <v>0.18292887029288715</v>
      </c>
      <c r="P1750" s="1">
        <v>5</v>
      </c>
      <c r="Q1750" s="24">
        <v>18.240000000000009</v>
      </c>
      <c r="R1750" s="24">
        <v>133.76</v>
      </c>
      <c r="S1750" s="21">
        <f t="shared" si="83"/>
        <v>0.11933054393305431</v>
      </c>
    </row>
    <row r="1751" spans="2:19" ht="11.4" customHeight="1" x14ac:dyDescent="0.2">
      <c r="B1751" s="24"/>
      <c r="C1751" s="7">
        <v>28916</v>
      </c>
      <c r="D1751" s="18" t="s">
        <v>1836</v>
      </c>
      <c r="E1751" s="18" t="s">
        <v>1717</v>
      </c>
      <c r="F1751" s="17">
        <v>12</v>
      </c>
      <c r="G1751" s="18" t="s">
        <v>23</v>
      </c>
      <c r="H1751" s="17">
        <v>119.9</v>
      </c>
      <c r="I1751" s="8">
        <v>152</v>
      </c>
      <c r="J1751" s="21">
        <f t="shared" si="81"/>
        <v>0.26772310258548787</v>
      </c>
      <c r="K1751" s="1">
        <v>3</v>
      </c>
      <c r="L1751" s="24">
        <v>10.6</v>
      </c>
      <c r="M1751" s="24">
        <v>141.36000000000001</v>
      </c>
      <c r="N1751" s="21">
        <f t="shared" si="82"/>
        <v>0.17898248540450382</v>
      </c>
      <c r="P1751" s="1">
        <v>5</v>
      </c>
      <c r="Q1751" s="24">
        <v>18.240000000000009</v>
      </c>
      <c r="R1751" s="24">
        <v>133.76</v>
      </c>
      <c r="S1751" s="21">
        <f t="shared" si="83"/>
        <v>0.11559633027522923</v>
      </c>
    </row>
    <row r="1752" spans="2:19" ht="11.4" customHeight="1" x14ac:dyDescent="0.2">
      <c r="B1752" s="24"/>
      <c r="C1752" s="7">
        <v>26218</v>
      </c>
      <c r="D1752" s="18" t="s">
        <v>1837</v>
      </c>
      <c r="E1752" s="18" t="s">
        <v>1808</v>
      </c>
      <c r="F1752" s="17">
        <v>6</v>
      </c>
      <c r="G1752" s="18" t="s">
        <v>23</v>
      </c>
      <c r="H1752" s="17">
        <v>82.62</v>
      </c>
      <c r="I1752" s="8">
        <v>115.7</v>
      </c>
      <c r="J1752" s="21">
        <f t="shared" si="81"/>
        <v>0.40038731541999512</v>
      </c>
      <c r="K1752" s="1">
        <v>3</v>
      </c>
      <c r="L1752" s="24">
        <v>8</v>
      </c>
      <c r="M1752" s="24">
        <v>107.60100000000001</v>
      </c>
      <c r="N1752" s="21">
        <f t="shared" si="82"/>
        <v>0.3023602033405956</v>
      </c>
      <c r="P1752" s="1">
        <v>5</v>
      </c>
      <c r="Q1752" s="24">
        <v>13.884</v>
      </c>
      <c r="R1752" s="24">
        <v>101.816</v>
      </c>
      <c r="S1752" s="21">
        <f t="shared" si="83"/>
        <v>0.2323408375695957</v>
      </c>
    </row>
    <row r="1753" spans="2:19" ht="11.4" customHeight="1" x14ac:dyDescent="0.2">
      <c r="B1753" s="24"/>
      <c r="C1753" s="7">
        <v>43819</v>
      </c>
      <c r="D1753" s="18" t="s">
        <v>1838</v>
      </c>
      <c r="E1753" s="18" t="s">
        <v>1717</v>
      </c>
      <c r="F1753" s="17">
        <v>12</v>
      </c>
      <c r="G1753" s="18" t="s">
        <v>23</v>
      </c>
      <c r="H1753" s="17">
        <v>26.24</v>
      </c>
      <c r="I1753" s="8">
        <v>39.9</v>
      </c>
      <c r="J1753" s="21">
        <f t="shared" si="81"/>
        <v>0.52057926829268297</v>
      </c>
      <c r="K1753" s="1">
        <v>3</v>
      </c>
      <c r="L1753" s="24">
        <v>2.7</v>
      </c>
      <c r="M1753" s="24">
        <v>37.106999999999999</v>
      </c>
      <c r="N1753" s="21">
        <f t="shared" si="82"/>
        <v>0.41413871951219516</v>
      </c>
      <c r="P1753" s="1">
        <v>5</v>
      </c>
      <c r="Q1753" s="24">
        <v>4.7879999999999967</v>
      </c>
      <c r="R1753" s="24">
        <v>35.112000000000002</v>
      </c>
      <c r="S1753" s="21">
        <f t="shared" si="83"/>
        <v>0.33810975609756111</v>
      </c>
    </row>
    <row r="1754" spans="2:19" ht="11.4" customHeight="1" x14ac:dyDescent="0.2">
      <c r="B1754" s="24"/>
      <c r="C1754" s="7">
        <v>14249</v>
      </c>
      <c r="D1754" s="18" t="s">
        <v>1839</v>
      </c>
      <c r="E1754" s="18" t="s">
        <v>1717</v>
      </c>
      <c r="F1754" s="17">
        <v>12</v>
      </c>
      <c r="G1754" s="18" t="s">
        <v>23</v>
      </c>
      <c r="H1754" s="17">
        <v>62.2</v>
      </c>
      <c r="I1754" s="8">
        <v>66.900000000000006</v>
      </c>
      <c r="J1754" s="21">
        <f t="shared" si="81"/>
        <v>7.5562700964630261E-2</v>
      </c>
      <c r="K1754" s="1">
        <v>3</v>
      </c>
      <c r="L1754" s="24">
        <v>4.5999999999999996</v>
      </c>
      <c r="M1754" s="24">
        <v>62.217000000000006</v>
      </c>
      <c r="N1754" s="21">
        <f t="shared" si="82"/>
        <v>2.7331189710615774E-4</v>
      </c>
      <c r="P1754" s="1">
        <v>5</v>
      </c>
      <c r="Q1754" s="24">
        <v>8.0279999999999987</v>
      </c>
      <c r="R1754" s="24">
        <v>58.872000000000007</v>
      </c>
      <c r="S1754" s="21">
        <f t="shared" si="83"/>
        <v>-5.3504823151125334E-2</v>
      </c>
    </row>
    <row r="1755" spans="2:19" ht="11.4" customHeight="1" x14ac:dyDescent="0.2">
      <c r="B1755" s="24"/>
      <c r="C1755" s="7">
        <v>42376</v>
      </c>
      <c r="D1755" s="18" t="s">
        <v>1840</v>
      </c>
      <c r="E1755" s="18" t="s">
        <v>1717</v>
      </c>
      <c r="F1755" s="17">
        <v>12</v>
      </c>
      <c r="G1755" s="18" t="s">
        <v>23</v>
      </c>
      <c r="H1755" s="17">
        <v>44.4</v>
      </c>
      <c r="I1755" s="8">
        <v>62.1</v>
      </c>
      <c r="J1755" s="21">
        <f t="shared" si="81"/>
        <v>0.39864864864864874</v>
      </c>
      <c r="K1755" s="1">
        <v>3</v>
      </c>
      <c r="L1755" s="24">
        <v>4.3</v>
      </c>
      <c r="M1755" s="24">
        <v>57.753000000000007</v>
      </c>
      <c r="N1755" s="21">
        <f t="shared" si="82"/>
        <v>0.30074324324324347</v>
      </c>
      <c r="P1755" s="1">
        <v>5</v>
      </c>
      <c r="Q1755" s="24">
        <v>7.4519999999999982</v>
      </c>
      <c r="R1755" s="24">
        <v>54.648000000000003</v>
      </c>
      <c r="S1755" s="21">
        <f t="shared" si="83"/>
        <v>0.23081081081081092</v>
      </c>
    </row>
    <row r="1756" spans="2:19" ht="11.4" customHeight="1" x14ac:dyDescent="0.2">
      <c r="B1756" s="24"/>
      <c r="C1756" s="7">
        <v>20219</v>
      </c>
      <c r="D1756" s="18" t="s">
        <v>1841</v>
      </c>
      <c r="E1756" s="18" t="s">
        <v>1717</v>
      </c>
      <c r="F1756" s="17">
        <v>18</v>
      </c>
      <c r="G1756" s="18" t="s">
        <v>23</v>
      </c>
      <c r="H1756" s="17">
        <v>44.5</v>
      </c>
      <c r="I1756" s="8">
        <v>45.8</v>
      </c>
      <c r="J1756" s="21">
        <f t="shared" si="81"/>
        <v>2.9213483146067351E-2</v>
      </c>
      <c r="K1756" s="1">
        <v>3</v>
      </c>
      <c r="L1756" s="24">
        <v>3.2</v>
      </c>
      <c r="M1756" s="24">
        <v>42.594000000000001</v>
      </c>
      <c r="N1756" s="21">
        <f t="shared" si="82"/>
        <v>-4.2831460674157273E-2</v>
      </c>
      <c r="P1756" s="1">
        <v>5</v>
      </c>
      <c r="Q1756" s="24">
        <v>5.4960000000000022</v>
      </c>
      <c r="R1756" s="24">
        <v>40.303999999999995</v>
      </c>
      <c r="S1756" s="21">
        <f t="shared" si="83"/>
        <v>-9.4292134831460789E-2</v>
      </c>
    </row>
    <row r="1757" spans="2:19" ht="11.4" customHeight="1" x14ac:dyDescent="0.2">
      <c r="B1757" s="24"/>
      <c r="C1757" s="7">
        <v>39062</v>
      </c>
      <c r="D1757" s="18" t="s">
        <v>1842</v>
      </c>
      <c r="E1757" s="18" t="s">
        <v>1843</v>
      </c>
      <c r="F1757" s="17">
        <v>6</v>
      </c>
      <c r="G1757" s="18" t="s">
        <v>23</v>
      </c>
      <c r="H1757" s="17">
        <v>219.5</v>
      </c>
      <c r="I1757" s="8">
        <v>274.5</v>
      </c>
      <c r="J1757" s="21">
        <f t="shared" si="81"/>
        <v>0.25056947608200458</v>
      </c>
      <c r="K1757" s="1">
        <v>3</v>
      </c>
      <c r="L1757" s="24">
        <v>19.2</v>
      </c>
      <c r="M1757" s="24">
        <v>255.28500000000003</v>
      </c>
      <c r="N1757" s="21">
        <f t="shared" si="82"/>
        <v>0.16302961275626435</v>
      </c>
      <c r="P1757" s="1">
        <v>5</v>
      </c>
      <c r="Q1757" s="24">
        <v>32.94</v>
      </c>
      <c r="R1757" s="24">
        <v>241.56</v>
      </c>
      <c r="S1757" s="21">
        <f t="shared" si="83"/>
        <v>0.10050113895216402</v>
      </c>
    </row>
    <row r="1758" spans="2:19" ht="11.4" customHeight="1" x14ac:dyDescent="0.2">
      <c r="B1758" s="24"/>
      <c r="C1758" s="7">
        <v>11632</v>
      </c>
      <c r="D1758" s="18" t="s">
        <v>1844</v>
      </c>
      <c r="E1758" s="18" t="s">
        <v>1808</v>
      </c>
      <c r="F1758" s="17">
        <v>30</v>
      </c>
      <c r="G1758" s="18" t="s">
        <v>23</v>
      </c>
      <c r="H1758" s="17">
        <v>33.9</v>
      </c>
      <c r="I1758" s="8">
        <v>38.4</v>
      </c>
      <c r="J1758" s="21">
        <f t="shared" si="81"/>
        <v>0.13274336283185842</v>
      </c>
      <c r="K1758" s="1">
        <v>3</v>
      </c>
      <c r="L1758" s="24">
        <v>2.6</v>
      </c>
      <c r="M1758" s="24">
        <v>35.712000000000003</v>
      </c>
      <c r="N1758" s="21">
        <f t="shared" si="82"/>
        <v>5.3451327433628459E-2</v>
      </c>
      <c r="P1758" s="1">
        <v>5</v>
      </c>
      <c r="Q1758" s="24">
        <v>4.607999999999997</v>
      </c>
      <c r="R1758" s="24">
        <v>33.792000000000002</v>
      </c>
      <c r="S1758" s="21">
        <f t="shared" si="83"/>
        <v>-3.1858407079645131E-3</v>
      </c>
    </row>
    <row r="1759" spans="2:19" ht="11.4" customHeight="1" x14ac:dyDescent="0.2">
      <c r="B1759" s="24"/>
      <c r="C1759" s="7">
        <v>39059</v>
      </c>
      <c r="D1759" s="18" t="s">
        <v>1845</v>
      </c>
      <c r="E1759" s="18" t="s">
        <v>1843</v>
      </c>
      <c r="F1759" s="17">
        <v>6</v>
      </c>
      <c r="G1759" s="18" t="s">
        <v>23</v>
      </c>
      <c r="H1759" s="17">
        <v>219.5</v>
      </c>
      <c r="I1759" s="8">
        <v>274.5</v>
      </c>
      <c r="J1759" s="21">
        <f t="shared" si="81"/>
        <v>0.25056947608200458</v>
      </c>
      <c r="K1759" s="1">
        <v>3</v>
      </c>
      <c r="L1759" s="24">
        <v>19.2</v>
      </c>
      <c r="M1759" s="24">
        <v>255.28500000000003</v>
      </c>
      <c r="N1759" s="21">
        <f t="shared" si="82"/>
        <v>0.16302961275626435</v>
      </c>
      <c r="P1759" s="1">
        <v>5</v>
      </c>
      <c r="Q1759" s="24">
        <v>32.94</v>
      </c>
      <c r="R1759" s="24">
        <v>241.56</v>
      </c>
      <c r="S1759" s="21">
        <f t="shared" si="83"/>
        <v>0.10050113895216402</v>
      </c>
    </row>
    <row r="1760" spans="2:19" ht="11.4" customHeight="1" x14ac:dyDescent="0.2">
      <c r="B1760" s="24"/>
      <c r="C1760" s="7">
        <v>4615</v>
      </c>
      <c r="D1760" s="18" t="s">
        <v>1846</v>
      </c>
      <c r="E1760" s="18" t="s">
        <v>1808</v>
      </c>
      <c r="F1760" s="17">
        <v>30</v>
      </c>
      <c r="G1760" s="18" t="s">
        <v>23</v>
      </c>
      <c r="H1760" s="17">
        <v>34.5</v>
      </c>
      <c r="I1760" s="8">
        <v>37.9</v>
      </c>
      <c r="J1760" s="21">
        <f t="shared" si="81"/>
        <v>9.8550724637681122E-2</v>
      </c>
      <c r="K1760" s="1">
        <v>3</v>
      </c>
      <c r="L1760" s="24">
        <v>2.6</v>
      </c>
      <c r="M1760" s="24">
        <v>35.247</v>
      </c>
      <c r="N1760" s="21">
        <f t="shared" si="82"/>
        <v>2.1652173913043474E-2</v>
      </c>
      <c r="P1760" s="1">
        <v>5</v>
      </c>
      <c r="Q1760" s="24">
        <v>4.5480000000000018</v>
      </c>
      <c r="R1760" s="24">
        <v>33.351999999999997</v>
      </c>
      <c r="S1760" s="21">
        <f t="shared" si="83"/>
        <v>-3.3275362318840672E-2</v>
      </c>
    </row>
    <row r="1761" spans="1:22" ht="11.4" customHeight="1" x14ac:dyDescent="0.2">
      <c r="B1761" s="24"/>
      <c r="C1761" s="7">
        <v>38823</v>
      </c>
      <c r="D1761" s="18" t="s">
        <v>1847</v>
      </c>
      <c r="E1761" s="18" t="s">
        <v>1717</v>
      </c>
      <c r="F1761" s="17">
        <v>30</v>
      </c>
      <c r="G1761" s="18" t="s">
        <v>23</v>
      </c>
      <c r="H1761" s="17">
        <v>32.4</v>
      </c>
      <c r="I1761" s="8">
        <v>34.9</v>
      </c>
      <c r="J1761" s="21">
        <f t="shared" si="81"/>
        <v>7.7160493827160503E-2</v>
      </c>
      <c r="K1761" s="1">
        <v>3</v>
      </c>
      <c r="L1761" s="24">
        <v>2.4</v>
      </c>
      <c r="M1761" s="24">
        <v>32.457000000000001</v>
      </c>
      <c r="N1761" s="21">
        <f t="shared" si="82"/>
        <v>1.759259259259326E-3</v>
      </c>
      <c r="P1761" s="1">
        <v>5</v>
      </c>
      <c r="Q1761" s="24">
        <v>4.1879999999999988</v>
      </c>
      <c r="R1761" s="24">
        <v>30.712</v>
      </c>
      <c r="S1761" s="21">
        <f t="shared" si="83"/>
        <v>-5.209876543209873E-2</v>
      </c>
    </row>
    <row r="1762" spans="1:22" ht="11.4" customHeight="1" x14ac:dyDescent="0.2">
      <c r="B1762" s="24"/>
      <c r="C1762" s="7">
        <v>44369</v>
      </c>
      <c r="D1762" s="18" t="s">
        <v>1848</v>
      </c>
      <c r="E1762" s="18" t="s">
        <v>1717</v>
      </c>
      <c r="F1762" s="17">
        <v>18</v>
      </c>
      <c r="G1762" s="18" t="s">
        <v>23</v>
      </c>
      <c r="H1762" s="17">
        <v>37.68</v>
      </c>
      <c r="I1762" s="8">
        <v>59.3</v>
      </c>
      <c r="J1762" s="21">
        <f t="shared" si="81"/>
        <v>0.57377919320594473</v>
      </c>
      <c r="K1762" s="1">
        <v>3</v>
      </c>
      <c r="L1762" s="24">
        <v>4.0999999999999996</v>
      </c>
      <c r="M1762" s="24">
        <v>55.149000000000001</v>
      </c>
      <c r="N1762" s="21">
        <f t="shared" si="82"/>
        <v>0.46361464968152871</v>
      </c>
      <c r="P1762" s="1">
        <v>5</v>
      </c>
      <c r="Q1762" s="24">
        <v>7.1159999999999997</v>
      </c>
      <c r="R1762" s="24">
        <v>52.183999999999997</v>
      </c>
      <c r="S1762" s="21">
        <f t="shared" si="83"/>
        <v>0.38492569002123139</v>
      </c>
    </row>
    <row r="1763" spans="1:22" ht="11.4" customHeight="1" x14ac:dyDescent="0.2">
      <c r="B1763" s="24"/>
      <c r="C1763" s="7">
        <v>38941</v>
      </c>
      <c r="D1763" s="18" t="s">
        <v>1849</v>
      </c>
      <c r="E1763" s="18" t="s">
        <v>1717</v>
      </c>
      <c r="F1763" s="17">
        <v>6</v>
      </c>
      <c r="G1763" s="18" t="s">
        <v>23</v>
      </c>
      <c r="H1763" s="17">
        <v>109.5</v>
      </c>
      <c r="I1763" s="8">
        <v>135</v>
      </c>
      <c r="J1763" s="21">
        <f t="shared" si="81"/>
        <v>0.23287671232876711</v>
      </c>
      <c r="K1763" s="1">
        <v>3</v>
      </c>
      <c r="L1763" s="24">
        <v>9.4</v>
      </c>
      <c r="M1763" s="24">
        <v>125.55000000000001</v>
      </c>
      <c r="N1763" s="21">
        <f t="shared" si="82"/>
        <v>0.14657534246575352</v>
      </c>
      <c r="P1763" s="1">
        <v>5</v>
      </c>
      <c r="Q1763" s="24">
        <v>16.200000000000003</v>
      </c>
      <c r="R1763" s="24">
        <v>118.8</v>
      </c>
      <c r="S1763" s="21">
        <f t="shared" si="83"/>
        <v>8.4931506849315039E-2</v>
      </c>
    </row>
    <row r="1764" spans="1:22" ht="11.4" customHeight="1" x14ac:dyDescent="0.2">
      <c r="B1764" s="24"/>
      <c r="C1764" s="7">
        <v>44509</v>
      </c>
      <c r="D1764" s="18" t="s">
        <v>1850</v>
      </c>
      <c r="E1764" s="18" t="s">
        <v>1808</v>
      </c>
      <c r="F1764" s="17">
        <v>6</v>
      </c>
      <c r="G1764" s="18" t="s">
        <v>23</v>
      </c>
      <c r="H1764" s="17">
        <v>64.2</v>
      </c>
      <c r="I1764" s="8">
        <v>85.5</v>
      </c>
      <c r="J1764" s="21">
        <f t="shared" si="81"/>
        <v>0.33177570093457937</v>
      </c>
      <c r="K1764" s="1">
        <v>3</v>
      </c>
      <c r="L1764" s="24">
        <v>5.9</v>
      </c>
      <c r="M1764" s="24">
        <v>79.515000000000001</v>
      </c>
      <c r="N1764" s="21">
        <f t="shared" si="82"/>
        <v>0.23855140186915882</v>
      </c>
      <c r="P1764" s="1">
        <v>5</v>
      </c>
      <c r="Q1764" s="24">
        <v>10.260000000000005</v>
      </c>
      <c r="R1764" s="24">
        <v>75.239999999999995</v>
      </c>
      <c r="S1764" s="21">
        <f t="shared" si="83"/>
        <v>0.17196261682242978</v>
      </c>
    </row>
    <row r="1765" spans="1:22" ht="11.4" customHeight="1" x14ac:dyDescent="0.2">
      <c r="B1765" s="24"/>
      <c r="C1765" s="7">
        <v>1961</v>
      </c>
      <c r="D1765" s="18" t="s">
        <v>1851</v>
      </c>
      <c r="E1765" s="18" t="s">
        <v>1717</v>
      </c>
      <c r="F1765" s="17">
        <v>30</v>
      </c>
      <c r="G1765" s="18" t="s">
        <v>23</v>
      </c>
      <c r="H1765" s="17">
        <v>33.700000000000003</v>
      </c>
      <c r="I1765" s="8">
        <v>38.9</v>
      </c>
      <c r="J1765" s="21">
        <f t="shared" si="81"/>
        <v>0.15430267062314526</v>
      </c>
      <c r="K1765" s="1">
        <v>3</v>
      </c>
      <c r="L1765" s="24">
        <v>2.7</v>
      </c>
      <c r="M1765" s="24">
        <v>36.177</v>
      </c>
      <c r="N1765" s="21">
        <f t="shared" si="82"/>
        <v>7.3501483679525123E-2</v>
      </c>
      <c r="P1765" s="1">
        <v>5</v>
      </c>
      <c r="Q1765" s="24">
        <v>4.6679999999999993</v>
      </c>
      <c r="R1765" s="24">
        <v>34.231999999999999</v>
      </c>
      <c r="S1765" s="21">
        <f t="shared" si="83"/>
        <v>1.5786350148367847E-2</v>
      </c>
    </row>
    <row r="1766" spans="1:22" s="32" customFormat="1" ht="11.4" customHeight="1" x14ac:dyDescent="0.2">
      <c r="A1766" s="25"/>
      <c r="B1766" s="24"/>
      <c r="C1766" s="26">
        <v>26420</v>
      </c>
      <c r="D1766" s="27" t="s">
        <v>1852</v>
      </c>
      <c r="E1766" s="27" t="s">
        <v>1717</v>
      </c>
      <c r="F1766" s="28">
        <v>6</v>
      </c>
      <c r="G1766" s="27" t="s">
        <v>23</v>
      </c>
      <c r="H1766" s="28">
        <v>46.92</v>
      </c>
      <c r="I1766" s="29">
        <v>65.900000000000006</v>
      </c>
      <c r="J1766" s="30">
        <f>(I1766-H1766)/H1766</f>
        <v>0.4045183290707588</v>
      </c>
      <c r="K1766" s="25">
        <v>3</v>
      </c>
      <c r="L1766" s="31">
        <v>4.5999999999999996</v>
      </c>
      <c r="M1766" s="31">
        <v>61.287000000000006</v>
      </c>
      <c r="N1766" s="30">
        <f>(M1766-H1766)/H1766</f>
        <v>0.3062020460358057</v>
      </c>
      <c r="O1766" s="25"/>
      <c r="P1766" s="25">
        <v>5</v>
      </c>
      <c r="Q1766" s="31">
        <v>7.9080000000000013</v>
      </c>
      <c r="R1766" s="31">
        <v>57.992000000000004</v>
      </c>
      <c r="S1766" s="30">
        <f t="shared" si="83"/>
        <v>0.23597612958226774</v>
      </c>
      <c r="T1766" s="25"/>
      <c r="U1766" s="25"/>
      <c r="V1766" s="25"/>
    </row>
    <row r="1767" spans="1:22" ht="11.4" customHeight="1" x14ac:dyDescent="0.2">
      <c r="B1767" s="24"/>
      <c r="C1767" s="7">
        <v>37693</v>
      </c>
      <c r="D1767" s="18" t="s">
        <v>1853</v>
      </c>
      <c r="E1767" s="18" t="s">
        <v>1717</v>
      </c>
      <c r="F1767" s="17">
        <v>6</v>
      </c>
      <c r="G1767" s="18" t="s">
        <v>23</v>
      </c>
      <c r="H1767" s="17">
        <v>67.900000000000006</v>
      </c>
      <c r="I1767" s="8">
        <v>94.9</v>
      </c>
      <c r="J1767" s="21">
        <f t="shared" si="81"/>
        <v>0.39764359351988215</v>
      </c>
      <c r="K1767" s="1">
        <v>3</v>
      </c>
      <c r="L1767" s="24">
        <v>6.6</v>
      </c>
      <c r="M1767" s="24">
        <v>88.257000000000005</v>
      </c>
      <c r="N1767" s="21">
        <f t="shared" si="82"/>
        <v>0.29980854197349038</v>
      </c>
      <c r="P1767" s="1">
        <v>5</v>
      </c>
      <c r="Q1767" s="24">
        <v>11.388000000000005</v>
      </c>
      <c r="R1767" s="24">
        <v>83.512</v>
      </c>
      <c r="S1767" s="21">
        <f t="shared" si="83"/>
        <v>0.22992636229749622</v>
      </c>
    </row>
    <row r="1768" spans="1:22" ht="11.4" customHeight="1" x14ac:dyDescent="0.2">
      <c r="B1768" s="24"/>
      <c r="C1768" s="7">
        <v>33154</v>
      </c>
      <c r="D1768" s="18" t="s">
        <v>1854</v>
      </c>
      <c r="E1768" s="18" t="s">
        <v>1717</v>
      </c>
      <c r="F1768" s="17">
        <v>8</v>
      </c>
      <c r="G1768" s="18" t="s">
        <v>23</v>
      </c>
      <c r="H1768" s="17">
        <v>40.9</v>
      </c>
      <c r="I1768" s="8">
        <v>46.1</v>
      </c>
      <c r="J1768" s="21">
        <f t="shared" si="81"/>
        <v>0.12713936430317857</v>
      </c>
      <c r="K1768" s="1">
        <v>3</v>
      </c>
      <c r="L1768" s="24">
        <v>3.2</v>
      </c>
      <c r="M1768" s="24">
        <v>42.873000000000005</v>
      </c>
      <c r="N1768" s="21">
        <f t="shared" si="82"/>
        <v>4.8239608801956144E-2</v>
      </c>
      <c r="P1768" s="1">
        <v>5</v>
      </c>
      <c r="Q1768" s="24">
        <v>5.5319999999999965</v>
      </c>
      <c r="R1768" s="24">
        <v>40.568000000000005</v>
      </c>
      <c r="S1768" s="21">
        <f t="shared" si="83"/>
        <v>-8.1173594132027786E-3</v>
      </c>
    </row>
    <row r="1769" spans="1:22" ht="11.4" customHeight="1" x14ac:dyDescent="0.2">
      <c r="B1769" s="24"/>
      <c r="C1769" s="7">
        <v>39066</v>
      </c>
      <c r="D1769" s="18" t="s">
        <v>1855</v>
      </c>
      <c r="E1769" s="18" t="s">
        <v>1393</v>
      </c>
      <c r="F1769" s="17">
        <v>15</v>
      </c>
      <c r="G1769" s="18" t="s">
        <v>23</v>
      </c>
      <c r="H1769" s="17">
        <v>99.9</v>
      </c>
      <c r="I1769" s="8">
        <v>99.9</v>
      </c>
      <c r="J1769" s="21">
        <f t="shared" si="81"/>
        <v>0</v>
      </c>
      <c r="K1769" s="1">
        <v>3</v>
      </c>
      <c r="L1769" s="24">
        <v>6.9</v>
      </c>
      <c r="M1769" s="24">
        <v>92.907000000000011</v>
      </c>
      <c r="N1769" s="21">
        <f t="shared" si="82"/>
        <v>-6.9999999999999951E-2</v>
      </c>
      <c r="P1769" s="1">
        <v>5</v>
      </c>
      <c r="Q1769" s="24">
        <v>11.988</v>
      </c>
      <c r="R1769" s="24">
        <v>87.912000000000006</v>
      </c>
      <c r="S1769" s="21">
        <f t="shared" si="83"/>
        <v>-0.12</v>
      </c>
    </row>
    <row r="1770" spans="1:22" ht="11.4" customHeight="1" x14ac:dyDescent="0.2">
      <c r="B1770" s="24"/>
      <c r="C1770" s="7">
        <v>40500</v>
      </c>
      <c r="D1770" s="18" t="s">
        <v>1856</v>
      </c>
      <c r="E1770" s="18" t="s">
        <v>1717</v>
      </c>
      <c r="F1770" s="17">
        <v>6</v>
      </c>
      <c r="G1770" s="18" t="s">
        <v>23</v>
      </c>
      <c r="H1770" s="17">
        <v>115.38</v>
      </c>
      <c r="I1770" s="8">
        <v>179.4</v>
      </c>
      <c r="J1770" s="21">
        <f t="shared" si="81"/>
        <v>0.55486219448777963</v>
      </c>
      <c r="K1770" s="1">
        <v>3</v>
      </c>
      <c r="L1770" s="24">
        <v>12.5</v>
      </c>
      <c r="M1770" s="24">
        <v>166.84200000000001</v>
      </c>
      <c r="N1770" s="21">
        <f t="shared" si="82"/>
        <v>0.44602184087363511</v>
      </c>
      <c r="P1770" s="1">
        <v>5</v>
      </c>
      <c r="Q1770" s="24">
        <v>21.527999999999992</v>
      </c>
      <c r="R1770" s="24">
        <v>157.87200000000001</v>
      </c>
      <c r="S1770" s="21">
        <f t="shared" si="83"/>
        <v>0.36827873114924614</v>
      </c>
    </row>
    <row r="1771" spans="1:22" ht="11.4" customHeight="1" x14ac:dyDescent="0.2">
      <c r="B1771" s="24"/>
      <c r="C1771" s="7">
        <v>44507</v>
      </c>
      <c r="D1771" s="18" t="s">
        <v>1857</v>
      </c>
      <c r="E1771" s="18" t="s">
        <v>1717</v>
      </c>
      <c r="F1771" s="17">
        <v>6</v>
      </c>
      <c r="G1771" s="18" t="s">
        <v>23</v>
      </c>
      <c r="H1771" s="17">
        <v>64.2</v>
      </c>
      <c r="I1771" s="8">
        <v>94.5</v>
      </c>
      <c r="J1771" s="21">
        <f t="shared" si="81"/>
        <v>0.47196261682242985</v>
      </c>
      <c r="K1771" s="1">
        <v>3</v>
      </c>
      <c r="L1771" s="24">
        <v>6.6</v>
      </c>
      <c r="M1771" s="24">
        <v>87.885000000000005</v>
      </c>
      <c r="N1771" s="21">
        <f t="shared" si="82"/>
        <v>0.36892523364485985</v>
      </c>
      <c r="P1771" s="1">
        <v>5</v>
      </c>
      <c r="Q1771" s="24">
        <v>11.340000000000003</v>
      </c>
      <c r="R1771" s="24">
        <v>83.16</v>
      </c>
      <c r="S1771" s="21">
        <f t="shared" si="83"/>
        <v>0.2953271028037382</v>
      </c>
    </row>
    <row r="1772" spans="1:22" ht="11.4" customHeight="1" x14ac:dyDescent="0.2">
      <c r="B1772" s="24"/>
      <c r="C1772" s="7">
        <v>33156</v>
      </c>
      <c r="D1772" s="18" t="s">
        <v>1858</v>
      </c>
      <c r="E1772" s="18" t="s">
        <v>1717</v>
      </c>
      <c r="F1772" s="17">
        <v>20</v>
      </c>
      <c r="G1772" s="18" t="s">
        <v>23</v>
      </c>
      <c r="H1772" s="17">
        <v>33.9</v>
      </c>
      <c r="I1772" s="8">
        <v>37.1</v>
      </c>
      <c r="J1772" s="21">
        <f t="shared" si="81"/>
        <v>9.4395280235988283E-2</v>
      </c>
      <c r="K1772" s="1">
        <v>3</v>
      </c>
      <c r="L1772" s="24">
        <v>2.5</v>
      </c>
      <c r="M1772" s="24">
        <v>34.503</v>
      </c>
      <c r="N1772" s="21">
        <f t="shared" si="82"/>
        <v>1.7787610619469072E-2</v>
      </c>
      <c r="P1772" s="1">
        <v>5</v>
      </c>
      <c r="Q1772" s="24">
        <v>4.4519999999999982</v>
      </c>
      <c r="R1772" s="24">
        <v>32.648000000000003</v>
      </c>
      <c r="S1772" s="21">
        <f t="shared" si="83"/>
        <v>-3.6932153392330247E-2</v>
      </c>
    </row>
    <row r="1773" spans="1:22" ht="11.4" customHeight="1" x14ac:dyDescent="0.2">
      <c r="B1773" s="24"/>
      <c r="C1773" s="7">
        <v>38934</v>
      </c>
      <c r="D1773" s="18" t="s">
        <v>1859</v>
      </c>
      <c r="E1773" s="18" t="s">
        <v>1717</v>
      </c>
      <c r="F1773" s="17">
        <v>12</v>
      </c>
      <c r="G1773" s="18" t="s">
        <v>23</v>
      </c>
      <c r="H1773" s="17">
        <v>119.5</v>
      </c>
      <c r="I1773" s="8">
        <v>154</v>
      </c>
      <c r="J1773" s="21">
        <f t="shared" si="81"/>
        <v>0.28870292887029286</v>
      </c>
      <c r="K1773" s="1">
        <v>3</v>
      </c>
      <c r="L1773" s="24">
        <v>10.7</v>
      </c>
      <c r="M1773" s="24">
        <v>143.22</v>
      </c>
      <c r="N1773" s="21">
        <f t="shared" si="82"/>
        <v>0.19849372384937239</v>
      </c>
      <c r="P1773" s="1">
        <v>5</v>
      </c>
      <c r="Q1773" s="24">
        <v>18.47999999999999</v>
      </c>
      <c r="R1773" s="24">
        <v>135.52000000000001</v>
      </c>
      <c r="S1773" s="21">
        <f t="shared" si="83"/>
        <v>0.13405857740585783</v>
      </c>
    </row>
    <row r="1774" spans="1:22" ht="11.4" customHeight="1" x14ac:dyDescent="0.2">
      <c r="B1774" s="24"/>
      <c r="C1774" s="7">
        <v>10703</v>
      </c>
      <c r="D1774" s="18" t="s">
        <v>1860</v>
      </c>
      <c r="E1774" s="18" t="s">
        <v>1717</v>
      </c>
      <c r="F1774" s="17">
        <v>12</v>
      </c>
      <c r="G1774" s="18" t="s">
        <v>23</v>
      </c>
      <c r="H1774" s="17">
        <v>62.2</v>
      </c>
      <c r="I1774" s="8">
        <v>67.5</v>
      </c>
      <c r="J1774" s="21">
        <f t="shared" si="81"/>
        <v>8.5209003215434037E-2</v>
      </c>
      <c r="K1774" s="1">
        <v>3</v>
      </c>
      <c r="L1774" s="24">
        <v>4.7</v>
      </c>
      <c r="M1774" s="24">
        <v>62.775000000000006</v>
      </c>
      <c r="N1774" s="21">
        <f t="shared" si="82"/>
        <v>9.2443729903537424E-3</v>
      </c>
      <c r="P1774" s="1">
        <v>5</v>
      </c>
      <c r="Q1774" s="24">
        <v>8.1000000000000014</v>
      </c>
      <c r="R1774" s="24">
        <v>59.4</v>
      </c>
      <c r="S1774" s="21">
        <f t="shared" si="83"/>
        <v>-4.501607717041807E-2</v>
      </c>
    </row>
    <row r="1775" spans="1:22" ht="11.4" customHeight="1" x14ac:dyDescent="0.2">
      <c r="B1775" s="24"/>
      <c r="C1775" s="7">
        <v>8357</v>
      </c>
      <c r="D1775" s="18" t="s">
        <v>1861</v>
      </c>
      <c r="E1775" s="18" t="s">
        <v>1808</v>
      </c>
      <c r="F1775" s="17">
        <v>30</v>
      </c>
      <c r="G1775" s="18" t="s">
        <v>23</v>
      </c>
      <c r="H1775" s="17">
        <v>34.5</v>
      </c>
      <c r="I1775" s="8">
        <v>37.9</v>
      </c>
      <c r="J1775" s="21">
        <f t="shared" si="81"/>
        <v>9.8550724637681122E-2</v>
      </c>
      <c r="K1775" s="1">
        <v>3</v>
      </c>
      <c r="L1775" s="24">
        <v>2.6</v>
      </c>
      <c r="M1775" s="24">
        <v>35.247</v>
      </c>
      <c r="N1775" s="21">
        <f t="shared" si="82"/>
        <v>2.1652173913043474E-2</v>
      </c>
      <c r="P1775" s="1">
        <v>5</v>
      </c>
      <c r="Q1775" s="24">
        <v>4.5480000000000018</v>
      </c>
      <c r="R1775" s="24">
        <v>33.351999999999997</v>
      </c>
      <c r="S1775" s="21">
        <f t="shared" si="83"/>
        <v>-3.3275362318840672E-2</v>
      </c>
    </row>
    <row r="1776" spans="1:22" ht="11.4" customHeight="1" x14ac:dyDescent="0.2">
      <c r="B1776" s="24"/>
      <c r="C1776" s="7">
        <v>44482</v>
      </c>
      <c r="D1776" s="18" t="s">
        <v>1862</v>
      </c>
      <c r="E1776" s="18" t="s">
        <v>1748</v>
      </c>
      <c r="F1776" s="17">
        <v>6</v>
      </c>
      <c r="G1776" s="18" t="s">
        <v>23</v>
      </c>
      <c r="H1776" s="17">
        <v>135.47999999999999</v>
      </c>
      <c r="I1776" s="8">
        <v>189.7</v>
      </c>
      <c r="J1776" s="21">
        <f t="shared" si="81"/>
        <v>0.40020667257159731</v>
      </c>
      <c r="K1776" s="1">
        <v>3</v>
      </c>
      <c r="L1776" s="24">
        <v>13.2</v>
      </c>
      <c r="M1776" s="24">
        <v>176.42099999999999</v>
      </c>
      <c r="N1776" s="21">
        <f t="shared" si="82"/>
        <v>0.30219220549158554</v>
      </c>
      <c r="P1776" s="1">
        <v>5</v>
      </c>
      <c r="Q1776" s="24">
        <v>22.76400000000001</v>
      </c>
      <c r="R1776" s="24">
        <v>166.93599999999998</v>
      </c>
      <c r="S1776" s="21">
        <f t="shared" si="83"/>
        <v>0.23218187186300554</v>
      </c>
    </row>
    <row r="1777" spans="2:19" ht="11.4" customHeight="1" x14ac:dyDescent="0.2">
      <c r="B1777" s="24"/>
      <c r="C1777" s="7">
        <v>9727</v>
      </c>
      <c r="D1777" s="18" t="s">
        <v>1863</v>
      </c>
      <c r="E1777" s="18" t="s">
        <v>1808</v>
      </c>
      <c r="F1777" s="17">
        <v>30</v>
      </c>
      <c r="G1777" s="18" t="s">
        <v>23</v>
      </c>
      <c r="H1777" s="17">
        <v>33.9</v>
      </c>
      <c r="I1777" s="8">
        <v>34.6</v>
      </c>
      <c r="J1777" s="21">
        <f t="shared" si="81"/>
        <v>2.0648967551622502E-2</v>
      </c>
      <c r="K1777" s="1">
        <v>3</v>
      </c>
      <c r="L1777" s="24">
        <v>2.4</v>
      </c>
      <c r="M1777" s="24">
        <v>32.178000000000004</v>
      </c>
      <c r="N1777" s="21">
        <f t="shared" si="82"/>
        <v>-5.0796460176990979E-2</v>
      </c>
      <c r="P1777" s="1">
        <v>5</v>
      </c>
      <c r="Q1777" s="24">
        <v>4.152000000000001</v>
      </c>
      <c r="R1777" s="24">
        <v>30.448</v>
      </c>
      <c r="S1777" s="21">
        <f t="shared" si="83"/>
        <v>-0.10182890855457222</v>
      </c>
    </row>
    <row r="1778" spans="2:19" ht="11.4" customHeight="1" x14ac:dyDescent="0.2">
      <c r="B1778" s="24"/>
      <c r="C1778" s="7">
        <v>34606</v>
      </c>
      <c r="D1778" s="18" t="s">
        <v>1864</v>
      </c>
      <c r="E1778" s="18" t="s">
        <v>1717</v>
      </c>
      <c r="F1778" s="17">
        <v>32</v>
      </c>
      <c r="G1778" s="18" t="s">
        <v>23</v>
      </c>
      <c r="H1778" s="17">
        <v>33.5</v>
      </c>
      <c r="I1778" s="8">
        <v>37.9</v>
      </c>
      <c r="J1778" s="21">
        <f t="shared" si="81"/>
        <v>0.13134328358208952</v>
      </c>
      <c r="K1778" s="1">
        <v>3</v>
      </c>
      <c r="L1778" s="24">
        <v>2.6</v>
      </c>
      <c r="M1778" s="24">
        <v>35.247</v>
      </c>
      <c r="N1778" s="21">
        <f t="shared" si="82"/>
        <v>5.2149253731343277E-2</v>
      </c>
      <c r="P1778" s="1">
        <v>5</v>
      </c>
      <c r="Q1778" s="24">
        <v>4.5480000000000018</v>
      </c>
      <c r="R1778" s="24">
        <v>33.351999999999997</v>
      </c>
      <c r="S1778" s="21">
        <f t="shared" si="83"/>
        <v>-4.4179104477612904E-3</v>
      </c>
    </row>
    <row r="1779" spans="2:19" ht="11.4" customHeight="1" x14ac:dyDescent="0.2">
      <c r="B1779" s="24"/>
      <c r="C1779" s="7">
        <v>1960</v>
      </c>
      <c r="D1779" s="18" t="s">
        <v>1865</v>
      </c>
      <c r="E1779" s="18" t="s">
        <v>1808</v>
      </c>
      <c r="F1779" s="17">
        <v>30</v>
      </c>
      <c r="G1779" s="18" t="s">
        <v>23</v>
      </c>
      <c r="H1779" s="17">
        <v>33.700000000000003</v>
      </c>
      <c r="I1779" s="8">
        <v>38.4</v>
      </c>
      <c r="J1779" s="21">
        <f t="shared" si="81"/>
        <v>0.13946587537091976</v>
      </c>
      <c r="K1779" s="1">
        <v>3</v>
      </c>
      <c r="L1779" s="24">
        <v>2.6</v>
      </c>
      <c r="M1779" s="24">
        <v>35.712000000000003</v>
      </c>
      <c r="N1779" s="21">
        <f t="shared" si="82"/>
        <v>5.9703264094955501E-2</v>
      </c>
      <c r="P1779" s="1">
        <v>5</v>
      </c>
      <c r="Q1779" s="24">
        <v>4.607999999999997</v>
      </c>
      <c r="R1779" s="24">
        <v>33.792000000000002</v>
      </c>
      <c r="S1779" s="21">
        <f t="shared" si="83"/>
        <v>2.729970326409458E-3</v>
      </c>
    </row>
    <row r="1780" spans="2:19" ht="11.4" customHeight="1" x14ac:dyDescent="0.2">
      <c r="B1780" s="24"/>
      <c r="C1780" s="7">
        <v>43821</v>
      </c>
      <c r="D1780" s="18" t="s">
        <v>1866</v>
      </c>
      <c r="E1780" s="18" t="s">
        <v>1808</v>
      </c>
      <c r="F1780" s="17">
        <v>12</v>
      </c>
      <c r="G1780" s="18" t="s">
        <v>23</v>
      </c>
      <c r="H1780" s="17">
        <v>26.24</v>
      </c>
      <c r="I1780" s="8">
        <v>33.799999999999997</v>
      </c>
      <c r="J1780" s="21">
        <f t="shared" si="81"/>
        <v>0.28810975609756095</v>
      </c>
      <c r="K1780" s="1">
        <v>3</v>
      </c>
      <c r="L1780" s="24">
        <v>2.2999999999999998</v>
      </c>
      <c r="M1780" s="24">
        <v>31.433999999999997</v>
      </c>
      <c r="N1780" s="21">
        <f t="shared" si="82"/>
        <v>0.19794207317073167</v>
      </c>
      <c r="P1780" s="1">
        <v>5</v>
      </c>
      <c r="Q1780" s="24">
        <v>4.0560000000000009</v>
      </c>
      <c r="R1780" s="24">
        <v>29.743999999999996</v>
      </c>
      <c r="S1780" s="21">
        <f t="shared" si="83"/>
        <v>0.13353658536585358</v>
      </c>
    </row>
    <row r="1781" spans="2:19" ht="11.4" customHeight="1" x14ac:dyDescent="0.2">
      <c r="B1781" s="24"/>
      <c r="C1781" s="7">
        <v>44900</v>
      </c>
      <c r="D1781" s="18" t="s">
        <v>1867</v>
      </c>
      <c r="E1781" s="18" t="s">
        <v>1808</v>
      </c>
      <c r="F1781" s="17">
        <v>12</v>
      </c>
      <c r="G1781" s="18" t="s">
        <v>23</v>
      </c>
      <c r="H1781" s="17">
        <v>26.24</v>
      </c>
      <c r="I1781" s="8">
        <v>39.9</v>
      </c>
      <c r="J1781" s="21">
        <f t="shared" si="81"/>
        <v>0.52057926829268297</v>
      </c>
      <c r="K1781" s="1">
        <v>3</v>
      </c>
      <c r="L1781" s="24">
        <v>2.7</v>
      </c>
      <c r="M1781" s="24">
        <v>37.106999999999999</v>
      </c>
      <c r="N1781" s="21">
        <f t="shared" si="82"/>
        <v>0.41413871951219516</v>
      </c>
      <c r="P1781" s="1">
        <v>5</v>
      </c>
      <c r="Q1781" s="24">
        <v>4.7879999999999967</v>
      </c>
      <c r="R1781" s="24">
        <v>35.112000000000002</v>
      </c>
      <c r="S1781" s="21">
        <f t="shared" si="83"/>
        <v>0.33810975609756111</v>
      </c>
    </row>
    <row r="1782" spans="2:19" ht="11.4" customHeight="1" x14ac:dyDescent="0.2">
      <c r="B1782" s="24"/>
      <c r="C1782" s="7">
        <v>43820</v>
      </c>
      <c r="D1782" s="18" t="s">
        <v>1868</v>
      </c>
      <c r="E1782" s="18" t="s">
        <v>1808</v>
      </c>
      <c r="F1782" s="17">
        <v>12</v>
      </c>
      <c r="G1782" s="18" t="s">
        <v>23</v>
      </c>
      <c r="H1782" s="17">
        <v>26.24</v>
      </c>
      <c r="I1782" s="8">
        <v>39.9</v>
      </c>
      <c r="J1782" s="21">
        <f t="shared" si="81"/>
        <v>0.52057926829268297</v>
      </c>
      <c r="K1782" s="1">
        <v>3</v>
      </c>
      <c r="L1782" s="24">
        <v>2.7</v>
      </c>
      <c r="M1782" s="24">
        <v>37.106999999999999</v>
      </c>
      <c r="N1782" s="21">
        <f t="shared" si="82"/>
        <v>0.41413871951219516</v>
      </c>
      <c r="P1782" s="1">
        <v>5</v>
      </c>
      <c r="Q1782" s="24">
        <v>4.7879999999999967</v>
      </c>
      <c r="R1782" s="24">
        <v>35.112000000000002</v>
      </c>
      <c r="S1782" s="21">
        <f t="shared" si="83"/>
        <v>0.33810975609756111</v>
      </c>
    </row>
    <row r="1783" spans="2:19" ht="11.4" customHeight="1" x14ac:dyDescent="0.2">
      <c r="B1783" s="24"/>
      <c r="C1783" s="7">
        <v>42380</v>
      </c>
      <c r="D1783" s="18" t="s">
        <v>1869</v>
      </c>
      <c r="E1783" s="18" t="s">
        <v>1808</v>
      </c>
      <c r="F1783" s="17">
        <v>6</v>
      </c>
      <c r="G1783" s="18" t="s">
        <v>23</v>
      </c>
      <c r="H1783" s="17">
        <v>46.92</v>
      </c>
      <c r="I1783" s="8">
        <v>65.5</v>
      </c>
      <c r="J1783" s="21">
        <f t="shared" si="81"/>
        <v>0.39599317988064786</v>
      </c>
      <c r="K1783" s="1">
        <v>3</v>
      </c>
      <c r="L1783" s="24">
        <v>4.5</v>
      </c>
      <c r="M1783" s="24">
        <v>60.915000000000006</v>
      </c>
      <c r="N1783" s="21">
        <f t="shared" si="82"/>
        <v>0.29827365728900262</v>
      </c>
      <c r="P1783" s="1">
        <v>5</v>
      </c>
      <c r="Q1783" s="24">
        <v>7.8599999999999994</v>
      </c>
      <c r="R1783" s="24">
        <v>57.64</v>
      </c>
      <c r="S1783" s="21">
        <f t="shared" si="83"/>
        <v>0.22847399829497014</v>
      </c>
    </row>
    <row r="1784" spans="2:19" ht="11.4" customHeight="1" x14ac:dyDescent="0.2">
      <c r="B1784" s="24"/>
      <c r="C1784" s="7">
        <v>42379</v>
      </c>
      <c r="D1784" s="18" t="s">
        <v>1870</v>
      </c>
      <c r="E1784" s="18" t="s">
        <v>1808</v>
      </c>
      <c r="F1784" s="17">
        <v>6</v>
      </c>
      <c r="G1784" s="18" t="s">
        <v>23</v>
      </c>
      <c r="H1784" s="17">
        <v>46.92</v>
      </c>
      <c r="I1784" s="8">
        <v>65.5</v>
      </c>
      <c r="J1784" s="21">
        <f t="shared" si="81"/>
        <v>0.39599317988064786</v>
      </c>
      <c r="K1784" s="1">
        <v>3</v>
      </c>
      <c r="L1784" s="24">
        <v>4.5</v>
      </c>
      <c r="M1784" s="24">
        <v>60.915000000000006</v>
      </c>
      <c r="N1784" s="21">
        <f t="shared" si="82"/>
        <v>0.29827365728900262</v>
      </c>
      <c r="P1784" s="1">
        <v>5</v>
      </c>
      <c r="Q1784" s="24">
        <v>7.8599999999999994</v>
      </c>
      <c r="R1784" s="24">
        <v>57.64</v>
      </c>
      <c r="S1784" s="21">
        <f t="shared" si="83"/>
        <v>0.22847399829497014</v>
      </c>
    </row>
    <row r="1785" spans="2:19" ht="11.4" customHeight="1" x14ac:dyDescent="0.2">
      <c r="B1785" s="24"/>
      <c r="C1785" s="7">
        <v>1965</v>
      </c>
      <c r="D1785" s="18" t="s">
        <v>1871</v>
      </c>
      <c r="E1785" s="18" t="s">
        <v>1717</v>
      </c>
      <c r="F1785" s="17">
        <v>30</v>
      </c>
      <c r="G1785" s="18" t="s">
        <v>23</v>
      </c>
      <c r="H1785" s="17">
        <v>33.9</v>
      </c>
      <c r="I1785" s="8">
        <v>37.200000000000003</v>
      </c>
      <c r="J1785" s="21">
        <f t="shared" si="81"/>
        <v>9.7345132743362955E-2</v>
      </c>
      <c r="K1785" s="1">
        <v>3</v>
      </c>
      <c r="L1785" s="24">
        <v>2.6</v>
      </c>
      <c r="M1785" s="24">
        <v>34.596000000000004</v>
      </c>
      <c r="N1785" s="21">
        <f t="shared" si="82"/>
        <v>2.0530973451327584E-2</v>
      </c>
      <c r="P1785" s="1">
        <v>5</v>
      </c>
      <c r="Q1785" s="24">
        <v>4.4639999999999986</v>
      </c>
      <c r="R1785" s="24">
        <v>32.736000000000004</v>
      </c>
      <c r="S1785" s="21">
        <f t="shared" si="83"/>
        <v>-3.4336283185840547E-2</v>
      </c>
    </row>
    <row r="1786" spans="2:19" ht="11.4" customHeight="1" x14ac:dyDescent="0.2">
      <c r="B1786" s="24"/>
      <c r="C1786" s="7">
        <v>42776</v>
      </c>
      <c r="D1786" s="18" t="s">
        <v>1872</v>
      </c>
      <c r="E1786" s="18" t="s">
        <v>1808</v>
      </c>
      <c r="F1786" s="17">
        <v>20</v>
      </c>
      <c r="G1786" s="18" t="s">
        <v>23</v>
      </c>
      <c r="H1786" s="17">
        <v>16.8</v>
      </c>
      <c r="I1786" s="8">
        <v>32.700000000000003</v>
      </c>
      <c r="J1786" s="21">
        <f t="shared" si="81"/>
        <v>0.94642857142857151</v>
      </c>
      <c r="K1786" s="1">
        <v>3</v>
      </c>
      <c r="L1786" s="24">
        <v>2.2000000000000002</v>
      </c>
      <c r="M1786" s="24">
        <v>30.411000000000005</v>
      </c>
      <c r="N1786" s="21">
        <f t="shared" si="82"/>
        <v>0.81017857142857164</v>
      </c>
      <c r="P1786" s="1">
        <v>5</v>
      </c>
      <c r="Q1786" s="24">
        <v>3.9239999999999995</v>
      </c>
      <c r="R1786" s="24">
        <v>28.776000000000003</v>
      </c>
      <c r="S1786" s="21">
        <f t="shared" si="83"/>
        <v>0.71285714285714297</v>
      </c>
    </row>
    <row r="1787" spans="2:19" ht="11.4" customHeight="1" x14ac:dyDescent="0.2">
      <c r="B1787" s="24"/>
      <c r="C1787" s="7">
        <v>40498</v>
      </c>
      <c r="D1787" s="18" t="s">
        <v>1873</v>
      </c>
      <c r="E1787" s="18" t="s">
        <v>1717</v>
      </c>
      <c r="F1787" s="17">
        <v>6</v>
      </c>
      <c r="G1787" s="18" t="s">
        <v>23</v>
      </c>
      <c r="H1787" s="17">
        <v>128.16</v>
      </c>
      <c r="I1787" s="8">
        <v>179.4</v>
      </c>
      <c r="J1787" s="21">
        <f t="shared" si="81"/>
        <v>0.39981273408239709</v>
      </c>
      <c r="K1787" s="1">
        <v>3</v>
      </c>
      <c r="L1787" s="24">
        <v>12.5</v>
      </c>
      <c r="M1787" s="24">
        <v>166.84200000000001</v>
      </c>
      <c r="N1787" s="21">
        <f t="shared" si="82"/>
        <v>0.30182584269662938</v>
      </c>
      <c r="P1787" s="1">
        <v>5</v>
      </c>
      <c r="Q1787" s="24">
        <v>21.527999999999992</v>
      </c>
      <c r="R1787" s="24">
        <v>157.87200000000001</v>
      </c>
      <c r="S1787" s="21">
        <f t="shared" si="83"/>
        <v>0.23183520599250951</v>
      </c>
    </row>
    <row r="1788" spans="2:19" ht="11.4" customHeight="1" x14ac:dyDescent="0.2">
      <c r="B1788" s="24"/>
      <c r="C1788" s="7">
        <v>29777</v>
      </c>
      <c r="D1788" s="18" t="s">
        <v>1874</v>
      </c>
      <c r="E1788" s="18" t="s">
        <v>1717</v>
      </c>
      <c r="F1788" s="17">
        <v>12</v>
      </c>
      <c r="G1788" s="18" t="s">
        <v>23</v>
      </c>
      <c r="H1788" s="17">
        <v>31.4</v>
      </c>
      <c r="I1788" s="8">
        <v>34.9</v>
      </c>
      <c r="J1788" s="21">
        <f t="shared" si="81"/>
        <v>0.11146496815286625</v>
      </c>
      <c r="K1788" s="1">
        <v>3</v>
      </c>
      <c r="L1788" s="24">
        <v>2.4</v>
      </c>
      <c r="M1788" s="24">
        <v>32.457000000000001</v>
      </c>
      <c r="N1788" s="21">
        <f t="shared" si="82"/>
        <v>3.3662420382165673E-2</v>
      </c>
      <c r="P1788" s="1">
        <v>5</v>
      </c>
      <c r="Q1788" s="24">
        <v>4.1879999999999988</v>
      </c>
      <c r="R1788" s="24">
        <v>30.712</v>
      </c>
      <c r="S1788" s="21">
        <f t="shared" si="83"/>
        <v>-2.1910828025477672E-2</v>
      </c>
    </row>
    <row r="1789" spans="2:19" ht="11.4" customHeight="1" x14ac:dyDescent="0.2">
      <c r="B1789" s="24"/>
      <c r="C1789" s="7">
        <v>44505</v>
      </c>
      <c r="D1789" s="18" t="s">
        <v>1875</v>
      </c>
      <c r="E1789" s="18" t="s">
        <v>1717</v>
      </c>
      <c r="F1789" s="17">
        <v>6</v>
      </c>
      <c r="G1789" s="18" t="s">
        <v>23</v>
      </c>
      <c r="H1789" s="17">
        <v>67.44</v>
      </c>
      <c r="I1789" s="8">
        <v>94.4</v>
      </c>
      <c r="J1789" s="21">
        <f t="shared" si="81"/>
        <v>0.39976275207591949</v>
      </c>
      <c r="K1789" s="1">
        <v>3</v>
      </c>
      <c r="L1789" s="24">
        <v>6.6</v>
      </c>
      <c r="M1789" s="24">
        <v>87.792000000000016</v>
      </c>
      <c r="N1789" s="21">
        <f t="shared" si="82"/>
        <v>0.30177935943060524</v>
      </c>
      <c r="P1789" s="1">
        <v>5</v>
      </c>
      <c r="Q1789" s="24">
        <v>11.328000000000003</v>
      </c>
      <c r="R1789" s="24">
        <v>83.072000000000003</v>
      </c>
      <c r="S1789" s="21">
        <f t="shared" si="83"/>
        <v>0.23179122182680909</v>
      </c>
    </row>
    <row r="1790" spans="2:19" ht="11.4" customHeight="1" x14ac:dyDescent="0.2">
      <c r="B1790" s="24"/>
      <c r="C1790" s="7">
        <v>42377</v>
      </c>
      <c r="D1790" s="18" t="s">
        <v>1876</v>
      </c>
      <c r="E1790" s="18" t="s">
        <v>1717</v>
      </c>
      <c r="F1790" s="17">
        <v>6</v>
      </c>
      <c r="G1790" s="18" t="s">
        <v>23</v>
      </c>
      <c r="H1790" s="17">
        <v>46.92</v>
      </c>
      <c r="I1790" s="8">
        <v>65.5</v>
      </c>
      <c r="J1790" s="21">
        <f t="shared" si="81"/>
        <v>0.39599317988064786</v>
      </c>
      <c r="K1790" s="1">
        <v>3</v>
      </c>
      <c r="L1790" s="24">
        <v>4.5</v>
      </c>
      <c r="M1790" s="24">
        <v>60.915000000000006</v>
      </c>
      <c r="N1790" s="21">
        <f t="shared" si="82"/>
        <v>0.29827365728900262</v>
      </c>
      <c r="P1790" s="1">
        <v>5</v>
      </c>
      <c r="Q1790" s="24">
        <v>7.8599999999999994</v>
      </c>
      <c r="R1790" s="24">
        <v>57.64</v>
      </c>
      <c r="S1790" s="21">
        <f t="shared" si="83"/>
        <v>0.22847399829497014</v>
      </c>
    </row>
    <row r="1791" spans="2:19" ht="11.4" customHeight="1" x14ac:dyDescent="0.2">
      <c r="B1791" s="24"/>
      <c r="C1791" s="7">
        <v>44280</v>
      </c>
      <c r="D1791" s="18" t="s">
        <v>1877</v>
      </c>
      <c r="E1791" s="18" t="s">
        <v>1717</v>
      </c>
      <c r="F1791" s="17">
        <v>12</v>
      </c>
      <c r="G1791" s="18" t="s">
        <v>23</v>
      </c>
      <c r="H1791" s="17">
        <v>54.96</v>
      </c>
      <c r="I1791" s="8">
        <v>89.9</v>
      </c>
      <c r="J1791" s="21">
        <f t="shared" si="81"/>
        <v>0.63573508005822421</v>
      </c>
      <c r="K1791" s="1">
        <v>3</v>
      </c>
      <c r="L1791" s="24">
        <v>6.2</v>
      </c>
      <c r="M1791" s="24">
        <v>83.607000000000014</v>
      </c>
      <c r="N1791" s="21">
        <f t="shared" si="82"/>
        <v>0.52123362445414867</v>
      </c>
      <c r="P1791" s="1">
        <v>5</v>
      </c>
      <c r="Q1791" s="24">
        <v>10.787999999999997</v>
      </c>
      <c r="R1791" s="24">
        <v>79.112000000000009</v>
      </c>
      <c r="S1791" s="21">
        <f t="shared" si="83"/>
        <v>0.43944687045123743</v>
      </c>
    </row>
    <row r="1792" spans="2:19" ht="11.4" customHeight="1" x14ac:dyDescent="0.2">
      <c r="B1792" s="24"/>
      <c r="C1792" s="7">
        <v>37860</v>
      </c>
      <c r="D1792" s="18" t="s">
        <v>1878</v>
      </c>
      <c r="E1792" s="18" t="s">
        <v>1717</v>
      </c>
      <c r="F1792" s="17">
        <v>15</v>
      </c>
      <c r="G1792" s="18" t="s">
        <v>23</v>
      </c>
      <c r="H1792" s="17">
        <v>49.9</v>
      </c>
      <c r="I1792" s="8">
        <v>49.9</v>
      </c>
      <c r="J1792" s="21">
        <f t="shared" si="81"/>
        <v>0</v>
      </c>
      <c r="K1792" s="1">
        <v>3</v>
      </c>
      <c r="L1792" s="24">
        <v>3.4</v>
      </c>
      <c r="M1792" s="24">
        <v>46.407000000000004</v>
      </c>
      <c r="N1792" s="21">
        <f t="shared" si="82"/>
        <v>-6.9999999999999896E-2</v>
      </c>
      <c r="P1792" s="1">
        <v>5</v>
      </c>
      <c r="Q1792" s="24">
        <v>5.9879999999999995</v>
      </c>
      <c r="R1792" s="24">
        <v>43.911999999999999</v>
      </c>
      <c r="S1792" s="21">
        <f t="shared" si="83"/>
        <v>-0.12</v>
      </c>
    </row>
    <row r="1793" spans="2:19" ht="11.4" customHeight="1" x14ac:dyDescent="0.2">
      <c r="B1793" s="24"/>
      <c r="C1793" s="7">
        <v>42669</v>
      </c>
      <c r="D1793" s="18" t="s">
        <v>1879</v>
      </c>
      <c r="E1793" s="18" t="s">
        <v>1717</v>
      </c>
      <c r="F1793" s="17">
        <v>8</v>
      </c>
      <c r="G1793" s="18" t="s">
        <v>23</v>
      </c>
      <c r="H1793" s="17">
        <v>29.22</v>
      </c>
      <c r="I1793" s="8">
        <v>48.5</v>
      </c>
      <c r="J1793" s="21">
        <f t="shared" si="81"/>
        <v>0.65982203969883646</v>
      </c>
      <c r="K1793" s="1">
        <v>3</v>
      </c>
      <c r="L1793" s="24">
        <v>3.3</v>
      </c>
      <c r="M1793" s="24">
        <v>45.105000000000004</v>
      </c>
      <c r="N1793" s="21">
        <f t="shared" si="82"/>
        <v>0.54363449691991805</v>
      </c>
      <c r="P1793" s="1">
        <v>5</v>
      </c>
      <c r="Q1793" s="24">
        <v>5.82</v>
      </c>
      <c r="R1793" s="24">
        <v>42.68</v>
      </c>
      <c r="S1793" s="21">
        <f t="shared" si="83"/>
        <v>0.46064339493497608</v>
      </c>
    </row>
    <row r="1794" spans="2:19" ht="11.4" customHeight="1" x14ac:dyDescent="0.2">
      <c r="B1794" s="24"/>
      <c r="C1794" s="7">
        <v>44905</v>
      </c>
      <c r="D1794" s="18" t="s">
        <v>1880</v>
      </c>
      <c r="E1794" s="18" t="s">
        <v>1717</v>
      </c>
      <c r="F1794" s="17">
        <v>12</v>
      </c>
      <c r="G1794" s="18" t="s">
        <v>23</v>
      </c>
      <c r="H1794" s="17">
        <v>26.24</v>
      </c>
      <c r="I1794" s="8">
        <v>39.9</v>
      </c>
      <c r="J1794" s="21">
        <f t="shared" si="81"/>
        <v>0.52057926829268297</v>
      </c>
      <c r="K1794" s="1">
        <v>3</v>
      </c>
      <c r="L1794" s="24">
        <v>2.7</v>
      </c>
      <c r="M1794" s="24">
        <v>37.106999999999999</v>
      </c>
      <c r="N1794" s="21">
        <f t="shared" si="82"/>
        <v>0.41413871951219516</v>
      </c>
      <c r="P1794" s="1">
        <v>5</v>
      </c>
      <c r="Q1794" s="24">
        <v>4.7879999999999967</v>
      </c>
      <c r="R1794" s="24">
        <v>35.112000000000002</v>
      </c>
      <c r="S1794" s="21">
        <f t="shared" si="83"/>
        <v>0.33810975609756111</v>
      </c>
    </row>
    <row r="1795" spans="2:19" ht="11.4" customHeight="1" x14ac:dyDescent="0.2">
      <c r="B1795" s="24"/>
      <c r="C1795" s="7">
        <v>43068</v>
      </c>
      <c r="D1795" s="18" t="s">
        <v>1881</v>
      </c>
      <c r="E1795" s="18" t="s">
        <v>1808</v>
      </c>
      <c r="F1795" s="17">
        <v>20</v>
      </c>
      <c r="G1795" s="18" t="s">
        <v>23</v>
      </c>
      <c r="H1795" s="17">
        <v>22.86</v>
      </c>
      <c r="I1795" s="8">
        <v>34.299999999999997</v>
      </c>
      <c r="J1795" s="21">
        <f t="shared" ref="J1795:J1858" si="84">(I1795-H1795)/H1795</f>
        <v>0.50043744531933498</v>
      </c>
      <c r="K1795" s="1">
        <v>3</v>
      </c>
      <c r="L1795" s="24">
        <v>2.4</v>
      </c>
      <c r="M1795" s="24">
        <v>31.898999999999997</v>
      </c>
      <c r="N1795" s="21">
        <f t="shared" ref="N1795:N1858" si="85">(M1795-H1795)/H1795</f>
        <v>0.39540682414698153</v>
      </c>
      <c r="P1795" s="1">
        <v>5</v>
      </c>
      <c r="Q1795" s="24">
        <v>4.1159999999999997</v>
      </c>
      <c r="R1795" s="24">
        <v>30.183999999999997</v>
      </c>
      <c r="S1795" s="21">
        <f t="shared" ref="S1795:S1858" si="86">(R1795-H1795)/H1795</f>
        <v>0.32038495188101479</v>
      </c>
    </row>
    <row r="1796" spans="2:19" ht="11.4" customHeight="1" x14ac:dyDescent="0.2">
      <c r="B1796" s="24"/>
      <c r="C1796" s="7">
        <v>2994</v>
      </c>
      <c r="D1796" s="18" t="s">
        <v>1882</v>
      </c>
      <c r="E1796" s="18" t="s">
        <v>1808</v>
      </c>
      <c r="F1796" s="17">
        <v>30</v>
      </c>
      <c r="G1796" s="18" t="s">
        <v>23</v>
      </c>
      <c r="H1796" s="17">
        <v>34.5</v>
      </c>
      <c r="I1796" s="8">
        <v>37.9</v>
      </c>
      <c r="J1796" s="21">
        <f t="shared" si="84"/>
        <v>9.8550724637681122E-2</v>
      </c>
      <c r="K1796" s="1">
        <v>3</v>
      </c>
      <c r="L1796" s="24">
        <v>2.6</v>
      </c>
      <c r="M1796" s="24">
        <v>35.247</v>
      </c>
      <c r="N1796" s="21">
        <f t="shared" si="85"/>
        <v>2.1652173913043474E-2</v>
      </c>
      <c r="P1796" s="1">
        <v>5</v>
      </c>
      <c r="Q1796" s="24">
        <v>4.5480000000000018</v>
      </c>
      <c r="R1796" s="24">
        <v>33.351999999999997</v>
      </c>
      <c r="S1796" s="21">
        <f t="shared" si="86"/>
        <v>-3.3275362318840672E-2</v>
      </c>
    </row>
    <row r="1797" spans="2:19" ht="11.4" customHeight="1" x14ac:dyDescent="0.2">
      <c r="B1797" s="24"/>
      <c r="C1797" s="7">
        <v>44371</v>
      </c>
      <c r="D1797" s="18" t="s">
        <v>1883</v>
      </c>
      <c r="E1797" s="18" t="s">
        <v>1717</v>
      </c>
      <c r="F1797" s="17">
        <v>18</v>
      </c>
      <c r="G1797" s="18" t="s">
        <v>23</v>
      </c>
      <c r="H1797" s="17">
        <v>37.68</v>
      </c>
      <c r="I1797" s="8">
        <v>59.3</v>
      </c>
      <c r="J1797" s="21">
        <f t="shared" si="84"/>
        <v>0.57377919320594473</v>
      </c>
      <c r="K1797" s="1">
        <v>3</v>
      </c>
      <c r="L1797" s="24">
        <v>4.0999999999999996</v>
      </c>
      <c r="M1797" s="24">
        <v>55.149000000000001</v>
      </c>
      <c r="N1797" s="21">
        <f t="shared" si="85"/>
        <v>0.46361464968152871</v>
      </c>
      <c r="P1797" s="1">
        <v>5</v>
      </c>
      <c r="Q1797" s="24">
        <v>7.1159999999999997</v>
      </c>
      <c r="R1797" s="24">
        <v>52.183999999999997</v>
      </c>
      <c r="S1797" s="21">
        <f t="shared" si="86"/>
        <v>0.38492569002123139</v>
      </c>
    </row>
    <row r="1798" spans="2:19" ht="11.4" customHeight="1" x14ac:dyDescent="0.2">
      <c r="B1798" s="24"/>
      <c r="C1798" s="7">
        <v>44370</v>
      </c>
      <c r="D1798" s="18" t="s">
        <v>1884</v>
      </c>
      <c r="E1798" s="18" t="s">
        <v>1717</v>
      </c>
      <c r="F1798" s="17">
        <v>18</v>
      </c>
      <c r="G1798" s="18" t="s">
        <v>23</v>
      </c>
      <c r="H1798" s="17">
        <v>43.92</v>
      </c>
      <c r="I1798" s="8">
        <v>59.3</v>
      </c>
      <c r="J1798" s="21">
        <f t="shared" si="84"/>
        <v>0.3501821493624771</v>
      </c>
      <c r="K1798" s="1">
        <v>3</v>
      </c>
      <c r="L1798" s="24">
        <v>4.0999999999999996</v>
      </c>
      <c r="M1798" s="24">
        <v>55.149000000000001</v>
      </c>
      <c r="N1798" s="21">
        <f t="shared" si="85"/>
        <v>0.25566939890710377</v>
      </c>
      <c r="P1798" s="1">
        <v>5</v>
      </c>
      <c r="Q1798" s="24">
        <v>7.1159999999999997</v>
      </c>
      <c r="R1798" s="24">
        <v>52.183999999999997</v>
      </c>
      <c r="S1798" s="21">
        <f t="shared" si="86"/>
        <v>0.18816029143897986</v>
      </c>
    </row>
    <row r="1799" spans="2:19" ht="11.4" customHeight="1" x14ac:dyDescent="0.2">
      <c r="B1799" s="24"/>
      <c r="C1799" s="7">
        <v>44368</v>
      </c>
      <c r="D1799" s="18" t="s">
        <v>1885</v>
      </c>
      <c r="E1799" s="18" t="s">
        <v>1717</v>
      </c>
      <c r="F1799" s="17">
        <v>18</v>
      </c>
      <c r="G1799" s="18" t="s">
        <v>23</v>
      </c>
      <c r="H1799" s="17">
        <v>43.92</v>
      </c>
      <c r="I1799" s="8">
        <v>59.3</v>
      </c>
      <c r="J1799" s="21">
        <f t="shared" si="84"/>
        <v>0.3501821493624771</v>
      </c>
      <c r="K1799" s="1">
        <v>3</v>
      </c>
      <c r="L1799" s="24">
        <v>4.0999999999999996</v>
      </c>
      <c r="M1799" s="24">
        <v>55.149000000000001</v>
      </c>
      <c r="N1799" s="21">
        <f t="shared" si="85"/>
        <v>0.25566939890710377</v>
      </c>
      <c r="P1799" s="1">
        <v>5</v>
      </c>
      <c r="Q1799" s="24">
        <v>7.1159999999999997</v>
      </c>
      <c r="R1799" s="24">
        <v>52.183999999999997</v>
      </c>
      <c r="S1799" s="21">
        <f t="shared" si="86"/>
        <v>0.18816029143897986</v>
      </c>
    </row>
    <row r="1800" spans="2:19" ht="11.4" customHeight="1" x14ac:dyDescent="0.2">
      <c r="B1800" s="24"/>
      <c r="C1800" s="7">
        <v>44372</v>
      </c>
      <c r="D1800" s="18" t="s">
        <v>1886</v>
      </c>
      <c r="E1800" s="18" t="s">
        <v>1843</v>
      </c>
      <c r="F1800" s="17">
        <v>18</v>
      </c>
      <c r="G1800" s="18" t="s">
        <v>23</v>
      </c>
      <c r="H1800" s="17">
        <v>37.68</v>
      </c>
      <c r="I1800" s="8">
        <v>59.3</v>
      </c>
      <c r="J1800" s="21">
        <f t="shared" si="84"/>
        <v>0.57377919320594473</v>
      </c>
      <c r="K1800" s="1">
        <v>3</v>
      </c>
      <c r="L1800" s="24">
        <v>4.0999999999999996</v>
      </c>
      <c r="M1800" s="24">
        <v>55.149000000000001</v>
      </c>
      <c r="N1800" s="21">
        <f t="shared" si="85"/>
        <v>0.46361464968152871</v>
      </c>
      <c r="P1800" s="1">
        <v>5</v>
      </c>
      <c r="Q1800" s="24">
        <v>7.1159999999999997</v>
      </c>
      <c r="R1800" s="24">
        <v>52.183999999999997</v>
      </c>
      <c r="S1800" s="21">
        <f t="shared" si="86"/>
        <v>0.38492569002123139</v>
      </c>
    </row>
    <row r="1801" spans="2:19" ht="11.4" customHeight="1" x14ac:dyDescent="0.2">
      <c r="B1801" s="24"/>
      <c r="C1801" s="7">
        <v>28922</v>
      </c>
      <c r="D1801" s="18" t="s">
        <v>1887</v>
      </c>
      <c r="E1801" s="18" t="s">
        <v>1808</v>
      </c>
      <c r="F1801" s="17">
        <v>6</v>
      </c>
      <c r="G1801" s="18" t="s">
        <v>23</v>
      </c>
      <c r="H1801" s="17">
        <v>77.900000000000006</v>
      </c>
      <c r="I1801" s="8">
        <v>94.9</v>
      </c>
      <c r="J1801" s="21">
        <f t="shared" si="84"/>
        <v>0.21822849807445441</v>
      </c>
      <c r="K1801" s="1">
        <v>3</v>
      </c>
      <c r="L1801" s="24">
        <v>6.6</v>
      </c>
      <c r="M1801" s="24">
        <v>88.257000000000005</v>
      </c>
      <c r="N1801" s="21">
        <f t="shared" si="85"/>
        <v>0.1329525032092426</v>
      </c>
      <c r="P1801" s="1">
        <v>5</v>
      </c>
      <c r="Q1801" s="24">
        <v>11.388000000000005</v>
      </c>
      <c r="R1801" s="24">
        <v>83.512</v>
      </c>
      <c r="S1801" s="21">
        <f t="shared" si="86"/>
        <v>7.2041078305519826E-2</v>
      </c>
    </row>
    <row r="1802" spans="2:19" ht="11.4" customHeight="1" x14ac:dyDescent="0.2">
      <c r="B1802" s="24"/>
      <c r="C1802" s="7">
        <v>37694</v>
      </c>
      <c r="D1802" s="18" t="s">
        <v>1888</v>
      </c>
      <c r="E1802" s="18" t="s">
        <v>1717</v>
      </c>
      <c r="F1802" s="17">
        <v>6</v>
      </c>
      <c r="G1802" s="18" t="s">
        <v>23</v>
      </c>
      <c r="H1802" s="17">
        <v>77.900000000000006</v>
      </c>
      <c r="I1802" s="8">
        <v>94.9</v>
      </c>
      <c r="J1802" s="21">
        <f t="shared" si="84"/>
        <v>0.21822849807445441</v>
      </c>
      <c r="K1802" s="1">
        <v>3</v>
      </c>
      <c r="L1802" s="24">
        <v>6.6</v>
      </c>
      <c r="M1802" s="24">
        <v>88.257000000000005</v>
      </c>
      <c r="N1802" s="21">
        <f t="shared" si="85"/>
        <v>0.1329525032092426</v>
      </c>
      <c r="P1802" s="1">
        <v>5</v>
      </c>
      <c r="Q1802" s="24">
        <v>11.388000000000005</v>
      </c>
      <c r="R1802" s="24">
        <v>83.512</v>
      </c>
      <c r="S1802" s="21">
        <f t="shared" si="86"/>
        <v>7.2041078305519826E-2</v>
      </c>
    </row>
    <row r="1803" spans="2:19" ht="11.4" customHeight="1" x14ac:dyDescent="0.2">
      <c r="B1803" s="24"/>
      <c r="C1803" s="7">
        <v>35990</v>
      </c>
      <c r="D1803" s="18" t="s">
        <v>1889</v>
      </c>
      <c r="E1803" s="18" t="s">
        <v>1717</v>
      </c>
      <c r="F1803" s="17">
        <v>12</v>
      </c>
      <c r="G1803" s="18" t="s">
        <v>23</v>
      </c>
      <c r="H1803" s="17">
        <v>169.9</v>
      </c>
      <c r="I1803" s="8">
        <v>218.2</v>
      </c>
      <c r="J1803" s="21">
        <f t="shared" si="84"/>
        <v>0.28428487345497339</v>
      </c>
      <c r="K1803" s="1">
        <v>3</v>
      </c>
      <c r="L1803" s="24">
        <v>15.2</v>
      </c>
      <c r="M1803" s="24">
        <v>202.92599999999999</v>
      </c>
      <c r="N1803" s="21">
        <f t="shared" si="85"/>
        <v>0.19438493231312526</v>
      </c>
      <c r="P1803" s="1">
        <v>5</v>
      </c>
      <c r="Q1803" s="24">
        <v>26.183999999999997</v>
      </c>
      <c r="R1803" s="24">
        <v>192.01599999999999</v>
      </c>
      <c r="S1803" s="21">
        <f t="shared" si="86"/>
        <v>0.13017068864037659</v>
      </c>
    </row>
    <row r="1804" spans="2:19" ht="11.4" customHeight="1" x14ac:dyDescent="0.2">
      <c r="B1804" s="24"/>
      <c r="C1804" s="7">
        <v>39055</v>
      </c>
      <c r="D1804" s="18" t="s">
        <v>1890</v>
      </c>
      <c r="E1804" s="18" t="s">
        <v>1717</v>
      </c>
      <c r="F1804" s="17">
        <v>12</v>
      </c>
      <c r="G1804" s="18" t="s">
        <v>23</v>
      </c>
      <c r="H1804" s="17">
        <v>204.11</v>
      </c>
      <c r="I1804" s="8">
        <v>265.5</v>
      </c>
      <c r="J1804" s="21">
        <f t="shared" si="84"/>
        <v>0.30076919308216149</v>
      </c>
      <c r="K1804" s="1">
        <v>3</v>
      </c>
      <c r="L1804" s="24">
        <v>18.5</v>
      </c>
      <c r="M1804" s="24">
        <v>246.91500000000002</v>
      </c>
      <c r="N1804" s="21">
        <f t="shared" si="85"/>
        <v>0.20971534956641028</v>
      </c>
      <c r="P1804" s="1">
        <v>5</v>
      </c>
      <c r="Q1804" s="24">
        <v>31.859999999999985</v>
      </c>
      <c r="R1804" s="24">
        <v>233.64000000000001</v>
      </c>
      <c r="S1804" s="21">
        <f t="shared" si="86"/>
        <v>0.14467688991230218</v>
      </c>
    </row>
    <row r="1805" spans="2:19" ht="11.4" customHeight="1" x14ac:dyDescent="0.2">
      <c r="B1805" s="24"/>
      <c r="C1805" s="7">
        <v>39056</v>
      </c>
      <c r="D1805" s="18" t="s">
        <v>1891</v>
      </c>
      <c r="E1805" s="18" t="s">
        <v>1717</v>
      </c>
      <c r="F1805" s="17">
        <v>8</v>
      </c>
      <c r="G1805" s="18" t="s">
        <v>23</v>
      </c>
      <c r="H1805" s="17">
        <v>176.87</v>
      </c>
      <c r="I1805" s="8">
        <v>206.1</v>
      </c>
      <c r="J1805" s="21">
        <f t="shared" si="84"/>
        <v>0.16526262226494029</v>
      </c>
      <c r="K1805" s="1">
        <v>3</v>
      </c>
      <c r="L1805" s="24">
        <v>14.4</v>
      </c>
      <c r="M1805" s="24">
        <v>191.673</v>
      </c>
      <c r="N1805" s="21">
        <f t="shared" si="85"/>
        <v>8.3694238706394503E-2</v>
      </c>
      <c r="P1805" s="1">
        <v>5</v>
      </c>
      <c r="Q1805" s="24">
        <v>24.731999999999999</v>
      </c>
      <c r="R1805" s="24">
        <v>181.36799999999999</v>
      </c>
      <c r="S1805" s="21">
        <f t="shared" si="86"/>
        <v>2.5431107593147456E-2</v>
      </c>
    </row>
    <row r="1806" spans="2:19" ht="11.4" customHeight="1" x14ac:dyDescent="0.2">
      <c r="B1806" s="24"/>
      <c r="C1806" s="7">
        <v>34345</v>
      </c>
      <c r="D1806" s="18" t="s">
        <v>1892</v>
      </c>
      <c r="E1806" s="18" t="s">
        <v>1717</v>
      </c>
      <c r="F1806" s="17">
        <v>12</v>
      </c>
      <c r="G1806" s="18" t="s">
        <v>23</v>
      </c>
      <c r="H1806" s="17">
        <v>119.9</v>
      </c>
      <c r="I1806" s="8">
        <v>152</v>
      </c>
      <c r="J1806" s="21">
        <f t="shared" si="84"/>
        <v>0.26772310258548787</v>
      </c>
      <c r="K1806" s="1">
        <v>3</v>
      </c>
      <c r="L1806" s="24">
        <v>10.6</v>
      </c>
      <c r="M1806" s="24">
        <v>141.36000000000001</v>
      </c>
      <c r="N1806" s="21">
        <f t="shared" si="85"/>
        <v>0.17898248540450382</v>
      </c>
      <c r="P1806" s="1">
        <v>5</v>
      </c>
      <c r="Q1806" s="24">
        <v>18.240000000000009</v>
      </c>
      <c r="R1806" s="24">
        <v>133.76</v>
      </c>
      <c r="S1806" s="21">
        <f t="shared" si="86"/>
        <v>0.11559633027522923</v>
      </c>
    </row>
    <row r="1807" spans="2:19" ht="11.4" customHeight="1" x14ac:dyDescent="0.2">
      <c r="B1807" s="24"/>
      <c r="C1807" s="7">
        <v>34206</v>
      </c>
      <c r="D1807" s="18" t="s">
        <v>1893</v>
      </c>
      <c r="E1807" s="18" t="s">
        <v>1717</v>
      </c>
      <c r="F1807" s="17">
        <v>12</v>
      </c>
      <c r="G1807" s="18" t="s">
        <v>23</v>
      </c>
      <c r="H1807" s="17">
        <v>119.9</v>
      </c>
      <c r="I1807" s="8">
        <v>152</v>
      </c>
      <c r="J1807" s="21">
        <f t="shared" si="84"/>
        <v>0.26772310258548787</v>
      </c>
      <c r="K1807" s="1">
        <v>3</v>
      </c>
      <c r="L1807" s="24">
        <v>10.6</v>
      </c>
      <c r="M1807" s="24">
        <v>141.36000000000001</v>
      </c>
      <c r="N1807" s="21">
        <f t="shared" si="85"/>
        <v>0.17898248540450382</v>
      </c>
      <c r="P1807" s="1">
        <v>5</v>
      </c>
      <c r="Q1807" s="24">
        <v>18.240000000000009</v>
      </c>
      <c r="R1807" s="24">
        <v>133.76</v>
      </c>
      <c r="S1807" s="21">
        <f t="shared" si="86"/>
        <v>0.11559633027522923</v>
      </c>
    </row>
    <row r="1808" spans="2:19" ht="11.4" customHeight="1" x14ac:dyDescent="0.2">
      <c r="B1808" s="24"/>
      <c r="C1808" s="7">
        <v>20883</v>
      </c>
      <c r="D1808" s="18" t="s">
        <v>1894</v>
      </c>
      <c r="E1808" s="18" t="s">
        <v>1717</v>
      </c>
      <c r="F1808" s="17">
        <v>18</v>
      </c>
      <c r="G1808" s="18" t="s">
        <v>23</v>
      </c>
      <c r="H1808" s="17">
        <v>44.5</v>
      </c>
      <c r="I1808" s="8">
        <v>45.8</v>
      </c>
      <c r="J1808" s="21">
        <f t="shared" si="84"/>
        <v>2.9213483146067351E-2</v>
      </c>
      <c r="K1808" s="1">
        <v>3</v>
      </c>
      <c r="L1808" s="24">
        <v>3.2</v>
      </c>
      <c r="M1808" s="24">
        <v>42.594000000000001</v>
      </c>
      <c r="N1808" s="21">
        <f t="shared" si="85"/>
        <v>-4.2831460674157273E-2</v>
      </c>
      <c r="P1808" s="1">
        <v>5</v>
      </c>
      <c r="Q1808" s="24">
        <v>5.4960000000000022</v>
      </c>
      <c r="R1808" s="24">
        <v>40.303999999999995</v>
      </c>
      <c r="S1808" s="21">
        <f t="shared" si="86"/>
        <v>-9.4292134831460789E-2</v>
      </c>
    </row>
    <row r="1809" spans="2:19" ht="11.4" customHeight="1" x14ac:dyDescent="0.2">
      <c r="B1809" s="24"/>
      <c r="C1809" s="7">
        <v>11274</v>
      </c>
      <c r="D1809" s="18" t="s">
        <v>1895</v>
      </c>
      <c r="E1809" s="18" t="s">
        <v>1717</v>
      </c>
      <c r="F1809" s="17">
        <v>6</v>
      </c>
      <c r="G1809" s="18" t="s">
        <v>23</v>
      </c>
      <c r="H1809" s="17">
        <v>67.900000000000006</v>
      </c>
      <c r="I1809" s="8">
        <v>83.5</v>
      </c>
      <c r="J1809" s="21">
        <f t="shared" si="84"/>
        <v>0.22974963181148739</v>
      </c>
      <c r="K1809" s="1">
        <v>3</v>
      </c>
      <c r="L1809" s="24">
        <v>5.8</v>
      </c>
      <c r="M1809" s="24">
        <v>77.655000000000001</v>
      </c>
      <c r="N1809" s="21">
        <f t="shared" si="85"/>
        <v>0.14366715758468329</v>
      </c>
      <c r="P1809" s="1">
        <v>5</v>
      </c>
      <c r="Q1809" s="24">
        <v>10.019999999999996</v>
      </c>
      <c r="R1809" s="24">
        <v>73.48</v>
      </c>
      <c r="S1809" s="21">
        <f t="shared" si="86"/>
        <v>8.2179675994108956E-2</v>
      </c>
    </row>
    <row r="1810" spans="2:19" ht="11.4" customHeight="1" x14ac:dyDescent="0.2">
      <c r="B1810" s="24"/>
      <c r="C1810" s="7">
        <v>26222</v>
      </c>
      <c r="D1810" s="18" t="s">
        <v>1896</v>
      </c>
      <c r="E1810" s="18" t="s">
        <v>1808</v>
      </c>
      <c r="F1810" s="17">
        <v>8</v>
      </c>
      <c r="G1810" s="18" t="s">
        <v>23</v>
      </c>
      <c r="H1810" s="17">
        <v>71.58</v>
      </c>
      <c r="I1810" s="8">
        <v>99.9</v>
      </c>
      <c r="J1810" s="21">
        <f t="shared" si="84"/>
        <v>0.39564124056999173</v>
      </c>
      <c r="K1810" s="1">
        <v>3</v>
      </c>
      <c r="L1810" s="24">
        <v>6.9</v>
      </c>
      <c r="M1810" s="24">
        <v>92.907000000000011</v>
      </c>
      <c r="N1810" s="21">
        <f t="shared" si="85"/>
        <v>0.29794635373009237</v>
      </c>
      <c r="P1810" s="1">
        <v>5</v>
      </c>
      <c r="Q1810" s="24">
        <v>11.988</v>
      </c>
      <c r="R1810" s="24">
        <v>87.912000000000006</v>
      </c>
      <c r="S1810" s="21">
        <f t="shared" si="86"/>
        <v>0.22816429170159275</v>
      </c>
    </row>
    <row r="1811" spans="2:19" ht="11.4" customHeight="1" x14ac:dyDescent="0.2">
      <c r="B1811" s="24"/>
      <c r="C1811" s="7">
        <v>38938</v>
      </c>
      <c r="D1811" s="18" t="s">
        <v>1897</v>
      </c>
      <c r="E1811" s="18" t="s">
        <v>1717</v>
      </c>
      <c r="F1811" s="17">
        <v>12</v>
      </c>
      <c r="G1811" s="18" t="s">
        <v>23</v>
      </c>
      <c r="H1811" s="17">
        <v>119.5</v>
      </c>
      <c r="I1811" s="8">
        <v>152</v>
      </c>
      <c r="J1811" s="21">
        <f t="shared" si="84"/>
        <v>0.27196652719665271</v>
      </c>
      <c r="K1811" s="1">
        <v>3</v>
      </c>
      <c r="L1811" s="24">
        <v>10.6</v>
      </c>
      <c r="M1811" s="24">
        <v>141.36000000000001</v>
      </c>
      <c r="N1811" s="21">
        <f t="shared" si="85"/>
        <v>0.18292887029288715</v>
      </c>
      <c r="P1811" s="1">
        <v>5</v>
      </c>
      <c r="Q1811" s="24">
        <v>18.240000000000009</v>
      </c>
      <c r="R1811" s="24">
        <v>133.76</v>
      </c>
      <c r="S1811" s="21">
        <f t="shared" si="86"/>
        <v>0.11933054393305431</v>
      </c>
    </row>
    <row r="1812" spans="2:19" ht="11.4" customHeight="1" x14ac:dyDescent="0.2">
      <c r="B1812" s="24"/>
      <c r="C1812" s="7">
        <v>33716</v>
      </c>
      <c r="D1812" s="18" t="s">
        <v>1898</v>
      </c>
      <c r="E1812" s="18" t="s">
        <v>1717</v>
      </c>
      <c r="F1812" s="17">
        <v>8</v>
      </c>
      <c r="G1812" s="18" t="s">
        <v>23</v>
      </c>
      <c r="H1812" s="17">
        <v>103.5</v>
      </c>
      <c r="I1812" s="8">
        <v>125.5</v>
      </c>
      <c r="J1812" s="21">
        <f t="shared" si="84"/>
        <v>0.21256038647342995</v>
      </c>
      <c r="K1812" s="1">
        <v>3</v>
      </c>
      <c r="L1812" s="24">
        <v>8.6999999999999993</v>
      </c>
      <c r="M1812" s="24">
        <v>116.715</v>
      </c>
      <c r="N1812" s="21">
        <f t="shared" si="85"/>
        <v>0.12768115942028987</v>
      </c>
      <c r="P1812" s="1">
        <v>5</v>
      </c>
      <c r="Q1812" s="24">
        <v>15.060000000000002</v>
      </c>
      <c r="R1812" s="24">
        <v>110.44</v>
      </c>
      <c r="S1812" s="21">
        <f t="shared" si="86"/>
        <v>6.7053140096618336E-2</v>
      </c>
    </row>
    <row r="1813" spans="2:19" ht="11.4" customHeight="1" x14ac:dyDescent="0.2">
      <c r="B1813" s="24"/>
      <c r="C1813" s="7">
        <v>33720</v>
      </c>
      <c r="D1813" s="18" t="s">
        <v>1899</v>
      </c>
      <c r="E1813" s="18" t="s">
        <v>1808</v>
      </c>
      <c r="F1813" s="17">
        <v>8</v>
      </c>
      <c r="G1813" s="18" t="s">
        <v>23</v>
      </c>
      <c r="H1813" s="17">
        <v>103.9</v>
      </c>
      <c r="I1813" s="8">
        <v>125.5</v>
      </c>
      <c r="J1813" s="21">
        <f t="shared" si="84"/>
        <v>0.20789220404234834</v>
      </c>
      <c r="K1813" s="1">
        <v>3</v>
      </c>
      <c r="L1813" s="24">
        <v>8.6999999999999993</v>
      </c>
      <c r="M1813" s="24">
        <v>116.715</v>
      </c>
      <c r="N1813" s="21">
        <f t="shared" si="85"/>
        <v>0.123339749759384</v>
      </c>
      <c r="P1813" s="1">
        <v>5</v>
      </c>
      <c r="Q1813" s="24">
        <v>15.060000000000002</v>
      </c>
      <c r="R1813" s="24">
        <v>110.44</v>
      </c>
      <c r="S1813" s="21">
        <f t="shared" si="86"/>
        <v>6.2945139557266522E-2</v>
      </c>
    </row>
    <row r="1814" spans="2:19" ht="11.4" customHeight="1" x14ac:dyDescent="0.2">
      <c r="B1814" s="24"/>
      <c r="C1814" s="7">
        <v>33718</v>
      </c>
      <c r="D1814" s="18" t="s">
        <v>1900</v>
      </c>
      <c r="E1814" s="18" t="s">
        <v>1808</v>
      </c>
      <c r="F1814" s="17">
        <v>8</v>
      </c>
      <c r="G1814" s="18" t="s">
        <v>23</v>
      </c>
      <c r="H1814" s="17">
        <v>96.48</v>
      </c>
      <c r="I1814" s="8">
        <v>125.5</v>
      </c>
      <c r="J1814" s="21">
        <f t="shared" si="84"/>
        <v>0.30078772802653392</v>
      </c>
      <c r="K1814" s="1">
        <v>3</v>
      </c>
      <c r="L1814" s="24">
        <v>8.6999999999999993</v>
      </c>
      <c r="M1814" s="24">
        <v>116.715</v>
      </c>
      <c r="N1814" s="21">
        <f t="shared" si="85"/>
        <v>0.2097325870646766</v>
      </c>
      <c r="P1814" s="1">
        <v>5</v>
      </c>
      <c r="Q1814" s="24">
        <v>15.060000000000002</v>
      </c>
      <c r="R1814" s="24">
        <v>110.44</v>
      </c>
      <c r="S1814" s="21">
        <f t="shared" si="86"/>
        <v>0.14469320066334984</v>
      </c>
    </row>
    <row r="1815" spans="2:19" ht="11.4" customHeight="1" x14ac:dyDescent="0.2">
      <c r="B1815" s="24"/>
      <c r="C1815" s="7">
        <v>33719</v>
      </c>
      <c r="D1815" s="18" t="s">
        <v>1901</v>
      </c>
      <c r="E1815" s="18" t="s">
        <v>1808</v>
      </c>
      <c r="F1815" s="17">
        <v>8</v>
      </c>
      <c r="G1815" s="18" t="s">
        <v>23</v>
      </c>
      <c r="H1815" s="17">
        <v>103.9</v>
      </c>
      <c r="I1815" s="8">
        <v>125.5</v>
      </c>
      <c r="J1815" s="21">
        <f t="shared" si="84"/>
        <v>0.20789220404234834</v>
      </c>
      <c r="K1815" s="1">
        <v>3</v>
      </c>
      <c r="L1815" s="24">
        <v>8.6999999999999993</v>
      </c>
      <c r="M1815" s="24">
        <v>116.715</v>
      </c>
      <c r="N1815" s="21">
        <f t="shared" si="85"/>
        <v>0.123339749759384</v>
      </c>
      <c r="P1815" s="1">
        <v>5</v>
      </c>
      <c r="Q1815" s="24">
        <v>15.060000000000002</v>
      </c>
      <c r="R1815" s="24">
        <v>110.44</v>
      </c>
      <c r="S1815" s="21">
        <f t="shared" si="86"/>
        <v>6.2945139557266522E-2</v>
      </c>
    </row>
    <row r="1816" spans="2:19" ht="11.4" customHeight="1" x14ac:dyDescent="0.2">
      <c r="B1816" s="24"/>
      <c r="C1816" s="7">
        <v>33721</v>
      </c>
      <c r="D1816" s="18" t="s">
        <v>1902</v>
      </c>
      <c r="E1816" s="18" t="s">
        <v>1808</v>
      </c>
      <c r="F1816" s="17">
        <v>8</v>
      </c>
      <c r="G1816" s="18" t="s">
        <v>23</v>
      </c>
      <c r="H1816" s="17">
        <v>103.9</v>
      </c>
      <c r="I1816" s="8">
        <v>125.5</v>
      </c>
      <c r="J1816" s="21">
        <f t="shared" si="84"/>
        <v>0.20789220404234834</v>
      </c>
      <c r="K1816" s="1">
        <v>3</v>
      </c>
      <c r="L1816" s="24">
        <v>8.6999999999999993</v>
      </c>
      <c r="M1816" s="24">
        <v>116.715</v>
      </c>
      <c r="N1816" s="21">
        <f t="shared" si="85"/>
        <v>0.123339749759384</v>
      </c>
      <c r="P1816" s="1">
        <v>5</v>
      </c>
      <c r="Q1816" s="24">
        <v>15.060000000000002</v>
      </c>
      <c r="R1816" s="24">
        <v>110.44</v>
      </c>
      <c r="S1816" s="21">
        <f t="shared" si="86"/>
        <v>6.2945139557266522E-2</v>
      </c>
    </row>
    <row r="1817" spans="2:19" ht="11.4" customHeight="1" x14ac:dyDescent="0.2">
      <c r="B1817" s="24"/>
      <c r="C1817" s="7">
        <v>33722</v>
      </c>
      <c r="D1817" s="18" t="s">
        <v>1903</v>
      </c>
      <c r="E1817" s="18" t="s">
        <v>1808</v>
      </c>
      <c r="F1817" s="17">
        <v>8</v>
      </c>
      <c r="G1817" s="18" t="s">
        <v>23</v>
      </c>
      <c r="H1817" s="17">
        <v>103.9</v>
      </c>
      <c r="I1817" s="8">
        <v>125.5</v>
      </c>
      <c r="J1817" s="21">
        <f t="shared" si="84"/>
        <v>0.20789220404234834</v>
      </c>
      <c r="K1817" s="1">
        <v>3</v>
      </c>
      <c r="L1817" s="24">
        <v>8.6999999999999993</v>
      </c>
      <c r="M1817" s="24">
        <v>116.715</v>
      </c>
      <c r="N1817" s="21">
        <f t="shared" si="85"/>
        <v>0.123339749759384</v>
      </c>
      <c r="P1817" s="1">
        <v>5</v>
      </c>
      <c r="Q1817" s="24">
        <v>15.060000000000002</v>
      </c>
      <c r="R1817" s="24">
        <v>110.44</v>
      </c>
      <c r="S1817" s="21">
        <f t="shared" si="86"/>
        <v>6.2945139557266522E-2</v>
      </c>
    </row>
    <row r="1818" spans="2:19" ht="11.4" customHeight="1" x14ac:dyDescent="0.2">
      <c r="B1818" s="24"/>
      <c r="C1818" s="7">
        <v>33723</v>
      </c>
      <c r="D1818" s="18" t="s">
        <v>1904</v>
      </c>
      <c r="E1818" s="18" t="s">
        <v>1808</v>
      </c>
      <c r="F1818" s="17">
        <v>8</v>
      </c>
      <c r="G1818" s="18" t="s">
        <v>23</v>
      </c>
      <c r="H1818" s="17">
        <v>103.9</v>
      </c>
      <c r="I1818" s="8">
        <v>125.5</v>
      </c>
      <c r="J1818" s="21">
        <f t="shared" si="84"/>
        <v>0.20789220404234834</v>
      </c>
      <c r="K1818" s="1">
        <v>3</v>
      </c>
      <c r="L1818" s="24">
        <v>8.6999999999999993</v>
      </c>
      <c r="M1818" s="24">
        <v>116.715</v>
      </c>
      <c r="N1818" s="21">
        <f t="shared" si="85"/>
        <v>0.123339749759384</v>
      </c>
      <c r="P1818" s="1">
        <v>5</v>
      </c>
      <c r="Q1818" s="24">
        <v>15.060000000000002</v>
      </c>
      <c r="R1818" s="24">
        <v>110.44</v>
      </c>
      <c r="S1818" s="21">
        <f t="shared" si="86"/>
        <v>6.2945139557266522E-2</v>
      </c>
    </row>
    <row r="1819" spans="2:19" ht="11.4" customHeight="1" x14ac:dyDescent="0.2">
      <c r="B1819" s="24"/>
      <c r="C1819" s="7">
        <v>17011</v>
      </c>
      <c r="D1819" s="18" t="s">
        <v>1905</v>
      </c>
      <c r="E1819" s="18" t="s">
        <v>1717</v>
      </c>
      <c r="F1819" s="17">
        <v>8</v>
      </c>
      <c r="G1819" s="18" t="s">
        <v>23</v>
      </c>
      <c r="H1819" s="17">
        <v>93.9</v>
      </c>
      <c r="I1819" s="8">
        <v>114.5</v>
      </c>
      <c r="J1819" s="21">
        <f t="shared" si="84"/>
        <v>0.21938232161874327</v>
      </c>
      <c r="K1819" s="1">
        <v>3</v>
      </c>
      <c r="L1819" s="24">
        <v>8</v>
      </c>
      <c r="M1819" s="24">
        <v>106.485</v>
      </c>
      <c r="N1819" s="21">
        <f t="shared" si="85"/>
        <v>0.13402555910543124</v>
      </c>
      <c r="P1819" s="1">
        <v>5</v>
      </c>
      <c r="Q1819" s="24">
        <v>13.739999999999995</v>
      </c>
      <c r="R1819" s="24">
        <v>100.76</v>
      </c>
      <c r="S1819" s="21">
        <f t="shared" si="86"/>
        <v>7.3056443024494128E-2</v>
      </c>
    </row>
    <row r="1820" spans="2:19" ht="11.4" customHeight="1" x14ac:dyDescent="0.2">
      <c r="B1820" s="24"/>
      <c r="C1820" s="7">
        <v>2018</v>
      </c>
      <c r="D1820" s="18" t="s">
        <v>1906</v>
      </c>
      <c r="E1820" s="18" t="s">
        <v>1717</v>
      </c>
      <c r="F1820" s="17">
        <v>20</v>
      </c>
      <c r="G1820" s="18" t="s">
        <v>23</v>
      </c>
      <c r="H1820" s="17">
        <v>34.5</v>
      </c>
      <c r="I1820" s="8">
        <v>34.299999999999997</v>
      </c>
      <c r="J1820" s="21">
        <f t="shared" si="84"/>
        <v>-5.7971014492754448E-3</v>
      </c>
      <c r="K1820" s="1">
        <v>3</v>
      </c>
      <c r="L1820" s="24">
        <v>2.4</v>
      </c>
      <c r="M1820" s="24">
        <v>31.898999999999997</v>
      </c>
      <c r="N1820" s="21">
        <f t="shared" si="85"/>
        <v>-7.5391304347826163E-2</v>
      </c>
      <c r="P1820" s="1">
        <v>5</v>
      </c>
      <c r="Q1820" s="24">
        <v>4.1159999999999997</v>
      </c>
      <c r="R1820" s="24">
        <v>30.183999999999997</v>
      </c>
      <c r="S1820" s="21">
        <f t="shared" si="86"/>
        <v>-0.1251014492753624</v>
      </c>
    </row>
    <row r="1821" spans="2:19" ht="11.4" customHeight="1" x14ac:dyDescent="0.2">
      <c r="B1821" s="24"/>
      <c r="C1821" s="7">
        <v>34515</v>
      </c>
      <c r="D1821" s="18" t="s">
        <v>1907</v>
      </c>
      <c r="E1821" s="18" t="s">
        <v>1717</v>
      </c>
      <c r="F1821" s="17">
        <v>12</v>
      </c>
      <c r="G1821" s="18" t="s">
        <v>23</v>
      </c>
      <c r="H1821" s="17">
        <v>31.5</v>
      </c>
      <c r="I1821" s="8">
        <v>34.9</v>
      </c>
      <c r="J1821" s="21">
        <f t="shared" si="84"/>
        <v>0.10793650793650789</v>
      </c>
      <c r="K1821" s="1">
        <v>3</v>
      </c>
      <c r="L1821" s="24">
        <v>2.4</v>
      </c>
      <c r="M1821" s="24">
        <v>32.457000000000001</v>
      </c>
      <c r="N1821" s="21">
        <f t="shared" si="85"/>
        <v>3.0380952380952404E-2</v>
      </c>
      <c r="P1821" s="1">
        <v>5</v>
      </c>
      <c r="Q1821" s="24">
        <v>4.1879999999999988</v>
      </c>
      <c r="R1821" s="24">
        <v>30.712</v>
      </c>
      <c r="S1821" s="21">
        <f t="shared" si="86"/>
        <v>-2.5015873015873023E-2</v>
      </c>
    </row>
    <row r="1822" spans="2:19" ht="11.4" customHeight="1" x14ac:dyDescent="0.2">
      <c r="B1822" s="24"/>
      <c r="C1822" s="7">
        <v>38825</v>
      </c>
      <c r="D1822" s="18" t="s">
        <v>1908</v>
      </c>
      <c r="E1822" s="18" t="s">
        <v>1717</v>
      </c>
      <c r="F1822" s="17">
        <v>15</v>
      </c>
      <c r="G1822" s="18" t="s">
        <v>23</v>
      </c>
      <c r="H1822" s="17">
        <v>32.4</v>
      </c>
      <c r="I1822" s="8">
        <v>34.9</v>
      </c>
      <c r="J1822" s="21">
        <f t="shared" si="84"/>
        <v>7.7160493827160503E-2</v>
      </c>
      <c r="K1822" s="1">
        <v>3</v>
      </c>
      <c r="L1822" s="24">
        <v>2.4</v>
      </c>
      <c r="M1822" s="24">
        <v>32.457000000000001</v>
      </c>
      <c r="N1822" s="21">
        <f t="shared" si="85"/>
        <v>1.759259259259326E-3</v>
      </c>
      <c r="P1822" s="1">
        <v>5</v>
      </c>
      <c r="Q1822" s="24">
        <v>4.1879999999999988</v>
      </c>
      <c r="R1822" s="24">
        <v>30.712</v>
      </c>
      <c r="S1822" s="21">
        <f t="shared" si="86"/>
        <v>-5.209876543209873E-2</v>
      </c>
    </row>
    <row r="1823" spans="2:19" ht="11.4" customHeight="1" x14ac:dyDescent="0.2">
      <c r="B1823" s="24"/>
      <c r="C1823" s="7">
        <v>6120</v>
      </c>
      <c r="D1823" s="18" t="s">
        <v>1909</v>
      </c>
      <c r="E1823" s="18" t="s">
        <v>1717</v>
      </c>
      <c r="F1823" s="17">
        <v>12</v>
      </c>
      <c r="G1823" s="18" t="s">
        <v>23</v>
      </c>
      <c r="H1823" s="17">
        <v>57</v>
      </c>
      <c r="I1823" s="8">
        <v>58.9</v>
      </c>
      <c r="J1823" s="21">
        <f t="shared" si="84"/>
        <v>3.3333333333333305E-2</v>
      </c>
      <c r="K1823" s="1">
        <v>3</v>
      </c>
      <c r="L1823" s="24">
        <v>4.0999999999999996</v>
      </c>
      <c r="M1823" s="24">
        <v>54.777000000000001</v>
      </c>
      <c r="N1823" s="21">
        <f t="shared" si="85"/>
        <v>-3.8999999999999979E-2</v>
      </c>
      <c r="P1823" s="1">
        <v>5</v>
      </c>
      <c r="Q1823" s="24">
        <v>7.0679999999999978</v>
      </c>
      <c r="R1823" s="24">
        <v>51.832000000000001</v>
      </c>
      <c r="S1823" s="21">
        <f t="shared" si="86"/>
        <v>-9.0666666666666659E-2</v>
      </c>
    </row>
    <row r="1824" spans="2:19" ht="11.4" customHeight="1" x14ac:dyDescent="0.2">
      <c r="B1824" s="24"/>
      <c r="C1824" s="7">
        <v>38935</v>
      </c>
      <c r="D1824" s="18" t="s">
        <v>1910</v>
      </c>
      <c r="E1824" s="18" t="s">
        <v>1717</v>
      </c>
      <c r="F1824" s="17">
        <v>12</v>
      </c>
      <c r="G1824" s="18" t="s">
        <v>23</v>
      </c>
      <c r="H1824" s="17">
        <v>119.5</v>
      </c>
      <c r="I1824" s="8">
        <v>154</v>
      </c>
      <c r="J1824" s="21">
        <f t="shared" si="84"/>
        <v>0.28870292887029286</v>
      </c>
      <c r="K1824" s="1">
        <v>3</v>
      </c>
      <c r="L1824" s="24">
        <v>10.7</v>
      </c>
      <c r="M1824" s="24">
        <v>143.22</v>
      </c>
      <c r="N1824" s="21">
        <f t="shared" si="85"/>
        <v>0.19849372384937239</v>
      </c>
      <c r="P1824" s="1">
        <v>5</v>
      </c>
      <c r="Q1824" s="24">
        <v>18.47999999999999</v>
      </c>
      <c r="R1824" s="24">
        <v>135.52000000000001</v>
      </c>
      <c r="S1824" s="21">
        <f t="shared" si="86"/>
        <v>0.13405857740585783</v>
      </c>
    </row>
    <row r="1825" spans="2:19" ht="11.4" customHeight="1" x14ac:dyDescent="0.2">
      <c r="B1825" s="24"/>
      <c r="C1825" s="7">
        <v>22003</v>
      </c>
      <c r="D1825" s="18" t="s">
        <v>1911</v>
      </c>
      <c r="E1825" s="18" t="s">
        <v>1808</v>
      </c>
      <c r="F1825" s="17">
        <v>20</v>
      </c>
      <c r="G1825" s="18" t="s">
        <v>23</v>
      </c>
      <c r="H1825" s="17">
        <v>34.5</v>
      </c>
      <c r="I1825" s="8">
        <v>36</v>
      </c>
      <c r="J1825" s="21">
        <f t="shared" si="84"/>
        <v>4.3478260869565216E-2</v>
      </c>
      <c r="K1825" s="1">
        <v>3</v>
      </c>
      <c r="L1825" s="24">
        <v>2.5</v>
      </c>
      <c r="M1825" s="24">
        <v>33.480000000000004</v>
      </c>
      <c r="N1825" s="21">
        <f t="shared" si="85"/>
        <v>-2.9565217391304233E-2</v>
      </c>
      <c r="P1825" s="1">
        <v>5</v>
      </c>
      <c r="Q1825" s="24">
        <v>4.32</v>
      </c>
      <c r="R1825" s="24">
        <v>31.68</v>
      </c>
      <c r="S1825" s="21">
        <f t="shared" si="86"/>
        <v>-8.173913043478262E-2</v>
      </c>
    </row>
    <row r="1826" spans="2:19" ht="11.4" customHeight="1" x14ac:dyDescent="0.2">
      <c r="B1826" s="24"/>
      <c r="C1826" s="7">
        <v>43063</v>
      </c>
      <c r="D1826" s="18" t="s">
        <v>1912</v>
      </c>
      <c r="E1826" s="18" t="s">
        <v>1808</v>
      </c>
      <c r="F1826" s="17">
        <v>20</v>
      </c>
      <c r="G1826" s="18" t="s">
        <v>23</v>
      </c>
      <c r="H1826" s="17">
        <v>19.739999999999998</v>
      </c>
      <c r="I1826" s="8">
        <v>36</v>
      </c>
      <c r="J1826" s="21">
        <f t="shared" si="84"/>
        <v>0.82370820668693023</v>
      </c>
      <c r="K1826" s="1">
        <v>3</v>
      </c>
      <c r="L1826" s="24">
        <v>2.5</v>
      </c>
      <c r="M1826" s="24">
        <v>33.480000000000004</v>
      </c>
      <c r="N1826" s="21">
        <f t="shared" si="85"/>
        <v>0.69604863221884528</v>
      </c>
      <c r="P1826" s="1">
        <v>5</v>
      </c>
      <c r="Q1826" s="24">
        <v>4.32</v>
      </c>
      <c r="R1826" s="24">
        <v>31.68</v>
      </c>
      <c r="S1826" s="21">
        <f t="shared" si="86"/>
        <v>0.60486322188449859</v>
      </c>
    </row>
    <row r="1827" spans="2:19" ht="11.4" customHeight="1" x14ac:dyDescent="0.2">
      <c r="B1827" s="24"/>
      <c r="C1827" s="7">
        <v>34272</v>
      </c>
      <c r="D1827" s="18" t="s">
        <v>1913</v>
      </c>
      <c r="E1827" s="18" t="s">
        <v>1843</v>
      </c>
      <c r="F1827" s="17">
        <v>12</v>
      </c>
      <c r="G1827" s="18" t="s">
        <v>23</v>
      </c>
      <c r="H1827" s="17">
        <v>123.95</v>
      </c>
      <c r="I1827" s="8">
        <v>161.19999999999999</v>
      </c>
      <c r="J1827" s="21">
        <f t="shared" si="84"/>
        <v>0.30052440500201683</v>
      </c>
      <c r="K1827" s="1">
        <v>3</v>
      </c>
      <c r="L1827" s="24">
        <v>11.2</v>
      </c>
      <c r="M1827" s="24">
        <v>149.916</v>
      </c>
      <c r="N1827" s="21">
        <f t="shared" si="85"/>
        <v>0.20948769665187569</v>
      </c>
      <c r="P1827" s="1">
        <v>5</v>
      </c>
      <c r="Q1827" s="24">
        <v>19.343999999999994</v>
      </c>
      <c r="R1827" s="24">
        <v>141.85599999999999</v>
      </c>
      <c r="S1827" s="21">
        <f t="shared" si="86"/>
        <v>0.14446147640177484</v>
      </c>
    </row>
    <row r="1828" spans="2:19" ht="11.4" customHeight="1" x14ac:dyDescent="0.2">
      <c r="B1828" s="24"/>
      <c r="C1828" s="7">
        <v>39993</v>
      </c>
      <c r="D1828" s="18" t="s">
        <v>1914</v>
      </c>
      <c r="E1828" s="18" t="s">
        <v>1843</v>
      </c>
      <c r="F1828" s="17">
        <v>6</v>
      </c>
      <c r="G1828" s="18" t="s">
        <v>23</v>
      </c>
      <c r="H1828" s="17">
        <v>46.76</v>
      </c>
      <c r="I1828" s="8">
        <v>99.5</v>
      </c>
      <c r="J1828" s="21">
        <f t="shared" si="84"/>
        <v>1.1278870829769034</v>
      </c>
      <c r="K1828" s="1">
        <v>3</v>
      </c>
      <c r="L1828" s="24">
        <v>6.9</v>
      </c>
      <c r="M1828" s="24">
        <v>92.535000000000011</v>
      </c>
      <c r="N1828" s="21">
        <f t="shared" si="85"/>
        <v>0.97893498716852045</v>
      </c>
      <c r="P1828" s="1">
        <v>5</v>
      </c>
      <c r="Q1828" s="24">
        <v>11.939999999999998</v>
      </c>
      <c r="R1828" s="24">
        <v>87.56</v>
      </c>
      <c r="S1828" s="21">
        <f t="shared" si="86"/>
        <v>0.8725406330196751</v>
      </c>
    </row>
    <row r="1829" spans="2:19" ht="11.4" customHeight="1" x14ac:dyDescent="0.2">
      <c r="B1829" s="24"/>
      <c r="C1829" s="7">
        <v>38982</v>
      </c>
      <c r="D1829" s="18" t="s">
        <v>1915</v>
      </c>
      <c r="E1829" s="18" t="s">
        <v>1843</v>
      </c>
      <c r="F1829" s="17">
        <v>15</v>
      </c>
      <c r="G1829" s="18" t="s">
        <v>23</v>
      </c>
      <c r="H1829" s="17">
        <v>45.5</v>
      </c>
      <c r="I1829" s="8">
        <v>47.5</v>
      </c>
      <c r="J1829" s="21">
        <f t="shared" si="84"/>
        <v>4.3956043956043959E-2</v>
      </c>
      <c r="K1829" s="1">
        <v>3</v>
      </c>
      <c r="L1829" s="24">
        <v>3.3</v>
      </c>
      <c r="M1829" s="24">
        <v>44.175000000000004</v>
      </c>
      <c r="N1829" s="21">
        <f t="shared" si="85"/>
        <v>-2.9120879120879028E-2</v>
      </c>
      <c r="P1829" s="1">
        <v>5</v>
      </c>
      <c r="Q1829" s="24">
        <v>5.7000000000000028</v>
      </c>
      <c r="R1829" s="24">
        <v>41.8</v>
      </c>
      <c r="S1829" s="21">
        <f t="shared" si="86"/>
        <v>-8.1318681318681377E-2</v>
      </c>
    </row>
    <row r="1830" spans="2:19" ht="11.4" customHeight="1" x14ac:dyDescent="0.2">
      <c r="B1830" s="24"/>
      <c r="C1830" s="7">
        <v>38981</v>
      </c>
      <c r="D1830" s="18" t="s">
        <v>1916</v>
      </c>
      <c r="E1830" s="18" t="s">
        <v>1843</v>
      </c>
      <c r="F1830" s="17">
        <v>15</v>
      </c>
      <c r="G1830" s="18" t="s">
        <v>23</v>
      </c>
      <c r="H1830" s="17">
        <v>45.5</v>
      </c>
      <c r="I1830" s="8">
        <v>47.5</v>
      </c>
      <c r="J1830" s="21">
        <f t="shared" si="84"/>
        <v>4.3956043956043959E-2</v>
      </c>
      <c r="K1830" s="1">
        <v>3</v>
      </c>
      <c r="L1830" s="24">
        <v>3.3</v>
      </c>
      <c r="M1830" s="24">
        <v>44.175000000000004</v>
      </c>
      <c r="N1830" s="21">
        <f t="shared" si="85"/>
        <v>-2.9120879120879028E-2</v>
      </c>
      <c r="P1830" s="1">
        <v>5</v>
      </c>
      <c r="Q1830" s="24">
        <v>5.7000000000000028</v>
      </c>
      <c r="R1830" s="24">
        <v>41.8</v>
      </c>
      <c r="S1830" s="21">
        <f t="shared" si="86"/>
        <v>-8.1318681318681377E-2</v>
      </c>
    </row>
    <row r="1831" spans="2:19" ht="11.4" customHeight="1" x14ac:dyDescent="0.2">
      <c r="B1831" s="24"/>
      <c r="C1831" s="7">
        <v>38980</v>
      </c>
      <c r="D1831" s="18" t="s">
        <v>1917</v>
      </c>
      <c r="E1831" s="18" t="s">
        <v>1843</v>
      </c>
      <c r="F1831" s="17">
        <v>15</v>
      </c>
      <c r="G1831" s="18" t="s">
        <v>23</v>
      </c>
      <c r="H1831" s="17">
        <v>45.5</v>
      </c>
      <c r="I1831" s="8">
        <v>47.5</v>
      </c>
      <c r="J1831" s="21">
        <f t="shared" si="84"/>
        <v>4.3956043956043959E-2</v>
      </c>
      <c r="K1831" s="1">
        <v>3</v>
      </c>
      <c r="L1831" s="24">
        <v>3.3</v>
      </c>
      <c r="M1831" s="24">
        <v>44.175000000000004</v>
      </c>
      <c r="N1831" s="21">
        <f t="shared" si="85"/>
        <v>-2.9120879120879028E-2</v>
      </c>
      <c r="P1831" s="1">
        <v>5</v>
      </c>
      <c r="Q1831" s="24">
        <v>5.7000000000000028</v>
      </c>
      <c r="R1831" s="24">
        <v>41.8</v>
      </c>
      <c r="S1831" s="21">
        <f t="shared" si="86"/>
        <v>-8.1318681318681377E-2</v>
      </c>
    </row>
    <row r="1832" spans="2:19" ht="11.4" customHeight="1" x14ac:dyDescent="0.2">
      <c r="B1832" s="24"/>
      <c r="C1832" s="7">
        <v>38979</v>
      </c>
      <c r="D1832" s="18" t="s">
        <v>1918</v>
      </c>
      <c r="E1832" s="18" t="s">
        <v>1843</v>
      </c>
      <c r="F1832" s="17">
        <v>15</v>
      </c>
      <c r="G1832" s="18" t="s">
        <v>23</v>
      </c>
      <c r="H1832" s="17">
        <v>49.5</v>
      </c>
      <c r="I1832" s="8">
        <v>49.5</v>
      </c>
      <c r="J1832" s="21">
        <f t="shared" si="84"/>
        <v>0</v>
      </c>
      <c r="K1832" s="1">
        <v>3</v>
      </c>
      <c r="L1832" s="24">
        <v>3.4</v>
      </c>
      <c r="M1832" s="24">
        <v>46.035000000000004</v>
      </c>
      <c r="N1832" s="21">
        <f t="shared" si="85"/>
        <v>-6.9999999999999923E-2</v>
      </c>
      <c r="P1832" s="1">
        <v>5</v>
      </c>
      <c r="Q1832" s="24">
        <v>5.9399999999999977</v>
      </c>
      <c r="R1832" s="24">
        <v>43.56</v>
      </c>
      <c r="S1832" s="21">
        <f t="shared" si="86"/>
        <v>-0.11999999999999995</v>
      </c>
    </row>
    <row r="1833" spans="2:19" ht="11.4" customHeight="1" x14ac:dyDescent="0.2">
      <c r="B1833" s="24"/>
      <c r="C1833" s="7">
        <v>37688</v>
      </c>
      <c r="D1833" s="18" t="s">
        <v>1919</v>
      </c>
      <c r="E1833" s="18" t="s">
        <v>1843</v>
      </c>
      <c r="F1833" s="17">
        <v>12</v>
      </c>
      <c r="G1833" s="18" t="s">
        <v>23</v>
      </c>
      <c r="H1833" s="17">
        <v>39.5</v>
      </c>
      <c r="I1833" s="8">
        <v>49.9</v>
      </c>
      <c r="J1833" s="21">
        <f t="shared" si="84"/>
        <v>0.26329113924050629</v>
      </c>
      <c r="K1833" s="1">
        <v>3</v>
      </c>
      <c r="L1833" s="24">
        <v>3.4</v>
      </c>
      <c r="M1833" s="24">
        <v>46.407000000000004</v>
      </c>
      <c r="N1833" s="21">
        <f t="shared" si="85"/>
        <v>0.17486075949367097</v>
      </c>
      <c r="P1833" s="1">
        <v>5</v>
      </c>
      <c r="Q1833" s="24">
        <v>5.9879999999999995</v>
      </c>
      <c r="R1833" s="24">
        <v>43.911999999999999</v>
      </c>
      <c r="S1833" s="21">
        <f t="shared" si="86"/>
        <v>0.11169620253164554</v>
      </c>
    </row>
    <row r="1834" spans="2:19" ht="11.4" customHeight="1" x14ac:dyDescent="0.2">
      <c r="B1834" s="24"/>
      <c r="C1834" s="7">
        <v>37689</v>
      </c>
      <c r="D1834" s="18" t="s">
        <v>1920</v>
      </c>
      <c r="E1834" s="18" t="s">
        <v>1843</v>
      </c>
      <c r="F1834" s="17">
        <v>12</v>
      </c>
      <c r="G1834" s="18" t="s">
        <v>23</v>
      </c>
      <c r="H1834" s="17">
        <v>39.5</v>
      </c>
      <c r="I1834" s="8">
        <v>49.9</v>
      </c>
      <c r="J1834" s="21">
        <f t="shared" si="84"/>
        <v>0.26329113924050629</v>
      </c>
      <c r="K1834" s="1">
        <v>3</v>
      </c>
      <c r="L1834" s="24">
        <v>3.4</v>
      </c>
      <c r="M1834" s="24">
        <v>46.407000000000004</v>
      </c>
      <c r="N1834" s="21">
        <f t="shared" si="85"/>
        <v>0.17486075949367097</v>
      </c>
      <c r="P1834" s="1">
        <v>5</v>
      </c>
      <c r="Q1834" s="24">
        <v>5.9879999999999995</v>
      </c>
      <c r="R1834" s="24">
        <v>43.911999999999999</v>
      </c>
      <c r="S1834" s="21">
        <f t="shared" si="86"/>
        <v>0.11169620253164554</v>
      </c>
    </row>
    <row r="1835" spans="2:19" ht="11.4" customHeight="1" x14ac:dyDescent="0.2">
      <c r="B1835" s="24"/>
      <c r="C1835" s="7">
        <v>39060</v>
      </c>
      <c r="D1835" s="18" t="s">
        <v>1921</v>
      </c>
      <c r="E1835" s="18" t="s">
        <v>1843</v>
      </c>
      <c r="F1835" s="17">
        <v>12</v>
      </c>
      <c r="G1835" s="18" t="s">
        <v>23</v>
      </c>
      <c r="H1835" s="17">
        <v>279</v>
      </c>
      <c r="I1835" s="8">
        <v>351.9</v>
      </c>
      <c r="J1835" s="21">
        <f t="shared" si="84"/>
        <v>0.26129032258064511</v>
      </c>
      <c r="K1835" s="1">
        <v>3</v>
      </c>
      <c r="L1835" s="24">
        <v>24.6</v>
      </c>
      <c r="M1835" s="24">
        <v>327.267</v>
      </c>
      <c r="N1835" s="21">
        <f t="shared" si="85"/>
        <v>0.17299999999999999</v>
      </c>
      <c r="P1835" s="1">
        <v>5</v>
      </c>
      <c r="Q1835" s="24">
        <v>42.228000000000009</v>
      </c>
      <c r="R1835" s="24">
        <v>309.67199999999997</v>
      </c>
      <c r="S1835" s="21">
        <f t="shared" si="86"/>
        <v>0.10993548387096763</v>
      </c>
    </row>
    <row r="1836" spans="2:19" ht="11.4" customHeight="1" x14ac:dyDescent="0.2">
      <c r="B1836" s="24"/>
      <c r="C1836" s="7">
        <v>34270</v>
      </c>
      <c r="D1836" s="18" t="s">
        <v>1922</v>
      </c>
      <c r="E1836" s="18" t="s">
        <v>1843</v>
      </c>
      <c r="F1836" s="17">
        <v>12</v>
      </c>
      <c r="G1836" s="18" t="s">
        <v>23</v>
      </c>
      <c r="H1836" s="17">
        <v>169.9</v>
      </c>
      <c r="I1836" s="8">
        <v>213.9</v>
      </c>
      <c r="J1836" s="21">
        <f t="shared" si="84"/>
        <v>0.25897586815773982</v>
      </c>
      <c r="K1836" s="1">
        <v>3</v>
      </c>
      <c r="L1836" s="24">
        <v>14.9</v>
      </c>
      <c r="M1836" s="24">
        <v>198.92700000000002</v>
      </c>
      <c r="N1836" s="21">
        <f t="shared" si="85"/>
        <v>0.17084755738669813</v>
      </c>
      <c r="P1836" s="1">
        <v>5</v>
      </c>
      <c r="Q1836" s="24">
        <v>25.668000000000006</v>
      </c>
      <c r="R1836" s="24">
        <v>188.232</v>
      </c>
      <c r="S1836" s="21">
        <f t="shared" si="86"/>
        <v>0.10789876397881103</v>
      </c>
    </row>
    <row r="1837" spans="2:19" ht="11.4" customHeight="1" x14ac:dyDescent="0.2">
      <c r="B1837" s="24"/>
      <c r="C1837" s="7">
        <v>37690</v>
      </c>
      <c r="D1837" s="18" t="s">
        <v>1923</v>
      </c>
      <c r="E1837" s="18" t="s">
        <v>1843</v>
      </c>
      <c r="F1837" s="17">
        <v>6</v>
      </c>
      <c r="G1837" s="18" t="s">
        <v>23</v>
      </c>
      <c r="H1837" s="17">
        <v>74.5</v>
      </c>
      <c r="I1837" s="8">
        <v>94.9</v>
      </c>
      <c r="J1837" s="21">
        <f t="shared" si="84"/>
        <v>0.27382550335570477</v>
      </c>
      <c r="K1837" s="1">
        <v>3</v>
      </c>
      <c r="L1837" s="24">
        <v>6.6</v>
      </c>
      <c r="M1837" s="24">
        <v>88.257000000000005</v>
      </c>
      <c r="N1837" s="21">
        <f t="shared" si="85"/>
        <v>0.18465771812080545</v>
      </c>
      <c r="P1837" s="1">
        <v>5</v>
      </c>
      <c r="Q1837" s="24">
        <v>11.388000000000005</v>
      </c>
      <c r="R1837" s="24">
        <v>83.512</v>
      </c>
      <c r="S1837" s="21">
        <f t="shared" si="86"/>
        <v>0.12096644295302014</v>
      </c>
    </row>
    <row r="1838" spans="2:19" ht="11.4" customHeight="1" x14ac:dyDescent="0.2">
      <c r="B1838" s="24"/>
      <c r="C1838" s="7">
        <v>4868</v>
      </c>
      <c r="D1838" s="18" t="s">
        <v>1924</v>
      </c>
      <c r="E1838" s="18" t="s">
        <v>1843</v>
      </c>
      <c r="F1838" s="17">
        <v>12</v>
      </c>
      <c r="G1838" s="18" t="s">
        <v>23</v>
      </c>
      <c r="H1838" s="17">
        <v>69.900000000000006</v>
      </c>
      <c r="I1838" s="8">
        <v>62.6</v>
      </c>
      <c r="J1838" s="21">
        <f t="shared" si="84"/>
        <v>-0.10443490701001436</v>
      </c>
      <c r="K1838" s="1">
        <v>3</v>
      </c>
      <c r="L1838" s="24">
        <v>4.3</v>
      </c>
      <c r="M1838" s="24">
        <v>58.218000000000004</v>
      </c>
      <c r="N1838" s="21">
        <f t="shared" si="85"/>
        <v>-0.16712446351931332</v>
      </c>
      <c r="P1838" s="1">
        <v>5</v>
      </c>
      <c r="Q1838" s="24">
        <v>7.5120000000000005</v>
      </c>
      <c r="R1838" s="24">
        <v>55.088000000000001</v>
      </c>
      <c r="S1838" s="21">
        <f t="shared" si="86"/>
        <v>-0.21190271816881265</v>
      </c>
    </row>
    <row r="1839" spans="2:19" ht="11.4" customHeight="1" x14ac:dyDescent="0.2">
      <c r="B1839" s="24"/>
      <c r="C1839" s="7">
        <v>23273</v>
      </c>
      <c r="D1839" s="18" t="s">
        <v>1925</v>
      </c>
      <c r="E1839" s="18" t="s">
        <v>1843</v>
      </c>
      <c r="F1839" s="17">
        <v>15</v>
      </c>
      <c r="G1839" s="18" t="s">
        <v>23</v>
      </c>
      <c r="H1839" s="17">
        <v>44.4</v>
      </c>
      <c r="I1839" s="8">
        <v>56.9</v>
      </c>
      <c r="J1839" s="21">
        <f t="shared" si="84"/>
        <v>0.28153153153153154</v>
      </c>
      <c r="K1839" s="1">
        <v>3</v>
      </c>
      <c r="L1839" s="24">
        <v>3.9</v>
      </c>
      <c r="M1839" s="24">
        <v>52.917000000000002</v>
      </c>
      <c r="N1839" s="21">
        <f t="shared" si="85"/>
        <v>0.19182432432432439</v>
      </c>
      <c r="P1839" s="1">
        <v>5</v>
      </c>
      <c r="Q1839" s="24">
        <v>6.828000000000003</v>
      </c>
      <c r="R1839" s="24">
        <v>50.071999999999996</v>
      </c>
      <c r="S1839" s="21">
        <f t="shared" si="86"/>
        <v>0.12774774774774769</v>
      </c>
    </row>
    <row r="1840" spans="2:19" ht="11.4" customHeight="1" x14ac:dyDescent="0.2">
      <c r="B1840" s="24"/>
      <c r="C1840" s="7">
        <v>39057</v>
      </c>
      <c r="D1840" s="18" t="s">
        <v>1926</v>
      </c>
      <c r="E1840" s="18" t="s">
        <v>1843</v>
      </c>
      <c r="F1840" s="17">
        <v>6</v>
      </c>
      <c r="G1840" s="18" t="s">
        <v>23</v>
      </c>
      <c r="H1840" s="17">
        <v>172.84</v>
      </c>
      <c r="I1840" s="8">
        <v>224.9</v>
      </c>
      <c r="J1840" s="21">
        <f t="shared" si="84"/>
        <v>0.30120342513307108</v>
      </c>
      <c r="K1840" s="1">
        <v>3</v>
      </c>
      <c r="L1840" s="24">
        <v>15.7</v>
      </c>
      <c r="M1840" s="24">
        <v>209.15700000000001</v>
      </c>
      <c r="N1840" s="21">
        <f t="shared" si="85"/>
        <v>0.21011918537375612</v>
      </c>
      <c r="P1840" s="1">
        <v>5</v>
      </c>
      <c r="Q1840" s="24">
        <v>26.988</v>
      </c>
      <c r="R1840" s="24">
        <v>197.91200000000001</v>
      </c>
      <c r="S1840" s="21">
        <f t="shared" si="86"/>
        <v>0.14505901411710254</v>
      </c>
    </row>
    <row r="1841" spans="2:19" ht="11.4" customHeight="1" x14ac:dyDescent="0.2">
      <c r="B1841" s="24"/>
      <c r="C1841" s="7">
        <v>38983</v>
      </c>
      <c r="D1841" s="18" t="s">
        <v>1927</v>
      </c>
      <c r="E1841" s="18" t="s">
        <v>1843</v>
      </c>
      <c r="F1841" s="17">
        <v>15</v>
      </c>
      <c r="G1841" s="18" t="s">
        <v>23</v>
      </c>
      <c r="H1841" s="17">
        <v>64.5</v>
      </c>
      <c r="I1841" s="8">
        <v>67.900000000000006</v>
      </c>
      <c r="J1841" s="21">
        <f t="shared" si="84"/>
        <v>5.2713178294573733E-2</v>
      </c>
      <c r="K1841" s="1">
        <v>3</v>
      </c>
      <c r="L1841" s="24">
        <v>4.7</v>
      </c>
      <c r="M1841" s="24">
        <v>63.147000000000006</v>
      </c>
      <c r="N1841" s="21">
        <f t="shared" si="85"/>
        <v>-2.0976744186046427E-2</v>
      </c>
      <c r="P1841" s="1">
        <v>5</v>
      </c>
      <c r="Q1841" s="24">
        <v>8.1480000000000032</v>
      </c>
      <c r="R1841" s="24">
        <v>59.752000000000002</v>
      </c>
      <c r="S1841" s="21">
        <f t="shared" si="86"/>
        <v>-7.3612403100775159E-2</v>
      </c>
    </row>
    <row r="1842" spans="2:19" ht="11.4" customHeight="1" x14ac:dyDescent="0.2">
      <c r="B1842" s="24"/>
      <c r="C1842" s="7">
        <v>38984</v>
      </c>
      <c r="D1842" s="18" t="s">
        <v>1928</v>
      </c>
      <c r="E1842" s="18" t="s">
        <v>1843</v>
      </c>
      <c r="F1842" s="17">
        <v>12</v>
      </c>
      <c r="G1842" s="18" t="s">
        <v>23</v>
      </c>
      <c r="H1842" s="17">
        <v>129.9</v>
      </c>
      <c r="I1842" s="8">
        <v>129.9</v>
      </c>
      <c r="J1842" s="21">
        <f t="shared" si="84"/>
        <v>0</v>
      </c>
      <c r="K1842" s="1">
        <v>3</v>
      </c>
      <c r="L1842" s="24">
        <v>9</v>
      </c>
      <c r="M1842" s="24">
        <v>120.80700000000002</v>
      </c>
      <c r="N1842" s="21">
        <f t="shared" si="85"/>
        <v>-6.999999999999991E-2</v>
      </c>
      <c r="P1842" s="1">
        <v>5</v>
      </c>
      <c r="Q1842" s="24">
        <v>15.587999999999994</v>
      </c>
      <c r="R1842" s="24">
        <v>114.31200000000001</v>
      </c>
      <c r="S1842" s="21">
        <f t="shared" si="86"/>
        <v>-0.11999999999999995</v>
      </c>
    </row>
    <row r="1843" spans="2:19" ht="11.4" customHeight="1" x14ac:dyDescent="0.2">
      <c r="B1843" s="24"/>
      <c r="C1843" s="7">
        <v>38985</v>
      </c>
      <c r="D1843" s="18" t="s">
        <v>1929</v>
      </c>
      <c r="E1843" s="18" t="s">
        <v>1843</v>
      </c>
      <c r="F1843" s="17">
        <v>15</v>
      </c>
      <c r="G1843" s="18" t="s">
        <v>23</v>
      </c>
      <c r="H1843" s="17">
        <v>47.5</v>
      </c>
      <c r="I1843" s="8">
        <v>47.5</v>
      </c>
      <c r="J1843" s="21">
        <f t="shared" si="84"/>
        <v>0</v>
      </c>
      <c r="K1843" s="1">
        <v>3</v>
      </c>
      <c r="L1843" s="24">
        <v>3.3</v>
      </c>
      <c r="M1843" s="24">
        <v>44.175000000000004</v>
      </c>
      <c r="N1843" s="21">
        <f t="shared" si="85"/>
        <v>-6.999999999999991E-2</v>
      </c>
      <c r="P1843" s="1">
        <v>5</v>
      </c>
      <c r="Q1843" s="24">
        <v>5.7000000000000028</v>
      </c>
      <c r="R1843" s="24">
        <v>41.8</v>
      </c>
      <c r="S1843" s="21">
        <f t="shared" si="86"/>
        <v>-0.12000000000000006</v>
      </c>
    </row>
    <row r="1844" spans="2:19" ht="11.4" customHeight="1" x14ac:dyDescent="0.2">
      <c r="B1844" s="24"/>
      <c r="C1844" s="7">
        <v>36404</v>
      </c>
      <c r="D1844" s="18" t="s">
        <v>1930</v>
      </c>
      <c r="E1844" s="18" t="s">
        <v>1843</v>
      </c>
      <c r="F1844" s="17">
        <v>28</v>
      </c>
      <c r="G1844" s="18" t="s">
        <v>23</v>
      </c>
      <c r="H1844" s="17">
        <v>55.4</v>
      </c>
      <c r="I1844" s="8">
        <v>60.5</v>
      </c>
      <c r="J1844" s="21">
        <f t="shared" si="84"/>
        <v>9.2057761732852017E-2</v>
      </c>
      <c r="K1844" s="1">
        <v>3</v>
      </c>
      <c r="L1844" s="24">
        <v>4.2</v>
      </c>
      <c r="M1844" s="24">
        <v>56.265000000000001</v>
      </c>
      <c r="N1844" s="21">
        <f t="shared" si="85"/>
        <v>1.5613718411552383E-2</v>
      </c>
      <c r="P1844" s="1">
        <v>5</v>
      </c>
      <c r="Q1844" s="24">
        <v>7.259999999999998</v>
      </c>
      <c r="R1844" s="24">
        <v>53.24</v>
      </c>
      <c r="S1844" s="21">
        <f t="shared" si="86"/>
        <v>-3.8989169675090189E-2</v>
      </c>
    </row>
    <row r="1845" spans="2:19" ht="11.4" customHeight="1" x14ac:dyDescent="0.2">
      <c r="B1845" s="24"/>
      <c r="C1845" s="7">
        <v>23271</v>
      </c>
      <c r="D1845" s="18" t="s">
        <v>1931</v>
      </c>
      <c r="E1845" s="18" t="s">
        <v>1843</v>
      </c>
      <c r="F1845" s="17">
        <v>15</v>
      </c>
      <c r="G1845" s="18" t="s">
        <v>23</v>
      </c>
      <c r="H1845" s="17">
        <v>53.9</v>
      </c>
      <c r="I1845" s="8">
        <v>53.9</v>
      </c>
      <c r="J1845" s="21">
        <f t="shared" si="84"/>
        <v>0</v>
      </c>
      <c r="K1845" s="1">
        <v>3</v>
      </c>
      <c r="L1845" s="24">
        <v>3.7</v>
      </c>
      <c r="M1845" s="24">
        <v>50.127000000000002</v>
      </c>
      <c r="N1845" s="21">
        <f t="shared" si="85"/>
        <v>-6.9999999999999923E-2</v>
      </c>
      <c r="P1845" s="1">
        <v>5</v>
      </c>
      <c r="Q1845" s="24">
        <v>6.4679999999999964</v>
      </c>
      <c r="R1845" s="24">
        <v>47.432000000000002</v>
      </c>
      <c r="S1845" s="21">
        <f t="shared" si="86"/>
        <v>-0.11999999999999994</v>
      </c>
    </row>
    <row r="1846" spans="2:19" ht="11.4" customHeight="1" x14ac:dyDescent="0.2">
      <c r="B1846" s="24"/>
      <c r="C1846" s="7">
        <v>29001</v>
      </c>
      <c r="D1846" s="18" t="s">
        <v>1932</v>
      </c>
      <c r="E1846" s="18" t="s">
        <v>1843</v>
      </c>
      <c r="F1846" s="17">
        <v>12</v>
      </c>
      <c r="G1846" s="18" t="s">
        <v>23</v>
      </c>
      <c r="H1846" s="17">
        <v>39.5</v>
      </c>
      <c r="I1846" s="8">
        <v>49.9</v>
      </c>
      <c r="J1846" s="21">
        <f t="shared" si="84"/>
        <v>0.26329113924050629</v>
      </c>
      <c r="K1846" s="1">
        <v>3</v>
      </c>
      <c r="L1846" s="24">
        <v>3.4</v>
      </c>
      <c r="M1846" s="24">
        <v>46.407000000000004</v>
      </c>
      <c r="N1846" s="21">
        <f t="shared" si="85"/>
        <v>0.17486075949367097</v>
      </c>
      <c r="P1846" s="1">
        <v>5</v>
      </c>
      <c r="Q1846" s="24">
        <v>5.9879999999999995</v>
      </c>
      <c r="R1846" s="24">
        <v>43.911999999999999</v>
      </c>
      <c r="S1846" s="21">
        <f t="shared" si="86"/>
        <v>0.11169620253164554</v>
      </c>
    </row>
    <row r="1847" spans="2:19" ht="11.4" customHeight="1" x14ac:dyDescent="0.2">
      <c r="B1847" s="24"/>
      <c r="C1847" s="7">
        <v>39061</v>
      </c>
      <c r="D1847" s="18" t="s">
        <v>1933</v>
      </c>
      <c r="E1847" s="18" t="s">
        <v>1843</v>
      </c>
      <c r="F1847" s="17">
        <v>6</v>
      </c>
      <c r="G1847" s="18" t="s">
        <v>23</v>
      </c>
      <c r="H1847" s="17">
        <v>219.5</v>
      </c>
      <c r="I1847" s="8">
        <v>274.5</v>
      </c>
      <c r="J1847" s="21">
        <f t="shared" si="84"/>
        <v>0.25056947608200458</v>
      </c>
      <c r="K1847" s="1">
        <v>3</v>
      </c>
      <c r="L1847" s="24">
        <v>19.2</v>
      </c>
      <c r="M1847" s="24">
        <v>255.28500000000003</v>
      </c>
      <c r="N1847" s="21">
        <f t="shared" si="85"/>
        <v>0.16302961275626435</v>
      </c>
      <c r="P1847" s="1">
        <v>5</v>
      </c>
      <c r="Q1847" s="24">
        <v>32.94</v>
      </c>
      <c r="R1847" s="24">
        <v>241.56</v>
      </c>
      <c r="S1847" s="21">
        <f t="shared" si="86"/>
        <v>0.10050113895216402</v>
      </c>
    </row>
    <row r="1848" spans="2:19" ht="11.4" customHeight="1" x14ac:dyDescent="0.2">
      <c r="B1848" s="24"/>
      <c r="C1848" s="7">
        <v>24785</v>
      </c>
      <c r="D1848" s="18" t="s">
        <v>1934</v>
      </c>
      <c r="E1848" s="18" t="s">
        <v>1717</v>
      </c>
      <c r="F1848" s="17">
        <v>9</v>
      </c>
      <c r="G1848" s="18" t="s">
        <v>23</v>
      </c>
      <c r="H1848" s="17">
        <v>85.5</v>
      </c>
      <c r="I1848" s="8">
        <v>85.5</v>
      </c>
      <c r="J1848" s="21">
        <f t="shared" si="84"/>
        <v>0</v>
      </c>
      <c r="K1848" s="1">
        <v>3</v>
      </c>
      <c r="L1848" s="24">
        <v>5.9</v>
      </c>
      <c r="M1848" s="24">
        <v>79.515000000000001</v>
      </c>
      <c r="N1848" s="21">
        <f t="shared" si="85"/>
        <v>-6.9999999999999993E-2</v>
      </c>
      <c r="P1848" s="1">
        <v>5</v>
      </c>
      <c r="Q1848" s="24">
        <v>10.260000000000005</v>
      </c>
      <c r="R1848" s="24">
        <v>75.239999999999995</v>
      </c>
      <c r="S1848" s="21">
        <f t="shared" si="86"/>
        <v>-0.12000000000000006</v>
      </c>
    </row>
    <row r="1849" spans="2:19" ht="11.4" customHeight="1" x14ac:dyDescent="0.2">
      <c r="B1849" s="24"/>
      <c r="C1849" s="7">
        <v>44899</v>
      </c>
      <c r="D1849" s="18" t="s">
        <v>1935</v>
      </c>
      <c r="E1849" s="18" t="s">
        <v>1717</v>
      </c>
      <c r="F1849" s="17">
        <v>12</v>
      </c>
      <c r="G1849" s="18" t="s">
        <v>23</v>
      </c>
      <c r="H1849" s="17">
        <v>23.94</v>
      </c>
      <c r="I1849" s="8">
        <v>39.9</v>
      </c>
      <c r="J1849" s="21">
        <f t="shared" si="84"/>
        <v>0.66666666666666652</v>
      </c>
      <c r="K1849" s="1">
        <v>3</v>
      </c>
      <c r="L1849" s="24">
        <v>2.7</v>
      </c>
      <c r="M1849" s="24">
        <v>37.106999999999999</v>
      </c>
      <c r="N1849" s="21">
        <f t="shared" si="85"/>
        <v>0.54999999999999993</v>
      </c>
      <c r="P1849" s="1">
        <v>5</v>
      </c>
      <c r="Q1849" s="24">
        <v>4.7879999999999967</v>
      </c>
      <c r="R1849" s="24">
        <v>35.112000000000002</v>
      </c>
      <c r="S1849" s="21">
        <f t="shared" si="86"/>
        <v>0.46666666666666667</v>
      </c>
    </row>
    <row r="1850" spans="2:19" ht="11.4" customHeight="1" x14ac:dyDescent="0.2">
      <c r="B1850" s="24"/>
      <c r="C1850" s="7">
        <v>28131</v>
      </c>
      <c r="D1850" s="18" t="s">
        <v>1936</v>
      </c>
      <c r="E1850" s="18" t="s">
        <v>1717</v>
      </c>
      <c r="F1850" s="17">
        <v>20</v>
      </c>
      <c r="G1850" s="18" t="s">
        <v>23</v>
      </c>
      <c r="H1850" s="17">
        <v>17.04</v>
      </c>
      <c r="I1850" s="8">
        <v>32.6</v>
      </c>
      <c r="J1850" s="21">
        <f t="shared" si="84"/>
        <v>0.91314553990610348</v>
      </c>
      <c r="K1850" s="1">
        <v>3</v>
      </c>
      <c r="L1850" s="24">
        <v>2.2000000000000002</v>
      </c>
      <c r="M1850" s="24">
        <v>30.318000000000001</v>
      </c>
      <c r="N1850" s="21">
        <f t="shared" si="85"/>
        <v>0.77922535211267618</v>
      </c>
      <c r="P1850" s="1">
        <v>5</v>
      </c>
      <c r="Q1850" s="24">
        <v>3.911999999999999</v>
      </c>
      <c r="R1850" s="24">
        <v>28.688000000000002</v>
      </c>
      <c r="S1850" s="21">
        <f t="shared" si="86"/>
        <v>0.68356807511737117</v>
      </c>
    </row>
    <row r="1851" spans="2:19" ht="11.4" customHeight="1" x14ac:dyDescent="0.2">
      <c r="B1851" s="24"/>
      <c r="C1851" s="7">
        <v>26419</v>
      </c>
      <c r="D1851" s="18" t="s">
        <v>1937</v>
      </c>
      <c r="E1851" s="18" t="s">
        <v>1717</v>
      </c>
      <c r="F1851" s="17">
        <v>6</v>
      </c>
      <c r="G1851" s="18" t="s">
        <v>23</v>
      </c>
      <c r="H1851" s="17">
        <v>46.92</v>
      </c>
      <c r="I1851" s="8">
        <v>65.5</v>
      </c>
      <c r="J1851" s="21">
        <f t="shared" si="84"/>
        <v>0.39599317988064786</v>
      </c>
      <c r="K1851" s="1">
        <v>3</v>
      </c>
      <c r="L1851" s="24">
        <v>4.5</v>
      </c>
      <c r="M1851" s="24">
        <v>60.915000000000006</v>
      </c>
      <c r="N1851" s="21">
        <f t="shared" si="85"/>
        <v>0.29827365728900262</v>
      </c>
      <c r="P1851" s="1">
        <v>5</v>
      </c>
      <c r="Q1851" s="24">
        <v>7.8599999999999994</v>
      </c>
      <c r="R1851" s="24">
        <v>57.64</v>
      </c>
      <c r="S1851" s="21">
        <f t="shared" si="86"/>
        <v>0.22847399829497014</v>
      </c>
    </row>
    <row r="1852" spans="2:19" ht="11.4" customHeight="1" x14ac:dyDescent="0.2">
      <c r="B1852" s="24"/>
      <c r="C1852" s="7">
        <v>33157</v>
      </c>
      <c r="D1852" s="18" t="s">
        <v>1938</v>
      </c>
      <c r="E1852" s="18" t="s">
        <v>1717</v>
      </c>
      <c r="F1852" s="17">
        <v>20</v>
      </c>
      <c r="G1852" s="18" t="s">
        <v>23</v>
      </c>
      <c r="H1852" s="17">
        <v>33.9</v>
      </c>
      <c r="I1852" s="8">
        <v>37.1</v>
      </c>
      <c r="J1852" s="21">
        <f t="shared" si="84"/>
        <v>9.4395280235988283E-2</v>
      </c>
      <c r="K1852" s="1">
        <v>3</v>
      </c>
      <c r="L1852" s="24">
        <v>2.5</v>
      </c>
      <c r="M1852" s="24">
        <v>34.503</v>
      </c>
      <c r="N1852" s="21">
        <f t="shared" si="85"/>
        <v>1.7787610619469072E-2</v>
      </c>
      <c r="P1852" s="1">
        <v>5</v>
      </c>
      <c r="Q1852" s="24">
        <v>4.4519999999999982</v>
      </c>
      <c r="R1852" s="24">
        <v>32.648000000000003</v>
      </c>
      <c r="S1852" s="21">
        <f t="shared" si="86"/>
        <v>-3.6932153392330247E-2</v>
      </c>
    </row>
    <row r="1853" spans="2:19" ht="11.4" customHeight="1" x14ac:dyDescent="0.2">
      <c r="B1853" s="24"/>
      <c r="C1853" s="7">
        <v>37858</v>
      </c>
      <c r="D1853" s="18" t="s">
        <v>1939</v>
      </c>
      <c r="E1853" s="18" t="s">
        <v>1717</v>
      </c>
      <c r="F1853" s="17">
        <v>15</v>
      </c>
      <c r="G1853" s="18" t="s">
        <v>23</v>
      </c>
      <c r="H1853" s="17">
        <v>49.9</v>
      </c>
      <c r="I1853" s="8">
        <v>49.9</v>
      </c>
      <c r="J1853" s="21">
        <f t="shared" si="84"/>
        <v>0</v>
      </c>
      <c r="K1853" s="1">
        <v>3</v>
      </c>
      <c r="L1853" s="24">
        <v>3.4</v>
      </c>
      <c r="M1853" s="24">
        <v>46.407000000000004</v>
      </c>
      <c r="N1853" s="21">
        <f t="shared" si="85"/>
        <v>-6.9999999999999896E-2</v>
      </c>
      <c r="P1853" s="1">
        <v>5</v>
      </c>
      <c r="Q1853" s="24">
        <v>5.9879999999999995</v>
      </c>
      <c r="R1853" s="24">
        <v>43.911999999999999</v>
      </c>
      <c r="S1853" s="21">
        <f t="shared" si="86"/>
        <v>-0.12</v>
      </c>
    </row>
    <row r="1854" spans="2:19" ht="11.4" customHeight="1" x14ac:dyDescent="0.2">
      <c r="B1854" s="24"/>
      <c r="C1854" s="7">
        <v>33725</v>
      </c>
      <c r="D1854" s="18" t="s">
        <v>1940</v>
      </c>
      <c r="E1854" s="18" t="s">
        <v>1717</v>
      </c>
      <c r="F1854" s="17">
        <v>6</v>
      </c>
      <c r="G1854" s="18" t="s">
        <v>23</v>
      </c>
      <c r="H1854" s="17">
        <v>89.9</v>
      </c>
      <c r="I1854" s="8">
        <v>114.9</v>
      </c>
      <c r="J1854" s="21">
        <f t="shared" si="84"/>
        <v>0.27808676307007785</v>
      </c>
      <c r="K1854" s="1">
        <v>3</v>
      </c>
      <c r="L1854" s="24">
        <v>8</v>
      </c>
      <c r="M1854" s="24">
        <v>106.85700000000001</v>
      </c>
      <c r="N1854" s="21">
        <f t="shared" si="85"/>
        <v>0.18862068965517248</v>
      </c>
      <c r="P1854" s="1">
        <v>5</v>
      </c>
      <c r="Q1854" s="24">
        <v>13.787999999999997</v>
      </c>
      <c r="R1854" s="24">
        <v>101.11200000000001</v>
      </c>
      <c r="S1854" s="21">
        <f t="shared" si="86"/>
        <v>0.12471635150166854</v>
      </c>
    </row>
    <row r="1855" spans="2:19" ht="11.4" customHeight="1" x14ac:dyDescent="0.2">
      <c r="B1855" s="24"/>
      <c r="C1855" s="7">
        <v>38393</v>
      </c>
      <c r="D1855" s="18" t="s">
        <v>1941</v>
      </c>
      <c r="E1855" s="18" t="s">
        <v>1717</v>
      </c>
      <c r="F1855" s="17">
        <v>8</v>
      </c>
      <c r="G1855" s="18" t="s">
        <v>23</v>
      </c>
      <c r="H1855" s="17">
        <v>99.5</v>
      </c>
      <c r="I1855" s="8">
        <v>99.5</v>
      </c>
      <c r="J1855" s="21">
        <f t="shared" si="84"/>
        <v>0</v>
      </c>
      <c r="K1855" s="1">
        <v>3</v>
      </c>
      <c r="L1855" s="24">
        <v>6.9</v>
      </c>
      <c r="M1855" s="24">
        <v>92.535000000000011</v>
      </c>
      <c r="N1855" s="21">
        <f t="shared" si="85"/>
        <v>-6.9999999999999896E-2</v>
      </c>
      <c r="P1855" s="1">
        <v>5</v>
      </c>
      <c r="Q1855" s="24">
        <v>11.939999999999998</v>
      </c>
      <c r="R1855" s="24">
        <v>87.56</v>
      </c>
      <c r="S1855" s="21">
        <f t="shared" si="86"/>
        <v>-0.11999999999999998</v>
      </c>
    </row>
    <row r="1856" spans="2:19" ht="11.4" customHeight="1" x14ac:dyDescent="0.2">
      <c r="B1856" s="24"/>
      <c r="C1856" s="7">
        <v>33726</v>
      </c>
      <c r="D1856" s="18" t="s">
        <v>1942</v>
      </c>
      <c r="E1856" s="18" t="s">
        <v>1808</v>
      </c>
      <c r="F1856" s="17">
        <v>6</v>
      </c>
      <c r="G1856" s="18" t="s">
        <v>23</v>
      </c>
      <c r="H1856" s="17">
        <v>89.9</v>
      </c>
      <c r="I1856" s="8">
        <v>114.9</v>
      </c>
      <c r="J1856" s="21">
        <f t="shared" si="84"/>
        <v>0.27808676307007785</v>
      </c>
      <c r="K1856" s="1">
        <v>3</v>
      </c>
      <c r="L1856" s="24">
        <v>8</v>
      </c>
      <c r="M1856" s="24">
        <v>106.85700000000001</v>
      </c>
      <c r="N1856" s="21">
        <f t="shared" si="85"/>
        <v>0.18862068965517248</v>
      </c>
      <c r="P1856" s="1">
        <v>5</v>
      </c>
      <c r="Q1856" s="24">
        <v>13.787999999999997</v>
      </c>
      <c r="R1856" s="24">
        <v>101.11200000000001</v>
      </c>
      <c r="S1856" s="21">
        <f t="shared" si="86"/>
        <v>0.12471635150166854</v>
      </c>
    </row>
    <row r="1857" spans="2:19" ht="11.4" customHeight="1" x14ac:dyDescent="0.2">
      <c r="B1857" s="24"/>
      <c r="C1857" s="7">
        <v>37695</v>
      </c>
      <c r="D1857" s="18" t="s">
        <v>1943</v>
      </c>
      <c r="E1857" s="18" t="s">
        <v>1808</v>
      </c>
      <c r="F1857" s="17">
        <v>6</v>
      </c>
      <c r="G1857" s="18" t="s">
        <v>23</v>
      </c>
      <c r="H1857" s="17">
        <v>77.900000000000006</v>
      </c>
      <c r="I1857" s="8">
        <v>94.9</v>
      </c>
      <c r="J1857" s="21">
        <f t="shared" si="84"/>
        <v>0.21822849807445441</v>
      </c>
      <c r="K1857" s="1">
        <v>3</v>
      </c>
      <c r="L1857" s="24">
        <v>6.6</v>
      </c>
      <c r="M1857" s="24">
        <v>88.257000000000005</v>
      </c>
      <c r="N1857" s="21">
        <f t="shared" si="85"/>
        <v>0.1329525032092426</v>
      </c>
      <c r="P1857" s="1">
        <v>5</v>
      </c>
      <c r="Q1857" s="24">
        <v>11.388000000000005</v>
      </c>
      <c r="R1857" s="24">
        <v>83.512</v>
      </c>
      <c r="S1857" s="21">
        <f t="shared" si="86"/>
        <v>7.2041078305519826E-2</v>
      </c>
    </row>
    <row r="1858" spans="2:19" ht="11.4" customHeight="1" x14ac:dyDescent="0.2">
      <c r="B1858" s="24"/>
      <c r="C1858" s="7">
        <v>33155</v>
      </c>
      <c r="D1858" s="18" t="s">
        <v>1944</v>
      </c>
      <c r="E1858" s="18" t="s">
        <v>1717</v>
      </c>
      <c r="F1858" s="17">
        <v>8</v>
      </c>
      <c r="G1858" s="18" t="s">
        <v>23</v>
      </c>
      <c r="H1858" s="17">
        <v>38.9</v>
      </c>
      <c r="I1858" s="8">
        <v>43.9</v>
      </c>
      <c r="J1858" s="21">
        <f t="shared" si="84"/>
        <v>0.12853470437017994</v>
      </c>
      <c r="K1858" s="1">
        <v>3</v>
      </c>
      <c r="L1858" s="24">
        <v>3</v>
      </c>
      <c r="M1858" s="24">
        <v>40.826999999999998</v>
      </c>
      <c r="N1858" s="21">
        <f t="shared" si="85"/>
        <v>4.9537275064267347E-2</v>
      </c>
      <c r="P1858" s="1">
        <v>5</v>
      </c>
      <c r="Q1858" s="24">
        <v>5.2680000000000007</v>
      </c>
      <c r="R1858" s="24">
        <v>38.631999999999998</v>
      </c>
      <c r="S1858" s="21">
        <f t="shared" si="86"/>
        <v>-6.8894601542416629E-3</v>
      </c>
    </row>
    <row r="1859" spans="2:19" ht="11.4" customHeight="1" x14ac:dyDescent="0.2">
      <c r="B1859" s="24"/>
      <c r="C1859" s="7">
        <v>44277</v>
      </c>
      <c r="D1859" s="18" t="s">
        <v>1945</v>
      </c>
      <c r="E1859" s="18" t="s">
        <v>1717</v>
      </c>
      <c r="F1859" s="17">
        <v>12</v>
      </c>
      <c r="G1859" s="18" t="s">
        <v>23</v>
      </c>
      <c r="H1859" s="17">
        <v>54.96</v>
      </c>
      <c r="I1859" s="8">
        <v>89.9</v>
      </c>
      <c r="J1859" s="21">
        <f t="shared" ref="J1859:J1922" si="87">(I1859-H1859)/H1859</f>
        <v>0.63573508005822421</v>
      </c>
      <c r="K1859" s="1">
        <v>3</v>
      </c>
      <c r="L1859" s="24">
        <v>6.2</v>
      </c>
      <c r="M1859" s="24">
        <v>83.607000000000014</v>
      </c>
      <c r="N1859" s="21">
        <f t="shared" ref="N1859:N1922" si="88">(M1859-H1859)/H1859</f>
        <v>0.52123362445414867</v>
      </c>
      <c r="P1859" s="1">
        <v>5</v>
      </c>
      <c r="Q1859" s="24">
        <v>10.787999999999997</v>
      </c>
      <c r="R1859" s="24">
        <v>79.112000000000009</v>
      </c>
      <c r="S1859" s="21">
        <f t="shared" ref="S1859:S1922" si="89">(R1859-H1859)/H1859</f>
        <v>0.43944687045123743</v>
      </c>
    </row>
    <row r="1860" spans="2:19" ht="11.4" customHeight="1" x14ac:dyDescent="0.2">
      <c r="B1860" s="24"/>
      <c r="C1860" s="7">
        <v>28804</v>
      </c>
      <c r="D1860" s="18" t="s">
        <v>1946</v>
      </c>
      <c r="E1860" s="18" t="s">
        <v>1717</v>
      </c>
      <c r="F1860" s="17">
        <v>6</v>
      </c>
      <c r="G1860" s="18" t="s">
        <v>23</v>
      </c>
      <c r="H1860" s="17">
        <v>105.9</v>
      </c>
      <c r="I1860" s="8">
        <v>135</v>
      </c>
      <c r="J1860" s="21">
        <f t="shared" si="87"/>
        <v>0.27478753541076478</v>
      </c>
      <c r="K1860" s="1">
        <v>3</v>
      </c>
      <c r="L1860" s="24">
        <v>9.4</v>
      </c>
      <c r="M1860" s="24">
        <v>125.55000000000001</v>
      </c>
      <c r="N1860" s="21">
        <f t="shared" si="88"/>
        <v>0.18555240793201139</v>
      </c>
      <c r="P1860" s="1">
        <v>5</v>
      </c>
      <c r="Q1860" s="24">
        <v>16.200000000000003</v>
      </c>
      <c r="R1860" s="24">
        <v>118.8</v>
      </c>
      <c r="S1860" s="21">
        <f t="shared" si="89"/>
        <v>0.121813031161473</v>
      </c>
    </row>
    <row r="1861" spans="2:19" ht="11.4" customHeight="1" x14ac:dyDescent="0.2">
      <c r="B1861" s="24"/>
      <c r="C1861" s="7">
        <v>44281</v>
      </c>
      <c r="D1861" s="18" t="s">
        <v>1947</v>
      </c>
      <c r="E1861" s="18" t="s">
        <v>1717</v>
      </c>
      <c r="F1861" s="17">
        <v>12</v>
      </c>
      <c r="G1861" s="18" t="s">
        <v>23</v>
      </c>
      <c r="H1861" s="17">
        <v>68.400000000000006</v>
      </c>
      <c r="I1861" s="8">
        <v>102.6</v>
      </c>
      <c r="J1861" s="21">
        <f t="shared" si="87"/>
        <v>0.49999999999999978</v>
      </c>
      <c r="K1861" s="1">
        <v>3</v>
      </c>
      <c r="L1861" s="24">
        <v>7.1</v>
      </c>
      <c r="M1861" s="24">
        <v>95.418000000000006</v>
      </c>
      <c r="N1861" s="21">
        <f t="shared" si="88"/>
        <v>0.39499999999999996</v>
      </c>
      <c r="P1861" s="1">
        <v>5</v>
      </c>
      <c r="Q1861" s="24">
        <v>12.311999999999998</v>
      </c>
      <c r="R1861" s="24">
        <v>90.287999999999997</v>
      </c>
      <c r="S1861" s="21">
        <f t="shared" si="89"/>
        <v>0.31999999999999984</v>
      </c>
    </row>
    <row r="1862" spans="2:19" ht="11.4" customHeight="1" x14ac:dyDescent="0.2">
      <c r="B1862" s="24"/>
      <c r="C1862" s="7">
        <v>28803</v>
      </c>
      <c r="D1862" s="18" t="s">
        <v>1948</v>
      </c>
      <c r="E1862" s="18" t="s">
        <v>1717</v>
      </c>
      <c r="F1862" s="17">
        <v>6</v>
      </c>
      <c r="G1862" s="18" t="s">
        <v>23</v>
      </c>
      <c r="H1862" s="17">
        <v>105.9</v>
      </c>
      <c r="I1862" s="8">
        <v>135</v>
      </c>
      <c r="J1862" s="21">
        <f t="shared" si="87"/>
        <v>0.27478753541076478</v>
      </c>
      <c r="K1862" s="1">
        <v>3</v>
      </c>
      <c r="L1862" s="24">
        <v>9.4</v>
      </c>
      <c r="M1862" s="24">
        <v>125.55000000000001</v>
      </c>
      <c r="N1862" s="21">
        <f t="shared" si="88"/>
        <v>0.18555240793201139</v>
      </c>
      <c r="P1862" s="1">
        <v>5</v>
      </c>
      <c r="Q1862" s="24">
        <v>16.200000000000003</v>
      </c>
      <c r="R1862" s="24">
        <v>118.8</v>
      </c>
      <c r="S1862" s="21">
        <f t="shared" si="89"/>
        <v>0.121813031161473</v>
      </c>
    </row>
    <row r="1863" spans="2:19" ht="11.4" customHeight="1" x14ac:dyDescent="0.2">
      <c r="B1863" s="24"/>
      <c r="C1863" s="7">
        <v>38940</v>
      </c>
      <c r="D1863" s="18" t="s">
        <v>1949</v>
      </c>
      <c r="E1863" s="18" t="s">
        <v>1717</v>
      </c>
      <c r="F1863" s="17">
        <v>6</v>
      </c>
      <c r="G1863" s="18" t="s">
        <v>23</v>
      </c>
      <c r="H1863" s="17">
        <v>109.5</v>
      </c>
      <c r="I1863" s="8">
        <v>140</v>
      </c>
      <c r="J1863" s="21">
        <f t="shared" si="87"/>
        <v>0.27853881278538811</v>
      </c>
      <c r="K1863" s="1">
        <v>3</v>
      </c>
      <c r="L1863" s="24">
        <v>9.6999999999999993</v>
      </c>
      <c r="M1863" s="24">
        <v>130.20000000000002</v>
      </c>
      <c r="N1863" s="21">
        <f t="shared" si="88"/>
        <v>0.18904109589041113</v>
      </c>
      <c r="P1863" s="1">
        <v>5</v>
      </c>
      <c r="Q1863" s="24">
        <v>16.799999999999997</v>
      </c>
      <c r="R1863" s="24">
        <v>123.2</v>
      </c>
      <c r="S1863" s="21">
        <f t="shared" si="89"/>
        <v>0.12511415525114158</v>
      </c>
    </row>
    <row r="1864" spans="2:19" ht="11.4" customHeight="1" x14ac:dyDescent="0.2">
      <c r="B1864" s="24"/>
      <c r="C1864" s="7">
        <v>4149</v>
      </c>
      <c r="D1864" s="18" t="s">
        <v>1950</v>
      </c>
      <c r="E1864" s="18" t="s">
        <v>1717</v>
      </c>
      <c r="F1864" s="17">
        <v>30</v>
      </c>
      <c r="G1864" s="18" t="s">
        <v>23</v>
      </c>
      <c r="H1864" s="17">
        <v>34.5</v>
      </c>
      <c r="I1864" s="8">
        <v>37.9</v>
      </c>
      <c r="J1864" s="21">
        <f t="shared" si="87"/>
        <v>9.8550724637681122E-2</v>
      </c>
      <c r="K1864" s="1">
        <v>3</v>
      </c>
      <c r="L1864" s="24">
        <v>2.6</v>
      </c>
      <c r="M1864" s="24">
        <v>35.247</v>
      </c>
      <c r="N1864" s="21">
        <f t="shared" si="88"/>
        <v>2.1652173913043474E-2</v>
      </c>
      <c r="P1864" s="1">
        <v>5</v>
      </c>
      <c r="Q1864" s="24">
        <v>4.5480000000000018</v>
      </c>
      <c r="R1864" s="24">
        <v>33.351999999999997</v>
      </c>
      <c r="S1864" s="21">
        <f t="shared" si="89"/>
        <v>-3.3275362318840672E-2</v>
      </c>
    </row>
    <row r="1865" spans="2:19" ht="11.4" customHeight="1" x14ac:dyDescent="0.2">
      <c r="B1865" s="24"/>
      <c r="C1865" s="7">
        <v>38939</v>
      </c>
      <c r="D1865" s="18" t="s">
        <v>1951</v>
      </c>
      <c r="E1865" s="18" t="s">
        <v>1717</v>
      </c>
      <c r="F1865" s="17">
        <v>6</v>
      </c>
      <c r="G1865" s="18" t="s">
        <v>23</v>
      </c>
      <c r="H1865" s="17">
        <v>139</v>
      </c>
      <c r="I1865" s="8">
        <v>179.9</v>
      </c>
      <c r="J1865" s="21">
        <f t="shared" si="87"/>
        <v>0.29424460431654681</v>
      </c>
      <c r="K1865" s="1">
        <v>3</v>
      </c>
      <c r="L1865" s="24">
        <v>12.5</v>
      </c>
      <c r="M1865" s="24">
        <v>167.30700000000002</v>
      </c>
      <c r="N1865" s="21">
        <f t="shared" si="88"/>
        <v>0.20364748201438862</v>
      </c>
      <c r="P1865" s="1">
        <v>5</v>
      </c>
      <c r="Q1865" s="24">
        <v>21.587999999999994</v>
      </c>
      <c r="R1865" s="24">
        <v>158.31200000000001</v>
      </c>
      <c r="S1865" s="21">
        <f t="shared" si="89"/>
        <v>0.13893525179856123</v>
      </c>
    </row>
    <row r="1866" spans="2:19" ht="11.4" customHeight="1" x14ac:dyDescent="0.2">
      <c r="B1866" s="24"/>
      <c r="C1866" s="7">
        <v>44539</v>
      </c>
      <c r="D1866" s="18" t="s">
        <v>1952</v>
      </c>
      <c r="E1866" s="18" t="s">
        <v>1717</v>
      </c>
      <c r="F1866" s="17">
        <v>8</v>
      </c>
      <c r="G1866" s="18" t="s">
        <v>23</v>
      </c>
      <c r="H1866" s="17">
        <v>87.6</v>
      </c>
      <c r="I1866" s="8">
        <v>118.5</v>
      </c>
      <c r="J1866" s="21">
        <f t="shared" si="87"/>
        <v>0.35273972602739734</v>
      </c>
      <c r="K1866" s="1">
        <v>3</v>
      </c>
      <c r="L1866" s="24">
        <v>8.1999999999999993</v>
      </c>
      <c r="M1866" s="24">
        <v>110.20500000000001</v>
      </c>
      <c r="N1866" s="21">
        <f t="shared" si="88"/>
        <v>0.25804794520547969</v>
      </c>
      <c r="P1866" s="1">
        <v>5</v>
      </c>
      <c r="Q1866" s="24">
        <v>14.219999999999999</v>
      </c>
      <c r="R1866" s="24">
        <v>104.28</v>
      </c>
      <c r="S1866" s="21">
        <f t="shared" si="89"/>
        <v>0.19041095890410967</v>
      </c>
    </row>
    <row r="1867" spans="2:19" ht="11.4" customHeight="1" x14ac:dyDescent="0.2">
      <c r="B1867" s="24"/>
      <c r="C1867" s="7">
        <v>40195</v>
      </c>
      <c r="D1867" s="18" t="s">
        <v>1953</v>
      </c>
      <c r="E1867" s="18" t="s">
        <v>1717</v>
      </c>
      <c r="F1867" s="17">
        <v>6</v>
      </c>
      <c r="G1867" s="18" t="s">
        <v>23</v>
      </c>
      <c r="H1867" s="17">
        <v>43.68</v>
      </c>
      <c r="I1867" s="8">
        <v>58.9</v>
      </c>
      <c r="J1867" s="21">
        <f t="shared" si="87"/>
        <v>0.34844322344322343</v>
      </c>
      <c r="K1867" s="1">
        <v>3</v>
      </c>
      <c r="L1867" s="24">
        <v>4.0999999999999996</v>
      </c>
      <c r="M1867" s="24">
        <v>54.777000000000001</v>
      </c>
      <c r="N1867" s="21">
        <f t="shared" si="88"/>
        <v>0.25405219780219784</v>
      </c>
      <c r="P1867" s="1">
        <v>5</v>
      </c>
      <c r="Q1867" s="24">
        <v>7.0679999999999978</v>
      </c>
      <c r="R1867" s="24">
        <v>51.832000000000001</v>
      </c>
      <c r="S1867" s="21">
        <f t="shared" si="89"/>
        <v>0.18663003663003666</v>
      </c>
    </row>
    <row r="1868" spans="2:19" ht="11.4" customHeight="1" x14ac:dyDescent="0.2">
      <c r="B1868" s="24"/>
      <c r="C1868" s="7">
        <v>40193</v>
      </c>
      <c r="D1868" s="18" t="s">
        <v>1954</v>
      </c>
      <c r="E1868" s="18" t="s">
        <v>1717</v>
      </c>
      <c r="F1868" s="17">
        <v>6</v>
      </c>
      <c r="G1868" s="18" t="s">
        <v>23</v>
      </c>
      <c r="H1868" s="17">
        <v>43.68</v>
      </c>
      <c r="I1868" s="8">
        <v>58.9</v>
      </c>
      <c r="J1868" s="21">
        <f t="shared" si="87"/>
        <v>0.34844322344322343</v>
      </c>
      <c r="K1868" s="1">
        <v>3</v>
      </c>
      <c r="L1868" s="24">
        <v>4.0999999999999996</v>
      </c>
      <c r="M1868" s="24">
        <v>54.777000000000001</v>
      </c>
      <c r="N1868" s="21">
        <f t="shared" si="88"/>
        <v>0.25405219780219784</v>
      </c>
      <c r="P1868" s="1">
        <v>5</v>
      </c>
      <c r="Q1868" s="24">
        <v>7.0679999999999978</v>
      </c>
      <c r="R1868" s="24">
        <v>51.832000000000001</v>
      </c>
      <c r="S1868" s="21">
        <f t="shared" si="89"/>
        <v>0.18663003663003666</v>
      </c>
    </row>
    <row r="1869" spans="2:19" ht="11.4" customHeight="1" x14ac:dyDescent="0.2">
      <c r="B1869" s="24"/>
      <c r="C1869" s="7">
        <v>40192</v>
      </c>
      <c r="D1869" s="18" t="s">
        <v>1955</v>
      </c>
      <c r="E1869" s="18" t="s">
        <v>1717</v>
      </c>
      <c r="F1869" s="17">
        <v>6</v>
      </c>
      <c r="G1869" s="18" t="s">
        <v>23</v>
      </c>
      <c r="H1869" s="17">
        <v>43.68</v>
      </c>
      <c r="I1869" s="8">
        <v>58.9</v>
      </c>
      <c r="J1869" s="21">
        <f t="shared" si="87"/>
        <v>0.34844322344322343</v>
      </c>
      <c r="K1869" s="1">
        <v>3</v>
      </c>
      <c r="L1869" s="24">
        <v>4.0999999999999996</v>
      </c>
      <c r="M1869" s="24">
        <v>54.777000000000001</v>
      </c>
      <c r="N1869" s="21">
        <f t="shared" si="88"/>
        <v>0.25405219780219784</v>
      </c>
      <c r="P1869" s="1">
        <v>5</v>
      </c>
      <c r="Q1869" s="24">
        <v>7.0679999999999978</v>
      </c>
      <c r="R1869" s="24">
        <v>51.832000000000001</v>
      </c>
      <c r="S1869" s="21">
        <f t="shared" si="89"/>
        <v>0.18663003663003666</v>
      </c>
    </row>
    <row r="1870" spans="2:19" ht="11.4" customHeight="1" x14ac:dyDescent="0.2">
      <c r="B1870" s="24"/>
      <c r="C1870" s="7">
        <v>14014</v>
      </c>
      <c r="D1870" s="18" t="s">
        <v>1956</v>
      </c>
      <c r="E1870" s="18" t="s">
        <v>1717</v>
      </c>
      <c r="F1870" s="17">
        <v>12</v>
      </c>
      <c r="G1870" s="18" t="s">
        <v>23</v>
      </c>
      <c r="H1870" s="17">
        <v>57</v>
      </c>
      <c r="I1870" s="8">
        <v>62.1</v>
      </c>
      <c r="J1870" s="21">
        <f t="shared" si="87"/>
        <v>8.9473684210526344E-2</v>
      </c>
      <c r="K1870" s="1">
        <v>3</v>
      </c>
      <c r="L1870" s="24">
        <v>4.3</v>
      </c>
      <c r="M1870" s="24">
        <v>57.753000000000007</v>
      </c>
      <c r="N1870" s="21">
        <f t="shared" si="88"/>
        <v>1.32105263157896E-2</v>
      </c>
      <c r="P1870" s="1">
        <v>5</v>
      </c>
      <c r="Q1870" s="24">
        <v>7.4519999999999982</v>
      </c>
      <c r="R1870" s="24">
        <v>54.648000000000003</v>
      </c>
      <c r="S1870" s="21">
        <f t="shared" si="89"/>
        <v>-4.1263157894736786E-2</v>
      </c>
    </row>
    <row r="1871" spans="2:19" ht="11.4" customHeight="1" x14ac:dyDescent="0.2">
      <c r="B1871" s="24"/>
      <c r="C1871" s="7">
        <v>38987</v>
      </c>
      <c r="D1871" s="18" t="s">
        <v>1957</v>
      </c>
      <c r="E1871" s="18" t="s">
        <v>1393</v>
      </c>
      <c r="F1871" s="17">
        <v>15</v>
      </c>
      <c r="G1871" s="18" t="s">
        <v>23</v>
      </c>
      <c r="H1871" s="17">
        <v>99.9</v>
      </c>
      <c r="I1871" s="8">
        <v>99.9</v>
      </c>
      <c r="J1871" s="21">
        <f t="shared" si="87"/>
        <v>0</v>
      </c>
      <c r="K1871" s="1">
        <v>3</v>
      </c>
      <c r="L1871" s="24">
        <v>6.9</v>
      </c>
      <c r="M1871" s="24">
        <v>92.907000000000011</v>
      </c>
      <c r="N1871" s="21">
        <f t="shared" si="88"/>
        <v>-6.9999999999999951E-2</v>
      </c>
      <c r="P1871" s="1">
        <v>5</v>
      </c>
      <c r="Q1871" s="24">
        <v>11.988</v>
      </c>
      <c r="R1871" s="24">
        <v>87.912000000000006</v>
      </c>
      <c r="S1871" s="21">
        <f t="shared" si="89"/>
        <v>-0.12</v>
      </c>
    </row>
    <row r="1872" spans="2:19" ht="11.4" customHeight="1" x14ac:dyDescent="0.2">
      <c r="B1872" s="24"/>
      <c r="C1872" s="7">
        <v>42670</v>
      </c>
      <c r="D1872" s="18" t="s">
        <v>1958</v>
      </c>
      <c r="E1872" s="18" t="s">
        <v>1717</v>
      </c>
      <c r="F1872" s="17">
        <v>8</v>
      </c>
      <c r="G1872" s="18" t="s">
        <v>23</v>
      </c>
      <c r="H1872" s="17">
        <v>29.22</v>
      </c>
      <c r="I1872" s="8">
        <v>48.5</v>
      </c>
      <c r="J1872" s="21">
        <f t="shared" si="87"/>
        <v>0.65982203969883646</v>
      </c>
      <c r="K1872" s="1">
        <v>3</v>
      </c>
      <c r="L1872" s="24">
        <v>3.3</v>
      </c>
      <c r="M1872" s="24">
        <v>45.105000000000004</v>
      </c>
      <c r="N1872" s="21">
        <f t="shared" si="88"/>
        <v>0.54363449691991805</v>
      </c>
      <c r="P1872" s="1">
        <v>5</v>
      </c>
      <c r="Q1872" s="24">
        <v>5.82</v>
      </c>
      <c r="R1872" s="24">
        <v>42.68</v>
      </c>
      <c r="S1872" s="21">
        <f t="shared" si="89"/>
        <v>0.46064339493497608</v>
      </c>
    </row>
    <row r="1873" spans="2:19" ht="11.4" customHeight="1" x14ac:dyDescent="0.2">
      <c r="B1873" s="24"/>
      <c r="C1873" s="7">
        <v>26220</v>
      </c>
      <c r="D1873" s="18" t="s">
        <v>1959</v>
      </c>
      <c r="E1873" s="18" t="s">
        <v>1808</v>
      </c>
      <c r="F1873" s="17">
        <v>6</v>
      </c>
      <c r="G1873" s="18" t="s">
        <v>23</v>
      </c>
      <c r="H1873" s="17">
        <v>74.400000000000006</v>
      </c>
      <c r="I1873" s="8">
        <v>115</v>
      </c>
      <c r="J1873" s="21">
        <f t="shared" si="87"/>
        <v>0.54569892473118264</v>
      </c>
      <c r="K1873" s="1">
        <v>3</v>
      </c>
      <c r="L1873" s="24">
        <v>8</v>
      </c>
      <c r="M1873" s="24">
        <v>106.95</v>
      </c>
      <c r="N1873" s="21">
        <f t="shared" si="88"/>
        <v>0.43749999999999994</v>
      </c>
      <c r="P1873" s="1">
        <v>5</v>
      </c>
      <c r="Q1873" s="24">
        <v>13.799999999999997</v>
      </c>
      <c r="R1873" s="24">
        <v>101.2</v>
      </c>
      <c r="S1873" s="21">
        <f t="shared" si="89"/>
        <v>0.36021505376344082</v>
      </c>
    </row>
    <row r="1874" spans="2:19" ht="11.4" customHeight="1" x14ac:dyDescent="0.2">
      <c r="B1874" s="24"/>
      <c r="C1874" s="7">
        <v>19075</v>
      </c>
      <c r="D1874" s="18" t="s">
        <v>1960</v>
      </c>
      <c r="E1874" s="18" t="s">
        <v>1808</v>
      </c>
      <c r="F1874" s="17">
        <v>24</v>
      </c>
      <c r="G1874" s="18" t="s">
        <v>23</v>
      </c>
      <c r="H1874" s="17">
        <v>38.5</v>
      </c>
      <c r="I1874" s="8">
        <v>42.4</v>
      </c>
      <c r="J1874" s="21">
        <f t="shared" si="87"/>
        <v>0.10129870129870126</v>
      </c>
      <c r="K1874" s="1">
        <v>3</v>
      </c>
      <c r="L1874" s="24">
        <v>2.9</v>
      </c>
      <c r="M1874" s="24">
        <v>39.432000000000002</v>
      </c>
      <c r="N1874" s="21">
        <f t="shared" si="88"/>
        <v>2.4207792207792265E-2</v>
      </c>
      <c r="P1874" s="1">
        <v>5</v>
      </c>
      <c r="Q1874" s="24">
        <v>5.088000000000001</v>
      </c>
      <c r="R1874" s="24">
        <v>37.311999999999998</v>
      </c>
      <c r="S1874" s="21">
        <f t="shared" si="89"/>
        <v>-3.085714285714292E-2</v>
      </c>
    </row>
    <row r="1875" spans="2:19" ht="11.4" customHeight="1" x14ac:dyDescent="0.2">
      <c r="B1875" s="24"/>
      <c r="C1875" s="7">
        <v>43064</v>
      </c>
      <c r="D1875" s="18" t="s">
        <v>1961</v>
      </c>
      <c r="E1875" s="18" t="s">
        <v>1808</v>
      </c>
      <c r="F1875" s="17">
        <v>20</v>
      </c>
      <c r="G1875" s="18" t="s">
        <v>23</v>
      </c>
      <c r="H1875" s="17">
        <v>18.3</v>
      </c>
      <c r="I1875" s="8">
        <v>34.299999999999997</v>
      </c>
      <c r="J1875" s="21">
        <f t="shared" si="87"/>
        <v>0.87431693989071013</v>
      </c>
      <c r="K1875" s="1">
        <v>3</v>
      </c>
      <c r="L1875" s="24">
        <v>2.4</v>
      </c>
      <c r="M1875" s="24">
        <v>31.898999999999997</v>
      </c>
      <c r="N1875" s="21">
        <f t="shared" si="88"/>
        <v>0.74311475409836047</v>
      </c>
      <c r="P1875" s="1">
        <v>5</v>
      </c>
      <c r="Q1875" s="24">
        <v>4.1159999999999997</v>
      </c>
      <c r="R1875" s="24">
        <v>30.183999999999997</v>
      </c>
      <c r="S1875" s="21">
        <f t="shared" si="89"/>
        <v>0.64939890710382497</v>
      </c>
    </row>
    <row r="1876" spans="2:19" ht="11.4" customHeight="1" x14ac:dyDescent="0.2">
      <c r="B1876" s="24"/>
      <c r="C1876" s="7">
        <v>40834</v>
      </c>
      <c r="D1876" s="18" t="s">
        <v>1962</v>
      </c>
      <c r="E1876" s="18" t="s">
        <v>1808</v>
      </c>
      <c r="F1876" s="17">
        <v>6</v>
      </c>
      <c r="G1876" s="18" t="s">
        <v>23</v>
      </c>
      <c r="H1876" s="17">
        <v>115.38</v>
      </c>
      <c r="I1876" s="8">
        <v>179.4</v>
      </c>
      <c r="J1876" s="21">
        <f t="shared" si="87"/>
        <v>0.55486219448777963</v>
      </c>
      <c r="K1876" s="1">
        <v>3</v>
      </c>
      <c r="L1876" s="24">
        <v>12.5</v>
      </c>
      <c r="M1876" s="24">
        <v>166.84200000000001</v>
      </c>
      <c r="N1876" s="21">
        <f t="shared" si="88"/>
        <v>0.44602184087363511</v>
      </c>
      <c r="P1876" s="1">
        <v>5</v>
      </c>
      <c r="Q1876" s="24">
        <v>21.527999999999992</v>
      </c>
      <c r="R1876" s="24">
        <v>157.87200000000001</v>
      </c>
      <c r="S1876" s="21">
        <f t="shared" si="89"/>
        <v>0.36827873114924614</v>
      </c>
    </row>
    <row r="1877" spans="2:19" ht="11.4" customHeight="1" x14ac:dyDescent="0.2">
      <c r="B1877" s="24"/>
      <c r="C1877" s="7">
        <v>16995</v>
      </c>
      <c r="D1877" s="18" t="s">
        <v>1963</v>
      </c>
      <c r="E1877" s="18" t="s">
        <v>1808</v>
      </c>
      <c r="F1877" s="17">
        <v>8</v>
      </c>
      <c r="G1877" s="18" t="s">
        <v>23</v>
      </c>
      <c r="H1877" s="17">
        <v>93.9</v>
      </c>
      <c r="I1877" s="8">
        <v>114.5</v>
      </c>
      <c r="J1877" s="21">
        <f t="shared" si="87"/>
        <v>0.21938232161874327</v>
      </c>
      <c r="K1877" s="1">
        <v>3</v>
      </c>
      <c r="L1877" s="24">
        <v>8</v>
      </c>
      <c r="M1877" s="24">
        <v>106.485</v>
      </c>
      <c r="N1877" s="21">
        <f t="shared" si="88"/>
        <v>0.13402555910543124</v>
      </c>
      <c r="P1877" s="1">
        <v>5</v>
      </c>
      <c r="Q1877" s="24">
        <v>13.739999999999995</v>
      </c>
      <c r="R1877" s="24">
        <v>100.76</v>
      </c>
      <c r="S1877" s="21">
        <f t="shared" si="89"/>
        <v>7.3056443024494128E-2</v>
      </c>
    </row>
    <row r="1878" spans="2:19" ht="11.4" customHeight="1" x14ac:dyDescent="0.2">
      <c r="B1878" s="24"/>
      <c r="C1878" s="7">
        <v>10353</v>
      </c>
      <c r="D1878" s="18" t="s">
        <v>1964</v>
      </c>
      <c r="E1878" s="18" t="s">
        <v>1808</v>
      </c>
      <c r="F1878" s="17">
        <v>24</v>
      </c>
      <c r="G1878" s="18" t="s">
        <v>23</v>
      </c>
      <c r="H1878" s="17">
        <v>38.5</v>
      </c>
      <c r="I1878" s="8">
        <v>42.4</v>
      </c>
      <c r="J1878" s="21">
        <f t="shared" si="87"/>
        <v>0.10129870129870126</v>
      </c>
      <c r="K1878" s="1">
        <v>3</v>
      </c>
      <c r="L1878" s="24">
        <v>2.9</v>
      </c>
      <c r="M1878" s="24">
        <v>39.432000000000002</v>
      </c>
      <c r="N1878" s="21">
        <f t="shared" si="88"/>
        <v>2.4207792207792265E-2</v>
      </c>
      <c r="P1878" s="1">
        <v>5</v>
      </c>
      <c r="Q1878" s="24">
        <v>5.088000000000001</v>
      </c>
      <c r="R1878" s="24">
        <v>37.311999999999998</v>
      </c>
      <c r="S1878" s="21">
        <f t="shared" si="89"/>
        <v>-3.085714285714292E-2</v>
      </c>
    </row>
    <row r="1879" spans="2:19" ht="11.4" customHeight="1" x14ac:dyDescent="0.2">
      <c r="B1879" s="24"/>
      <c r="C1879" s="7">
        <v>33728</v>
      </c>
      <c r="D1879" s="18" t="s">
        <v>1965</v>
      </c>
      <c r="E1879" s="18" t="s">
        <v>1717</v>
      </c>
      <c r="F1879" s="17">
        <v>6</v>
      </c>
      <c r="G1879" s="18" t="s">
        <v>23</v>
      </c>
      <c r="H1879" s="17">
        <v>89.9</v>
      </c>
      <c r="I1879" s="8">
        <v>114.9</v>
      </c>
      <c r="J1879" s="21">
        <f t="shared" si="87"/>
        <v>0.27808676307007785</v>
      </c>
      <c r="K1879" s="1">
        <v>3</v>
      </c>
      <c r="L1879" s="24">
        <v>8</v>
      </c>
      <c r="M1879" s="24">
        <v>106.85700000000001</v>
      </c>
      <c r="N1879" s="21">
        <f t="shared" si="88"/>
        <v>0.18862068965517248</v>
      </c>
      <c r="P1879" s="1">
        <v>5</v>
      </c>
      <c r="Q1879" s="24">
        <v>13.787999999999997</v>
      </c>
      <c r="R1879" s="24">
        <v>101.11200000000001</v>
      </c>
      <c r="S1879" s="21">
        <f t="shared" si="89"/>
        <v>0.12471635150166854</v>
      </c>
    </row>
    <row r="1880" spans="2:19" ht="11.4" customHeight="1" x14ac:dyDescent="0.2">
      <c r="B1880" s="24"/>
      <c r="C1880" s="7">
        <v>44508</v>
      </c>
      <c r="D1880" s="18" t="s">
        <v>1966</v>
      </c>
      <c r="E1880" s="18" t="s">
        <v>1717</v>
      </c>
      <c r="F1880" s="17">
        <v>6</v>
      </c>
      <c r="G1880" s="18" t="s">
        <v>23</v>
      </c>
      <c r="H1880" s="17">
        <v>67.44</v>
      </c>
      <c r="I1880" s="8">
        <v>94.5</v>
      </c>
      <c r="J1880" s="21">
        <f t="shared" si="87"/>
        <v>0.40124555160142356</v>
      </c>
      <c r="K1880" s="1">
        <v>3</v>
      </c>
      <c r="L1880" s="24">
        <v>6.6</v>
      </c>
      <c r="M1880" s="24">
        <v>87.885000000000005</v>
      </c>
      <c r="N1880" s="21">
        <f t="shared" si="88"/>
        <v>0.30315836298932397</v>
      </c>
      <c r="P1880" s="1">
        <v>5</v>
      </c>
      <c r="Q1880" s="24">
        <v>11.340000000000003</v>
      </c>
      <c r="R1880" s="24">
        <v>83.16</v>
      </c>
      <c r="S1880" s="21">
        <f t="shared" si="89"/>
        <v>0.23309608540925267</v>
      </c>
    </row>
    <row r="1881" spans="2:19" ht="11.4" customHeight="1" x14ac:dyDescent="0.2">
      <c r="B1881" s="24"/>
      <c r="C1881" s="7">
        <v>34609</v>
      </c>
      <c r="D1881" s="18" t="s">
        <v>1967</v>
      </c>
      <c r="E1881" s="18" t="s">
        <v>1808</v>
      </c>
      <c r="F1881" s="17">
        <v>30</v>
      </c>
      <c r="G1881" s="18" t="s">
        <v>23</v>
      </c>
      <c r="H1881" s="17">
        <v>34.5</v>
      </c>
      <c r="I1881" s="8">
        <v>37.9</v>
      </c>
      <c r="J1881" s="21">
        <f t="shared" si="87"/>
        <v>9.8550724637681122E-2</v>
      </c>
      <c r="K1881" s="1">
        <v>3</v>
      </c>
      <c r="L1881" s="24">
        <v>2.6</v>
      </c>
      <c r="M1881" s="24">
        <v>35.247</v>
      </c>
      <c r="N1881" s="21">
        <f t="shared" si="88"/>
        <v>2.1652173913043474E-2</v>
      </c>
      <c r="P1881" s="1">
        <v>5</v>
      </c>
      <c r="Q1881" s="24">
        <v>4.5480000000000018</v>
      </c>
      <c r="R1881" s="24">
        <v>33.351999999999997</v>
      </c>
      <c r="S1881" s="21">
        <f t="shared" si="89"/>
        <v>-3.3275362318840672E-2</v>
      </c>
    </row>
    <row r="1882" spans="2:19" ht="11.4" customHeight="1" x14ac:dyDescent="0.2">
      <c r="B1882" s="24"/>
      <c r="C1882" s="7">
        <v>6121</v>
      </c>
      <c r="D1882" s="18" t="s">
        <v>1968</v>
      </c>
      <c r="E1882" s="18" t="s">
        <v>1717</v>
      </c>
      <c r="F1882" s="17">
        <v>12</v>
      </c>
      <c r="G1882" s="18" t="s">
        <v>23</v>
      </c>
      <c r="H1882" s="17">
        <v>57</v>
      </c>
      <c r="I1882" s="8">
        <v>62.1</v>
      </c>
      <c r="J1882" s="21">
        <f t="shared" si="87"/>
        <v>8.9473684210526344E-2</v>
      </c>
      <c r="K1882" s="1">
        <v>3</v>
      </c>
      <c r="L1882" s="24">
        <v>4.3</v>
      </c>
      <c r="M1882" s="24">
        <v>57.753000000000007</v>
      </c>
      <c r="N1882" s="21">
        <f t="shared" si="88"/>
        <v>1.32105263157896E-2</v>
      </c>
      <c r="P1882" s="1">
        <v>5</v>
      </c>
      <c r="Q1882" s="24">
        <v>7.4519999999999982</v>
      </c>
      <c r="R1882" s="24">
        <v>54.648000000000003</v>
      </c>
      <c r="S1882" s="21">
        <f t="shared" si="89"/>
        <v>-4.1263157894736786E-2</v>
      </c>
    </row>
    <row r="1883" spans="2:19" ht="11.4" customHeight="1" x14ac:dyDescent="0.2">
      <c r="B1883" s="24"/>
      <c r="C1883" s="7">
        <v>38988</v>
      </c>
      <c r="D1883" s="18" t="s">
        <v>1969</v>
      </c>
      <c r="E1883" s="18" t="s">
        <v>1393</v>
      </c>
      <c r="F1883" s="17">
        <v>15</v>
      </c>
      <c r="G1883" s="18" t="s">
        <v>23</v>
      </c>
      <c r="H1883" s="17">
        <v>99.9</v>
      </c>
      <c r="I1883" s="8">
        <v>99.9</v>
      </c>
      <c r="J1883" s="21">
        <f t="shared" si="87"/>
        <v>0</v>
      </c>
      <c r="K1883" s="1">
        <v>3</v>
      </c>
      <c r="L1883" s="24">
        <v>6.9</v>
      </c>
      <c r="M1883" s="24">
        <v>92.907000000000011</v>
      </c>
      <c r="N1883" s="21">
        <f t="shared" si="88"/>
        <v>-6.9999999999999951E-2</v>
      </c>
      <c r="P1883" s="1">
        <v>5</v>
      </c>
      <c r="Q1883" s="24">
        <v>11.988</v>
      </c>
      <c r="R1883" s="24">
        <v>87.912000000000006</v>
      </c>
      <c r="S1883" s="21">
        <f t="shared" si="89"/>
        <v>-0.12</v>
      </c>
    </row>
    <row r="1884" spans="2:19" ht="11.4" customHeight="1" x14ac:dyDescent="0.2">
      <c r="B1884" s="24"/>
      <c r="C1884" s="7">
        <v>41534</v>
      </c>
      <c r="D1884" s="18" t="s">
        <v>1970</v>
      </c>
      <c r="E1884" s="18" t="s">
        <v>1711</v>
      </c>
      <c r="F1884" s="17">
        <v>24</v>
      </c>
      <c r="G1884" s="18" t="s">
        <v>23</v>
      </c>
      <c r="H1884" s="17">
        <v>24.96</v>
      </c>
      <c r="I1884" s="8">
        <v>37.5</v>
      </c>
      <c r="J1884" s="21">
        <f t="shared" si="87"/>
        <v>0.50240384615384615</v>
      </c>
      <c r="K1884" s="1">
        <v>3</v>
      </c>
      <c r="L1884" s="24">
        <v>2.6</v>
      </c>
      <c r="M1884" s="24">
        <v>34.875</v>
      </c>
      <c r="N1884" s="21">
        <f t="shared" si="88"/>
        <v>0.39723557692307687</v>
      </c>
      <c r="P1884" s="1">
        <v>5</v>
      </c>
      <c r="Q1884" s="24">
        <v>4.5</v>
      </c>
      <c r="R1884" s="24">
        <v>33</v>
      </c>
      <c r="S1884" s="21">
        <f t="shared" si="89"/>
        <v>0.32211538461538458</v>
      </c>
    </row>
    <row r="1885" spans="2:19" ht="11.4" customHeight="1" x14ac:dyDescent="0.2">
      <c r="B1885" s="24"/>
      <c r="C1885" s="7">
        <v>44506</v>
      </c>
      <c r="D1885" s="18" t="s">
        <v>1971</v>
      </c>
      <c r="E1885" s="18" t="s">
        <v>1717</v>
      </c>
      <c r="F1885" s="17">
        <v>8</v>
      </c>
      <c r="G1885" s="18" t="s">
        <v>23</v>
      </c>
      <c r="H1885" s="17">
        <v>71.58</v>
      </c>
      <c r="I1885" s="8">
        <v>99.9</v>
      </c>
      <c r="J1885" s="21">
        <f t="shared" si="87"/>
        <v>0.39564124056999173</v>
      </c>
      <c r="K1885" s="1">
        <v>3</v>
      </c>
      <c r="L1885" s="24">
        <v>6.9</v>
      </c>
      <c r="M1885" s="24">
        <v>92.907000000000011</v>
      </c>
      <c r="N1885" s="21">
        <f t="shared" si="88"/>
        <v>0.29794635373009237</v>
      </c>
      <c r="P1885" s="1">
        <v>5</v>
      </c>
      <c r="Q1885" s="24">
        <v>11.988</v>
      </c>
      <c r="R1885" s="24">
        <v>87.912000000000006</v>
      </c>
      <c r="S1885" s="21">
        <f t="shared" si="89"/>
        <v>0.22816429170159275</v>
      </c>
    </row>
    <row r="1886" spans="2:19" ht="11.4" customHeight="1" x14ac:dyDescent="0.2">
      <c r="B1886" s="24"/>
      <c r="C1886" s="7">
        <v>42965</v>
      </c>
      <c r="D1886" s="18" t="s">
        <v>1972</v>
      </c>
      <c r="E1886" s="18" t="s">
        <v>1790</v>
      </c>
      <c r="F1886" s="17">
        <v>20</v>
      </c>
      <c r="G1886" s="18" t="s">
        <v>23</v>
      </c>
      <c r="H1886" s="17">
        <v>30.48</v>
      </c>
      <c r="I1886" s="8">
        <v>54</v>
      </c>
      <c r="J1886" s="21">
        <f t="shared" si="87"/>
        <v>0.77165354330708658</v>
      </c>
      <c r="K1886" s="1">
        <v>3</v>
      </c>
      <c r="L1886" s="24">
        <v>3.7</v>
      </c>
      <c r="M1886" s="24">
        <v>50.220000000000006</v>
      </c>
      <c r="N1886" s="21">
        <f t="shared" si="88"/>
        <v>0.64763779527559073</v>
      </c>
      <c r="P1886" s="1">
        <v>5</v>
      </c>
      <c r="Q1886" s="24">
        <v>6.4799999999999969</v>
      </c>
      <c r="R1886" s="24">
        <v>47.52</v>
      </c>
      <c r="S1886" s="21">
        <f t="shared" si="89"/>
        <v>0.55905511811023634</v>
      </c>
    </row>
    <row r="1887" spans="2:19" ht="11.4" customHeight="1" x14ac:dyDescent="0.2">
      <c r="B1887" s="24"/>
      <c r="C1887" s="7">
        <v>4781</v>
      </c>
      <c r="D1887" s="18" t="s">
        <v>1973</v>
      </c>
      <c r="E1887" s="18" t="s">
        <v>1400</v>
      </c>
      <c r="F1887" s="17">
        <v>20</v>
      </c>
      <c r="G1887" s="18" t="s">
        <v>23</v>
      </c>
      <c r="H1887" s="17">
        <v>18.5</v>
      </c>
      <c r="I1887" s="8">
        <v>22.9</v>
      </c>
      <c r="J1887" s="21">
        <f t="shared" si="87"/>
        <v>0.23783783783783777</v>
      </c>
      <c r="K1887" s="1">
        <v>3</v>
      </c>
      <c r="L1887" s="24">
        <v>1.6</v>
      </c>
      <c r="M1887" s="24">
        <v>21.297000000000001</v>
      </c>
      <c r="N1887" s="21">
        <f t="shared" si="88"/>
        <v>0.15118918918918922</v>
      </c>
      <c r="P1887" s="1">
        <v>5</v>
      </c>
      <c r="Q1887" s="24">
        <v>2.7480000000000011</v>
      </c>
      <c r="R1887" s="24">
        <v>20.151999999999997</v>
      </c>
      <c r="S1887" s="21">
        <f t="shared" si="89"/>
        <v>8.9297297297297157E-2</v>
      </c>
    </row>
    <row r="1888" spans="2:19" ht="11.4" customHeight="1" x14ac:dyDescent="0.2">
      <c r="B1888" s="24"/>
      <c r="C1888" s="7">
        <v>44520</v>
      </c>
      <c r="D1888" s="18" t="s">
        <v>1974</v>
      </c>
      <c r="E1888" s="18" t="s">
        <v>1975</v>
      </c>
      <c r="F1888" s="17">
        <v>12</v>
      </c>
      <c r="G1888" s="18" t="s">
        <v>23</v>
      </c>
      <c r="H1888" s="17">
        <v>109.2</v>
      </c>
      <c r="I1888" s="8">
        <v>147.4</v>
      </c>
      <c r="J1888" s="21">
        <f t="shared" si="87"/>
        <v>0.34981684981684985</v>
      </c>
      <c r="K1888" s="1">
        <v>3</v>
      </c>
      <c r="L1888" s="24">
        <v>10.3</v>
      </c>
      <c r="M1888" s="24">
        <v>137.08200000000002</v>
      </c>
      <c r="N1888" s="21">
        <f t="shared" si="88"/>
        <v>0.25532967032967052</v>
      </c>
      <c r="P1888" s="1">
        <v>5</v>
      </c>
      <c r="Q1888" s="24">
        <v>17.687999999999988</v>
      </c>
      <c r="R1888" s="24">
        <v>129.71200000000002</v>
      </c>
      <c r="S1888" s="21">
        <f t="shared" si="89"/>
        <v>0.18783882783882797</v>
      </c>
    </row>
    <row r="1889" spans="2:19" ht="11.4" customHeight="1" x14ac:dyDescent="0.2">
      <c r="B1889" s="24"/>
      <c r="C1889" s="7">
        <v>44356</v>
      </c>
      <c r="D1889" s="18" t="s">
        <v>1976</v>
      </c>
      <c r="E1889" s="18" t="s">
        <v>1975</v>
      </c>
      <c r="F1889" s="17">
        <v>60</v>
      </c>
      <c r="G1889" s="18" t="s">
        <v>23</v>
      </c>
      <c r="H1889" s="17">
        <v>16.440000000000001</v>
      </c>
      <c r="I1889" s="8">
        <v>22.2</v>
      </c>
      <c r="J1889" s="21">
        <f t="shared" si="87"/>
        <v>0.35036496350364948</v>
      </c>
      <c r="K1889" s="1">
        <v>3</v>
      </c>
      <c r="L1889" s="24">
        <v>1.5</v>
      </c>
      <c r="M1889" s="24">
        <v>20.646000000000001</v>
      </c>
      <c r="N1889" s="21">
        <f t="shared" si="88"/>
        <v>0.25583941605839411</v>
      </c>
      <c r="P1889" s="1">
        <v>5</v>
      </c>
      <c r="Q1889" s="24">
        <v>2.6640000000000015</v>
      </c>
      <c r="R1889" s="24">
        <v>19.535999999999998</v>
      </c>
      <c r="S1889" s="21">
        <f t="shared" si="89"/>
        <v>0.18832116788321146</v>
      </c>
    </row>
    <row r="1890" spans="2:19" ht="11.4" customHeight="1" x14ac:dyDescent="0.2">
      <c r="B1890" s="24"/>
      <c r="C1890" s="7">
        <v>40211</v>
      </c>
      <c r="D1890" s="18" t="s">
        <v>1977</v>
      </c>
      <c r="E1890" s="18" t="s">
        <v>1975</v>
      </c>
      <c r="F1890" s="17">
        <v>12</v>
      </c>
      <c r="G1890" s="18" t="s">
        <v>23</v>
      </c>
      <c r="H1890" s="17">
        <v>78.12</v>
      </c>
      <c r="I1890" s="8">
        <v>105.5</v>
      </c>
      <c r="J1890" s="21">
        <f t="shared" si="87"/>
        <v>0.35048643113159234</v>
      </c>
      <c r="K1890" s="1">
        <v>3</v>
      </c>
      <c r="L1890" s="24">
        <v>7.3</v>
      </c>
      <c r="M1890" s="24">
        <v>98.115000000000009</v>
      </c>
      <c r="N1890" s="21">
        <f t="shared" si="88"/>
        <v>0.25595238095238099</v>
      </c>
      <c r="P1890" s="1">
        <v>5</v>
      </c>
      <c r="Q1890" s="24">
        <v>12.659999999999997</v>
      </c>
      <c r="R1890" s="24">
        <v>92.84</v>
      </c>
      <c r="S1890" s="21">
        <f t="shared" si="89"/>
        <v>0.18842805939580132</v>
      </c>
    </row>
    <row r="1891" spans="2:19" ht="11.4" customHeight="1" x14ac:dyDescent="0.2">
      <c r="B1891" s="24"/>
      <c r="C1891" s="7">
        <v>44357</v>
      </c>
      <c r="D1891" s="18" t="s">
        <v>1978</v>
      </c>
      <c r="E1891" s="18" t="s">
        <v>1975</v>
      </c>
      <c r="F1891" s="17">
        <v>60</v>
      </c>
      <c r="G1891" s="18" t="s">
        <v>23</v>
      </c>
      <c r="H1891" s="17">
        <v>16.440000000000001</v>
      </c>
      <c r="I1891" s="8">
        <v>22.2</v>
      </c>
      <c r="J1891" s="21">
        <f t="shared" si="87"/>
        <v>0.35036496350364948</v>
      </c>
      <c r="K1891" s="1">
        <v>3</v>
      </c>
      <c r="L1891" s="24">
        <v>1.5</v>
      </c>
      <c r="M1891" s="24">
        <v>20.646000000000001</v>
      </c>
      <c r="N1891" s="21">
        <f t="shared" si="88"/>
        <v>0.25583941605839411</v>
      </c>
      <c r="P1891" s="1">
        <v>5</v>
      </c>
      <c r="Q1891" s="24">
        <v>2.6640000000000015</v>
      </c>
      <c r="R1891" s="24">
        <v>19.535999999999998</v>
      </c>
      <c r="S1891" s="21">
        <f t="shared" si="89"/>
        <v>0.18832116788321146</v>
      </c>
    </row>
    <row r="1892" spans="2:19" ht="11.4" customHeight="1" x14ac:dyDescent="0.2">
      <c r="B1892" s="24"/>
      <c r="C1892" s="7">
        <v>12060</v>
      </c>
      <c r="D1892" s="18" t="s">
        <v>1979</v>
      </c>
      <c r="E1892" s="18" t="s">
        <v>1083</v>
      </c>
      <c r="F1892" s="17">
        <v>96</v>
      </c>
      <c r="G1892" s="18" t="s">
        <v>23</v>
      </c>
      <c r="H1892" s="17">
        <v>11.4</v>
      </c>
      <c r="I1892" s="8">
        <v>14.9</v>
      </c>
      <c r="J1892" s="21">
        <f t="shared" si="87"/>
        <v>0.30701754385964913</v>
      </c>
      <c r="K1892" s="1">
        <v>3</v>
      </c>
      <c r="L1892" s="24">
        <v>1</v>
      </c>
      <c r="M1892" s="24">
        <v>13.857000000000001</v>
      </c>
      <c r="N1892" s="21">
        <f t="shared" si="88"/>
        <v>0.21552631578947373</v>
      </c>
      <c r="P1892" s="1">
        <v>5</v>
      </c>
      <c r="Q1892" s="24">
        <v>1.7880000000000003</v>
      </c>
      <c r="R1892" s="24">
        <v>13.112</v>
      </c>
      <c r="S1892" s="21">
        <f t="shared" si="89"/>
        <v>0.15017543859649121</v>
      </c>
    </row>
    <row r="1893" spans="2:19" ht="11.4" customHeight="1" x14ac:dyDescent="0.2">
      <c r="B1893" s="24"/>
      <c r="C1893" s="7">
        <v>27687</v>
      </c>
      <c r="D1893" s="18" t="s">
        <v>1980</v>
      </c>
      <c r="E1893" s="18" t="s">
        <v>1083</v>
      </c>
      <c r="F1893" s="17">
        <v>12</v>
      </c>
      <c r="G1893" s="18" t="s">
        <v>23</v>
      </c>
      <c r="H1893" s="17">
        <v>9.9</v>
      </c>
      <c r="I1893" s="8">
        <v>9.6</v>
      </c>
      <c r="J1893" s="21">
        <f t="shared" si="87"/>
        <v>-3.0303030303030373E-2</v>
      </c>
      <c r="K1893" s="1">
        <v>3</v>
      </c>
      <c r="L1893" s="24">
        <v>0.6</v>
      </c>
      <c r="M1893" s="24">
        <v>8.9280000000000008</v>
      </c>
      <c r="N1893" s="21">
        <f t="shared" si="88"/>
        <v>-9.8181818181818134E-2</v>
      </c>
      <c r="P1893" s="1">
        <v>5</v>
      </c>
      <c r="Q1893" s="24">
        <v>1.1519999999999992</v>
      </c>
      <c r="R1893" s="24">
        <v>8.4480000000000004</v>
      </c>
      <c r="S1893" s="21">
        <f t="shared" si="89"/>
        <v>-0.14666666666666667</v>
      </c>
    </row>
    <row r="1894" spans="2:19" ht="11.4" customHeight="1" x14ac:dyDescent="0.2">
      <c r="B1894" s="24"/>
      <c r="C1894" s="7">
        <v>27686</v>
      </c>
      <c r="D1894" s="18" t="s">
        <v>1981</v>
      </c>
      <c r="E1894" s="18" t="s">
        <v>1083</v>
      </c>
      <c r="F1894" s="17">
        <v>12</v>
      </c>
      <c r="G1894" s="18" t="s">
        <v>23</v>
      </c>
      <c r="H1894" s="17">
        <v>9.9</v>
      </c>
      <c r="I1894" s="8">
        <v>9.6</v>
      </c>
      <c r="J1894" s="21">
        <f t="shared" si="87"/>
        <v>-3.0303030303030373E-2</v>
      </c>
      <c r="K1894" s="1">
        <v>3</v>
      </c>
      <c r="L1894" s="24">
        <v>0.6</v>
      </c>
      <c r="M1894" s="24">
        <v>8.9280000000000008</v>
      </c>
      <c r="N1894" s="21">
        <f t="shared" si="88"/>
        <v>-9.8181818181818134E-2</v>
      </c>
      <c r="P1894" s="1">
        <v>5</v>
      </c>
      <c r="Q1894" s="24">
        <v>1.1519999999999992</v>
      </c>
      <c r="R1894" s="24">
        <v>8.4480000000000004</v>
      </c>
      <c r="S1894" s="21">
        <f t="shared" si="89"/>
        <v>-0.14666666666666667</v>
      </c>
    </row>
    <row r="1895" spans="2:19" ht="11.4" customHeight="1" x14ac:dyDescent="0.2">
      <c r="B1895" s="24"/>
      <c r="C1895" s="7">
        <v>32588</v>
      </c>
      <c r="D1895" s="18" t="s">
        <v>1982</v>
      </c>
      <c r="E1895" s="18" t="s">
        <v>1083</v>
      </c>
      <c r="F1895" s="17">
        <v>30</v>
      </c>
      <c r="G1895" s="18" t="s">
        <v>23</v>
      </c>
      <c r="H1895" s="17">
        <v>7.9</v>
      </c>
      <c r="I1895" s="8">
        <v>9.5</v>
      </c>
      <c r="J1895" s="21">
        <f t="shared" si="87"/>
        <v>0.20253164556962019</v>
      </c>
      <c r="K1895" s="1">
        <v>3</v>
      </c>
      <c r="L1895" s="24">
        <v>0.6</v>
      </c>
      <c r="M1895" s="24">
        <v>8.8350000000000009</v>
      </c>
      <c r="N1895" s="21">
        <f t="shared" si="88"/>
        <v>0.1183544303797469</v>
      </c>
      <c r="P1895" s="1">
        <v>5</v>
      </c>
      <c r="Q1895" s="24">
        <v>1.1400000000000006</v>
      </c>
      <c r="R1895" s="24">
        <v>8.36</v>
      </c>
      <c r="S1895" s="21">
        <f t="shared" si="89"/>
        <v>5.8227848101265703E-2</v>
      </c>
    </row>
    <row r="1896" spans="2:19" ht="11.4" customHeight="1" x14ac:dyDescent="0.2">
      <c r="B1896" s="24"/>
      <c r="C1896" s="7">
        <v>32589</v>
      </c>
      <c r="D1896" s="18" t="s">
        <v>1983</v>
      </c>
      <c r="E1896" s="18" t="s">
        <v>1083</v>
      </c>
      <c r="F1896" s="17">
        <v>30</v>
      </c>
      <c r="G1896" s="18" t="s">
        <v>23</v>
      </c>
      <c r="H1896" s="17">
        <v>7.9</v>
      </c>
      <c r="I1896" s="8">
        <v>9.5</v>
      </c>
      <c r="J1896" s="21">
        <f t="shared" si="87"/>
        <v>0.20253164556962019</v>
      </c>
      <c r="K1896" s="1">
        <v>3</v>
      </c>
      <c r="L1896" s="24">
        <v>0.6</v>
      </c>
      <c r="M1896" s="24">
        <v>8.8350000000000009</v>
      </c>
      <c r="N1896" s="21">
        <f t="shared" si="88"/>
        <v>0.1183544303797469</v>
      </c>
      <c r="P1896" s="1">
        <v>5</v>
      </c>
      <c r="Q1896" s="24">
        <v>1.1400000000000006</v>
      </c>
      <c r="R1896" s="24">
        <v>8.36</v>
      </c>
      <c r="S1896" s="21">
        <f t="shared" si="89"/>
        <v>5.8227848101265703E-2</v>
      </c>
    </row>
    <row r="1897" spans="2:19" ht="11.4" customHeight="1" x14ac:dyDescent="0.2">
      <c r="B1897" s="24"/>
      <c r="C1897" s="7">
        <v>39186</v>
      </c>
      <c r="D1897" s="18" t="s">
        <v>1984</v>
      </c>
      <c r="E1897" s="18" t="s">
        <v>1083</v>
      </c>
      <c r="F1897" s="17">
        <v>12</v>
      </c>
      <c r="G1897" s="18" t="s">
        <v>23</v>
      </c>
      <c r="H1897" s="17">
        <v>9.9</v>
      </c>
      <c r="I1897" s="8">
        <v>9.6</v>
      </c>
      <c r="J1897" s="21">
        <f t="shared" si="87"/>
        <v>-3.0303030303030373E-2</v>
      </c>
      <c r="K1897" s="1">
        <v>3</v>
      </c>
      <c r="L1897" s="24">
        <v>0.6</v>
      </c>
      <c r="M1897" s="24">
        <v>8.9280000000000008</v>
      </c>
      <c r="N1897" s="21">
        <f t="shared" si="88"/>
        <v>-9.8181818181818134E-2</v>
      </c>
      <c r="P1897" s="1">
        <v>5</v>
      </c>
      <c r="Q1897" s="24">
        <v>1.1519999999999992</v>
      </c>
      <c r="R1897" s="24">
        <v>8.4480000000000004</v>
      </c>
      <c r="S1897" s="21">
        <f t="shared" si="89"/>
        <v>-0.14666666666666667</v>
      </c>
    </row>
    <row r="1898" spans="2:19" ht="11.4" customHeight="1" x14ac:dyDescent="0.2">
      <c r="B1898" s="24"/>
      <c r="C1898" s="7">
        <v>32590</v>
      </c>
      <c r="D1898" s="18" t="s">
        <v>1985</v>
      </c>
      <c r="E1898" s="18" t="s">
        <v>1083</v>
      </c>
      <c r="F1898" s="17">
        <v>30</v>
      </c>
      <c r="G1898" s="18" t="s">
        <v>23</v>
      </c>
      <c r="H1898" s="17">
        <v>7.9</v>
      </c>
      <c r="I1898" s="8">
        <v>9.5</v>
      </c>
      <c r="J1898" s="21">
        <f t="shared" si="87"/>
        <v>0.20253164556962019</v>
      </c>
      <c r="K1898" s="1">
        <v>3</v>
      </c>
      <c r="L1898" s="24">
        <v>0.6</v>
      </c>
      <c r="M1898" s="24">
        <v>8.8350000000000009</v>
      </c>
      <c r="N1898" s="21">
        <f t="shared" si="88"/>
        <v>0.1183544303797469</v>
      </c>
      <c r="P1898" s="1">
        <v>5</v>
      </c>
      <c r="Q1898" s="24">
        <v>1.1400000000000006</v>
      </c>
      <c r="R1898" s="24">
        <v>8.36</v>
      </c>
      <c r="S1898" s="21">
        <f t="shared" si="89"/>
        <v>5.8227848101265703E-2</v>
      </c>
    </row>
    <row r="1899" spans="2:19" ht="11.4" customHeight="1" x14ac:dyDescent="0.2">
      <c r="B1899" s="24"/>
      <c r="C1899" s="7">
        <v>32591</v>
      </c>
      <c r="D1899" s="18" t="s">
        <v>1986</v>
      </c>
      <c r="E1899" s="18" t="s">
        <v>1083</v>
      </c>
      <c r="F1899" s="17">
        <v>30</v>
      </c>
      <c r="G1899" s="18" t="s">
        <v>23</v>
      </c>
      <c r="H1899" s="17">
        <v>7.9</v>
      </c>
      <c r="I1899" s="8">
        <v>9.5</v>
      </c>
      <c r="J1899" s="21">
        <f t="shared" si="87"/>
        <v>0.20253164556962019</v>
      </c>
      <c r="K1899" s="1">
        <v>3</v>
      </c>
      <c r="L1899" s="24">
        <v>0.6</v>
      </c>
      <c r="M1899" s="24">
        <v>8.8350000000000009</v>
      </c>
      <c r="N1899" s="21">
        <f t="shared" si="88"/>
        <v>0.1183544303797469</v>
      </c>
      <c r="P1899" s="1">
        <v>5</v>
      </c>
      <c r="Q1899" s="24">
        <v>1.1400000000000006</v>
      </c>
      <c r="R1899" s="24">
        <v>8.36</v>
      </c>
      <c r="S1899" s="21">
        <f t="shared" si="89"/>
        <v>5.8227848101265703E-2</v>
      </c>
    </row>
    <row r="1900" spans="2:19" ht="11.4" customHeight="1" x14ac:dyDescent="0.2">
      <c r="B1900" s="24"/>
      <c r="C1900" s="7">
        <v>11956</v>
      </c>
      <c r="D1900" s="18" t="s">
        <v>1987</v>
      </c>
      <c r="E1900" s="18" t="s">
        <v>1083</v>
      </c>
      <c r="F1900" s="17">
        <v>96</v>
      </c>
      <c r="G1900" s="18" t="s">
        <v>23</v>
      </c>
      <c r="H1900" s="17">
        <v>11.4</v>
      </c>
      <c r="I1900" s="8">
        <v>12.9</v>
      </c>
      <c r="J1900" s="21">
        <f t="shared" si="87"/>
        <v>0.13157894736842105</v>
      </c>
      <c r="K1900" s="1">
        <v>3</v>
      </c>
      <c r="L1900" s="24">
        <v>0.9</v>
      </c>
      <c r="M1900" s="24">
        <v>11.997000000000002</v>
      </c>
      <c r="N1900" s="21">
        <f t="shared" si="88"/>
        <v>5.2368421052631689E-2</v>
      </c>
      <c r="P1900" s="1">
        <v>5</v>
      </c>
      <c r="Q1900" s="24">
        <v>1.548</v>
      </c>
      <c r="R1900" s="24">
        <v>11.352</v>
      </c>
      <c r="S1900" s="21">
        <f t="shared" si="89"/>
        <v>-4.2105263157894771E-3</v>
      </c>
    </row>
    <row r="1901" spans="2:19" ht="11.4" customHeight="1" x14ac:dyDescent="0.2">
      <c r="B1901" s="24"/>
      <c r="C1901" s="7">
        <v>27690</v>
      </c>
      <c r="D1901" s="18" t="s">
        <v>1988</v>
      </c>
      <c r="E1901" s="18" t="s">
        <v>1083</v>
      </c>
      <c r="F1901" s="18"/>
      <c r="G1901" s="18" t="s">
        <v>23</v>
      </c>
      <c r="H1901" s="17">
        <v>9.9</v>
      </c>
      <c r="I1901" s="8">
        <v>9.6</v>
      </c>
      <c r="J1901" s="21">
        <f t="shared" si="87"/>
        <v>-3.0303030303030373E-2</v>
      </c>
      <c r="K1901" s="1">
        <v>3</v>
      </c>
      <c r="L1901" s="24">
        <v>0.6</v>
      </c>
      <c r="M1901" s="24">
        <v>8.9280000000000008</v>
      </c>
      <c r="N1901" s="21">
        <f t="shared" si="88"/>
        <v>-9.8181818181818134E-2</v>
      </c>
      <c r="P1901" s="1">
        <v>5</v>
      </c>
      <c r="Q1901" s="24">
        <v>1.1519999999999992</v>
      </c>
      <c r="R1901" s="24">
        <v>8.4480000000000004</v>
      </c>
      <c r="S1901" s="21">
        <f t="shared" si="89"/>
        <v>-0.14666666666666667</v>
      </c>
    </row>
    <row r="1902" spans="2:19" ht="11.4" customHeight="1" x14ac:dyDescent="0.2">
      <c r="B1902" s="24"/>
      <c r="C1902" s="7">
        <v>27689</v>
      </c>
      <c r="D1902" s="18" t="s">
        <v>1989</v>
      </c>
      <c r="E1902" s="18" t="s">
        <v>1083</v>
      </c>
      <c r="F1902" s="18"/>
      <c r="G1902" s="18" t="s">
        <v>23</v>
      </c>
      <c r="H1902" s="17">
        <v>9.9</v>
      </c>
      <c r="I1902" s="8">
        <v>9.6</v>
      </c>
      <c r="J1902" s="21">
        <f t="shared" si="87"/>
        <v>-3.0303030303030373E-2</v>
      </c>
      <c r="K1902" s="1">
        <v>3</v>
      </c>
      <c r="L1902" s="24">
        <v>0.6</v>
      </c>
      <c r="M1902" s="24">
        <v>8.9280000000000008</v>
      </c>
      <c r="N1902" s="21">
        <f t="shared" si="88"/>
        <v>-9.8181818181818134E-2</v>
      </c>
      <c r="P1902" s="1">
        <v>5</v>
      </c>
      <c r="Q1902" s="24">
        <v>1.1519999999999992</v>
      </c>
      <c r="R1902" s="24">
        <v>8.4480000000000004</v>
      </c>
      <c r="S1902" s="21">
        <f t="shared" si="89"/>
        <v>-0.14666666666666667</v>
      </c>
    </row>
    <row r="1903" spans="2:19" ht="11.4" customHeight="1" x14ac:dyDescent="0.2">
      <c r="B1903" s="24"/>
      <c r="C1903" s="7">
        <v>4827</v>
      </c>
      <c r="D1903" s="18" t="s">
        <v>1990</v>
      </c>
      <c r="E1903" s="18" t="s">
        <v>1083</v>
      </c>
      <c r="F1903" s="17">
        <v>96</v>
      </c>
      <c r="G1903" s="18" t="s">
        <v>23</v>
      </c>
      <c r="H1903" s="17">
        <v>14.9</v>
      </c>
      <c r="I1903" s="8">
        <v>19.899999999999999</v>
      </c>
      <c r="J1903" s="21">
        <f t="shared" si="87"/>
        <v>0.33557046979865757</v>
      </c>
      <c r="K1903" s="1">
        <v>3</v>
      </c>
      <c r="L1903" s="24">
        <v>1.3</v>
      </c>
      <c r="M1903" s="24">
        <v>18.506999999999998</v>
      </c>
      <c r="N1903" s="21">
        <f t="shared" si="88"/>
        <v>0.2420805369127515</v>
      </c>
      <c r="P1903" s="1">
        <v>5</v>
      </c>
      <c r="Q1903" s="24">
        <v>2.3879999999999981</v>
      </c>
      <c r="R1903" s="24">
        <v>17.512</v>
      </c>
      <c r="S1903" s="21">
        <f t="shared" si="89"/>
        <v>0.17530201342281879</v>
      </c>
    </row>
    <row r="1904" spans="2:19" ht="11.4" customHeight="1" x14ac:dyDescent="0.2">
      <c r="B1904" s="24"/>
      <c r="C1904" s="7">
        <v>4826</v>
      </c>
      <c r="D1904" s="18" t="s">
        <v>1991</v>
      </c>
      <c r="E1904" s="18" t="s">
        <v>1083</v>
      </c>
      <c r="F1904" s="17">
        <v>96</v>
      </c>
      <c r="G1904" s="18" t="s">
        <v>23</v>
      </c>
      <c r="H1904" s="17">
        <v>11.8</v>
      </c>
      <c r="I1904" s="8">
        <v>19.899999999999999</v>
      </c>
      <c r="J1904" s="21">
        <f t="shared" si="87"/>
        <v>0.68644067796610142</v>
      </c>
      <c r="K1904" s="1">
        <v>3</v>
      </c>
      <c r="L1904" s="24">
        <v>1.3</v>
      </c>
      <c r="M1904" s="24">
        <v>18.506999999999998</v>
      </c>
      <c r="N1904" s="21">
        <f t="shared" si="88"/>
        <v>0.56838983050847436</v>
      </c>
      <c r="P1904" s="1">
        <v>5</v>
      </c>
      <c r="Q1904" s="24">
        <v>2.3879999999999981</v>
      </c>
      <c r="R1904" s="24">
        <v>17.512</v>
      </c>
      <c r="S1904" s="21">
        <f t="shared" si="89"/>
        <v>0.48406779661016947</v>
      </c>
    </row>
    <row r="1905" spans="2:19" ht="11.4" customHeight="1" x14ac:dyDescent="0.2">
      <c r="B1905" s="24"/>
      <c r="C1905" s="7">
        <v>44358</v>
      </c>
      <c r="D1905" s="18" t="s">
        <v>1992</v>
      </c>
      <c r="E1905" s="18" t="s">
        <v>1993</v>
      </c>
      <c r="F1905" s="17">
        <v>18</v>
      </c>
      <c r="G1905" s="18" t="s">
        <v>23</v>
      </c>
      <c r="H1905" s="17">
        <v>66.599999999999994</v>
      </c>
      <c r="I1905" s="8">
        <v>91.5</v>
      </c>
      <c r="J1905" s="21">
        <f t="shared" si="87"/>
        <v>0.373873873873874</v>
      </c>
      <c r="K1905" s="1">
        <v>3</v>
      </c>
      <c r="L1905" s="24">
        <v>6.4</v>
      </c>
      <c r="M1905" s="24">
        <v>85.094999999999999</v>
      </c>
      <c r="N1905" s="21">
        <f t="shared" si="88"/>
        <v>0.27770270270270281</v>
      </c>
      <c r="P1905" s="1">
        <v>5</v>
      </c>
      <c r="Q1905" s="24">
        <v>10.980000000000004</v>
      </c>
      <c r="R1905" s="24">
        <v>80.52</v>
      </c>
      <c r="S1905" s="21">
        <f t="shared" si="89"/>
        <v>0.20900900900900904</v>
      </c>
    </row>
    <row r="1906" spans="2:19" ht="11.4" customHeight="1" x14ac:dyDescent="0.2">
      <c r="B1906" s="24"/>
      <c r="C1906" s="7">
        <v>3475</v>
      </c>
      <c r="D1906" s="18" t="s">
        <v>1994</v>
      </c>
      <c r="E1906" s="18" t="s">
        <v>1993</v>
      </c>
      <c r="F1906" s="18"/>
      <c r="G1906" s="18" t="s">
        <v>23</v>
      </c>
      <c r="H1906" s="17">
        <v>67.8</v>
      </c>
      <c r="I1906" s="8">
        <v>91.5</v>
      </c>
      <c r="J1906" s="21">
        <f t="shared" si="87"/>
        <v>0.34955752212389385</v>
      </c>
      <c r="K1906" s="1">
        <v>3</v>
      </c>
      <c r="L1906" s="24">
        <v>6.4</v>
      </c>
      <c r="M1906" s="24">
        <v>85.094999999999999</v>
      </c>
      <c r="N1906" s="21">
        <f t="shared" si="88"/>
        <v>0.25508849557522129</v>
      </c>
      <c r="P1906" s="1">
        <v>5</v>
      </c>
      <c r="Q1906" s="24">
        <v>10.980000000000004</v>
      </c>
      <c r="R1906" s="24">
        <v>80.52</v>
      </c>
      <c r="S1906" s="21">
        <f t="shared" si="89"/>
        <v>0.18761061946902655</v>
      </c>
    </row>
    <row r="1907" spans="2:19" ht="11.4" customHeight="1" x14ac:dyDescent="0.2">
      <c r="B1907" s="24"/>
      <c r="C1907" s="7">
        <v>44365</v>
      </c>
      <c r="D1907" s="18" t="s">
        <v>1995</v>
      </c>
      <c r="E1907" s="18" t="s">
        <v>1050</v>
      </c>
      <c r="F1907" s="17">
        <v>16</v>
      </c>
      <c r="G1907" s="18" t="s">
        <v>23</v>
      </c>
      <c r="H1907" s="17">
        <v>40.200000000000003</v>
      </c>
      <c r="I1907" s="8">
        <v>54.3</v>
      </c>
      <c r="J1907" s="21">
        <f t="shared" si="87"/>
        <v>0.35074626865671626</v>
      </c>
      <c r="K1907" s="1">
        <v>3</v>
      </c>
      <c r="L1907" s="24">
        <v>3.8</v>
      </c>
      <c r="M1907" s="24">
        <v>50.499000000000002</v>
      </c>
      <c r="N1907" s="21">
        <f t="shared" si="88"/>
        <v>0.25619402985074624</v>
      </c>
      <c r="P1907" s="1">
        <v>5</v>
      </c>
      <c r="Q1907" s="24">
        <v>6.5159999999999982</v>
      </c>
      <c r="R1907" s="24">
        <v>47.783999999999999</v>
      </c>
      <c r="S1907" s="21">
        <f t="shared" si="89"/>
        <v>0.18865671641791035</v>
      </c>
    </row>
    <row r="1908" spans="2:19" ht="11.4" customHeight="1" x14ac:dyDescent="0.2">
      <c r="B1908" s="24"/>
      <c r="C1908" s="7">
        <v>14191</v>
      </c>
      <c r="D1908" s="18" t="s">
        <v>1996</v>
      </c>
      <c r="E1908" s="18" t="s">
        <v>1050</v>
      </c>
      <c r="F1908" s="17">
        <v>18</v>
      </c>
      <c r="G1908" s="18" t="s">
        <v>23</v>
      </c>
      <c r="H1908" s="17">
        <v>24.7</v>
      </c>
      <c r="I1908" s="8">
        <v>31.5</v>
      </c>
      <c r="J1908" s="21">
        <f t="shared" si="87"/>
        <v>0.2753036437246964</v>
      </c>
      <c r="K1908" s="1">
        <v>3</v>
      </c>
      <c r="L1908" s="24">
        <v>2.2000000000000002</v>
      </c>
      <c r="M1908" s="24">
        <v>29.295000000000002</v>
      </c>
      <c r="N1908" s="21">
        <f t="shared" si="88"/>
        <v>0.18603238866396771</v>
      </c>
      <c r="P1908" s="1">
        <v>5</v>
      </c>
      <c r="Q1908" s="24">
        <v>3.7800000000000011</v>
      </c>
      <c r="R1908" s="24">
        <v>27.72</v>
      </c>
      <c r="S1908" s="21">
        <f t="shared" si="89"/>
        <v>0.12226720647773277</v>
      </c>
    </row>
    <row r="1909" spans="2:19" ht="11.4" customHeight="1" x14ac:dyDescent="0.2">
      <c r="B1909" s="24"/>
      <c r="C1909" s="7">
        <v>27809</v>
      </c>
      <c r="D1909" s="18" t="s">
        <v>1997</v>
      </c>
      <c r="E1909" s="18" t="s">
        <v>1050</v>
      </c>
      <c r="F1909" s="17">
        <v>12</v>
      </c>
      <c r="G1909" s="18" t="s">
        <v>23</v>
      </c>
      <c r="H1909" s="17">
        <v>34.5</v>
      </c>
      <c r="I1909" s="8">
        <v>35.5</v>
      </c>
      <c r="J1909" s="21">
        <f t="shared" si="87"/>
        <v>2.8985507246376812E-2</v>
      </c>
      <c r="K1909" s="1">
        <v>3</v>
      </c>
      <c r="L1909" s="24">
        <v>2.4</v>
      </c>
      <c r="M1909" s="24">
        <v>33.015000000000001</v>
      </c>
      <c r="N1909" s="21">
        <f t="shared" si="88"/>
        <v>-4.3043478260869551E-2</v>
      </c>
      <c r="P1909" s="1">
        <v>5</v>
      </c>
      <c r="Q1909" s="24">
        <v>4.2600000000000016</v>
      </c>
      <c r="R1909" s="24">
        <v>31.24</v>
      </c>
      <c r="S1909" s="21">
        <f t="shared" si="89"/>
        <v>-9.4492753623188458E-2</v>
      </c>
    </row>
    <row r="1910" spans="2:19" ht="11.4" customHeight="1" x14ac:dyDescent="0.2">
      <c r="B1910" s="24"/>
      <c r="C1910" s="7">
        <v>44366</v>
      </c>
      <c r="D1910" s="18" t="s">
        <v>1998</v>
      </c>
      <c r="E1910" s="18" t="s">
        <v>1050</v>
      </c>
      <c r="F1910" s="17">
        <v>12</v>
      </c>
      <c r="G1910" s="18" t="s">
        <v>23</v>
      </c>
      <c r="H1910" s="17">
        <v>27.48</v>
      </c>
      <c r="I1910" s="8">
        <v>37.5</v>
      </c>
      <c r="J1910" s="21">
        <f t="shared" si="87"/>
        <v>0.36462882096069865</v>
      </c>
      <c r="K1910" s="1">
        <v>3</v>
      </c>
      <c r="L1910" s="24">
        <v>2.6</v>
      </c>
      <c r="M1910" s="24">
        <v>34.875</v>
      </c>
      <c r="N1910" s="21">
        <f t="shared" si="88"/>
        <v>0.26910480349344978</v>
      </c>
      <c r="P1910" s="1">
        <v>5</v>
      </c>
      <c r="Q1910" s="24">
        <v>4.5</v>
      </c>
      <c r="R1910" s="24">
        <v>33</v>
      </c>
      <c r="S1910" s="21">
        <f t="shared" si="89"/>
        <v>0.20087336244541482</v>
      </c>
    </row>
    <row r="1911" spans="2:19" ht="11.4" customHeight="1" x14ac:dyDescent="0.2">
      <c r="B1911" s="24"/>
      <c r="C1911" s="7">
        <v>39168</v>
      </c>
      <c r="D1911" s="18" t="s">
        <v>1999</v>
      </c>
      <c r="E1911" s="18" t="s">
        <v>1050</v>
      </c>
      <c r="F1911" s="17">
        <v>12</v>
      </c>
      <c r="G1911" s="18" t="s">
        <v>23</v>
      </c>
      <c r="H1911" s="17">
        <v>42.5</v>
      </c>
      <c r="I1911" s="8">
        <v>45.9</v>
      </c>
      <c r="J1911" s="21">
        <f t="shared" si="87"/>
        <v>7.999999999999996E-2</v>
      </c>
      <c r="K1911" s="1">
        <v>3</v>
      </c>
      <c r="L1911" s="24">
        <v>3.2</v>
      </c>
      <c r="M1911" s="24">
        <v>42.686999999999998</v>
      </c>
      <c r="N1911" s="21">
        <f t="shared" si="88"/>
        <v>4.3999999999999439E-3</v>
      </c>
      <c r="P1911" s="1">
        <v>5</v>
      </c>
      <c r="Q1911" s="24">
        <v>5.5080000000000027</v>
      </c>
      <c r="R1911" s="24">
        <v>40.391999999999996</v>
      </c>
      <c r="S1911" s="21">
        <f t="shared" si="89"/>
        <v>-4.9600000000000095E-2</v>
      </c>
    </row>
    <row r="1912" spans="2:19" ht="11.4" customHeight="1" x14ac:dyDescent="0.2">
      <c r="B1912" s="24"/>
      <c r="C1912" s="7">
        <v>39169</v>
      </c>
      <c r="D1912" s="18" t="s">
        <v>2000</v>
      </c>
      <c r="E1912" s="18" t="s">
        <v>1050</v>
      </c>
      <c r="F1912" s="17">
        <v>12</v>
      </c>
      <c r="G1912" s="18" t="s">
        <v>23</v>
      </c>
      <c r="H1912" s="17">
        <v>44.9</v>
      </c>
      <c r="I1912" s="8">
        <v>46.1</v>
      </c>
      <c r="J1912" s="21">
        <f t="shared" si="87"/>
        <v>2.672605790645886E-2</v>
      </c>
      <c r="K1912" s="1">
        <v>3</v>
      </c>
      <c r="L1912" s="24">
        <v>3.2</v>
      </c>
      <c r="M1912" s="24">
        <v>42.873000000000005</v>
      </c>
      <c r="N1912" s="21">
        <f t="shared" si="88"/>
        <v>-4.5144766146993184E-2</v>
      </c>
      <c r="P1912" s="1">
        <v>5</v>
      </c>
      <c r="Q1912" s="24">
        <v>5.5319999999999965</v>
      </c>
      <c r="R1912" s="24">
        <v>40.568000000000005</v>
      </c>
      <c r="S1912" s="21">
        <f t="shared" si="89"/>
        <v>-9.6481069042316125E-2</v>
      </c>
    </row>
    <row r="1913" spans="2:19" ht="11.4" customHeight="1" x14ac:dyDescent="0.2">
      <c r="B1913" s="24"/>
      <c r="C1913" s="7">
        <v>39170</v>
      </c>
      <c r="D1913" s="18" t="s">
        <v>2001</v>
      </c>
      <c r="E1913" s="18" t="s">
        <v>1050</v>
      </c>
      <c r="F1913" s="17">
        <v>12</v>
      </c>
      <c r="G1913" s="18" t="s">
        <v>23</v>
      </c>
      <c r="H1913" s="17">
        <v>45.9</v>
      </c>
      <c r="I1913" s="8">
        <v>46.3</v>
      </c>
      <c r="J1913" s="21">
        <f t="shared" si="87"/>
        <v>8.7145969498910372E-3</v>
      </c>
      <c r="K1913" s="1">
        <v>3</v>
      </c>
      <c r="L1913" s="24">
        <v>3.2</v>
      </c>
      <c r="M1913" s="24">
        <v>43.058999999999997</v>
      </c>
      <c r="N1913" s="21">
        <f t="shared" si="88"/>
        <v>-6.1895424836601334E-2</v>
      </c>
      <c r="P1913" s="1">
        <v>5</v>
      </c>
      <c r="Q1913" s="24">
        <v>5.5559999999999974</v>
      </c>
      <c r="R1913" s="24">
        <v>40.744</v>
      </c>
      <c r="S1913" s="21">
        <f t="shared" si="89"/>
        <v>-0.11233115468409584</v>
      </c>
    </row>
    <row r="1914" spans="2:19" ht="11.4" customHeight="1" x14ac:dyDescent="0.2">
      <c r="B1914" s="24"/>
      <c r="C1914" s="7">
        <v>10286</v>
      </c>
      <c r="D1914" s="18" t="s">
        <v>2002</v>
      </c>
      <c r="E1914" s="18" t="s">
        <v>1050</v>
      </c>
      <c r="F1914" s="17">
        <v>25</v>
      </c>
      <c r="G1914" s="18" t="s">
        <v>902</v>
      </c>
      <c r="H1914" s="17">
        <v>29.9</v>
      </c>
      <c r="I1914" s="8">
        <v>26.7</v>
      </c>
      <c r="J1914" s="21">
        <f t="shared" si="87"/>
        <v>-0.10702341137123744</v>
      </c>
      <c r="K1914" s="1">
        <v>1</v>
      </c>
      <c r="L1914" s="24">
        <v>1.3</v>
      </c>
      <c r="M1914" s="24">
        <v>25.364999999999998</v>
      </c>
      <c r="N1914" s="21">
        <f t="shared" si="88"/>
        <v>-0.15167224080267561</v>
      </c>
      <c r="P1914" s="1">
        <v>4</v>
      </c>
      <c r="Q1914" s="24">
        <v>2.6699999999999982</v>
      </c>
      <c r="R1914" s="24">
        <v>24.03</v>
      </c>
      <c r="S1914" s="21">
        <f t="shared" si="89"/>
        <v>-0.19632107023411363</v>
      </c>
    </row>
    <row r="1915" spans="2:19" ht="11.4" customHeight="1" x14ac:dyDescent="0.2">
      <c r="B1915" s="24"/>
      <c r="C1915" s="7">
        <v>39361</v>
      </c>
      <c r="D1915" s="18" t="s">
        <v>2003</v>
      </c>
      <c r="E1915" s="18" t="s">
        <v>1050</v>
      </c>
      <c r="F1915" s="17">
        <v>12</v>
      </c>
      <c r="G1915" s="18" t="s">
        <v>23</v>
      </c>
      <c r="H1915" s="17">
        <v>29.9</v>
      </c>
      <c r="I1915" s="8">
        <v>31.1</v>
      </c>
      <c r="J1915" s="21">
        <f t="shared" si="87"/>
        <v>4.0133779264214145E-2</v>
      </c>
      <c r="K1915" s="1">
        <v>3</v>
      </c>
      <c r="L1915" s="24">
        <v>2.1</v>
      </c>
      <c r="M1915" s="24">
        <v>28.923000000000002</v>
      </c>
      <c r="N1915" s="21">
        <f t="shared" si="88"/>
        <v>-3.2675585284280828E-2</v>
      </c>
      <c r="P1915" s="1">
        <v>5</v>
      </c>
      <c r="Q1915" s="24">
        <v>3.7319999999999993</v>
      </c>
      <c r="R1915" s="24">
        <v>27.368000000000002</v>
      </c>
      <c r="S1915" s="21">
        <f t="shared" si="89"/>
        <v>-8.4682274247491529E-2</v>
      </c>
    </row>
    <row r="1916" spans="2:19" ht="11.4" customHeight="1" x14ac:dyDescent="0.2">
      <c r="B1916" s="24"/>
      <c r="C1916" s="7">
        <v>39095</v>
      </c>
      <c r="D1916" s="18" t="s">
        <v>2004</v>
      </c>
      <c r="E1916" s="18" t="s">
        <v>1050</v>
      </c>
      <c r="F1916" s="17">
        <v>15</v>
      </c>
      <c r="G1916" s="18" t="s">
        <v>23</v>
      </c>
      <c r="H1916" s="17">
        <v>37.9</v>
      </c>
      <c r="I1916" s="8">
        <v>37.9</v>
      </c>
      <c r="J1916" s="21">
        <f t="shared" si="87"/>
        <v>0</v>
      </c>
      <c r="K1916" s="1">
        <v>3</v>
      </c>
      <c r="L1916" s="24">
        <v>2.6</v>
      </c>
      <c r="M1916" s="24">
        <v>35.247</v>
      </c>
      <c r="N1916" s="21">
        <f t="shared" si="88"/>
        <v>-6.9999999999999965E-2</v>
      </c>
      <c r="P1916" s="1">
        <v>5</v>
      </c>
      <c r="Q1916" s="24">
        <v>4.5480000000000018</v>
      </c>
      <c r="R1916" s="24">
        <v>33.351999999999997</v>
      </c>
      <c r="S1916" s="21">
        <f t="shared" si="89"/>
        <v>-0.12000000000000005</v>
      </c>
    </row>
    <row r="1917" spans="2:19" ht="11.4" customHeight="1" x14ac:dyDescent="0.2">
      <c r="B1917" s="24"/>
      <c r="C1917" s="7">
        <v>44828</v>
      </c>
      <c r="D1917" s="18" t="s">
        <v>2005</v>
      </c>
      <c r="E1917" s="18" t="s">
        <v>1050</v>
      </c>
      <c r="F1917" s="17">
        <v>14</v>
      </c>
      <c r="G1917" s="18" t="s">
        <v>23</v>
      </c>
      <c r="H1917" s="17">
        <v>36.18</v>
      </c>
      <c r="I1917" s="8">
        <v>49</v>
      </c>
      <c r="J1917" s="21">
        <f t="shared" si="87"/>
        <v>0.35433941404090658</v>
      </c>
      <c r="K1917" s="1">
        <v>3</v>
      </c>
      <c r="L1917" s="24">
        <v>3.4</v>
      </c>
      <c r="M1917" s="24">
        <v>45.57</v>
      </c>
      <c r="N1917" s="21">
        <f t="shared" si="88"/>
        <v>0.25953565505804316</v>
      </c>
      <c r="P1917" s="1">
        <v>5</v>
      </c>
      <c r="Q1917" s="24">
        <v>5.8800000000000026</v>
      </c>
      <c r="R1917" s="24">
        <v>43.12</v>
      </c>
      <c r="S1917" s="21">
        <f t="shared" si="89"/>
        <v>0.19181868435599772</v>
      </c>
    </row>
    <row r="1918" spans="2:19" ht="11.4" customHeight="1" x14ac:dyDescent="0.2">
      <c r="B1918" s="24"/>
      <c r="C1918" s="7">
        <v>36889</v>
      </c>
      <c r="D1918" s="18" t="s">
        <v>2006</v>
      </c>
      <c r="E1918" s="18" t="s">
        <v>1050</v>
      </c>
      <c r="F1918" s="17">
        <v>12</v>
      </c>
      <c r="G1918" s="18" t="s">
        <v>23</v>
      </c>
      <c r="H1918" s="17">
        <v>34.5</v>
      </c>
      <c r="I1918" s="8">
        <v>35.5</v>
      </c>
      <c r="J1918" s="21">
        <f t="shared" si="87"/>
        <v>2.8985507246376812E-2</v>
      </c>
      <c r="K1918" s="1">
        <v>3</v>
      </c>
      <c r="L1918" s="24">
        <v>2.4</v>
      </c>
      <c r="M1918" s="24">
        <v>33.015000000000001</v>
      </c>
      <c r="N1918" s="21">
        <f t="shared" si="88"/>
        <v>-4.3043478260869551E-2</v>
      </c>
      <c r="P1918" s="1">
        <v>5</v>
      </c>
      <c r="Q1918" s="24">
        <v>4.2600000000000016</v>
      </c>
      <c r="R1918" s="24">
        <v>31.24</v>
      </c>
      <c r="S1918" s="21">
        <f t="shared" si="89"/>
        <v>-9.4492753623188458E-2</v>
      </c>
    </row>
    <row r="1919" spans="2:19" ht="11.4" customHeight="1" x14ac:dyDescent="0.2">
      <c r="B1919" s="24"/>
      <c r="C1919" s="7">
        <v>10166</v>
      </c>
      <c r="D1919" s="18" t="s">
        <v>2007</v>
      </c>
      <c r="E1919" s="18" t="s">
        <v>1050</v>
      </c>
      <c r="F1919" s="17">
        <v>12</v>
      </c>
      <c r="G1919" s="18" t="s">
        <v>23</v>
      </c>
      <c r="H1919" s="17">
        <v>17.600000000000001</v>
      </c>
      <c r="I1919" s="8">
        <v>19.899999999999999</v>
      </c>
      <c r="J1919" s="21">
        <f t="shared" si="87"/>
        <v>0.13068181818181801</v>
      </c>
      <c r="K1919" s="1">
        <v>3</v>
      </c>
      <c r="L1919" s="24">
        <v>1.3</v>
      </c>
      <c r="M1919" s="24">
        <v>18.506999999999998</v>
      </c>
      <c r="N1919" s="21">
        <f t="shared" si="88"/>
        <v>5.1534090909090703E-2</v>
      </c>
      <c r="P1919" s="1">
        <v>5</v>
      </c>
      <c r="Q1919" s="24">
        <v>2.3879999999999981</v>
      </c>
      <c r="R1919" s="24">
        <v>17.512</v>
      </c>
      <c r="S1919" s="21">
        <f t="shared" si="89"/>
        <v>-5.0000000000000547E-3</v>
      </c>
    </row>
    <row r="1920" spans="2:19" ht="11.4" customHeight="1" x14ac:dyDescent="0.2">
      <c r="B1920" s="24"/>
      <c r="C1920" s="7">
        <v>21197</v>
      </c>
      <c r="D1920" s="18" t="s">
        <v>2008</v>
      </c>
      <c r="E1920" s="18" t="s">
        <v>1975</v>
      </c>
      <c r="F1920" s="17">
        <v>14</v>
      </c>
      <c r="G1920" s="18" t="s">
        <v>23</v>
      </c>
      <c r="H1920" s="17">
        <v>36.200000000000003</v>
      </c>
      <c r="I1920" s="8">
        <v>46.5</v>
      </c>
      <c r="J1920" s="21">
        <f t="shared" si="87"/>
        <v>0.28453038674033138</v>
      </c>
      <c r="K1920" s="1">
        <v>3</v>
      </c>
      <c r="L1920" s="24">
        <v>3.2</v>
      </c>
      <c r="M1920" s="24">
        <v>43.245000000000005</v>
      </c>
      <c r="N1920" s="21">
        <f t="shared" si="88"/>
        <v>0.19461325966850831</v>
      </c>
      <c r="P1920" s="1">
        <v>5</v>
      </c>
      <c r="Q1920" s="24">
        <v>5.5799999999999983</v>
      </c>
      <c r="R1920" s="24">
        <v>40.92</v>
      </c>
      <c r="S1920" s="21">
        <f t="shared" si="89"/>
        <v>0.13038674033149167</v>
      </c>
    </row>
    <row r="1921" spans="2:19" ht="11.4" customHeight="1" x14ac:dyDescent="0.2">
      <c r="B1921" s="24"/>
      <c r="C1921" s="7">
        <v>39167</v>
      </c>
      <c r="D1921" s="18" t="s">
        <v>2009</v>
      </c>
      <c r="E1921" s="18" t="s">
        <v>1050</v>
      </c>
      <c r="F1921" s="18"/>
      <c r="G1921" s="18" t="s">
        <v>23</v>
      </c>
      <c r="H1921" s="17">
        <v>49.9</v>
      </c>
      <c r="I1921" s="8">
        <v>50.7</v>
      </c>
      <c r="J1921" s="21">
        <f t="shared" si="87"/>
        <v>1.6032064128256598E-2</v>
      </c>
      <c r="K1921" s="1">
        <v>3</v>
      </c>
      <c r="L1921" s="24">
        <v>3.5</v>
      </c>
      <c r="M1921" s="24">
        <v>47.151000000000003</v>
      </c>
      <c r="N1921" s="21">
        <f t="shared" si="88"/>
        <v>-5.5090180360721351E-2</v>
      </c>
      <c r="P1921" s="1">
        <v>5</v>
      </c>
      <c r="Q1921" s="24">
        <v>6.0840000000000032</v>
      </c>
      <c r="R1921" s="24">
        <v>44.616</v>
      </c>
      <c r="S1921" s="21">
        <f t="shared" si="89"/>
        <v>-0.10589178356713425</v>
      </c>
    </row>
    <row r="1922" spans="2:19" ht="11.4" customHeight="1" x14ac:dyDescent="0.2">
      <c r="B1922" s="24"/>
      <c r="C1922" s="7">
        <v>27680</v>
      </c>
      <c r="D1922" s="18" t="s">
        <v>2010</v>
      </c>
      <c r="E1922" s="18" t="s">
        <v>1050</v>
      </c>
      <c r="F1922" s="17">
        <v>10</v>
      </c>
      <c r="G1922" s="18" t="s">
        <v>23</v>
      </c>
      <c r="H1922" s="17">
        <v>22.5</v>
      </c>
      <c r="I1922" s="8">
        <v>24.3</v>
      </c>
      <c r="J1922" s="21">
        <f t="shared" si="87"/>
        <v>8.0000000000000029E-2</v>
      </c>
      <c r="K1922" s="1">
        <v>3</v>
      </c>
      <c r="L1922" s="24">
        <v>1.7</v>
      </c>
      <c r="M1922" s="24">
        <v>22.599</v>
      </c>
      <c r="N1922" s="21">
        <f t="shared" si="88"/>
        <v>4.4000000000000089E-3</v>
      </c>
      <c r="P1922" s="1">
        <v>5</v>
      </c>
      <c r="Q1922" s="24">
        <v>2.9160000000000004</v>
      </c>
      <c r="R1922" s="24">
        <v>21.384</v>
      </c>
      <c r="S1922" s="21">
        <f t="shared" si="89"/>
        <v>-4.9599999999999984E-2</v>
      </c>
    </row>
    <row r="1923" spans="2:19" ht="11.4" customHeight="1" x14ac:dyDescent="0.2">
      <c r="B1923" s="24"/>
      <c r="C1923" s="7">
        <v>44360</v>
      </c>
      <c r="D1923" s="18" t="s">
        <v>2011</v>
      </c>
      <c r="E1923" s="18" t="s">
        <v>1993</v>
      </c>
      <c r="F1923" s="17">
        <v>6</v>
      </c>
      <c r="G1923" s="18" t="s">
        <v>23</v>
      </c>
      <c r="H1923" s="17">
        <v>80.64</v>
      </c>
      <c r="I1923" s="8">
        <v>108.9</v>
      </c>
      <c r="J1923" s="21">
        <f t="shared" ref="J1923:J1986" si="90">(I1923-H1923)/H1923</f>
        <v>0.35044642857142866</v>
      </c>
      <c r="K1923" s="1">
        <v>3</v>
      </c>
      <c r="L1923" s="24">
        <v>7.6</v>
      </c>
      <c r="M1923" s="24">
        <v>101.27700000000002</v>
      </c>
      <c r="N1923" s="21">
        <f t="shared" ref="N1923:N1986" si="91">(M1923-H1923)/H1923</f>
        <v>0.25591517857142876</v>
      </c>
      <c r="P1923" s="1">
        <v>5</v>
      </c>
      <c r="Q1923" s="24">
        <v>13.067999999999998</v>
      </c>
      <c r="R1923" s="24">
        <v>95.832000000000008</v>
      </c>
      <c r="S1923" s="21">
        <f t="shared" ref="S1923:S1986" si="92">(R1923-H1923)/H1923</f>
        <v>0.18839285714285722</v>
      </c>
    </row>
    <row r="1924" spans="2:19" ht="11.4" customHeight="1" x14ac:dyDescent="0.2">
      <c r="B1924" s="24"/>
      <c r="C1924" s="7">
        <v>36327</v>
      </c>
      <c r="D1924" s="18" t="s">
        <v>2012</v>
      </c>
      <c r="E1924" s="18" t="s">
        <v>1993</v>
      </c>
      <c r="F1924" s="17">
        <v>12</v>
      </c>
      <c r="G1924" s="18" t="s">
        <v>23</v>
      </c>
      <c r="H1924" s="17">
        <v>68</v>
      </c>
      <c r="I1924" s="8">
        <v>91.5</v>
      </c>
      <c r="J1924" s="21">
        <f t="shared" si="90"/>
        <v>0.34558823529411764</v>
      </c>
      <c r="K1924" s="1">
        <v>3</v>
      </c>
      <c r="L1924" s="24">
        <v>6.4</v>
      </c>
      <c r="M1924" s="24">
        <v>85.094999999999999</v>
      </c>
      <c r="N1924" s="21">
        <f t="shared" si="91"/>
        <v>0.25139705882352942</v>
      </c>
      <c r="P1924" s="1">
        <v>5</v>
      </c>
      <c r="Q1924" s="24">
        <v>10.980000000000004</v>
      </c>
      <c r="R1924" s="24">
        <v>80.52</v>
      </c>
      <c r="S1924" s="21">
        <f t="shared" si="92"/>
        <v>0.18411764705882347</v>
      </c>
    </row>
    <row r="1925" spans="2:19" ht="11.4" customHeight="1" x14ac:dyDescent="0.2">
      <c r="B1925" s="24"/>
      <c r="C1925" s="7">
        <v>36328</v>
      </c>
      <c r="D1925" s="18" t="s">
        <v>2013</v>
      </c>
      <c r="E1925" s="18" t="s">
        <v>1993</v>
      </c>
      <c r="F1925" s="17">
        <v>12</v>
      </c>
      <c r="G1925" s="18" t="s">
        <v>23</v>
      </c>
      <c r="H1925" s="17">
        <v>68</v>
      </c>
      <c r="I1925" s="8">
        <v>91.5</v>
      </c>
      <c r="J1925" s="21">
        <f t="shared" si="90"/>
        <v>0.34558823529411764</v>
      </c>
      <c r="K1925" s="1">
        <v>3</v>
      </c>
      <c r="L1925" s="24">
        <v>6.4</v>
      </c>
      <c r="M1925" s="24">
        <v>85.094999999999999</v>
      </c>
      <c r="N1925" s="21">
        <f t="shared" si="91"/>
        <v>0.25139705882352942</v>
      </c>
      <c r="P1925" s="1">
        <v>5</v>
      </c>
      <c r="Q1925" s="24">
        <v>10.980000000000004</v>
      </c>
      <c r="R1925" s="24">
        <v>80.52</v>
      </c>
      <c r="S1925" s="21">
        <f t="shared" si="92"/>
        <v>0.18411764705882347</v>
      </c>
    </row>
    <row r="1926" spans="2:19" ht="11.4" customHeight="1" x14ac:dyDescent="0.2">
      <c r="B1926" s="24"/>
      <c r="C1926" s="7">
        <v>36329</v>
      </c>
      <c r="D1926" s="18" t="s">
        <v>2014</v>
      </c>
      <c r="E1926" s="18" t="s">
        <v>1993</v>
      </c>
      <c r="F1926" s="17">
        <v>12</v>
      </c>
      <c r="G1926" s="18" t="s">
        <v>23</v>
      </c>
      <c r="H1926" s="17">
        <v>68</v>
      </c>
      <c r="I1926" s="8">
        <v>91.5</v>
      </c>
      <c r="J1926" s="21">
        <f t="shared" si="90"/>
        <v>0.34558823529411764</v>
      </c>
      <c r="K1926" s="1">
        <v>3</v>
      </c>
      <c r="L1926" s="24">
        <v>6.4</v>
      </c>
      <c r="M1926" s="24">
        <v>85.094999999999999</v>
      </c>
      <c r="N1926" s="21">
        <f t="shared" si="91"/>
        <v>0.25139705882352942</v>
      </c>
      <c r="P1926" s="1">
        <v>5</v>
      </c>
      <c r="Q1926" s="24">
        <v>10.980000000000004</v>
      </c>
      <c r="R1926" s="24">
        <v>80.52</v>
      </c>
      <c r="S1926" s="21">
        <f t="shared" si="92"/>
        <v>0.18411764705882347</v>
      </c>
    </row>
    <row r="1927" spans="2:19" ht="11.4" customHeight="1" x14ac:dyDescent="0.2">
      <c r="B1927" s="24"/>
      <c r="C1927" s="7">
        <v>32582</v>
      </c>
      <c r="D1927" s="18" t="s">
        <v>2015</v>
      </c>
      <c r="E1927" s="18" t="s">
        <v>1993</v>
      </c>
      <c r="F1927" s="17">
        <v>18</v>
      </c>
      <c r="G1927" s="18" t="s">
        <v>23</v>
      </c>
      <c r="H1927" s="17">
        <v>43.1</v>
      </c>
      <c r="I1927" s="8">
        <v>50.5</v>
      </c>
      <c r="J1927" s="21">
        <f t="shared" si="90"/>
        <v>0.17169373549883987</v>
      </c>
      <c r="K1927" s="1">
        <v>3</v>
      </c>
      <c r="L1927" s="24">
        <v>3.5</v>
      </c>
      <c r="M1927" s="24">
        <v>46.965000000000003</v>
      </c>
      <c r="N1927" s="21">
        <f t="shared" si="91"/>
        <v>8.9675174013921152E-2</v>
      </c>
      <c r="P1927" s="1">
        <v>5</v>
      </c>
      <c r="Q1927" s="24">
        <v>6.0600000000000023</v>
      </c>
      <c r="R1927" s="24">
        <v>44.44</v>
      </c>
      <c r="S1927" s="21">
        <f t="shared" si="92"/>
        <v>3.1090487238979031E-2</v>
      </c>
    </row>
    <row r="1928" spans="2:19" ht="11.4" customHeight="1" x14ac:dyDescent="0.2">
      <c r="B1928" s="24"/>
      <c r="C1928" s="7">
        <v>44362</v>
      </c>
      <c r="D1928" s="18" t="s">
        <v>2016</v>
      </c>
      <c r="E1928" s="18" t="s">
        <v>1993</v>
      </c>
      <c r="F1928" s="17">
        <v>6</v>
      </c>
      <c r="G1928" s="18" t="s">
        <v>23</v>
      </c>
      <c r="H1928" s="17">
        <v>64.2</v>
      </c>
      <c r="I1928" s="8">
        <v>86.7</v>
      </c>
      <c r="J1928" s="21">
        <f t="shared" si="90"/>
        <v>0.35046728971962615</v>
      </c>
      <c r="K1928" s="1">
        <v>3</v>
      </c>
      <c r="L1928" s="24">
        <v>6</v>
      </c>
      <c r="M1928" s="24">
        <v>80.631</v>
      </c>
      <c r="N1928" s="21">
        <f t="shared" si="91"/>
        <v>0.2559345794392523</v>
      </c>
      <c r="P1928" s="1">
        <v>5</v>
      </c>
      <c r="Q1928" s="24">
        <v>10.403999999999996</v>
      </c>
      <c r="R1928" s="24">
        <v>76.296000000000006</v>
      </c>
      <c r="S1928" s="21">
        <f t="shared" si="92"/>
        <v>0.18841121495327107</v>
      </c>
    </row>
    <row r="1929" spans="2:19" ht="11.4" customHeight="1" x14ac:dyDescent="0.2">
      <c r="B1929" s="24"/>
      <c r="C1929" s="7">
        <v>9041</v>
      </c>
      <c r="D1929" s="18" t="s">
        <v>2017</v>
      </c>
      <c r="E1929" s="18" t="s">
        <v>1993</v>
      </c>
      <c r="F1929" s="18"/>
      <c r="G1929" s="18" t="s">
        <v>23</v>
      </c>
      <c r="H1929" s="17">
        <v>60.12</v>
      </c>
      <c r="I1929" s="8">
        <v>86.7</v>
      </c>
      <c r="J1929" s="21">
        <f t="shared" si="90"/>
        <v>0.44211576846307399</v>
      </c>
      <c r="K1929" s="1">
        <v>3</v>
      </c>
      <c r="L1929" s="24">
        <v>6</v>
      </c>
      <c r="M1929" s="24">
        <v>80.631</v>
      </c>
      <c r="N1929" s="21">
        <f t="shared" si="91"/>
        <v>0.34116766467065873</v>
      </c>
      <c r="P1929" s="1">
        <v>5</v>
      </c>
      <c r="Q1929" s="24">
        <v>10.403999999999996</v>
      </c>
      <c r="R1929" s="24">
        <v>76.296000000000006</v>
      </c>
      <c r="S1929" s="21">
        <f t="shared" si="92"/>
        <v>0.26906187624750516</v>
      </c>
    </row>
    <row r="1930" spans="2:19" ht="11.4" customHeight="1" x14ac:dyDescent="0.2">
      <c r="B1930" s="24"/>
      <c r="C1930" s="7">
        <v>39178</v>
      </c>
      <c r="D1930" s="18" t="s">
        <v>2018</v>
      </c>
      <c r="E1930" s="18" t="s">
        <v>1993</v>
      </c>
      <c r="F1930" s="17">
        <v>12</v>
      </c>
      <c r="G1930" s="18" t="s">
        <v>23</v>
      </c>
      <c r="H1930" s="17">
        <v>24.9</v>
      </c>
      <c r="I1930" s="8">
        <v>23.2</v>
      </c>
      <c r="J1930" s="21">
        <f t="shared" si="90"/>
        <v>-6.8273092369477886E-2</v>
      </c>
      <c r="K1930" s="1">
        <v>3</v>
      </c>
      <c r="L1930" s="24">
        <v>1.6</v>
      </c>
      <c r="M1930" s="24">
        <v>21.576000000000001</v>
      </c>
      <c r="N1930" s="21">
        <f t="shared" si="91"/>
        <v>-0.13349397590361439</v>
      </c>
      <c r="P1930" s="1">
        <v>5</v>
      </c>
      <c r="Q1930" s="24">
        <v>2.7839999999999989</v>
      </c>
      <c r="R1930" s="24">
        <v>20.416</v>
      </c>
      <c r="S1930" s="21">
        <f t="shared" si="92"/>
        <v>-0.18008032128514051</v>
      </c>
    </row>
    <row r="1931" spans="2:19" ht="11.4" customHeight="1" x14ac:dyDescent="0.2">
      <c r="B1931" s="24"/>
      <c r="C1931" s="7">
        <v>27806</v>
      </c>
      <c r="D1931" s="18" t="s">
        <v>2019</v>
      </c>
      <c r="E1931" s="18" t="s">
        <v>1993</v>
      </c>
      <c r="F1931" s="17">
        <v>12</v>
      </c>
      <c r="G1931" s="18" t="s">
        <v>23</v>
      </c>
      <c r="H1931" s="17">
        <v>44.5</v>
      </c>
      <c r="I1931" s="8">
        <v>58.7</v>
      </c>
      <c r="J1931" s="21">
        <f t="shared" si="90"/>
        <v>0.31910112359550569</v>
      </c>
      <c r="K1931" s="1">
        <v>3</v>
      </c>
      <c r="L1931" s="24">
        <v>4.0999999999999996</v>
      </c>
      <c r="M1931" s="24">
        <v>54.591000000000008</v>
      </c>
      <c r="N1931" s="21">
        <f t="shared" si="91"/>
        <v>0.22676404494382041</v>
      </c>
      <c r="P1931" s="1">
        <v>5</v>
      </c>
      <c r="Q1931" s="24">
        <v>7.0439999999999969</v>
      </c>
      <c r="R1931" s="24">
        <v>51.656000000000006</v>
      </c>
      <c r="S1931" s="21">
        <f t="shared" si="92"/>
        <v>0.16080898876404506</v>
      </c>
    </row>
    <row r="1932" spans="2:19" ht="11.4" customHeight="1" x14ac:dyDescent="0.2">
      <c r="B1932" s="24"/>
      <c r="C1932" s="7">
        <v>39175</v>
      </c>
      <c r="D1932" s="18" t="s">
        <v>2020</v>
      </c>
      <c r="E1932" s="18" t="s">
        <v>1993</v>
      </c>
      <c r="F1932" s="17">
        <v>10</v>
      </c>
      <c r="G1932" s="18" t="s">
        <v>23</v>
      </c>
      <c r="H1932" s="17">
        <v>32.5</v>
      </c>
      <c r="I1932" s="8">
        <v>37.5</v>
      </c>
      <c r="J1932" s="21">
        <f t="shared" si="90"/>
        <v>0.15384615384615385</v>
      </c>
      <c r="K1932" s="1">
        <v>3</v>
      </c>
      <c r="L1932" s="24">
        <v>2.6</v>
      </c>
      <c r="M1932" s="24">
        <v>34.875</v>
      </c>
      <c r="N1932" s="21">
        <f t="shared" si="91"/>
        <v>7.3076923076923081E-2</v>
      </c>
      <c r="P1932" s="1">
        <v>5</v>
      </c>
      <c r="Q1932" s="24">
        <v>4.5</v>
      </c>
      <c r="R1932" s="24">
        <v>33</v>
      </c>
      <c r="S1932" s="21">
        <f t="shared" si="92"/>
        <v>1.5384615384615385E-2</v>
      </c>
    </row>
    <row r="1933" spans="2:19" ht="11.4" customHeight="1" x14ac:dyDescent="0.2">
      <c r="B1933" s="24"/>
      <c r="C1933" s="7">
        <v>32583</v>
      </c>
      <c r="D1933" s="18" t="s">
        <v>2021</v>
      </c>
      <c r="E1933" s="18" t="s">
        <v>1975</v>
      </c>
      <c r="F1933" s="17">
        <v>8</v>
      </c>
      <c r="G1933" s="18" t="s">
        <v>23</v>
      </c>
      <c r="H1933" s="17">
        <v>69.2</v>
      </c>
      <c r="I1933" s="8">
        <v>73.5</v>
      </c>
      <c r="J1933" s="21">
        <f t="shared" si="90"/>
        <v>6.2138728323699377E-2</v>
      </c>
      <c r="K1933" s="1">
        <v>3</v>
      </c>
      <c r="L1933" s="24">
        <v>5.0999999999999996</v>
      </c>
      <c r="M1933" s="24">
        <v>68.355000000000004</v>
      </c>
      <c r="N1933" s="21">
        <f t="shared" si="91"/>
        <v>-1.2210982658959521E-2</v>
      </c>
      <c r="P1933" s="1">
        <v>5</v>
      </c>
      <c r="Q1933" s="24">
        <v>8.8199999999999932</v>
      </c>
      <c r="R1933" s="24">
        <v>64.680000000000007</v>
      </c>
      <c r="S1933" s="21">
        <f t="shared" si="92"/>
        <v>-6.5317919075144448E-2</v>
      </c>
    </row>
    <row r="1934" spans="2:19" ht="11.4" customHeight="1" x14ac:dyDescent="0.2">
      <c r="B1934" s="24"/>
      <c r="C1934" s="7">
        <v>32807</v>
      </c>
      <c r="D1934" s="18" t="s">
        <v>2022</v>
      </c>
      <c r="E1934" s="18" t="s">
        <v>1975</v>
      </c>
      <c r="F1934" s="17">
        <v>21</v>
      </c>
      <c r="G1934" s="18" t="s">
        <v>23</v>
      </c>
      <c r="H1934" s="17">
        <v>20.399999999999999</v>
      </c>
      <c r="I1934" s="8">
        <v>26.4</v>
      </c>
      <c r="J1934" s="21">
        <f t="shared" si="90"/>
        <v>0.29411764705882354</v>
      </c>
      <c r="K1934" s="1">
        <v>3</v>
      </c>
      <c r="L1934" s="24">
        <v>1.8</v>
      </c>
      <c r="M1934" s="24">
        <v>24.552</v>
      </c>
      <c r="N1934" s="21">
        <f t="shared" si="91"/>
        <v>0.20352941176470596</v>
      </c>
      <c r="P1934" s="1">
        <v>5</v>
      </c>
      <c r="Q1934" s="24">
        <v>3.1679999999999993</v>
      </c>
      <c r="R1934" s="24">
        <v>23.231999999999999</v>
      </c>
      <c r="S1934" s="21">
        <f t="shared" si="92"/>
        <v>0.13882352941176476</v>
      </c>
    </row>
    <row r="1935" spans="2:19" ht="11.4" customHeight="1" x14ac:dyDescent="0.2">
      <c r="B1935" s="24"/>
      <c r="C1935" s="7">
        <v>709</v>
      </c>
      <c r="D1935" s="18" t="s">
        <v>2023</v>
      </c>
      <c r="E1935" s="18" t="s">
        <v>1975</v>
      </c>
      <c r="F1935" s="17">
        <v>21</v>
      </c>
      <c r="G1935" s="18" t="s">
        <v>23</v>
      </c>
      <c r="H1935" s="17">
        <v>20.399999999999999</v>
      </c>
      <c r="I1935" s="8">
        <v>26.4</v>
      </c>
      <c r="J1935" s="21">
        <f t="shared" si="90"/>
        <v>0.29411764705882354</v>
      </c>
      <c r="K1935" s="1">
        <v>3</v>
      </c>
      <c r="L1935" s="24">
        <v>1.8</v>
      </c>
      <c r="M1935" s="24">
        <v>24.552</v>
      </c>
      <c r="N1935" s="21">
        <f t="shared" si="91"/>
        <v>0.20352941176470596</v>
      </c>
      <c r="P1935" s="1">
        <v>5</v>
      </c>
      <c r="Q1935" s="24">
        <v>3.1679999999999993</v>
      </c>
      <c r="R1935" s="24">
        <v>23.231999999999999</v>
      </c>
      <c r="S1935" s="21">
        <f t="shared" si="92"/>
        <v>0.13882352941176476</v>
      </c>
    </row>
    <row r="1936" spans="2:19" ht="11.4" customHeight="1" x14ac:dyDescent="0.2">
      <c r="B1936" s="24"/>
      <c r="C1936" s="7">
        <v>32808</v>
      </c>
      <c r="D1936" s="18" t="s">
        <v>2024</v>
      </c>
      <c r="E1936" s="18" t="s">
        <v>1975</v>
      </c>
      <c r="F1936" s="17">
        <v>10</v>
      </c>
      <c r="G1936" s="18" t="s">
        <v>23</v>
      </c>
      <c r="H1936" s="17">
        <v>47.3</v>
      </c>
      <c r="I1936" s="8">
        <v>60.8</v>
      </c>
      <c r="J1936" s="21">
        <f t="shared" si="90"/>
        <v>0.28541226215644822</v>
      </c>
      <c r="K1936" s="1">
        <v>3</v>
      </c>
      <c r="L1936" s="24">
        <v>4.2</v>
      </c>
      <c r="M1936" s="24">
        <v>56.543999999999997</v>
      </c>
      <c r="N1936" s="21">
        <f t="shared" si="91"/>
        <v>0.19543340380549684</v>
      </c>
      <c r="P1936" s="1">
        <v>5</v>
      </c>
      <c r="Q1936" s="24">
        <v>7.2959999999999994</v>
      </c>
      <c r="R1936" s="24">
        <v>53.503999999999998</v>
      </c>
      <c r="S1936" s="21">
        <f t="shared" si="92"/>
        <v>0.13116279069767445</v>
      </c>
    </row>
    <row r="1937" spans="2:19" ht="11.4" customHeight="1" x14ac:dyDescent="0.2">
      <c r="B1937" s="24"/>
      <c r="C1937" s="7">
        <v>44135</v>
      </c>
      <c r="D1937" s="18" t="s">
        <v>2025</v>
      </c>
      <c r="E1937" s="18" t="s">
        <v>1975</v>
      </c>
      <c r="F1937" s="17">
        <v>10</v>
      </c>
      <c r="G1937" s="18" t="s">
        <v>23</v>
      </c>
      <c r="H1937" s="17">
        <v>39.6</v>
      </c>
      <c r="I1937" s="8">
        <v>60.8</v>
      </c>
      <c r="J1937" s="21">
        <f t="shared" si="90"/>
        <v>0.53535353535353525</v>
      </c>
      <c r="K1937" s="1">
        <v>3</v>
      </c>
      <c r="L1937" s="24">
        <v>4.2</v>
      </c>
      <c r="M1937" s="24">
        <v>56.543999999999997</v>
      </c>
      <c r="N1937" s="21">
        <f t="shared" si="91"/>
        <v>0.42787878787878775</v>
      </c>
      <c r="P1937" s="1">
        <v>5</v>
      </c>
      <c r="Q1937" s="24">
        <v>7.2959999999999994</v>
      </c>
      <c r="R1937" s="24">
        <v>53.503999999999998</v>
      </c>
      <c r="S1937" s="21">
        <f t="shared" si="92"/>
        <v>0.35111111111111099</v>
      </c>
    </row>
    <row r="1938" spans="2:19" ht="11.4" customHeight="1" x14ac:dyDescent="0.2">
      <c r="B1938" s="24"/>
      <c r="C1938" s="7">
        <v>39365</v>
      </c>
      <c r="D1938" s="18" t="s">
        <v>2026</v>
      </c>
      <c r="E1938" s="18" t="s">
        <v>1993</v>
      </c>
      <c r="F1938" s="17">
        <v>12</v>
      </c>
      <c r="G1938" s="18" t="s">
        <v>23</v>
      </c>
      <c r="H1938" s="17">
        <v>44</v>
      </c>
      <c r="I1938" s="8">
        <v>53.4</v>
      </c>
      <c r="J1938" s="21">
        <f t="shared" si="90"/>
        <v>0.2136363636363636</v>
      </c>
      <c r="K1938" s="1">
        <v>3</v>
      </c>
      <c r="L1938" s="24">
        <v>3.7</v>
      </c>
      <c r="M1938" s="24">
        <v>49.661999999999999</v>
      </c>
      <c r="N1938" s="21">
        <f t="shared" si="91"/>
        <v>0.12868181818181815</v>
      </c>
      <c r="P1938" s="1">
        <v>5</v>
      </c>
      <c r="Q1938" s="24">
        <v>6.4080000000000013</v>
      </c>
      <c r="R1938" s="24">
        <v>46.991999999999997</v>
      </c>
      <c r="S1938" s="21">
        <f t="shared" si="92"/>
        <v>6.7999999999999935E-2</v>
      </c>
    </row>
    <row r="1939" spans="2:19" ht="11.4" customHeight="1" x14ac:dyDescent="0.2">
      <c r="B1939" s="24"/>
      <c r="C1939" s="7">
        <v>39364</v>
      </c>
      <c r="D1939" s="18" t="s">
        <v>2027</v>
      </c>
      <c r="E1939" s="18" t="s">
        <v>1975</v>
      </c>
      <c r="F1939" s="17">
        <v>12</v>
      </c>
      <c r="G1939" s="18" t="s">
        <v>23</v>
      </c>
      <c r="H1939" s="17">
        <v>33.9</v>
      </c>
      <c r="I1939" s="8">
        <v>38.799999999999997</v>
      </c>
      <c r="J1939" s="21">
        <f t="shared" si="90"/>
        <v>0.14454277286135689</v>
      </c>
      <c r="K1939" s="1">
        <v>3</v>
      </c>
      <c r="L1939" s="24">
        <v>2.7</v>
      </c>
      <c r="M1939" s="24">
        <v>36.083999999999996</v>
      </c>
      <c r="N1939" s="21">
        <f t="shared" si="91"/>
        <v>6.4424778761061882E-2</v>
      </c>
      <c r="P1939" s="1">
        <v>5</v>
      </c>
      <c r="Q1939" s="24">
        <v>4.6559999999999988</v>
      </c>
      <c r="R1939" s="24">
        <v>34.143999999999998</v>
      </c>
      <c r="S1939" s="21">
        <f t="shared" si="92"/>
        <v>7.1976401179940936E-3</v>
      </c>
    </row>
    <row r="1940" spans="2:19" ht="11.4" customHeight="1" x14ac:dyDescent="0.2">
      <c r="B1940" s="24"/>
      <c r="C1940" s="7">
        <v>16835</v>
      </c>
      <c r="D1940" s="18" t="s">
        <v>2028</v>
      </c>
      <c r="E1940" s="18" t="s">
        <v>1993</v>
      </c>
      <c r="F1940" s="17">
        <v>14</v>
      </c>
      <c r="G1940" s="18" t="s">
        <v>23</v>
      </c>
      <c r="H1940" s="17">
        <v>41.11</v>
      </c>
      <c r="I1940" s="8">
        <v>55.9</v>
      </c>
      <c r="J1940" s="21">
        <f t="shared" si="90"/>
        <v>0.35976648017513985</v>
      </c>
      <c r="K1940" s="1">
        <v>3</v>
      </c>
      <c r="L1940" s="24">
        <v>3.9</v>
      </c>
      <c r="M1940" s="24">
        <v>51.987000000000002</v>
      </c>
      <c r="N1940" s="21">
        <f t="shared" si="91"/>
        <v>0.26458282656288012</v>
      </c>
      <c r="P1940" s="1">
        <v>5</v>
      </c>
      <c r="Q1940" s="24">
        <v>6.7079999999999984</v>
      </c>
      <c r="R1940" s="24">
        <v>49.192</v>
      </c>
      <c r="S1940" s="21">
        <f t="shared" si="92"/>
        <v>0.19659450255412311</v>
      </c>
    </row>
    <row r="1941" spans="2:19" ht="11.4" customHeight="1" x14ac:dyDescent="0.2">
      <c r="B1941" s="24"/>
      <c r="C1941" s="7">
        <v>44351</v>
      </c>
      <c r="D1941" s="18" t="s">
        <v>2029</v>
      </c>
      <c r="E1941" s="18" t="s">
        <v>1975</v>
      </c>
      <c r="F1941" s="17">
        <v>5</v>
      </c>
      <c r="G1941" s="18" t="s">
        <v>23</v>
      </c>
      <c r="H1941" s="17">
        <v>81</v>
      </c>
      <c r="I1941" s="8">
        <v>98.5</v>
      </c>
      <c r="J1941" s="21">
        <f t="shared" si="90"/>
        <v>0.21604938271604937</v>
      </c>
      <c r="K1941" s="1">
        <v>3</v>
      </c>
      <c r="L1941" s="24">
        <v>6.8</v>
      </c>
      <c r="M1941" s="24">
        <v>91.605000000000004</v>
      </c>
      <c r="N1941" s="21">
        <f t="shared" si="91"/>
        <v>0.13092592592592597</v>
      </c>
      <c r="P1941" s="1">
        <v>5</v>
      </c>
      <c r="Q1941" s="24">
        <v>11.819999999999993</v>
      </c>
      <c r="R1941" s="24">
        <v>86.68</v>
      </c>
      <c r="S1941" s="21">
        <f t="shared" si="92"/>
        <v>7.0123456790123537E-2</v>
      </c>
    </row>
    <row r="1942" spans="2:19" ht="11.4" customHeight="1" x14ac:dyDescent="0.2">
      <c r="B1942" s="24"/>
      <c r="C1942" s="7">
        <v>18060</v>
      </c>
      <c r="D1942" s="18" t="s">
        <v>2030</v>
      </c>
      <c r="E1942" s="18" t="s">
        <v>1975</v>
      </c>
      <c r="F1942" s="17">
        <v>24</v>
      </c>
      <c r="G1942" s="18" t="s">
        <v>23</v>
      </c>
      <c r="H1942" s="17">
        <v>23.9</v>
      </c>
      <c r="I1942" s="8">
        <v>31.9</v>
      </c>
      <c r="J1942" s="21">
        <f t="shared" si="90"/>
        <v>0.33472803347280339</v>
      </c>
      <c r="K1942" s="1">
        <v>3</v>
      </c>
      <c r="L1942" s="24">
        <v>2.2000000000000002</v>
      </c>
      <c r="M1942" s="24">
        <v>29.667000000000002</v>
      </c>
      <c r="N1942" s="21">
        <f t="shared" si="91"/>
        <v>0.24129707112970725</v>
      </c>
      <c r="P1942" s="1">
        <v>5</v>
      </c>
      <c r="Q1942" s="24">
        <v>3.8279999999999994</v>
      </c>
      <c r="R1942" s="24">
        <v>28.071999999999999</v>
      </c>
      <c r="S1942" s="21">
        <f t="shared" si="92"/>
        <v>0.17456066945606699</v>
      </c>
    </row>
    <row r="1943" spans="2:19" ht="11.4" customHeight="1" x14ac:dyDescent="0.2">
      <c r="B1943" s="24"/>
      <c r="C1943" s="7">
        <v>18071</v>
      </c>
      <c r="D1943" s="18" t="s">
        <v>2031</v>
      </c>
      <c r="E1943" s="18" t="s">
        <v>1975</v>
      </c>
      <c r="F1943" s="17">
        <v>12</v>
      </c>
      <c r="G1943" s="18" t="s">
        <v>23</v>
      </c>
      <c r="H1943" s="17">
        <v>69.900000000000006</v>
      </c>
      <c r="I1943" s="8">
        <v>94.5</v>
      </c>
      <c r="J1943" s="21">
        <f t="shared" si="90"/>
        <v>0.3519313304721029</v>
      </c>
      <c r="K1943" s="1">
        <v>3</v>
      </c>
      <c r="L1943" s="24">
        <v>6.6</v>
      </c>
      <c r="M1943" s="24">
        <v>87.885000000000005</v>
      </c>
      <c r="N1943" s="21">
        <f t="shared" si="91"/>
        <v>0.25729613733905576</v>
      </c>
      <c r="P1943" s="1">
        <v>5</v>
      </c>
      <c r="Q1943" s="24">
        <v>11.340000000000003</v>
      </c>
      <c r="R1943" s="24">
        <v>83.16</v>
      </c>
      <c r="S1943" s="21">
        <f t="shared" si="92"/>
        <v>0.1896995708154505</v>
      </c>
    </row>
    <row r="1944" spans="2:19" ht="11.4" customHeight="1" x14ac:dyDescent="0.2">
      <c r="B1944" s="24"/>
      <c r="C1944" s="7">
        <v>18074</v>
      </c>
      <c r="D1944" s="18" t="s">
        <v>2032</v>
      </c>
      <c r="E1944" s="18" t="s">
        <v>1975</v>
      </c>
      <c r="F1944" s="17">
        <v>16</v>
      </c>
      <c r="G1944" s="18" t="s">
        <v>23</v>
      </c>
      <c r="H1944" s="17">
        <v>73.599999999999994</v>
      </c>
      <c r="I1944" s="8">
        <v>99</v>
      </c>
      <c r="J1944" s="21">
        <f t="shared" si="90"/>
        <v>0.345108695652174</v>
      </c>
      <c r="K1944" s="1">
        <v>3</v>
      </c>
      <c r="L1944" s="24">
        <v>6.9</v>
      </c>
      <c r="M1944" s="24">
        <v>92.070000000000007</v>
      </c>
      <c r="N1944" s="21">
        <f t="shared" si="91"/>
        <v>0.25095108695652196</v>
      </c>
      <c r="P1944" s="1">
        <v>5</v>
      </c>
      <c r="Q1944" s="24">
        <v>11.879999999999995</v>
      </c>
      <c r="R1944" s="24">
        <v>87.12</v>
      </c>
      <c r="S1944" s="21">
        <f t="shared" si="92"/>
        <v>0.1836956521739132</v>
      </c>
    </row>
    <row r="1945" spans="2:19" ht="11.4" customHeight="1" x14ac:dyDescent="0.2">
      <c r="B1945" s="24"/>
      <c r="C1945" s="7">
        <v>32805</v>
      </c>
      <c r="D1945" s="18" t="s">
        <v>2033</v>
      </c>
      <c r="E1945" s="18" t="s">
        <v>1975</v>
      </c>
      <c r="F1945" s="17">
        <v>30</v>
      </c>
      <c r="G1945" s="18" t="s">
        <v>23</v>
      </c>
      <c r="H1945" s="17">
        <v>19.5</v>
      </c>
      <c r="I1945" s="8">
        <v>24.4</v>
      </c>
      <c r="J1945" s="21">
        <f t="shared" si="90"/>
        <v>0.25128205128205122</v>
      </c>
      <c r="K1945" s="1">
        <v>3</v>
      </c>
      <c r="L1945" s="24">
        <v>1.7</v>
      </c>
      <c r="M1945" s="24">
        <v>22.692</v>
      </c>
      <c r="N1945" s="21">
        <f t="shared" si="91"/>
        <v>0.16369230769230769</v>
      </c>
      <c r="P1945" s="1">
        <v>5</v>
      </c>
      <c r="Q1945" s="24">
        <v>2.9280000000000008</v>
      </c>
      <c r="R1945" s="24">
        <v>21.471999999999998</v>
      </c>
      <c r="S1945" s="21">
        <f t="shared" si="92"/>
        <v>0.10112820512820501</v>
      </c>
    </row>
    <row r="1946" spans="2:19" ht="11.4" customHeight="1" x14ac:dyDescent="0.2">
      <c r="B1946" s="24"/>
      <c r="C1946" s="7">
        <v>20610</v>
      </c>
      <c r="D1946" s="18" t="s">
        <v>2034</v>
      </c>
      <c r="E1946" s="18" t="s">
        <v>1975</v>
      </c>
      <c r="F1946" s="17">
        <v>21</v>
      </c>
      <c r="G1946" s="18" t="s">
        <v>23</v>
      </c>
      <c r="H1946" s="17">
        <v>20</v>
      </c>
      <c r="I1946" s="8">
        <v>27.7</v>
      </c>
      <c r="J1946" s="21">
        <f t="shared" si="90"/>
        <v>0.38499999999999995</v>
      </c>
      <c r="K1946" s="1">
        <v>3</v>
      </c>
      <c r="L1946" s="24">
        <v>1.9</v>
      </c>
      <c r="M1946" s="24">
        <v>25.760999999999999</v>
      </c>
      <c r="N1946" s="21">
        <f t="shared" si="91"/>
        <v>0.28804999999999997</v>
      </c>
      <c r="P1946" s="1">
        <v>5</v>
      </c>
      <c r="Q1946" s="24">
        <v>3.3239999999999981</v>
      </c>
      <c r="R1946" s="24">
        <v>24.376000000000001</v>
      </c>
      <c r="S1946" s="21">
        <f t="shared" si="92"/>
        <v>0.21880000000000005</v>
      </c>
    </row>
    <row r="1947" spans="2:19" ht="11.4" customHeight="1" x14ac:dyDescent="0.2">
      <c r="B1947" s="24"/>
      <c r="C1947" s="7">
        <v>20611</v>
      </c>
      <c r="D1947" s="18" t="s">
        <v>2035</v>
      </c>
      <c r="E1947" s="18" t="s">
        <v>1975</v>
      </c>
      <c r="F1947" s="17">
        <v>21</v>
      </c>
      <c r="G1947" s="18" t="s">
        <v>23</v>
      </c>
      <c r="H1947" s="17">
        <v>20.399999999999999</v>
      </c>
      <c r="I1947" s="8">
        <v>27.7</v>
      </c>
      <c r="J1947" s="21">
        <f t="shared" si="90"/>
        <v>0.35784313725490202</v>
      </c>
      <c r="K1947" s="1">
        <v>3</v>
      </c>
      <c r="L1947" s="24">
        <v>1.9</v>
      </c>
      <c r="M1947" s="24">
        <v>25.760999999999999</v>
      </c>
      <c r="N1947" s="21">
        <f t="shared" si="91"/>
        <v>0.2627941176470589</v>
      </c>
      <c r="P1947" s="1">
        <v>5</v>
      </c>
      <c r="Q1947" s="24">
        <v>3.3239999999999981</v>
      </c>
      <c r="R1947" s="24">
        <v>24.376000000000001</v>
      </c>
      <c r="S1947" s="21">
        <f t="shared" si="92"/>
        <v>0.19490196078431388</v>
      </c>
    </row>
    <row r="1948" spans="2:19" ht="11.4" customHeight="1" x14ac:dyDescent="0.2">
      <c r="B1948" s="24"/>
      <c r="C1948" s="7">
        <v>32806</v>
      </c>
      <c r="D1948" s="18" t="s">
        <v>2036</v>
      </c>
      <c r="E1948" s="18" t="s">
        <v>1975</v>
      </c>
      <c r="F1948" s="17">
        <v>30</v>
      </c>
      <c r="G1948" s="18" t="s">
        <v>23</v>
      </c>
      <c r="H1948" s="17">
        <v>19.5</v>
      </c>
      <c r="I1948" s="8">
        <v>24.4</v>
      </c>
      <c r="J1948" s="21">
        <f t="shared" si="90"/>
        <v>0.25128205128205122</v>
      </c>
      <c r="K1948" s="1">
        <v>3</v>
      </c>
      <c r="L1948" s="24">
        <v>1.7</v>
      </c>
      <c r="M1948" s="24">
        <v>22.692</v>
      </c>
      <c r="N1948" s="21">
        <f t="shared" si="91"/>
        <v>0.16369230769230769</v>
      </c>
      <c r="P1948" s="1">
        <v>5</v>
      </c>
      <c r="Q1948" s="24">
        <v>2.9280000000000008</v>
      </c>
      <c r="R1948" s="24">
        <v>21.471999999999998</v>
      </c>
      <c r="S1948" s="21">
        <f t="shared" si="92"/>
        <v>0.10112820512820501</v>
      </c>
    </row>
    <row r="1949" spans="2:19" ht="11.4" customHeight="1" x14ac:dyDescent="0.2">
      <c r="B1949" s="24"/>
      <c r="C1949" s="7">
        <v>44522</v>
      </c>
      <c r="D1949" s="18" t="s">
        <v>2037</v>
      </c>
      <c r="E1949" s="18" t="s">
        <v>1975</v>
      </c>
      <c r="F1949" s="17">
        <v>12</v>
      </c>
      <c r="G1949" s="18" t="s">
        <v>23</v>
      </c>
      <c r="H1949" s="17">
        <v>82.74</v>
      </c>
      <c r="I1949" s="8">
        <v>111.7</v>
      </c>
      <c r="J1949" s="21">
        <f t="shared" si="90"/>
        <v>0.35001208605269529</v>
      </c>
      <c r="K1949" s="1">
        <v>3</v>
      </c>
      <c r="L1949" s="24">
        <v>7.8</v>
      </c>
      <c r="M1949" s="24">
        <v>103.88100000000001</v>
      </c>
      <c r="N1949" s="21">
        <f t="shared" si="91"/>
        <v>0.25551124002900677</v>
      </c>
      <c r="P1949" s="1">
        <v>5</v>
      </c>
      <c r="Q1949" s="24">
        <v>13.403999999999996</v>
      </c>
      <c r="R1949" s="24">
        <v>98.296000000000006</v>
      </c>
      <c r="S1949" s="21">
        <f t="shared" si="92"/>
        <v>0.18801063572637192</v>
      </c>
    </row>
    <row r="1950" spans="2:19" ht="11.4" customHeight="1" x14ac:dyDescent="0.2">
      <c r="B1950" s="24"/>
      <c r="C1950" s="7">
        <v>7211</v>
      </c>
      <c r="D1950" s="18" t="s">
        <v>2038</v>
      </c>
      <c r="E1950" s="18" t="s">
        <v>1975</v>
      </c>
      <c r="F1950" s="17">
        <v>24</v>
      </c>
      <c r="G1950" s="18" t="s">
        <v>23</v>
      </c>
      <c r="H1950" s="17">
        <v>79.5</v>
      </c>
      <c r="I1950" s="8">
        <v>91.6</v>
      </c>
      <c r="J1950" s="21">
        <f t="shared" si="90"/>
        <v>0.15220125786163516</v>
      </c>
      <c r="K1950" s="1">
        <v>3</v>
      </c>
      <c r="L1950" s="24">
        <v>6.4</v>
      </c>
      <c r="M1950" s="24">
        <v>85.188000000000002</v>
      </c>
      <c r="N1950" s="21">
        <f t="shared" si="91"/>
        <v>7.1547169811320782E-2</v>
      </c>
      <c r="P1950" s="1">
        <v>5</v>
      </c>
      <c r="Q1950" s="24">
        <v>10.992000000000004</v>
      </c>
      <c r="R1950" s="24">
        <v>80.60799999999999</v>
      </c>
      <c r="S1950" s="21">
        <f t="shared" si="92"/>
        <v>1.3937106918238866E-2</v>
      </c>
    </row>
    <row r="1951" spans="2:19" ht="11.4" customHeight="1" x14ac:dyDescent="0.2">
      <c r="B1951" s="24"/>
      <c r="C1951" s="7">
        <v>44521</v>
      </c>
      <c r="D1951" s="18" t="s">
        <v>2039</v>
      </c>
      <c r="E1951" s="18" t="s">
        <v>1975</v>
      </c>
      <c r="F1951" s="17">
        <v>12</v>
      </c>
      <c r="G1951" s="18" t="s">
        <v>23</v>
      </c>
      <c r="H1951" s="17">
        <v>82.74</v>
      </c>
      <c r="I1951" s="8">
        <v>111.7</v>
      </c>
      <c r="J1951" s="21">
        <f t="shared" si="90"/>
        <v>0.35001208605269529</v>
      </c>
      <c r="K1951" s="1">
        <v>3</v>
      </c>
      <c r="L1951" s="24">
        <v>7.8</v>
      </c>
      <c r="M1951" s="24">
        <v>103.88100000000001</v>
      </c>
      <c r="N1951" s="21">
        <f t="shared" si="91"/>
        <v>0.25551124002900677</v>
      </c>
      <c r="P1951" s="1">
        <v>5</v>
      </c>
      <c r="Q1951" s="24">
        <v>13.403999999999996</v>
      </c>
      <c r="R1951" s="24">
        <v>98.296000000000006</v>
      </c>
      <c r="S1951" s="21">
        <f t="shared" si="92"/>
        <v>0.18801063572637192</v>
      </c>
    </row>
    <row r="1952" spans="2:19" ht="11.4" customHeight="1" x14ac:dyDescent="0.2">
      <c r="B1952" s="24"/>
      <c r="C1952" s="7">
        <v>44524</v>
      </c>
      <c r="D1952" s="18" t="s">
        <v>2040</v>
      </c>
      <c r="E1952" s="18" t="s">
        <v>1975</v>
      </c>
      <c r="F1952" s="17">
        <v>12</v>
      </c>
      <c r="G1952" s="18" t="s">
        <v>23</v>
      </c>
      <c r="H1952" s="17">
        <v>50.1</v>
      </c>
      <c r="I1952" s="8">
        <v>67.599999999999994</v>
      </c>
      <c r="J1952" s="21">
        <f t="shared" si="90"/>
        <v>0.34930139720558867</v>
      </c>
      <c r="K1952" s="1">
        <v>3</v>
      </c>
      <c r="L1952" s="24">
        <v>4.7</v>
      </c>
      <c r="M1952" s="24">
        <v>62.867999999999995</v>
      </c>
      <c r="N1952" s="21">
        <f t="shared" si="91"/>
        <v>0.25485029940119747</v>
      </c>
      <c r="P1952" s="1">
        <v>5</v>
      </c>
      <c r="Q1952" s="24">
        <v>8.1120000000000019</v>
      </c>
      <c r="R1952" s="24">
        <v>59.487999999999992</v>
      </c>
      <c r="S1952" s="21">
        <f t="shared" si="92"/>
        <v>0.18738522954091799</v>
      </c>
    </row>
    <row r="1953" spans="2:19" ht="11.4" customHeight="1" x14ac:dyDescent="0.2">
      <c r="B1953" s="24"/>
      <c r="C1953" s="7">
        <v>44523</v>
      </c>
      <c r="D1953" s="18" t="s">
        <v>2041</v>
      </c>
      <c r="E1953" s="18" t="s">
        <v>1975</v>
      </c>
      <c r="F1953" s="17">
        <v>12</v>
      </c>
      <c r="G1953" s="18" t="s">
        <v>23</v>
      </c>
      <c r="H1953" s="17">
        <v>50.1</v>
      </c>
      <c r="I1953" s="8">
        <v>67.599999999999994</v>
      </c>
      <c r="J1953" s="21">
        <f t="shared" si="90"/>
        <v>0.34930139720558867</v>
      </c>
      <c r="K1953" s="1">
        <v>3</v>
      </c>
      <c r="L1953" s="24">
        <v>4.7</v>
      </c>
      <c r="M1953" s="24">
        <v>62.867999999999995</v>
      </c>
      <c r="N1953" s="21">
        <f t="shared" si="91"/>
        <v>0.25485029940119747</v>
      </c>
      <c r="P1953" s="1">
        <v>5</v>
      </c>
      <c r="Q1953" s="24">
        <v>8.1120000000000019</v>
      </c>
      <c r="R1953" s="24">
        <v>59.487999999999992</v>
      </c>
      <c r="S1953" s="21">
        <f t="shared" si="92"/>
        <v>0.18738522954091799</v>
      </c>
    </row>
    <row r="1954" spans="2:19" ht="11.4" customHeight="1" x14ac:dyDescent="0.2">
      <c r="B1954" s="24"/>
      <c r="C1954" s="7">
        <v>32809</v>
      </c>
      <c r="D1954" s="18" t="s">
        <v>2042</v>
      </c>
      <c r="E1954" s="18" t="s">
        <v>1975</v>
      </c>
      <c r="F1954" s="17">
        <v>21</v>
      </c>
      <c r="G1954" s="18" t="s">
        <v>23</v>
      </c>
      <c r="H1954" s="17">
        <v>20.399999999999999</v>
      </c>
      <c r="I1954" s="8">
        <v>27.7</v>
      </c>
      <c r="J1954" s="21">
        <f t="shared" si="90"/>
        <v>0.35784313725490202</v>
      </c>
      <c r="K1954" s="1">
        <v>3</v>
      </c>
      <c r="L1954" s="24">
        <v>1.9</v>
      </c>
      <c r="M1954" s="24">
        <v>25.760999999999999</v>
      </c>
      <c r="N1954" s="21">
        <f t="shared" si="91"/>
        <v>0.2627941176470589</v>
      </c>
      <c r="P1954" s="1">
        <v>5</v>
      </c>
      <c r="Q1954" s="24">
        <v>3.3239999999999981</v>
      </c>
      <c r="R1954" s="24">
        <v>24.376000000000001</v>
      </c>
      <c r="S1954" s="21">
        <f t="shared" si="92"/>
        <v>0.19490196078431388</v>
      </c>
    </row>
    <row r="1955" spans="2:19" ht="11.4" customHeight="1" x14ac:dyDescent="0.2">
      <c r="B1955" s="24"/>
      <c r="C1955" s="7">
        <v>40947</v>
      </c>
      <c r="D1955" s="18" t="s">
        <v>2043</v>
      </c>
      <c r="E1955" s="18" t="s">
        <v>1975</v>
      </c>
      <c r="F1955" s="17">
        <v>24</v>
      </c>
      <c r="G1955" s="18" t="s">
        <v>23</v>
      </c>
      <c r="H1955" s="17">
        <v>74.41</v>
      </c>
      <c r="I1955" s="8">
        <v>99.9</v>
      </c>
      <c r="J1955" s="21">
        <f t="shared" si="90"/>
        <v>0.34256148367154965</v>
      </c>
      <c r="K1955" s="1">
        <v>3</v>
      </c>
      <c r="L1955" s="24">
        <v>6.9</v>
      </c>
      <c r="M1955" s="24">
        <v>92.907000000000011</v>
      </c>
      <c r="N1955" s="21">
        <f t="shared" si="91"/>
        <v>0.24858217981454125</v>
      </c>
      <c r="P1955" s="1">
        <v>5</v>
      </c>
      <c r="Q1955" s="24">
        <v>11.988</v>
      </c>
      <c r="R1955" s="24">
        <v>87.912000000000006</v>
      </c>
      <c r="S1955" s="21">
        <f t="shared" si="92"/>
        <v>0.18145410563096373</v>
      </c>
    </row>
    <row r="1956" spans="2:19" ht="11.4" customHeight="1" x14ac:dyDescent="0.2">
      <c r="B1956" s="24"/>
      <c r="C1956" s="7">
        <v>29761</v>
      </c>
      <c r="D1956" s="18" t="s">
        <v>2044</v>
      </c>
      <c r="E1956" s="18" t="s">
        <v>1975</v>
      </c>
      <c r="F1956" s="17">
        <v>12</v>
      </c>
      <c r="G1956" s="18" t="s">
        <v>23</v>
      </c>
      <c r="H1956" s="17">
        <v>16.5</v>
      </c>
      <c r="I1956" s="8">
        <v>19.5</v>
      </c>
      <c r="J1956" s="21">
        <f t="shared" si="90"/>
        <v>0.18181818181818182</v>
      </c>
      <c r="K1956" s="1">
        <v>3</v>
      </c>
      <c r="L1956" s="24">
        <v>1.3</v>
      </c>
      <c r="M1956" s="24">
        <v>18.135000000000002</v>
      </c>
      <c r="N1956" s="21">
        <f t="shared" si="91"/>
        <v>9.9090909090909188E-2</v>
      </c>
      <c r="P1956" s="1">
        <v>5</v>
      </c>
      <c r="Q1956" s="24">
        <v>2.34</v>
      </c>
      <c r="R1956" s="24">
        <v>17.16</v>
      </c>
      <c r="S1956" s="21">
        <f t="shared" si="92"/>
        <v>4.0000000000000008E-2</v>
      </c>
    </row>
    <row r="1957" spans="2:19" ht="11.4" customHeight="1" x14ac:dyDescent="0.2">
      <c r="B1957" s="24"/>
      <c r="C1957" s="7">
        <v>34367</v>
      </c>
      <c r="D1957" s="18" t="s">
        <v>2045</v>
      </c>
      <c r="E1957" s="18" t="s">
        <v>1975</v>
      </c>
      <c r="F1957" s="17">
        <v>12</v>
      </c>
      <c r="G1957" s="18" t="s">
        <v>23</v>
      </c>
      <c r="H1957" s="17">
        <v>69.900000000000006</v>
      </c>
      <c r="I1957" s="8">
        <v>94.5</v>
      </c>
      <c r="J1957" s="21">
        <f t="shared" si="90"/>
        <v>0.3519313304721029</v>
      </c>
      <c r="K1957" s="1">
        <v>3</v>
      </c>
      <c r="L1957" s="24">
        <v>6.6</v>
      </c>
      <c r="M1957" s="24">
        <v>87.885000000000005</v>
      </c>
      <c r="N1957" s="21">
        <f t="shared" si="91"/>
        <v>0.25729613733905576</v>
      </c>
      <c r="P1957" s="1">
        <v>5</v>
      </c>
      <c r="Q1957" s="24">
        <v>11.340000000000003</v>
      </c>
      <c r="R1957" s="24">
        <v>83.16</v>
      </c>
      <c r="S1957" s="21">
        <f t="shared" si="92"/>
        <v>0.1896995708154505</v>
      </c>
    </row>
    <row r="1958" spans="2:19" ht="11.4" customHeight="1" x14ac:dyDescent="0.2">
      <c r="B1958" s="24"/>
      <c r="C1958" s="7">
        <v>24398</v>
      </c>
      <c r="D1958" s="18" t="s">
        <v>2046</v>
      </c>
      <c r="E1958" s="18" t="s">
        <v>1975</v>
      </c>
      <c r="F1958" s="17">
        <v>12</v>
      </c>
      <c r="G1958" s="18" t="s">
        <v>23</v>
      </c>
      <c r="H1958" s="17">
        <v>37.020000000000003</v>
      </c>
      <c r="I1958" s="8">
        <v>50.2</v>
      </c>
      <c r="J1958" s="21">
        <f t="shared" si="90"/>
        <v>0.35602377093462989</v>
      </c>
      <c r="K1958" s="1">
        <v>3</v>
      </c>
      <c r="L1958" s="24">
        <v>3.5</v>
      </c>
      <c r="M1958" s="24">
        <v>46.686000000000007</v>
      </c>
      <c r="N1958" s="21">
        <f t="shared" si="91"/>
        <v>0.26110210696920594</v>
      </c>
      <c r="P1958" s="1">
        <v>5</v>
      </c>
      <c r="Q1958" s="24">
        <v>6.0240000000000009</v>
      </c>
      <c r="R1958" s="24">
        <v>44.176000000000002</v>
      </c>
      <c r="S1958" s="21">
        <f t="shared" si="92"/>
        <v>0.19330091842247429</v>
      </c>
    </row>
    <row r="1959" spans="2:19" ht="11.4" customHeight="1" x14ac:dyDescent="0.2">
      <c r="B1959" s="24"/>
      <c r="C1959" s="7">
        <v>42893</v>
      </c>
      <c r="D1959" s="18" t="s">
        <v>2047</v>
      </c>
      <c r="E1959" s="18" t="s">
        <v>1975</v>
      </c>
      <c r="F1959" s="17">
        <v>15</v>
      </c>
      <c r="G1959" s="18" t="s">
        <v>23</v>
      </c>
      <c r="H1959" s="17">
        <v>176.3</v>
      </c>
      <c r="I1959" s="8">
        <v>237.9</v>
      </c>
      <c r="J1959" s="21">
        <f t="shared" si="90"/>
        <v>0.34940442427680085</v>
      </c>
      <c r="K1959" s="1">
        <v>3</v>
      </c>
      <c r="L1959" s="24">
        <v>16.600000000000001</v>
      </c>
      <c r="M1959" s="24">
        <v>221.24700000000001</v>
      </c>
      <c r="N1959" s="21">
        <f t="shared" si="91"/>
        <v>0.25494611457742483</v>
      </c>
      <c r="P1959" s="1">
        <v>5</v>
      </c>
      <c r="Q1959" s="24">
        <v>28.548000000000002</v>
      </c>
      <c r="R1959" s="24">
        <v>209.352</v>
      </c>
      <c r="S1959" s="21">
        <f t="shared" si="92"/>
        <v>0.18747589336358475</v>
      </c>
    </row>
    <row r="1960" spans="2:19" ht="11.4" customHeight="1" x14ac:dyDescent="0.2">
      <c r="B1960" s="24"/>
      <c r="C1960" s="7">
        <v>16004</v>
      </c>
      <c r="D1960" s="18" t="s">
        <v>2048</v>
      </c>
      <c r="E1960" s="18" t="s">
        <v>1975</v>
      </c>
      <c r="F1960" s="17">
        <v>16</v>
      </c>
      <c r="G1960" s="18" t="s">
        <v>23</v>
      </c>
      <c r="H1960" s="17">
        <v>74.41</v>
      </c>
      <c r="I1960" s="8">
        <v>99.9</v>
      </c>
      <c r="J1960" s="21">
        <f t="shared" si="90"/>
        <v>0.34256148367154965</v>
      </c>
      <c r="K1960" s="1">
        <v>3</v>
      </c>
      <c r="L1960" s="24">
        <v>6.9</v>
      </c>
      <c r="M1960" s="24">
        <v>92.907000000000011</v>
      </c>
      <c r="N1960" s="21">
        <f t="shared" si="91"/>
        <v>0.24858217981454125</v>
      </c>
      <c r="P1960" s="1">
        <v>5</v>
      </c>
      <c r="Q1960" s="24">
        <v>11.988</v>
      </c>
      <c r="R1960" s="24">
        <v>87.912000000000006</v>
      </c>
      <c r="S1960" s="21">
        <f t="shared" si="92"/>
        <v>0.18145410563096373</v>
      </c>
    </row>
    <row r="1961" spans="2:19" ht="11.4" customHeight="1" x14ac:dyDescent="0.2">
      <c r="B1961" s="24"/>
      <c r="C1961" s="7">
        <v>42894</v>
      </c>
      <c r="D1961" s="18" t="s">
        <v>2049</v>
      </c>
      <c r="E1961" s="18" t="s">
        <v>1975</v>
      </c>
      <c r="F1961" s="17">
        <v>12</v>
      </c>
      <c r="G1961" s="18" t="s">
        <v>23</v>
      </c>
      <c r="H1961" s="17">
        <v>132.08000000000001</v>
      </c>
      <c r="I1961" s="8">
        <v>173.1</v>
      </c>
      <c r="J1961" s="21">
        <f t="shared" si="90"/>
        <v>0.31056935190793444</v>
      </c>
      <c r="K1961" s="1">
        <v>3</v>
      </c>
      <c r="L1961" s="24">
        <v>12.1</v>
      </c>
      <c r="M1961" s="24">
        <v>160.983</v>
      </c>
      <c r="N1961" s="21">
        <f t="shared" si="91"/>
        <v>0.21882949727437909</v>
      </c>
      <c r="P1961" s="1">
        <v>5</v>
      </c>
      <c r="Q1961" s="24">
        <v>20.771999999999991</v>
      </c>
      <c r="R1961" s="24">
        <v>152.328</v>
      </c>
      <c r="S1961" s="21">
        <f t="shared" si="92"/>
        <v>0.15330102967898235</v>
      </c>
    </row>
    <row r="1962" spans="2:19" ht="11.4" customHeight="1" x14ac:dyDescent="0.2">
      <c r="B1962" s="24"/>
      <c r="C1962" s="7">
        <v>42891</v>
      </c>
      <c r="D1962" s="18" t="s">
        <v>2050</v>
      </c>
      <c r="E1962" s="18" t="s">
        <v>1975</v>
      </c>
      <c r="F1962" s="17">
        <v>18</v>
      </c>
      <c r="G1962" s="18" t="s">
        <v>23</v>
      </c>
      <c r="H1962" s="17">
        <v>88.42</v>
      </c>
      <c r="I1962" s="8">
        <v>153</v>
      </c>
      <c r="J1962" s="21">
        <f t="shared" si="90"/>
        <v>0.7303777425921737</v>
      </c>
      <c r="K1962" s="1">
        <v>3</v>
      </c>
      <c r="L1962" s="24">
        <v>10.7</v>
      </c>
      <c r="M1962" s="24">
        <v>142.29000000000002</v>
      </c>
      <c r="N1962" s="21">
        <f t="shared" si="91"/>
        <v>0.60925130061072175</v>
      </c>
      <c r="P1962" s="1">
        <v>5</v>
      </c>
      <c r="Q1962" s="24">
        <v>18.359999999999985</v>
      </c>
      <c r="R1962" s="24">
        <v>134.64000000000001</v>
      </c>
      <c r="S1962" s="21">
        <f t="shared" si="92"/>
        <v>0.52273241348111299</v>
      </c>
    </row>
    <row r="1963" spans="2:19" ht="11.4" customHeight="1" x14ac:dyDescent="0.2">
      <c r="B1963" s="24"/>
      <c r="C1963" s="7">
        <v>42892</v>
      </c>
      <c r="D1963" s="18" t="s">
        <v>2051</v>
      </c>
      <c r="E1963" s="18" t="s">
        <v>1975</v>
      </c>
      <c r="F1963" s="17">
        <v>18</v>
      </c>
      <c r="G1963" s="18" t="s">
        <v>23</v>
      </c>
      <c r="H1963" s="17">
        <v>88.42</v>
      </c>
      <c r="I1963" s="8">
        <v>153</v>
      </c>
      <c r="J1963" s="21">
        <f t="shared" si="90"/>
        <v>0.7303777425921737</v>
      </c>
      <c r="K1963" s="1">
        <v>3</v>
      </c>
      <c r="L1963" s="24">
        <v>10.7</v>
      </c>
      <c r="M1963" s="24">
        <v>142.29000000000002</v>
      </c>
      <c r="N1963" s="21">
        <f t="shared" si="91"/>
        <v>0.60925130061072175</v>
      </c>
      <c r="P1963" s="1">
        <v>5</v>
      </c>
      <c r="Q1963" s="24">
        <v>18.359999999999985</v>
      </c>
      <c r="R1963" s="24">
        <v>134.64000000000001</v>
      </c>
      <c r="S1963" s="21">
        <f t="shared" si="92"/>
        <v>0.52273241348111299</v>
      </c>
    </row>
    <row r="1964" spans="2:19" ht="11.4" customHeight="1" x14ac:dyDescent="0.2">
      <c r="B1964" s="24"/>
      <c r="C1964" s="7">
        <v>42898</v>
      </c>
      <c r="D1964" s="18" t="s">
        <v>2052</v>
      </c>
      <c r="E1964" s="18" t="s">
        <v>1975</v>
      </c>
      <c r="F1964" s="17">
        <v>18</v>
      </c>
      <c r="G1964" s="18" t="s">
        <v>23</v>
      </c>
      <c r="H1964" s="17">
        <v>88.41</v>
      </c>
      <c r="I1964" s="8">
        <v>158.9</v>
      </c>
      <c r="J1964" s="21">
        <f t="shared" si="90"/>
        <v>0.79730799683293763</v>
      </c>
      <c r="K1964" s="1">
        <v>3</v>
      </c>
      <c r="L1964" s="24">
        <v>11.1</v>
      </c>
      <c r="M1964" s="24">
        <v>147.77700000000002</v>
      </c>
      <c r="N1964" s="21">
        <f t="shared" si="91"/>
        <v>0.67149643705463202</v>
      </c>
      <c r="P1964" s="1">
        <v>5</v>
      </c>
      <c r="Q1964" s="24">
        <v>19.068000000000012</v>
      </c>
      <c r="R1964" s="24">
        <v>139.83199999999999</v>
      </c>
      <c r="S1964" s="21">
        <f t="shared" si="92"/>
        <v>0.58163103721298492</v>
      </c>
    </row>
    <row r="1965" spans="2:19" ht="11.4" customHeight="1" x14ac:dyDescent="0.2">
      <c r="B1965" s="24"/>
      <c r="C1965" s="7">
        <v>42896</v>
      </c>
      <c r="D1965" s="18" t="s">
        <v>2053</v>
      </c>
      <c r="E1965" s="18" t="s">
        <v>1975</v>
      </c>
      <c r="F1965" s="17">
        <v>16</v>
      </c>
      <c r="G1965" s="18" t="s">
        <v>23</v>
      </c>
      <c r="H1965" s="17">
        <v>43.36</v>
      </c>
      <c r="I1965" s="8">
        <v>96.9</v>
      </c>
      <c r="J1965" s="21">
        <f t="shared" si="90"/>
        <v>1.234778597785978</v>
      </c>
      <c r="K1965" s="1">
        <v>3</v>
      </c>
      <c r="L1965" s="24">
        <v>6.7</v>
      </c>
      <c r="M1965" s="24">
        <v>90.117000000000004</v>
      </c>
      <c r="N1965" s="21">
        <f t="shared" si="91"/>
        <v>1.0783440959409596</v>
      </c>
      <c r="P1965" s="1">
        <v>5</v>
      </c>
      <c r="Q1965" s="24">
        <v>11.628</v>
      </c>
      <c r="R1965" s="24">
        <v>85.272000000000006</v>
      </c>
      <c r="S1965" s="21">
        <f t="shared" si="92"/>
        <v>0.96660516605166069</v>
      </c>
    </row>
    <row r="1966" spans="2:19" ht="11.4" customHeight="1" x14ac:dyDescent="0.2">
      <c r="B1966" s="24"/>
      <c r="C1966" s="7">
        <v>42895</v>
      </c>
      <c r="D1966" s="18" t="s">
        <v>2054</v>
      </c>
      <c r="E1966" s="18" t="s">
        <v>1975</v>
      </c>
      <c r="F1966" s="17">
        <v>18</v>
      </c>
      <c r="G1966" s="18" t="s">
        <v>23</v>
      </c>
      <c r="H1966" s="17">
        <v>88.42</v>
      </c>
      <c r="I1966" s="8">
        <v>153</v>
      </c>
      <c r="J1966" s="21">
        <f t="shared" si="90"/>
        <v>0.7303777425921737</v>
      </c>
      <c r="K1966" s="1">
        <v>3</v>
      </c>
      <c r="L1966" s="24">
        <v>10.7</v>
      </c>
      <c r="M1966" s="24">
        <v>142.29000000000002</v>
      </c>
      <c r="N1966" s="21">
        <f t="shared" si="91"/>
        <v>0.60925130061072175</v>
      </c>
      <c r="P1966" s="1">
        <v>5</v>
      </c>
      <c r="Q1966" s="24">
        <v>18.359999999999985</v>
      </c>
      <c r="R1966" s="24">
        <v>134.64000000000001</v>
      </c>
      <c r="S1966" s="21">
        <f t="shared" si="92"/>
        <v>0.52273241348111299</v>
      </c>
    </row>
    <row r="1967" spans="2:19" ht="11.4" customHeight="1" x14ac:dyDescent="0.2">
      <c r="B1967" s="24"/>
      <c r="C1967" s="7">
        <v>24399</v>
      </c>
      <c r="D1967" s="18" t="s">
        <v>2055</v>
      </c>
      <c r="E1967" s="18" t="s">
        <v>1975</v>
      </c>
      <c r="F1967" s="17">
        <v>12</v>
      </c>
      <c r="G1967" s="18" t="s">
        <v>23</v>
      </c>
      <c r="H1967" s="17">
        <v>37.020000000000003</v>
      </c>
      <c r="I1967" s="8">
        <v>50.2</v>
      </c>
      <c r="J1967" s="21">
        <f t="shared" si="90"/>
        <v>0.35602377093462989</v>
      </c>
      <c r="K1967" s="1">
        <v>3</v>
      </c>
      <c r="L1967" s="24">
        <v>3.5</v>
      </c>
      <c r="M1967" s="24">
        <v>46.686000000000007</v>
      </c>
      <c r="N1967" s="21">
        <f t="shared" si="91"/>
        <v>0.26110210696920594</v>
      </c>
      <c r="P1967" s="1">
        <v>5</v>
      </c>
      <c r="Q1967" s="24">
        <v>6.0240000000000009</v>
      </c>
      <c r="R1967" s="24">
        <v>44.176000000000002</v>
      </c>
      <c r="S1967" s="21">
        <f t="shared" si="92"/>
        <v>0.19330091842247429</v>
      </c>
    </row>
    <row r="1968" spans="2:19" ht="11.4" customHeight="1" x14ac:dyDescent="0.2">
      <c r="B1968" s="24"/>
      <c r="C1968" s="7">
        <v>40946</v>
      </c>
      <c r="D1968" s="18" t="s">
        <v>2056</v>
      </c>
      <c r="E1968" s="18" t="s">
        <v>1975</v>
      </c>
      <c r="F1968" s="17">
        <v>16</v>
      </c>
      <c r="G1968" s="18" t="s">
        <v>23</v>
      </c>
      <c r="H1968" s="17">
        <v>66.44</v>
      </c>
      <c r="I1968" s="8">
        <v>111.9</v>
      </c>
      <c r="J1968" s="21">
        <f t="shared" si="90"/>
        <v>0.68422636965683337</v>
      </c>
      <c r="K1968" s="1">
        <v>3</v>
      </c>
      <c r="L1968" s="24">
        <v>7.8</v>
      </c>
      <c r="M1968" s="24">
        <v>104.06700000000001</v>
      </c>
      <c r="N1968" s="21">
        <f t="shared" si="91"/>
        <v>0.56633052378085502</v>
      </c>
      <c r="P1968" s="1">
        <v>5</v>
      </c>
      <c r="Q1968" s="24">
        <v>13.427999999999997</v>
      </c>
      <c r="R1968" s="24">
        <v>98.472000000000008</v>
      </c>
      <c r="S1968" s="21">
        <f t="shared" si="92"/>
        <v>0.48211920529801344</v>
      </c>
    </row>
    <row r="1969" spans="2:19" ht="11.4" customHeight="1" x14ac:dyDescent="0.2">
      <c r="B1969" s="24"/>
      <c r="C1969" s="7">
        <v>42890</v>
      </c>
      <c r="D1969" s="18" t="s">
        <v>2057</v>
      </c>
      <c r="E1969" s="18" t="s">
        <v>1975</v>
      </c>
      <c r="F1969" s="17">
        <v>16</v>
      </c>
      <c r="G1969" s="18" t="s">
        <v>23</v>
      </c>
      <c r="H1969" s="17">
        <v>67.819999999999993</v>
      </c>
      <c r="I1969" s="8">
        <v>91.5</v>
      </c>
      <c r="J1969" s="21">
        <f t="shared" si="90"/>
        <v>0.3491595399587144</v>
      </c>
      <c r="K1969" s="1">
        <v>3</v>
      </c>
      <c r="L1969" s="24">
        <v>6.4</v>
      </c>
      <c r="M1969" s="24">
        <v>85.094999999999999</v>
      </c>
      <c r="N1969" s="21">
        <f t="shared" si="91"/>
        <v>0.25471837216160437</v>
      </c>
      <c r="P1969" s="1">
        <v>5</v>
      </c>
      <c r="Q1969" s="24">
        <v>10.980000000000004</v>
      </c>
      <c r="R1969" s="24">
        <v>80.52</v>
      </c>
      <c r="S1969" s="21">
        <f t="shared" si="92"/>
        <v>0.1872603951636686</v>
      </c>
    </row>
    <row r="1970" spans="2:19" ht="11.4" customHeight="1" x14ac:dyDescent="0.2">
      <c r="B1970" s="24"/>
      <c r="C1970" s="7">
        <v>42897</v>
      </c>
      <c r="D1970" s="18" t="s">
        <v>2058</v>
      </c>
      <c r="E1970" s="18" t="s">
        <v>1975</v>
      </c>
      <c r="F1970" s="17">
        <v>16</v>
      </c>
      <c r="G1970" s="18" t="s">
        <v>23</v>
      </c>
      <c r="H1970" s="17">
        <v>55.81</v>
      </c>
      <c r="I1970" s="8">
        <v>99.9</v>
      </c>
      <c r="J1970" s="21">
        <f t="shared" si="90"/>
        <v>0.79000179179358543</v>
      </c>
      <c r="K1970" s="1">
        <v>3</v>
      </c>
      <c r="L1970" s="24">
        <v>6.9</v>
      </c>
      <c r="M1970" s="24">
        <v>92.907000000000011</v>
      </c>
      <c r="N1970" s="21">
        <f t="shared" si="91"/>
        <v>0.66470166636803452</v>
      </c>
      <c r="P1970" s="1">
        <v>5</v>
      </c>
      <c r="Q1970" s="24">
        <v>11.988</v>
      </c>
      <c r="R1970" s="24">
        <v>87.912000000000006</v>
      </c>
      <c r="S1970" s="21">
        <f t="shared" si="92"/>
        <v>0.57520157677835515</v>
      </c>
    </row>
    <row r="1971" spans="2:19" ht="11.4" customHeight="1" x14ac:dyDescent="0.2">
      <c r="B1971" s="24"/>
      <c r="C1971" s="7">
        <v>4038</v>
      </c>
      <c r="D1971" s="18" t="s">
        <v>2059</v>
      </c>
      <c r="E1971" s="18" t="s">
        <v>2060</v>
      </c>
      <c r="F1971" s="18"/>
      <c r="G1971" s="18" t="s">
        <v>902</v>
      </c>
      <c r="H1971" s="17">
        <v>145.9</v>
      </c>
      <c r="I1971" s="8">
        <v>187</v>
      </c>
      <c r="J1971" s="21">
        <f t="shared" si="90"/>
        <v>0.2816997943797121</v>
      </c>
      <c r="K1971" s="1">
        <v>1</v>
      </c>
      <c r="L1971" s="24">
        <v>9.3000000000000007</v>
      </c>
      <c r="M1971" s="24">
        <v>177.65</v>
      </c>
      <c r="N1971" s="21">
        <f t="shared" si="91"/>
        <v>0.21761480466072652</v>
      </c>
      <c r="P1971" s="1">
        <v>4</v>
      </c>
      <c r="Q1971" s="24">
        <v>18.699999999999989</v>
      </c>
      <c r="R1971" s="24">
        <v>168.3</v>
      </c>
      <c r="S1971" s="21">
        <f t="shared" si="92"/>
        <v>0.15352981494174095</v>
      </c>
    </row>
    <row r="1972" spans="2:19" ht="11.4" customHeight="1" x14ac:dyDescent="0.2">
      <c r="B1972" s="24"/>
      <c r="C1972" s="7">
        <v>45856</v>
      </c>
      <c r="D1972" s="18" t="s">
        <v>2061</v>
      </c>
      <c r="E1972" s="18" t="s">
        <v>2060</v>
      </c>
      <c r="F1972" s="17">
        <v>10</v>
      </c>
      <c r="G1972" s="18" t="s">
        <v>23</v>
      </c>
      <c r="H1972" s="17">
        <v>30</v>
      </c>
      <c r="I1972" s="8">
        <v>41.9</v>
      </c>
      <c r="J1972" s="21">
        <f t="shared" si="90"/>
        <v>0.39666666666666661</v>
      </c>
      <c r="K1972" s="1">
        <v>3</v>
      </c>
      <c r="L1972" s="24">
        <v>2.9</v>
      </c>
      <c r="M1972" s="24">
        <v>38.966999999999999</v>
      </c>
      <c r="N1972" s="21">
        <f t="shared" si="91"/>
        <v>0.29889999999999994</v>
      </c>
      <c r="P1972" s="1">
        <v>5</v>
      </c>
      <c r="Q1972" s="24">
        <v>5.0279999999999987</v>
      </c>
      <c r="R1972" s="24">
        <v>36.872</v>
      </c>
      <c r="S1972" s="21">
        <f t="shared" si="92"/>
        <v>0.22906666666666667</v>
      </c>
    </row>
    <row r="1973" spans="2:19" ht="11.4" customHeight="1" x14ac:dyDescent="0.2">
      <c r="B1973" s="24"/>
      <c r="C1973" s="7">
        <v>45876</v>
      </c>
      <c r="D1973" s="18" t="s">
        <v>2062</v>
      </c>
      <c r="E1973" s="18" t="s">
        <v>2060</v>
      </c>
      <c r="F1973" s="17">
        <v>8</v>
      </c>
      <c r="G1973" s="18" t="s">
        <v>23</v>
      </c>
      <c r="H1973" s="17">
        <v>77.819999999999993</v>
      </c>
      <c r="I1973" s="8">
        <v>97.9</v>
      </c>
      <c r="J1973" s="21">
        <f t="shared" si="90"/>
        <v>0.25803135440760749</v>
      </c>
      <c r="K1973" s="1">
        <v>3</v>
      </c>
      <c r="L1973" s="24">
        <v>6.8</v>
      </c>
      <c r="M1973" s="24">
        <v>91.047000000000011</v>
      </c>
      <c r="N1973" s="21">
        <f t="shared" si="91"/>
        <v>0.16996915959907505</v>
      </c>
      <c r="P1973" s="1">
        <v>5</v>
      </c>
      <c r="Q1973" s="24">
        <v>11.748000000000005</v>
      </c>
      <c r="R1973" s="24">
        <v>86.152000000000001</v>
      </c>
      <c r="S1973" s="21">
        <f t="shared" si="92"/>
        <v>0.10706759187869454</v>
      </c>
    </row>
    <row r="1974" spans="2:19" ht="11.4" customHeight="1" x14ac:dyDescent="0.2">
      <c r="B1974" s="24"/>
      <c r="C1974" s="7">
        <v>45877</v>
      </c>
      <c r="D1974" s="18" t="s">
        <v>2063</v>
      </c>
      <c r="E1974" s="18" t="s">
        <v>2060</v>
      </c>
      <c r="F1974" s="17">
        <v>8</v>
      </c>
      <c r="G1974" s="18" t="s">
        <v>23</v>
      </c>
      <c r="H1974" s="17">
        <v>80.760000000000005</v>
      </c>
      <c r="I1974" s="8">
        <v>100.9</v>
      </c>
      <c r="J1974" s="21">
        <f t="shared" si="90"/>
        <v>0.24938088162456662</v>
      </c>
      <c r="K1974" s="1">
        <v>3</v>
      </c>
      <c r="L1974" s="24">
        <v>7</v>
      </c>
      <c r="M1974" s="24">
        <v>93.837000000000003</v>
      </c>
      <c r="N1974" s="21">
        <f t="shared" si="91"/>
        <v>0.16192421991084693</v>
      </c>
      <c r="P1974" s="1">
        <v>5</v>
      </c>
      <c r="Q1974" s="24">
        <v>12.108000000000004</v>
      </c>
      <c r="R1974" s="24">
        <v>88.792000000000002</v>
      </c>
      <c r="S1974" s="21">
        <f t="shared" si="92"/>
        <v>9.9455175829618575E-2</v>
      </c>
    </row>
    <row r="1975" spans="2:19" ht="11.4" customHeight="1" x14ac:dyDescent="0.2">
      <c r="B1975" s="24"/>
      <c r="C1975" s="7">
        <v>45778</v>
      </c>
      <c r="D1975" s="18" t="s">
        <v>2064</v>
      </c>
      <c r="E1975" s="18" t="s">
        <v>2060</v>
      </c>
      <c r="F1975" s="17">
        <v>40</v>
      </c>
      <c r="G1975" s="18" t="s">
        <v>23</v>
      </c>
      <c r="H1975" s="17">
        <v>162.24</v>
      </c>
      <c r="I1975" s="8">
        <v>202.8</v>
      </c>
      <c r="J1975" s="21">
        <f t="shared" si="90"/>
        <v>0.25</v>
      </c>
      <c r="K1975" s="1">
        <v>3</v>
      </c>
      <c r="L1975" s="24">
        <v>14.1</v>
      </c>
      <c r="M1975" s="24">
        <v>188.60400000000001</v>
      </c>
      <c r="N1975" s="21">
        <f t="shared" si="91"/>
        <v>0.16250000000000001</v>
      </c>
      <c r="P1975" s="1">
        <v>5</v>
      </c>
      <c r="Q1975" s="24">
        <v>24.336000000000013</v>
      </c>
      <c r="R1975" s="24">
        <v>178.464</v>
      </c>
      <c r="S1975" s="21">
        <f t="shared" si="92"/>
        <v>9.9999999999999936E-2</v>
      </c>
    </row>
    <row r="1976" spans="2:19" ht="11.4" customHeight="1" x14ac:dyDescent="0.2">
      <c r="B1976" s="24"/>
      <c r="C1976" s="7">
        <v>45857</v>
      </c>
      <c r="D1976" s="18" t="s">
        <v>2065</v>
      </c>
      <c r="E1976" s="18" t="s">
        <v>2060</v>
      </c>
      <c r="F1976" s="17">
        <v>10</v>
      </c>
      <c r="G1976" s="18" t="s">
        <v>23</v>
      </c>
      <c r="H1976" s="17">
        <v>70</v>
      </c>
      <c r="I1976" s="8">
        <v>97.9</v>
      </c>
      <c r="J1976" s="21">
        <f t="shared" si="90"/>
        <v>0.39857142857142863</v>
      </c>
      <c r="K1976" s="1">
        <v>3</v>
      </c>
      <c r="L1976" s="24">
        <v>6.8</v>
      </c>
      <c r="M1976" s="24">
        <v>91.047000000000011</v>
      </c>
      <c r="N1976" s="21">
        <f t="shared" si="91"/>
        <v>0.30067142857142876</v>
      </c>
      <c r="P1976" s="1">
        <v>5</v>
      </c>
      <c r="Q1976" s="24">
        <v>11.748000000000005</v>
      </c>
      <c r="R1976" s="24">
        <v>86.152000000000001</v>
      </c>
      <c r="S1976" s="21">
        <f t="shared" si="92"/>
        <v>0.23074285714285717</v>
      </c>
    </row>
    <row r="1977" spans="2:19" ht="11.4" customHeight="1" x14ac:dyDescent="0.2">
      <c r="B1977" s="24"/>
      <c r="C1977" s="7">
        <v>45875</v>
      </c>
      <c r="D1977" s="18" t="s">
        <v>2066</v>
      </c>
      <c r="E1977" s="18" t="s">
        <v>2060</v>
      </c>
      <c r="F1977" s="17">
        <v>8</v>
      </c>
      <c r="G1977" s="18" t="s">
        <v>23</v>
      </c>
      <c r="H1977" s="17">
        <v>78.48</v>
      </c>
      <c r="I1977" s="8">
        <v>97.9</v>
      </c>
      <c r="J1977" s="21">
        <f t="shared" si="90"/>
        <v>0.24745158002038736</v>
      </c>
      <c r="K1977" s="1">
        <v>3</v>
      </c>
      <c r="L1977" s="24">
        <v>6.8</v>
      </c>
      <c r="M1977" s="24">
        <v>91.047000000000011</v>
      </c>
      <c r="N1977" s="21">
        <f t="shared" si="91"/>
        <v>0.16012996941896032</v>
      </c>
      <c r="P1977" s="1">
        <v>5</v>
      </c>
      <c r="Q1977" s="24">
        <v>11.748000000000005</v>
      </c>
      <c r="R1977" s="24">
        <v>86.152000000000001</v>
      </c>
      <c r="S1977" s="21">
        <f t="shared" si="92"/>
        <v>9.7757390417940834E-2</v>
      </c>
    </row>
    <row r="1978" spans="2:19" ht="11.4" customHeight="1" x14ac:dyDescent="0.2">
      <c r="B1978" s="24"/>
      <c r="C1978" s="7">
        <v>45780</v>
      </c>
      <c r="D1978" s="18" t="s">
        <v>2067</v>
      </c>
      <c r="E1978" s="18" t="s">
        <v>2060</v>
      </c>
      <c r="F1978" s="17">
        <v>40</v>
      </c>
      <c r="G1978" s="18" t="s">
        <v>23</v>
      </c>
      <c r="H1978" s="17">
        <v>132.78</v>
      </c>
      <c r="I1978" s="8">
        <v>166</v>
      </c>
      <c r="J1978" s="21">
        <f t="shared" si="90"/>
        <v>0.25018828136767585</v>
      </c>
      <c r="K1978" s="1">
        <v>3</v>
      </c>
      <c r="L1978" s="24">
        <v>11.6</v>
      </c>
      <c r="M1978" s="24">
        <v>154.38</v>
      </c>
      <c r="N1978" s="21">
        <f t="shared" si="91"/>
        <v>0.16267510167193849</v>
      </c>
      <c r="P1978" s="1">
        <v>5</v>
      </c>
      <c r="Q1978" s="24">
        <v>19.919999999999987</v>
      </c>
      <c r="R1978" s="24">
        <v>146.08000000000001</v>
      </c>
      <c r="S1978" s="21">
        <f t="shared" si="92"/>
        <v>0.10016568760355483</v>
      </c>
    </row>
    <row r="1979" spans="2:19" ht="11.4" customHeight="1" x14ac:dyDescent="0.2">
      <c r="B1979" s="24"/>
      <c r="C1979" s="7">
        <v>45776</v>
      </c>
      <c r="D1979" s="18" t="s">
        <v>2068</v>
      </c>
      <c r="E1979" s="18" t="s">
        <v>2060</v>
      </c>
      <c r="F1979" s="17">
        <v>40</v>
      </c>
      <c r="G1979" s="18" t="s">
        <v>23</v>
      </c>
      <c r="H1979" s="17">
        <v>132.78</v>
      </c>
      <c r="I1979" s="8">
        <v>166</v>
      </c>
      <c r="J1979" s="21">
        <f t="shared" si="90"/>
        <v>0.25018828136767585</v>
      </c>
      <c r="K1979" s="1">
        <v>3</v>
      </c>
      <c r="L1979" s="24">
        <v>11.6</v>
      </c>
      <c r="M1979" s="24">
        <v>154.38</v>
      </c>
      <c r="N1979" s="21">
        <f t="shared" si="91"/>
        <v>0.16267510167193849</v>
      </c>
      <c r="P1979" s="1">
        <v>5</v>
      </c>
      <c r="Q1979" s="24">
        <v>19.919999999999987</v>
      </c>
      <c r="R1979" s="24">
        <v>146.08000000000001</v>
      </c>
      <c r="S1979" s="21">
        <f t="shared" si="92"/>
        <v>0.10016568760355483</v>
      </c>
    </row>
    <row r="1980" spans="2:19" ht="11.4" customHeight="1" x14ac:dyDescent="0.2">
      <c r="B1980" s="24"/>
      <c r="C1980" s="7">
        <v>45782</v>
      </c>
      <c r="D1980" s="18" t="s">
        <v>2069</v>
      </c>
      <c r="E1980" s="18" t="s">
        <v>2060</v>
      </c>
      <c r="F1980" s="17">
        <v>40</v>
      </c>
      <c r="G1980" s="18" t="s">
        <v>23</v>
      </c>
      <c r="H1980" s="17">
        <v>121.26</v>
      </c>
      <c r="I1980" s="8">
        <v>182.6</v>
      </c>
      <c r="J1980" s="21">
        <f t="shared" si="90"/>
        <v>0.50585518720105549</v>
      </c>
      <c r="K1980" s="1">
        <v>3</v>
      </c>
      <c r="L1980" s="24">
        <v>12.7</v>
      </c>
      <c r="M1980" s="24">
        <v>169.81800000000001</v>
      </c>
      <c r="N1980" s="21">
        <f t="shared" si="91"/>
        <v>0.40044532409698175</v>
      </c>
      <c r="P1980" s="1">
        <v>5</v>
      </c>
      <c r="Q1980" s="24">
        <v>21.912000000000006</v>
      </c>
      <c r="R1980" s="24">
        <v>160.68799999999999</v>
      </c>
      <c r="S1980" s="21">
        <f t="shared" si="92"/>
        <v>0.32515256473692877</v>
      </c>
    </row>
    <row r="1981" spans="2:19" ht="11.4" customHeight="1" x14ac:dyDescent="0.2">
      <c r="B1981" s="24"/>
      <c r="C1981" s="7">
        <v>45775</v>
      </c>
      <c r="D1981" s="18" t="s">
        <v>2070</v>
      </c>
      <c r="E1981" s="18" t="s">
        <v>2060</v>
      </c>
      <c r="F1981" s="17">
        <v>40</v>
      </c>
      <c r="G1981" s="18" t="s">
        <v>23</v>
      </c>
      <c r="H1981" s="17">
        <v>162.24</v>
      </c>
      <c r="I1981" s="8">
        <v>202.8</v>
      </c>
      <c r="J1981" s="21">
        <f t="shared" si="90"/>
        <v>0.25</v>
      </c>
      <c r="K1981" s="1">
        <v>3</v>
      </c>
      <c r="L1981" s="24">
        <v>14.1</v>
      </c>
      <c r="M1981" s="24">
        <v>188.60400000000001</v>
      </c>
      <c r="N1981" s="21">
        <f t="shared" si="91"/>
        <v>0.16250000000000001</v>
      </c>
      <c r="P1981" s="1">
        <v>5</v>
      </c>
      <c r="Q1981" s="24">
        <v>24.336000000000013</v>
      </c>
      <c r="R1981" s="24">
        <v>178.464</v>
      </c>
      <c r="S1981" s="21">
        <f t="shared" si="92"/>
        <v>9.9999999999999936E-2</v>
      </c>
    </row>
    <row r="1982" spans="2:19" ht="11.4" customHeight="1" x14ac:dyDescent="0.2">
      <c r="B1982" s="24"/>
      <c r="C1982" s="7">
        <v>45799</v>
      </c>
      <c r="D1982" s="18" t="s">
        <v>2071</v>
      </c>
      <c r="E1982" s="18" t="s">
        <v>2060</v>
      </c>
      <c r="F1982" s="17">
        <v>16</v>
      </c>
      <c r="G1982" s="18" t="s">
        <v>23</v>
      </c>
      <c r="H1982" s="17">
        <v>33.840000000000003</v>
      </c>
      <c r="I1982" s="8">
        <v>42.3</v>
      </c>
      <c r="J1982" s="21">
        <f t="shared" si="90"/>
        <v>0.24999999999999978</v>
      </c>
      <c r="K1982" s="1">
        <v>3</v>
      </c>
      <c r="L1982" s="24">
        <v>2.9</v>
      </c>
      <c r="M1982" s="24">
        <v>39.338999999999999</v>
      </c>
      <c r="N1982" s="21">
        <f t="shared" si="91"/>
        <v>0.16249999999999984</v>
      </c>
      <c r="P1982" s="1">
        <v>5</v>
      </c>
      <c r="Q1982" s="24">
        <v>5.0760000000000005</v>
      </c>
      <c r="R1982" s="24">
        <v>37.223999999999997</v>
      </c>
      <c r="S1982" s="21">
        <f t="shared" si="92"/>
        <v>9.9999999999999784E-2</v>
      </c>
    </row>
    <row r="1983" spans="2:19" ht="11.4" customHeight="1" x14ac:dyDescent="0.2">
      <c r="B1983" s="24"/>
      <c r="C1983" s="7">
        <v>45777</v>
      </c>
      <c r="D1983" s="18" t="s">
        <v>2072</v>
      </c>
      <c r="E1983" s="18" t="s">
        <v>2060</v>
      </c>
      <c r="F1983" s="17">
        <v>40</v>
      </c>
      <c r="G1983" s="18" t="s">
        <v>23</v>
      </c>
      <c r="H1983" s="17">
        <v>121.26</v>
      </c>
      <c r="I1983" s="8">
        <v>182.6</v>
      </c>
      <c r="J1983" s="21">
        <f t="shared" si="90"/>
        <v>0.50585518720105549</v>
      </c>
      <c r="K1983" s="1">
        <v>3</v>
      </c>
      <c r="L1983" s="24">
        <v>12.7</v>
      </c>
      <c r="M1983" s="24">
        <v>169.81800000000001</v>
      </c>
      <c r="N1983" s="21">
        <f t="shared" si="91"/>
        <v>0.40044532409698175</v>
      </c>
      <c r="P1983" s="1">
        <v>5</v>
      </c>
      <c r="Q1983" s="24">
        <v>21.912000000000006</v>
      </c>
      <c r="R1983" s="24">
        <v>160.68799999999999</v>
      </c>
      <c r="S1983" s="21">
        <f t="shared" si="92"/>
        <v>0.32515256473692877</v>
      </c>
    </row>
    <row r="1984" spans="2:19" ht="11.4" customHeight="1" x14ac:dyDescent="0.2">
      <c r="B1984" s="24"/>
      <c r="C1984" s="7">
        <v>45774</v>
      </c>
      <c r="D1984" s="18" t="s">
        <v>2073</v>
      </c>
      <c r="E1984" s="18" t="s">
        <v>2060</v>
      </c>
      <c r="F1984" s="17">
        <v>40</v>
      </c>
      <c r="G1984" s="18" t="s">
        <v>23</v>
      </c>
      <c r="H1984" s="17">
        <v>88.98</v>
      </c>
      <c r="I1984" s="8">
        <v>130.9</v>
      </c>
      <c r="J1984" s="21">
        <f t="shared" si="90"/>
        <v>0.47111710496740838</v>
      </c>
      <c r="K1984" s="1">
        <v>3</v>
      </c>
      <c r="L1984" s="24">
        <v>9.1</v>
      </c>
      <c r="M1984" s="24">
        <v>121.73700000000001</v>
      </c>
      <c r="N1984" s="21">
        <f t="shared" si="91"/>
        <v>0.36813890761968987</v>
      </c>
      <c r="P1984" s="1">
        <v>5</v>
      </c>
      <c r="Q1984" s="24">
        <v>15.707999999999998</v>
      </c>
      <c r="R1984" s="24">
        <v>115.19200000000001</v>
      </c>
      <c r="S1984" s="21">
        <f t="shared" si="92"/>
        <v>0.29458305237131943</v>
      </c>
    </row>
    <row r="1985" spans="2:19" ht="11.4" customHeight="1" x14ac:dyDescent="0.2">
      <c r="B1985" s="24"/>
      <c r="C1985" s="7">
        <v>42079</v>
      </c>
      <c r="D1985" s="18" t="s">
        <v>2074</v>
      </c>
      <c r="E1985" s="18" t="s">
        <v>2075</v>
      </c>
      <c r="F1985" s="18"/>
      <c r="G1985" s="18" t="s">
        <v>23</v>
      </c>
      <c r="H1985" s="17">
        <v>20.04</v>
      </c>
      <c r="I1985" s="8">
        <v>28.2</v>
      </c>
      <c r="J1985" s="21">
        <f t="shared" si="90"/>
        <v>0.40718562874251502</v>
      </c>
      <c r="K1985" s="1">
        <v>3</v>
      </c>
      <c r="L1985" s="24">
        <v>1.9</v>
      </c>
      <c r="M1985" s="24">
        <v>26.225999999999999</v>
      </c>
      <c r="N1985" s="21">
        <f t="shared" si="91"/>
        <v>0.30868263473053892</v>
      </c>
      <c r="P1985" s="1">
        <v>5</v>
      </c>
      <c r="Q1985" s="24">
        <v>3.3840000000000003</v>
      </c>
      <c r="R1985" s="24">
        <v>24.815999999999999</v>
      </c>
      <c r="S1985" s="21">
        <f t="shared" si="92"/>
        <v>0.23832335329341317</v>
      </c>
    </row>
    <row r="1986" spans="2:19" ht="11.4" customHeight="1" x14ac:dyDescent="0.2">
      <c r="B1986" s="24"/>
      <c r="C1986" s="7">
        <v>31994</v>
      </c>
      <c r="D1986" s="18" t="s">
        <v>2076</v>
      </c>
      <c r="E1986" s="18" t="s">
        <v>2075</v>
      </c>
      <c r="F1986" s="18"/>
      <c r="G1986" s="18" t="s">
        <v>902</v>
      </c>
      <c r="H1986" s="17">
        <v>185</v>
      </c>
      <c r="I1986" s="8">
        <v>337</v>
      </c>
      <c r="J1986" s="21">
        <f t="shared" si="90"/>
        <v>0.82162162162162167</v>
      </c>
      <c r="K1986" s="1">
        <v>1</v>
      </c>
      <c r="L1986" s="24">
        <v>16.8</v>
      </c>
      <c r="M1986" s="24">
        <v>320.14999999999998</v>
      </c>
      <c r="N1986" s="21">
        <f t="shared" si="91"/>
        <v>0.73054054054054041</v>
      </c>
      <c r="P1986" s="1">
        <v>4</v>
      </c>
      <c r="Q1986" s="24">
        <v>33.699999999999989</v>
      </c>
      <c r="R1986" s="24">
        <v>303.3</v>
      </c>
      <c r="S1986" s="21">
        <f t="shared" si="92"/>
        <v>0.63945945945945948</v>
      </c>
    </row>
    <row r="1987" spans="2:19" ht="11.4" customHeight="1" x14ac:dyDescent="0.2">
      <c r="B1987" s="24"/>
      <c r="C1987" s="7">
        <v>36844</v>
      </c>
      <c r="D1987" s="18" t="s">
        <v>2077</v>
      </c>
      <c r="E1987" s="18" t="s">
        <v>2075</v>
      </c>
      <c r="F1987" s="17">
        <v>25</v>
      </c>
      <c r="G1987" s="18" t="s">
        <v>23</v>
      </c>
      <c r="H1987" s="17">
        <v>37.9</v>
      </c>
      <c r="I1987" s="8">
        <v>37.200000000000003</v>
      </c>
      <c r="J1987" s="21">
        <f t="shared" ref="J1987:J2050" si="93">(I1987-H1987)/H1987</f>
        <v>-1.8469656992084322E-2</v>
      </c>
      <c r="K1987" s="1">
        <v>3</v>
      </c>
      <c r="L1987" s="24">
        <v>2.6</v>
      </c>
      <c r="M1987" s="24">
        <v>34.596000000000004</v>
      </c>
      <c r="N1987" s="21">
        <f t="shared" ref="N1987:N2050" si="94">(M1987-H1987)/H1987</f>
        <v>-8.7176781002638398E-2</v>
      </c>
      <c r="P1987" s="1">
        <v>5</v>
      </c>
      <c r="Q1987" s="24">
        <v>4.4639999999999986</v>
      </c>
      <c r="R1987" s="24">
        <v>32.736000000000004</v>
      </c>
      <c r="S1987" s="21">
        <f t="shared" ref="S1987:S2050" si="95">(R1987-H1987)/H1987</f>
        <v>-0.13625329815303416</v>
      </c>
    </row>
    <row r="1988" spans="2:19" ht="11.4" customHeight="1" x14ac:dyDescent="0.2">
      <c r="B1988" s="24"/>
      <c r="C1988" s="7">
        <v>40959</v>
      </c>
      <c r="D1988" s="18" t="s">
        <v>2078</v>
      </c>
      <c r="E1988" s="18" t="s">
        <v>2075</v>
      </c>
      <c r="F1988" s="18"/>
      <c r="G1988" s="18" t="s">
        <v>902</v>
      </c>
      <c r="H1988" s="17">
        <v>290</v>
      </c>
      <c r="I1988" s="8">
        <v>394.6</v>
      </c>
      <c r="J1988" s="21">
        <f t="shared" si="93"/>
        <v>0.36068965517241386</v>
      </c>
      <c r="K1988" s="1">
        <v>1</v>
      </c>
      <c r="L1988" s="24">
        <v>19.7</v>
      </c>
      <c r="M1988" s="24">
        <v>374.87</v>
      </c>
      <c r="N1988" s="21">
        <f t="shared" si="94"/>
        <v>0.29265517241379313</v>
      </c>
      <c r="P1988" s="1">
        <v>4</v>
      </c>
      <c r="Q1988" s="24">
        <v>39.45999999999998</v>
      </c>
      <c r="R1988" s="24">
        <v>355.14000000000004</v>
      </c>
      <c r="S1988" s="21">
        <f t="shared" si="95"/>
        <v>0.22462068965517257</v>
      </c>
    </row>
    <row r="1989" spans="2:19" ht="11.4" customHeight="1" x14ac:dyDescent="0.2">
      <c r="B1989" s="24"/>
      <c r="C1989" s="7">
        <v>6950</v>
      </c>
      <c r="D1989" s="18" t="s">
        <v>2079</v>
      </c>
      <c r="E1989" s="18" t="s">
        <v>2060</v>
      </c>
      <c r="F1989" s="18"/>
      <c r="G1989" s="18" t="s">
        <v>902</v>
      </c>
      <c r="H1989" s="17">
        <v>360</v>
      </c>
      <c r="I1989" s="8">
        <v>558</v>
      </c>
      <c r="J1989" s="21">
        <f t="shared" si="93"/>
        <v>0.55000000000000004</v>
      </c>
      <c r="K1989" s="1">
        <v>1</v>
      </c>
      <c r="L1989" s="24">
        <v>27.9</v>
      </c>
      <c r="M1989" s="24">
        <v>530.1</v>
      </c>
      <c r="N1989" s="21">
        <f t="shared" si="94"/>
        <v>0.47250000000000009</v>
      </c>
      <c r="P1989" s="1">
        <v>4</v>
      </c>
      <c r="Q1989" s="24">
        <v>55.800000000000011</v>
      </c>
      <c r="R1989" s="24">
        <v>502.2</v>
      </c>
      <c r="S1989" s="21">
        <f t="shared" si="95"/>
        <v>0.39499999999999996</v>
      </c>
    </row>
    <row r="1990" spans="2:19" ht="11.4" customHeight="1" x14ac:dyDescent="0.2">
      <c r="B1990" s="24"/>
      <c r="C1990" s="7">
        <v>40956</v>
      </c>
      <c r="D1990" s="18" t="s">
        <v>2080</v>
      </c>
      <c r="E1990" s="18" t="s">
        <v>2060</v>
      </c>
      <c r="F1990" s="18"/>
      <c r="G1990" s="18" t="s">
        <v>902</v>
      </c>
      <c r="H1990" s="17">
        <v>600</v>
      </c>
      <c r="I1990" s="9">
        <v>1020</v>
      </c>
      <c r="J1990" s="21">
        <f t="shared" si="93"/>
        <v>0.7</v>
      </c>
      <c r="K1990" s="1">
        <v>1</v>
      </c>
      <c r="L1990" s="24">
        <v>51</v>
      </c>
      <c r="M1990" s="24">
        <v>969</v>
      </c>
      <c r="N1990" s="21">
        <f t="shared" si="94"/>
        <v>0.61499999999999999</v>
      </c>
      <c r="P1990" s="1">
        <v>4</v>
      </c>
      <c r="Q1990" s="24">
        <v>102</v>
      </c>
      <c r="R1990" s="24">
        <v>918</v>
      </c>
      <c r="S1990" s="21">
        <f t="shared" si="95"/>
        <v>0.53</v>
      </c>
    </row>
    <row r="1991" spans="2:19" ht="11.4" customHeight="1" x14ac:dyDescent="0.2">
      <c r="B1991" s="24"/>
      <c r="C1991" s="7">
        <v>12029</v>
      </c>
      <c r="D1991" s="18" t="s">
        <v>2081</v>
      </c>
      <c r="E1991" s="18" t="s">
        <v>2060</v>
      </c>
      <c r="F1991" s="18"/>
      <c r="G1991" s="18" t="s">
        <v>902</v>
      </c>
      <c r="H1991" s="17">
        <v>574</v>
      </c>
      <c r="I1991" s="8">
        <v>508.9</v>
      </c>
      <c r="J1991" s="21">
        <f t="shared" si="93"/>
        <v>-0.11341463414634151</v>
      </c>
      <c r="K1991" s="1">
        <v>1</v>
      </c>
      <c r="L1991" s="24">
        <v>25.4</v>
      </c>
      <c r="M1991" s="24">
        <v>483.45499999999998</v>
      </c>
      <c r="N1991" s="21">
        <f t="shared" si="94"/>
        <v>-0.15774390243902442</v>
      </c>
      <c r="P1991" s="1">
        <v>4</v>
      </c>
      <c r="Q1991" s="24">
        <v>50.889999999999986</v>
      </c>
      <c r="R1991" s="24">
        <v>458.01</v>
      </c>
      <c r="S1991" s="21">
        <f t="shared" si="95"/>
        <v>-0.20207317073170733</v>
      </c>
    </row>
    <row r="1992" spans="2:19" ht="11.4" customHeight="1" x14ac:dyDescent="0.2">
      <c r="B1992" s="24"/>
      <c r="C1992" s="7">
        <v>31986</v>
      </c>
      <c r="D1992" s="18" t="s">
        <v>2082</v>
      </c>
      <c r="E1992" s="18" t="s">
        <v>2060</v>
      </c>
      <c r="F1992" s="18"/>
      <c r="G1992" s="18" t="s">
        <v>23</v>
      </c>
      <c r="H1992" s="17">
        <v>199.9</v>
      </c>
      <c r="I1992" s="8">
        <v>229</v>
      </c>
      <c r="J1992" s="21">
        <f t="shared" si="93"/>
        <v>0.14557278639319657</v>
      </c>
      <c r="K1992" s="1">
        <v>3</v>
      </c>
      <c r="L1992" s="24">
        <v>16</v>
      </c>
      <c r="M1992" s="24">
        <v>212.97</v>
      </c>
      <c r="N1992" s="21">
        <f t="shared" si="94"/>
        <v>6.5382691345672803E-2</v>
      </c>
      <c r="P1992" s="1">
        <v>5</v>
      </c>
      <c r="Q1992" s="24">
        <v>27.47999999999999</v>
      </c>
      <c r="R1992" s="24">
        <v>201.52</v>
      </c>
      <c r="S1992" s="21">
        <f t="shared" si="95"/>
        <v>8.104052026013029E-3</v>
      </c>
    </row>
    <row r="1993" spans="2:19" ht="11.4" customHeight="1" x14ac:dyDescent="0.2">
      <c r="B1993" s="24"/>
      <c r="C1993" s="7">
        <v>44288</v>
      </c>
      <c r="D1993" s="18" t="s">
        <v>2083</v>
      </c>
      <c r="E1993" s="18" t="s">
        <v>2075</v>
      </c>
      <c r="F1993" s="18"/>
      <c r="G1993" s="18" t="s">
        <v>902</v>
      </c>
      <c r="H1993" s="17">
        <v>70</v>
      </c>
      <c r="I1993" s="8">
        <v>241.7</v>
      </c>
      <c r="J1993" s="21">
        <f t="shared" si="93"/>
        <v>2.4528571428571428</v>
      </c>
      <c r="K1993" s="1">
        <v>1</v>
      </c>
      <c r="L1993" s="24">
        <v>12</v>
      </c>
      <c r="M1993" s="24">
        <v>229.61499999999998</v>
      </c>
      <c r="N1993" s="21">
        <f t="shared" si="94"/>
        <v>2.2802142857142855</v>
      </c>
      <c r="P1993" s="1">
        <v>4</v>
      </c>
      <c r="Q1993" s="24">
        <v>24.169999999999987</v>
      </c>
      <c r="R1993" s="24">
        <v>217.53</v>
      </c>
      <c r="S1993" s="21">
        <f t="shared" si="95"/>
        <v>2.1075714285714287</v>
      </c>
    </row>
    <row r="1994" spans="2:19" ht="11.4" customHeight="1" x14ac:dyDescent="0.2">
      <c r="B1994" s="24"/>
      <c r="C1994" s="7">
        <v>42956</v>
      </c>
      <c r="D1994" s="18" t="s">
        <v>2084</v>
      </c>
      <c r="E1994" s="18" t="s">
        <v>2075</v>
      </c>
      <c r="F1994" s="18"/>
      <c r="G1994" s="18" t="s">
        <v>902</v>
      </c>
      <c r="H1994" s="17">
        <v>250</v>
      </c>
      <c r="I1994" s="8">
        <v>349.9</v>
      </c>
      <c r="J1994" s="21">
        <f t="shared" si="93"/>
        <v>0.3995999999999999</v>
      </c>
      <c r="K1994" s="1">
        <v>1</v>
      </c>
      <c r="L1994" s="24">
        <v>17.399999999999999</v>
      </c>
      <c r="M1994" s="24">
        <v>332.40499999999997</v>
      </c>
      <c r="N1994" s="21">
        <f t="shared" si="94"/>
        <v>0.32961999999999991</v>
      </c>
      <c r="P1994" s="1">
        <v>4</v>
      </c>
      <c r="Q1994" s="24">
        <v>34.990000000000009</v>
      </c>
      <c r="R1994" s="24">
        <v>314.90999999999997</v>
      </c>
      <c r="S1994" s="21">
        <f t="shared" si="95"/>
        <v>0.25963999999999987</v>
      </c>
    </row>
    <row r="1995" spans="2:19" ht="11.4" customHeight="1" x14ac:dyDescent="0.2">
      <c r="B1995" s="24"/>
      <c r="C1995" s="7">
        <v>43052</v>
      </c>
      <c r="D1995" s="18" t="s">
        <v>2085</v>
      </c>
      <c r="E1995" s="18" t="s">
        <v>2086</v>
      </c>
      <c r="F1995" s="18"/>
      <c r="G1995" s="18" t="s">
        <v>902</v>
      </c>
      <c r="H1995" s="18"/>
      <c r="I1995" s="8">
        <v>359</v>
      </c>
      <c r="J1995" s="21" t="e">
        <f t="shared" si="93"/>
        <v>#DIV/0!</v>
      </c>
      <c r="K1995" s="1">
        <v>1</v>
      </c>
      <c r="L1995" s="24">
        <v>17.899999999999999</v>
      </c>
      <c r="M1995" s="24">
        <v>341.05</v>
      </c>
      <c r="N1995" s="21" t="e">
        <f t="shared" si="94"/>
        <v>#DIV/0!</v>
      </c>
      <c r="P1995" s="1">
        <v>4</v>
      </c>
      <c r="Q1995" s="24">
        <v>35.899999999999977</v>
      </c>
      <c r="R1995" s="24">
        <v>323.10000000000002</v>
      </c>
      <c r="S1995" s="21" t="e">
        <f t="shared" si="95"/>
        <v>#DIV/0!</v>
      </c>
    </row>
    <row r="1996" spans="2:19" ht="11.4" customHeight="1" x14ac:dyDescent="0.2">
      <c r="B1996" s="24"/>
      <c r="C1996" s="7">
        <v>7350</v>
      </c>
      <c r="D1996" s="18" t="s">
        <v>2087</v>
      </c>
      <c r="E1996" s="18" t="s">
        <v>2075</v>
      </c>
      <c r="F1996" s="18"/>
      <c r="G1996" s="18" t="s">
        <v>902</v>
      </c>
      <c r="H1996" s="17">
        <v>252</v>
      </c>
      <c r="I1996" s="8">
        <v>399</v>
      </c>
      <c r="J1996" s="21">
        <f t="shared" si="93"/>
        <v>0.58333333333333337</v>
      </c>
      <c r="K1996" s="1">
        <v>1</v>
      </c>
      <c r="L1996" s="24">
        <v>19.899999999999999</v>
      </c>
      <c r="M1996" s="24">
        <v>379.04999999999995</v>
      </c>
      <c r="N1996" s="21">
        <f t="shared" si="94"/>
        <v>0.50416666666666654</v>
      </c>
      <c r="P1996" s="1">
        <v>4</v>
      </c>
      <c r="Q1996" s="24">
        <v>39.899999999999977</v>
      </c>
      <c r="R1996" s="24">
        <v>359.1</v>
      </c>
      <c r="S1996" s="21">
        <f t="shared" si="95"/>
        <v>0.4250000000000001</v>
      </c>
    </row>
    <row r="1997" spans="2:19" ht="11.4" customHeight="1" x14ac:dyDescent="0.2">
      <c r="B1997" s="24"/>
      <c r="C1997" s="7">
        <v>45781</v>
      </c>
      <c r="D1997" s="18" t="s">
        <v>2088</v>
      </c>
      <c r="E1997" s="18" t="s">
        <v>2075</v>
      </c>
      <c r="F1997" s="17">
        <v>15</v>
      </c>
      <c r="G1997" s="18" t="s">
        <v>23</v>
      </c>
      <c r="H1997" s="17">
        <v>42.66</v>
      </c>
      <c r="I1997" s="8">
        <v>62.9</v>
      </c>
      <c r="J1997" s="21">
        <f t="shared" si="93"/>
        <v>0.47444913267698086</v>
      </c>
      <c r="K1997" s="1">
        <v>3</v>
      </c>
      <c r="L1997" s="24">
        <v>4.4000000000000004</v>
      </c>
      <c r="M1997" s="24">
        <v>58.497</v>
      </c>
      <c r="N1997" s="21">
        <f t="shared" si="94"/>
        <v>0.37123769338959223</v>
      </c>
      <c r="P1997" s="1">
        <v>5</v>
      </c>
      <c r="Q1997" s="24">
        <v>7.5480000000000018</v>
      </c>
      <c r="R1997" s="24">
        <v>55.351999999999997</v>
      </c>
      <c r="S1997" s="21">
        <f t="shared" si="95"/>
        <v>0.2975152367557431</v>
      </c>
    </row>
    <row r="1998" spans="2:19" ht="11.4" customHeight="1" x14ac:dyDescent="0.2">
      <c r="B1998" s="24"/>
      <c r="C1998" s="7">
        <v>45786</v>
      </c>
      <c r="D1998" s="18" t="s">
        <v>2089</v>
      </c>
      <c r="E1998" s="18" t="s">
        <v>2075</v>
      </c>
      <c r="F1998" s="17">
        <v>15</v>
      </c>
      <c r="G1998" s="18" t="s">
        <v>23</v>
      </c>
      <c r="H1998" s="17">
        <v>41.52</v>
      </c>
      <c r="I1998" s="8">
        <v>61</v>
      </c>
      <c r="J1998" s="21">
        <f t="shared" si="93"/>
        <v>0.46917148362235056</v>
      </c>
      <c r="K1998" s="1">
        <v>3</v>
      </c>
      <c r="L1998" s="24">
        <v>4.2</v>
      </c>
      <c r="M1998" s="24">
        <v>56.730000000000004</v>
      </c>
      <c r="N1998" s="21">
        <f t="shared" si="94"/>
        <v>0.3663294797687861</v>
      </c>
      <c r="P1998" s="1">
        <v>5</v>
      </c>
      <c r="Q1998" s="24">
        <v>7.32</v>
      </c>
      <c r="R1998" s="24">
        <v>53.68</v>
      </c>
      <c r="S1998" s="21">
        <f t="shared" si="95"/>
        <v>0.29287090558766848</v>
      </c>
    </row>
    <row r="1999" spans="2:19" ht="11.4" customHeight="1" x14ac:dyDescent="0.2">
      <c r="B1999" s="24"/>
      <c r="C1999" s="7">
        <v>45779</v>
      </c>
      <c r="D1999" s="18" t="s">
        <v>2090</v>
      </c>
      <c r="E1999" s="18" t="s">
        <v>2075</v>
      </c>
      <c r="F1999" s="17">
        <v>40</v>
      </c>
      <c r="G1999" s="18" t="s">
        <v>23</v>
      </c>
      <c r="H1999" s="17">
        <v>87</v>
      </c>
      <c r="I1999" s="8">
        <v>108.8</v>
      </c>
      <c r="J1999" s="21">
        <f t="shared" si="93"/>
        <v>0.25057471264367814</v>
      </c>
      <c r="K1999" s="1">
        <v>3</v>
      </c>
      <c r="L1999" s="24">
        <v>7.6</v>
      </c>
      <c r="M1999" s="24">
        <v>101.184</v>
      </c>
      <c r="N1999" s="21">
        <f t="shared" si="94"/>
        <v>0.16303448275862067</v>
      </c>
      <c r="P1999" s="1">
        <v>5</v>
      </c>
      <c r="Q1999" s="24">
        <v>13.055999999999997</v>
      </c>
      <c r="R1999" s="24">
        <v>95.744</v>
      </c>
      <c r="S1999" s="21">
        <f t="shared" si="95"/>
        <v>0.10050574712643678</v>
      </c>
    </row>
    <row r="2000" spans="2:19" ht="11.4" customHeight="1" x14ac:dyDescent="0.2">
      <c r="B2000" s="24"/>
      <c r="C2000" s="7">
        <v>3021</v>
      </c>
      <c r="D2000" s="18" t="s">
        <v>2091</v>
      </c>
      <c r="E2000" s="18" t="s">
        <v>2075</v>
      </c>
      <c r="F2000" s="18"/>
      <c r="G2000" s="18" t="s">
        <v>902</v>
      </c>
      <c r="H2000" s="17">
        <v>350</v>
      </c>
      <c r="I2000" s="8">
        <v>459</v>
      </c>
      <c r="J2000" s="21">
        <f t="shared" si="93"/>
        <v>0.31142857142857144</v>
      </c>
      <c r="K2000" s="1">
        <v>1</v>
      </c>
      <c r="L2000" s="24">
        <v>22.9</v>
      </c>
      <c r="M2000" s="24">
        <v>436.04999999999995</v>
      </c>
      <c r="N2000" s="21">
        <f t="shared" si="94"/>
        <v>0.24585714285714272</v>
      </c>
      <c r="P2000" s="1">
        <v>4</v>
      </c>
      <c r="Q2000" s="24">
        <v>45.899999999999977</v>
      </c>
      <c r="R2000" s="24">
        <v>413.1</v>
      </c>
      <c r="S2000" s="21">
        <f t="shared" si="95"/>
        <v>0.18028571428571435</v>
      </c>
    </row>
    <row r="2001" spans="2:19" ht="11.4" customHeight="1" x14ac:dyDescent="0.2">
      <c r="B2001" s="24"/>
      <c r="C2001" s="7">
        <v>32139</v>
      </c>
      <c r="D2001" s="18" t="s">
        <v>2092</v>
      </c>
      <c r="E2001" s="18" t="s">
        <v>2060</v>
      </c>
      <c r="F2001" s="18"/>
      <c r="G2001" s="18" t="s">
        <v>902</v>
      </c>
      <c r="H2001" s="17">
        <v>455</v>
      </c>
      <c r="I2001" s="8">
        <v>589.9</v>
      </c>
      <c r="J2001" s="21">
        <f t="shared" si="93"/>
        <v>0.29648351648351645</v>
      </c>
      <c r="K2001" s="1">
        <v>1</v>
      </c>
      <c r="L2001" s="24">
        <v>29.4</v>
      </c>
      <c r="M2001" s="24">
        <v>560.40499999999997</v>
      </c>
      <c r="N2001" s="21">
        <f t="shared" si="94"/>
        <v>0.2316593406593406</v>
      </c>
      <c r="P2001" s="1">
        <v>4</v>
      </c>
      <c r="Q2001" s="24">
        <v>58.990000000000009</v>
      </c>
      <c r="R2001" s="24">
        <v>530.91</v>
      </c>
      <c r="S2001" s="21">
        <f t="shared" si="95"/>
        <v>0.16683516483516478</v>
      </c>
    </row>
    <row r="2002" spans="2:19" ht="11.4" customHeight="1" x14ac:dyDescent="0.2">
      <c r="B2002" s="24"/>
      <c r="C2002" s="7">
        <v>43384</v>
      </c>
      <c r="D2002" s="18" t="s">
        <v>2093</v>
      </c>
      <c r="E2002" s="18" t="s">
        <v>2060</v>
      </c>
      <c r="F2002" s="18"/>
      <c r="G2002" s="18" t="s">
        <v>23</v>
      </c>
      <c r="H2002" s="17">
        <v>103</v>
      </c>
      <c r="I2002" s="8">
        <v>144</v>
      </c>
      <c r="J2002" s="21">
        <f t="shared" si="93"/>
        <v>0.39805825242718446</v>
      </c>
      <c r="K2002" s="1">
        <v>3</v>
      </c>
      <c r="L2002" s="24">
        <v>10</v>
      </c>
      <c r="M2002" s="24">
        <v>133.92000000000002</v>
      </c>
      <c r="N2002" s="21">
        <f t="shared" si="94"/>
        <v>0.30019417475728172</v>
      </c>
      <c r="P2002" s="1">
        <v>5</v>
      </c>
      <c r="Q2002" s="24">
        <v>17.28</v>
      </c>
      <c r="R2002" s="24">
        <v>126.72</v>
      </c>
      <c r="S2002" s="21">
        <f t="shared" si="95"/>
        <v>0.23029126213592233</v>
      </c>
    </row>
    <row r="2003" spans="2:19" ht="11.4" customHeight="1" x14ac:dyDescent="0.2">
      <c r="B2003" s="24"/>
      <c r="C2003" s="7">
        <v>45854</v>
      </c>
      <c r="D2003" s="18" t="s">
        <v>2094</v>
      </c>
      <c r="E2003" s="18" t="s">
        <v>2060</v>
      </c>
      <c r="F2003" s="17">
        <v>10</v>
      </c>
      <c r="G2003" s="18" t="s">
        <v>23</v>
      </c>
      <c r="H2003" s="17">
        <v>67</v>
      </c>
      <c r="I2003" s="8">
        <v>93.9</v>
      </c>
      <c r="J2003" s="21">
        <f t="shared" si="93"/>
        <v>0.40149253731343293</v>
      </c>
      <c r="K2003" s="1">
        <v>3</v>
      </c>
      <c r="L2003" s="24">
        <v>6.5</v>
      </c>
      <c r="M2003" s="24">
        <v>87.327000000000012</v>
      </c>
      <c r="N2003" s="21">
        <f t="shared" si="94"/>
        <v>0.30338805970149274</v>
      </c>
      <c r="P2003" s="1">
        <v>5</v>
      </c>
      <c r="Q2003" s="24">
        <v>11.268000000000001</v>
      </c>
      <c r="R2003" s="24">
        <v>82.632000000000005</v>
      </c>
      <c r="S2003" s="21">
        <f t="shared" si="95"/>
        <v>0.23331343283582098</v>
      </c>
    </row>
    <row r="2004" spans="2:19" ht="11.4" customHeight="1" x14ac:dyDescent="0.2">
      <c r="B2004" s="24"/>
      <c r="C2004" s="7">
        <v>4561</v>
      </c>
      <c r="D2004" s="18" t="s">
        <v>2095</v>
      </c>
      <c r="E2004" s="18" t="s">
        <v>2060</v>
      </c>
      <c r="F2004" s="18"/>
      <c r="G2004" s="18" t="s">
        <v>902</v>
      </c>
      <c r="H2004" s="17">
        <v>479.9</v>
      </c>
      <c r="I2004" s="8">
        <v>649.9</v>
      </c>
      <c r="J2004" s="21">
        <f t="shared" si="93"/>
        <v>0.35424046676390919</v>
      </c>
      <c r="K2004" s="1">
        <v>1</v>
      </c>
      <c r="L2004" s="24">
        <v>32.4</v>
      </c>
      <c r="M2004" s="24">
        <v>617.40499999999997</v>
      </c>
      <c r="N2004" s="21">
        <f t="shared" si="94"/>
        <v>0.28652844342571371</v>
      </c>
      <c r="P2004" s="1">
        <v>4</v>
      </c>
      <c r="Q2004" s="24">
        <v>64.990000000000009</v>
      </c>
      <c r="R2004" s="24">
        <v>584.91</v>
      </c>
      <c r="S2004" s="21">
        <f t="shared" si="95"/>
        <v>0.21881642008751823</v>
      </c>
    </row>
    <row r="2005" spans="2:19" ht="11.4" customHeight="1" x14ac:dyDescent="0.2">
      <c r="B2005" s="24"/>
      <c r="C2005" s="7">
        <v>45793</v>
      </c>
      <c r="D2005" s="18" t="s">
        <v>2096</v>
      </c>
      <c r="E2005" s="18" t="s">
        <v>2060</v>
      </c>
      <c r="F2005" s="17">
        <v>16</v>
      </c>
      <c r="G2005" s="18" t="s">
        <v>23</v>
      </c>
      <c r="H2005" s="17">
        <v>44.7</v>
      </c>
      <c r="I2005" s="8">
        <v>55.9</v>
      </c>
      <c r="J2005" s="21">
        <f t="shared" si="93"/>
        <v>0.25055928411633099</v>
      </c>
      <c r="K2005" s="1">
        <v>3</v>
      </c>
      <c r="L2005" s="24">
        <v>3.9</v>
      </c>
      <c r="M2005" s="24">
        <v>51.987000000000002</v>
      </c>
      <c r="N2005" s="21">
        <f t="shared" si="94"/>
        <v>0.1630201342281879</v>
      </c>
      <c r="P2005" s="1">
        <v>5</v>
      </c>
      <c r="Q2005" s="24">
        <v>6.7079999999999984</v>
      </c>
      <c r="R2005" s="24">
        <v>49.192</v>
      </c>
      <c r="S2005" s="21">
        <f t="shared" si="95"/>
        <v>0.1004921700223713</v>
      </c>
    </row>
    <row r="2006" spans="2:19" ht="11.4" customHeight="1" x14ac:dyDescent="0.2">
      <c r="B2006" s="24"/>
      <c r="C2006" s="7">
        <v>42077</v>
      </c>
      <c r="D2006" s="18" t="s">
        <v>2097</v>
      </c>
      <c r="E2006" s="18" t="s">
        <v>2060</v>
      </c>
      <c r="F2006" s="18"/>
      <c r="G2006" s="18" t="s">
        <v>23</v>
      </c>
      <c r="H2006" s="17">
        <v>90</v>
      </c>
      <c r="I2006" s="8">
        <v>126</v>
      </c>
      <c r="J2006" s="21">
        <f t="shared" si="93"/>
        <v>0.4</v>
      </c>
      <c r="K2006" s="1">
        <v>3</v>
      </c>
      <c r="L2006" s="24">
        <v>8.8000000000000007</v>
      </c>
      <c r="M2006" s="24">
        <v>117.18</v>
      </c>
      <c r="N2006" s="21">
        <f t="shared" si="94"/>
        <v>0.3020000000000001</v>
      </c>
      <c r="P2006" s="1">
        <v>5</v>
      </c>
      <c r="Q2006" s="24">
        <v>15.120000000000005</v>
      </c>
      <c r="R2006" s="24">
        <v>110.88</v>
      </c>
      <c r="S2006" s="21">
        <f t="shared" si="95"/>
        <v>0.23199999999999996</v>
      </c>
    </row>
    <row r="2007" spans="2:19" ht="11.4" customHeight="1" x14ac:dyDescent="0.2">
      <c r="B2007" s="24"/>
      <c r="C2007" s="7">
        <v>42043</v>
      </c>
      <c r="D2007" s="18" t="s">
        <v>2098</v>
      </c>
      <c r="E2007" s="18" t="s">
        <v>1135</v>
      </c>
      <c r="F2007" s="18"/>
      <c r="G2007" s="18" t="s">
        <v>902</v>
      </c>
      <c r="H2007" s="17">
        <v>250</v>
      </c>
      <c r="I2007" s="8">
        <v>299.89999999999998</v>
      </c>
      <c r="J2007" s="21">
        <f t="shared" si="93"/>
        <v>0.19959999999999992</v>
      </c>
      <c r="K2007" s="1">
        <v>1</v>
      </c>
      <c r="L2007" s="24">
        <v>14.9</v>
      </c>
      <c r="M2007" s="24">
        <v>284.90499999999997</v>
      </c>
      <c r="N2007" s="21">
        <f t="shared" si="94"/>
        <v>0.13961999999999988</v>
      </c>
      <c r="P2007" s="1">
        <v>4</v>
      </c>
      <c r="Q2007" s="24">
        <v>29.990000000000009</v>
      </c>
      <c r="R2007" s="24">
        <v>269.90999999999997</v>
      </c>
      <c r="S2007" s="21">
        <f t="shared" si="95"/>
        <v>7.9639999999999878E-2</v>
      </c>
    </row>
    <row r="2008" spans="2:19" ht="11.4" customHeight="1" x14ac:dyDescent="0.2">
      <c r="B2008" s="24"/>
      <c r="C2008" s="7">
        <v>44287</v>
      </c>
      <c r="D2008" s="18" t="s">
        <v>2099</v>
      </c>
      <c r="E2008" s="18" t="s">
        <v>1010</v>
      </c>
      <c r="F2008" s="18"/>
      <c r="G2008" s="18" t="s">
        <v>902</v>
      </c>
      <c r="H2008" s="17">
        <v>200</v>
      </c>
      <c r="I2008" s="8">
        <v>294.5</v>
      </c>
      <c r="J2008" s="21">
        <f t="shared" si="93"/>
        <v>0.47249999999999998</v>
      </c>
      <c r="K2008" s="1">
        <v>1</v>
      </c>
      <c r="L2008" s="24">
        <v>14.7</v>
      </c>
      <c r="M2008" s="24">
        <v>279.77499999999998</v>
      </c>
      <c r="N2008" s="21">
        <f t="shared" si="94"/>
        <v>0.39887499999999987</v>
      </c>
      <c r="P2008" s="1">
        <v>4</v>
      </c>
      <c r="Q2008" s="24">
        <v>29.449999999999989</v>
      </c>
      <c r="R2008" s="24">
        <v>265.05</v>
      </c>
      <c r="S2008" s="21">
        <f t="shared" si="95"/>
        <v>0.32525000000000004</v>
      </c>
    </row>
    <row r="2009" spans="2:19" ht="11.4" customHeight="1" x14ac:dyDescent="0.2">
      <c r="B2009" s="24"/>
      <c r="C2009" s="7">
        <v>6833</v>
      </c>
      <c r="D2009" s="18" t="s">
        <v>2100</v>
      </c>
      <c r="E2009" s="18" t="s">
        <v>1390</v>
      </c>
      <c r="F2009" s="18"/>
      <c r="G2009" s="18" t="s">
        <v>902</v>
      </c>
      <c r="H2009" s="17">
        <v>480</v>
      </c>
      <c r="I2009" s="8">
        <v>594.4</v>
      </c>
      <c r="J2009" s="21">
        <f t="shared" si="93"/>
        <v>0.23833333333333329</v>
      </c>
      <c r="K2009" s="1">
        <v>1</v>
      </c>
      <c r="L2009" s="24">
        <v>29.7</v>
      </c>
      <c r="M2009" s="24">
        <v>564.67999999999995</v>
      </c>
      <c r="N2009" s="21">
        <f t="shared" si="94"/>
        <v>0.17641666666666656</v>
      </c>
      <c r="P2009" s="1">
        <v>4</v>
      </c>
      <c r="Q2009" s="24">
        <v>59.439999999999941</v>
      </c>
      <c r="R2009" s="24">
        <v>534.96</v>
      </c>
      <c r="S2009" s="21">
        <f t="shared" si="95"/>
        <v>0.11450000000000007</v>
      </c>
    </row>
    <row r="2010" spans="2:19" ht="11.4" customHeight="1" x14ac:dyDescent="0.2">
      <c r="B2010" s="24"/>
      <c r="C2010" s="7">
        <v>45783</v>
      </c>
      <c r="D2010" s="18" t="s">
        <v>2101</v>
      </c>
      <c r="E2010" s="18" t="s">
        <v>1135</v>
      </c>
      <c r="F2010" s="17">
        <v>20</v>
      </c>
      <c r="G2010" s="18" t="s">
        <v>23</v>
      </c>
      <c r="H2010" s="17">
        <v>48.12</v>
      </c>
      <c r="I2010" s="8">
        <v>61</v>
      </c>
      <c r="J2010" s="21">
        <f t="shared" si="93"/>
        <v>0.26766417290108069</v>
      </c>
      <c r="K2010" s="1">
        <v>3</v>
      </c>
      <c r="L2010" s="24">
        <v>4.2</v>
      </c>
      <c r="M2010" s="24">
        <v>56.730000000000004</v>
      </c>
      <c r="N2010" s="21">
        <f t="shared" si="94"/>
        <v>0.17892768079800514</v>
      </c>
      <c r="P2010" s="1">
        <v>5</v>
      </c>
      <c r="Q2010" s="24">
        <v>7.32</v>
      </c>
      <c r="R2010" s="24">
        <v>53.68</v>
      </c>
      <c r="S2010" s="21">
        <f t="shared" si="95"/>
        <v>0.11554447215295101</v>
      </c>
    </row>
    <row r="2011" spans="2:19" ht="11.4" customHeight="1" x14ac:dyDescent="0.2">
      <c r="B2011" s="24"/>
      <c r="C2011" s="7">
        <v>19038</v>
      </c>
      <c r="D2011" s="18" t="s">
        <v>2102</v>
      </c>
      <c r="E2011" s="18" t="s">
        <v>1135</v>
      </c>
      <c r="F2011" s="18"/>
      <c r="G2011" s="18" t="s">
        <v>902</v>
      </c>
      <c r="H2011" s="17">
        <v>204.9</v>
      </c>
      <c r="I2011" s="8">
        <v>259</v>
      </c>
      <c r="J2011" s="21">
        <f t="shared" si="93"/>
        <v>0.26403123474865786</v>
      </c>
      <c r="K2011" s="1">
        <v>1</v>
      </c>
      <c r="L2011" s="24">
        <v>12.9</v>
      </c>
      <c r="M2011" s="24">
        <v>246.04999999999998</v>
      </c>
      <c r="N2011" s="21">
        <f t="shared" si="94"/>
        <v>0.20082967301122487</v>
      </c>
      <c r="P2011" s="1">
        <v>4</v>
      </c>
      <c r="Q2011" s="24">
        <v>25.900000000000006</v>
      </c>
      <c r="R2011" s="24">
        <v>233.1</v>
      </c>
      <c r="S2011" s="21">
        <f t="shared" si="95"/>
        <v>0.13762811127379204</v>
      </c>
    </row>
    <row r="2012" spans="2:19" ht="11.4" customHeight="1" x14ac:dyDescent="0.2">
      <c r="B2012" s="24"/>
      <c r="C2012" s="7">
        <v>45785</v>
      </c>
      <c r="D2012" s="18" t="s">
        <v>2103</v>
      </c>
      <c r="E2012" s="18" t="s">
        <v>1135</v>
      </c>
      <c r="F2012" s="17">
        <v>20</v>
      </c>
      <c r="G2012" s="18" t="s">
        <v>23</v>
      </c>
      <c r="H2012" s="17">
        <v>50.22</v>
      </c>
      <c r="I2012" s="8">
        <v>62.9</v>
      </c>
      <c r="J2012" s="21">
        <f t="shared" si="93"/>
        <v>0.25248904818797291</v>
      </c>
      <c r="K2012" s="1">
        <v>3</v>
      </c>
      <c r="L2012" s="24">
        <v>4.4000000000000004</v>
      </c>
      <c r="M2012" s="24">
        <v>58.497</v>
      </c>
      <c r="N2012" s="21">
        <f t="shared" si="94"/>
        <v>0.16481481481481483</v>
      </c>
      <c r="P2012" s="1">
        <v>5</v>
      </c>
      <c r="Q2012" s="24">
        <v>7.5480000000000018</v>
      </c>
      <c r="R2012" s="24">
        <v>55.351999999999997</v>
      </c>
      <c r="S2012" s="21">
        <f t="shared" si="95"/>
        <v>0.10219036240541612</v>
      </c>
    </row>
    <row r="2013" spans="2:19" ht="11.4" customHeight="1" x14ac:dyDescent="0.2">
      <c r="B2013" s="24"/>
      <c r="C2013" s="7">
        <v>31993</v>
      </c>
      <c r="D2013" s="18" t="s">
        <v>2104</v>
      </c>
      <c r="E2013" s="18" t="s">
        <v>2075</v>
      </c>
      <c r="F2013" s="18"/>
      <c r="G2013" s="18" t="s">
        <v>902</v>
      </c>
      <c r="H2013" s="17">
        <v>419.9</v>
      </c>
      <c r="I2013" s="8">
        <v>558.70000000000005</v>
      </c>
      <c r="J2013" s="21">
        <f t="shared" si="93"/>
        <v>0.33055489402238647</v>
      </c>
      <c r="K2013" s="1">
        <v>1</v>
      </c>
      <c r="L2013" s="24">
        <v>27.9</v>
      </c>
      <c r="M2013" s="24">
        <v>530.76499999999999</v>
      </c>
      <c r="N2013" s="21">
        <f t="shared" si="94"/>
        <v>0.26402714932126703</v>
      </c>
      <c r="P2013" s="1">
        <v>4</v>
      </c>
      <c r="Q2013" s="24">
        <v>55.870000000000005</v>
      </c>
      <c r="R2013" s="24">
        <v>502.83000000000004</v>
      </c>
      <c r="S2013" s="21">
        <f t="shared" si="95"/>
        <v>0.19749940462014781</v>
      </c>
    </row>
    <row r="2014" spans="2:19" ht="11.4" customHeight="1" x14ac:dyDescent="0.2">
      <c r="B2014" s="24"/>
      <c r="C2014" s="7">
        <v>3022</v>
      </c>
      <c r="D2014" s="18" t="s">
        <v>2105</v>
      </c>
      <c r="E2014" s="18" t="s">
        <v>2075</v>
      </c>
      <c r="F2014" s="18"/>
      <c r="G2014" s="18" t="s">
        <v>902</v>
      </c>
      <c r="H2014" s="17">
        <v>209.9</v>
      </c>
      <c r="I2014" s="8">
        <v>449</v>
      </c>
      <c r="J2014" s="21">
        <f t="shared" si="93"/>
        <v>1.1391138637446403</v>
      </c>
      <c r="K2014" s="1">
        <v>1</v>
      </c>
      <c r="L2014" s="24">
        <v>22.4</v>
      </c>
      <c r="M2014" s="24">
        <v>426.54999999999995</v>
      </c>
      <c r="N2014" s="21">
        <f t="shared" si="94"/>
        <v>1.0321581705574081</v>
      </c>
      <c r="P2014" s="1">
        <v>4</v>
      </c>
      <c r="Q2014" s="24">
        <v>44.899999999999977</v>
      </c>
      <c r="R2014" s="24">
        <v>404.1</v>
      </c>
      <c r="S2014" s="21">
        <f t="shared" si="95"/>
        <v>0.92520247737017636</v>
      </c>
    </row>
    <row r="2015" spans="2:19" ht="11.4" customHeight="1" x14ac:dyDescent="0.2">
      <c r="B2015" s="24"/>
      <c r="C2015" s="7">
        <v>8761</v>
      </c>
      <c r="D2015" s="18" t="s">
        <v>2106</v>
      </c>
      <c r="E2015" s="18" t="s">
        <v>1135</v>
      </c>
      <c r="F2015" s="18"/>
      <c r="G2015" s="18" t="s">
        <v>902</v>
      </c>
      <c r="H2015" s="17">
        <v>150</v>
      </c>
      <c r="I2015" s="8">
        <v>199</v>
      </c>
      <c r="J2015" s="21">
        <f t="shared" si="93"/>
        <v>0.32666666666666666</v>
      </c>
      <c r="K2015" s="1">
        <v>1</v>
      </c>
      <c r="L2015" s="24">
        <v>9.9</v>
      </c>
      <c r="M2015" s="24">
        <v>189.04999999999998</v>
      </c>
      <c r="N2015" s="21">
        <f t="shared" si="94"/>
        <v>0.26033333333333319</v>
      </c>
      <c r="P2015" s="1">
        <v>4</v>
      </c>
      <c r="Q2015" s="24">
        <v>19.900000000000006</v>
      </c>
      <c r="R2015" s="24">
        <v>179.1</v>
      </c>
      <c r="S2015" s="21">
        <f t="shared" si="95"/>
        <v>0.19399999999999995</v>
      </c>
    </row>
    <row r="2016" spans="2:19" ht="11.4" customHeight="1" x14ac:dyDescent="0.2">
      <c r="B2016" s="24"/>
      <c r="C2016" s="7">
        <v>43386</v>
      </c>
      <c r="D2016" s="18" t="s">
        <v>2107</v>
      </c>
      <c r="E2016" s="18" t="s">
        <v>2075</v>
      </c>
      <c r="F2016" s="18"/>
      <c r="G2016" s="18" t="s">
        <v>23</v>
      </c>
      <c r="H2016" s="17">
        <v>79</v>
      </c>
      <c r="I2016" s="8">
        <v>111</v>
      </c>
      <c r="J2016" s="21">
        <f t="shared" si="93"/>
        <v>0.4050632911392405</v>
      </c>
      <c r="K2016" s="1">
        <v>3</v>
      </c>
      <c r="L2016" s="24">
        <v>7.7</v>
      </c>
      <c r="M2016" s="24">
        <v>103.23</v>
      </c>
      <c r="N2016" s="21">
        <f t="shared" si="94"/>
        <v>0.30670886075949372</v>
      </c>
      <c r="P2016" s="1">
        <v>5</v>
      </c>
      <c r="Q2016" s="24">
        <v>13.319999999999993</v>
      </c>
      <c r="R2016" s="24">
        <v>97.68</v>
      </c>
      <c r="S2016" s="21">
        <f t="shared" si="95"/>
        <v>0.23645569620253173</v>
      </c>
    </row>
    <row r="2017" spans="2:19" ht="11.4" customHeight="1" x14ac:dyDescent="0.2">
      <c r="B2017" s="24"/>
      <c r="C2017" s="7">
        <v>43387</v>
      </c>
      <c r="D2017" s="18" t="s">
        <v>2108</v>
      </c>
      <c r="E2017" s="18" t="s">
        <v>2075</v>
      </c>
      <c r="F2017" s="18"/>
      <c r="G2017" s="18" t="s">
        <v>23</v>
      </c>
      <c r="H2017" s="17">
        <v>110</v>
      </c>
      <c r="I2017" s="8">
        <v>149.9</v>
      </c>
      <c r="J2017" s="21">
        <f t="shared" si="93"/>
        <v>0.36272727272727279</v>
      </c>
      <c r="K2017" s="1">
        <v>3</v>
      </c>
      <c r="L2017" s="24">
        <v>10.4</v>
      </c>
      <c r="M2017" s="24">
        <v>139.40700000000001</v>
      </c>
      <c r="N2017" s="21">
        <f t="shared" si="94"/>
        <v>0.26733636363636376</v>
      </c>
      <c r="P2017" s="1">
        <v>5</v>
      </c>
      <c r="Q2017" s="24">
        <v>17.988</v>
      </c>
      <c r="R2017" s="24">
        <v>131.91200000000001</v>
      </c>
      <c r="S2017" s="21">
        <f t="shared" si="95"/>
        <v>0.19920000000000004</v>
      </c>
    </row>
    <row r="2018" spans="2:19" ht="11.4" customHeight="1" x14ac:dyDescent="0.2">
      <c r="B2018" s="24"/>
      <c r="C2018" s="7">
        <v>42078</v>
      </c>
      <c r="D2018" s="18" t="s">
        <v>2109</v>
      </c>
      <c r="E2018" s="18" t="s">
        <v>2075</v>
      </c>
      <c r="F2018" s="18"/>
      <c r="G2018" s="18" t="s">
        <v>23</v>
      </c>
      <c r="H2018" s="17">
        <v>47.28</v>
      </c>
      <c r="I2018" s="8">
        <v>66.2</v>
      </c>
      <c r="J2018" s="21">
        <f t="shared" si="93"/>
        <v>0.40016920473773271</v>
      </c>
      <c r="K2018" s="1">
        <v>3</v>
      </c>
      <c r="L2018" s="24">
        <v>4.5999999999999996</v>
      </c>
      <c r="M2018" s="24">
        <v>61.566000000000003</v>
      </c>
      <c r="N2018" s="21">
        <f t="shared" si="94"/>
        <v>0.30215736040609137</v>
      </c>
      <c r="P2018" s="1">
        <v>5</v>
      </c>
      <c r="Q2018" s="24">
        <v>7.9440000000000026</v>
      </c>
      <c r="R2018" s="24">
        <v>58.256</v>
      </c>
      <c r="S2018" s="21">
        <f t="shared" si="95"/>
        <v>0.23214890016920472</v>
      </c>
    </row>
    <row r="2019" spans="2:19" ht="11.4" customHeight="1" x14ac:dyDescent="0.2">
      <c r="B2019" s="24"/>
      <c r="C2019" s="7">
        <v>19641</v>
      </c>
      <c r="D2019" s="18" t="s">
        <v>2110</v>
      </c>
      <c r="E2019" s="18" t="s">
        <v>2060</v>
      </c>
      <c r="F2019" s="18"/>
      <c r="G2019" s="18" t="s">
        <v>902</v>
      </c>
      <c r="H2019" s="17">
        <v>504</v>
      </c>
      <c r="I2019" s="8">
        <v>690</v>
      </c>
      <c r="J2019" s="21">
        <f t="shared" si="93"/>
        <v>0.36904761904761907</v>
      </c>
      <c r="K2019" s="1">
        <v>1</v>
      </c>
      <c r="L2019" s="24">
        <v>34.5</v>
      </c>
      <c r="M2019" s="24">
        <v>655.5</v>
      </c>
      <c r="N2019" s="21">
        <f t="shared" si="94"/>
        <v>0.30059523809523808</v>
      </c>
      <c r="P2019" s="1">
        <v>4</v>
      </c>
      <c r="Q2019" s="24">
        <v>69</v>
      </c>
      <c r="R2019" s="24">
        <v>621</v>
      </c>
      <c r="S2019" s="21">
        <f t="shared" si="95"/>
        <v>0.23214285714285715</v>
      </c>
    </row>
    <row r="2020" spans="2:19" ht="11.4" customHeight="1" x14ac:dyDescent="0.2">
      <c r="B2020" s="24"/>
      <c r="C2020" s="7">
        <v>32141</v>
      </c>
      <c r="D2020" s="18" t="s">
        <v>2111</v>
      </c>
      <c r="E2020" s="18" t="s">
        <v>2060</v>
      </c>
      <c r="F2020" s="18"/>
      <c r="G2020" s="18" t="s">
        <v>902</v>
      </c>
      <c r="H2020" s="17">
        <v>420</v>
      </c>
      <c r="I2020" s="8">
        <v>619</v>
      </c>
      <c r="J2020" s="21">
        <f t="shared" si="93"/>
        <v>0.47380952380952379</v>
      </c>
      <c r="K2020" s="1">
        <v>1</v>
      </c>
      <c r="L2020" s="24">
        <v>30.9</v>
      </c>
      <c r="M2020" s="24">
        <v>588.04999999999995</v>
      </c>
      <c r="N2020" s="21">
        <f t="shared" si="94"/>
        <v>0.40011904761904749</v>
      </c>
      <c r="P2020" s="1">
        <v>4</v>
      </c>
      <c r="Q2020" s="24">
        <v>61.899999999999977</v>
      </c>
      <c r="R2020" s="24">
        <v>557.1</v>
      </c>
      <c r="S2020" s="21">
        <f t="shared" si="95"/>
        <v>0.32642857142857146</v>
      </c>
    </row>
    <row r="2021" spans="2:19" ht="11.4" customHeight="1" x14ac:dyDescent="0.2">
      <c r="B2021" s="24"/>
      <c r="C2021" s="7">
        <v>45853</v>
      </c>
      <c r="D2021" s="18" t="s">
        <v>2112</v>
      </c>
      <c r="E2021" s="18" t="s">
        <v>2060</v>
      </c>
      <c r="F2021" s="17">
        <v>10</v>
      </c>
      <c r="G2021" s="18" t="s">
        <v>23</v>
      </c>
      <c r="H2021" s="17">
        <v>65</v>
      </c>
      <c r="I2021" s="8">
        <v>90.9</v>
      </c>
      <c r="J2021" s="21">
        <f t="shared" si="93"/>
        <v>0.39846153846153853</v>
      </c>
      <c r="K2021" s="1">
        <v>3</v>
      </c>
      <c r="L2021" s="24">
        <v>6.3</v>
      </c>
      <c r="M2021" s="24">
        <v>84.537000000000006</v>
      </c>
      <c r="N2021" s="21">
        <f t="shared" si="94"/>
        <v>0.30056923076923087</v>
      </c>
      <c r="P2021" s="1">
        <v>5</v>
      </c>
      <c r="Q2021" s="24">
        <v>10.908000000000001</v>
      </c>
      <c r="R2021" s="24">
        <v>79.992000000000004</v>
      </c>
      <c r="S2021" s="21">
        <f t="shared" si="95"/>
        <v>0.23064615384615392</v>
      </c>
    </row>
    <row r="2022" spans="2:19" ht="11.4" customHeight="1" x14ac:dyDescent="0.2">
      <c r="B2022" s="24"/>
      <c r="C2022" s="7">
        <v>4039</v>
      </c>
      <c r="D2022" s="18" t="s">
        <v>2113</v>
      </c>
      <c r="E2022" s="18" t="s">
        <v>2060</v>
      </c>
      <c r="F2022" s="18"/>
      <c r="G2022" s="18" t="s">
        <v>902</v>
      </c>
      <c r="H2022" s="17">
        <v>480</v>
      </c>
      <c r="I2022" s="8">
        <v>689</v>
      </c>
      <c r="J2022" s="21">
        <f t="shared" si="93"/>
        <v>0.43541666666666667</v>
      </c>
      <c r="K2022" s="1">
        <v>1</v>
      </c>
      <c r="L2022" s="24">
        <v>34.4</v>
      </c>
      <c r="M2022" s="24">
        <v>654.54999999999995</v>
      </c>
      <c r="N2022" s="21">
        <f t="shared" si="94"/>
        <v>0.36364583333333322</v>
      </c>
      <c r="P2022" s="1">
        <v>4</v>
      </c>
      <c r="Q2022" s="24">
        <v>68.899999999999977</v>
      </c>
      <c r="R2022" s="24">
        <v>620.1</v>
      </c>
      <c r="S2022" s="21">
        <f t="shared" si="95"/>
        <v>0.29187500000000005</v>
      </c>
    </row>
    <row r="2023" spans="2:19" ht="11.4" customHeight="1" x14ac:dyDescent="0.2">
      <c r="B2023" s="24"/>
      <c r="C2023" s="7">
        <v>45798</v>
      </c>
      <c r="D2023" s="18" t="s">
        <v>2114</v>
      </c>
      <c r="E2023" s="18" t="s">
        <v>2060</v>
      </c>
      <c r="F2023" s="17">
        <v>16</v>
      </c>
      <c r="G2023" s="18" t="s">
        <v>23</v>
      </c>
      <c r="H2023" s="17">
        <v>38.76</v>
      </c>
      <c r="I2023" s="8">
        <v>48.5</v>
      </c>
      <c r="J2023" s="21">
        <f t="shared" si="93"/>
        <v>0.25128998968008265</v>
      </c>
      <c r="K2023" s="1">
        <v>3</v>
      </c>
      <c r="L2023" s="24">
        <v>3.3</v>
      </c>
      <c r="M2023" s="24">
        <v>45.105000000000004</v>
      </c>
      <c r="N2023" s="21">
        <f t="shared" si="94"/>
        <v>0.16369969040247695</v>
      </c>
      <c r="P2023" s="1">
        <v>5</v>
      </c>
      <c r="Q2023" s="24">
        <v>5.82</v>
      </c>
      <c r="R2023" s="24">
        <v>42.68</v>
      </c>
      <c r="S2023" s="21">
        <f t="shared" si="95"/>
        <v>0.1011351909184727</v>
      </c>
    </row>
    <row r="2024" spans="2:19" ht="11.4" customHeight="1" x14ac:dyDescent="0.2">
      <c r="B2024" s="24"/>
      <c r="C2024" s="7">
        <v>43394</v>
      </c>
      <c r="D2024" s="18" t="s">
        <v>2115</v>
      </c>
      <c r="E2024" s="18" t="s">
        <v>1135</v>
      </c>
      <c r="F2024" s="18"/>
      <c r="G2024" s="18" t="s">
        <v>23</v>
      </c>
      <c r="H2024" s="17">
        <v>71</v>
      </c>
      <c r="I2024" s="8">
        <v>99.5</v>
      </c>
      <c r="J2024" s="21">
        <f t="shared" si="93"/>
        <v>0.40140845070422537</v>
      </c>
      <c r="K2024" s="1">
        <v>3</v>
      </c>
      <c r="L2024" s="24">
        <v>6.9</v>
      </c>
      <c r="M2024" s="24">
        <v>92.535000000000011</v>
      </c>
      <c r="N2024" s="21">
        <f t="shared" si="94"/>
        <v>0.30330985915492975</v>
      </c>
      <c r="P2024" s="1">
        <v>5</v>
      </c>
      <c r="Q2024" s="24">
        <v>11.939999999999998</v>
      </c>
      <c r="R2024" s="24">
        <v>87.56</v>
      </c>
      <c r="S2024" s="21">
        <f t="shared" si="95"/>
        <v>0.23323943661971835</v>
      </c>
    </row>
    <row r="2025" spans="2:19" ht="11.4" customHeight="1" x14ac:dyDescent="0.2">
      <c r="B2025" s="24"/>
      <c r="C2025" s="7">
        <v>8003</v>
      </c>
      <c r="D2025" s="18" t="s">
        <v>2116</v>
      </c>
      <c r="E2025" s="18" t="s">
        <v>1135</v>
      </c>
      <c r="F2025" s="18"/>
      <c r="G2025" s="18" t="s">
        <v>902</v>
      </c>
      <c r="H2025" s="17">
        <v>240</v>
      </c>
      <c r="I2025" s="8">
        <v>306</v>
      </c>
      <c r="J2025" s="21">
        <f t="shared" si="93"/>
        <v>0.27500000000000002</v>
      </c>
      <c r="K2025" s="1">
        <v>1</v>
      </c>
      <c r="L2025" s="24">
        <v>15.3</v>
      </c>
      <c r="M2025" s="24">
        <v>290.7</v>
      </c>
      <c r="N2025" s="21">
        <f t="shared" si="94"/>
        <v>0.21124999999999997</v>
      </c>
      <c r="P2025" s="1">
        <v>4</v>
      </c>
      <c r="Q2025" s="24">
        <v>30.599999999999966</v>
      </c>
      <c r="R2025" s="24">
        <v>275.40000000000003</v>
      </c>
      <c r="S2025" s="21">
        <f t="shared" si="95"/>
        <v>0.14750000000000013</v>
      </c>
    </row>
    <row r="2026" spans="2:19" ht="11.4" customHeight="1" x14ac:dyDescent="0.2">
      <c r="B2026" s="24"/>
      <c r="C2026" s="7">
        <v>23166</v>
      </c>
      <c r="D2026" s="18" t="s">
        <v>2117</v>
      </c>
      <c r="E2026" s="18" t="s">
        <v>1135</v>
      </c>
      <c r="F2026" s="18"/>
      <c r="G2026" s="18" t="s">
        <v>902</v>
      </c>
      <c r="H2026" s="17">
        <v>40</v>
      </c>
      <c r="I2026" s="8">
        <v>72</v>
      </c>
      <c r="J2026" s="21">
        <f t="shared" si="93"/>
        <v>0.8</v>
      </c>
      <c r="K2026" s="1">
        <v>1</v>
      </c>
      <c r="L2026" s="24">
        <v>3.6</v>
      </c>
      <c r="M2026" s="24">
        <v>68.399999999999991</v>
      </c>
      <c r="N2026" s="21">
        <f t="shared" si="94"/>
        <v>0.70999999999999974</v>
      </c>
      <c r="P2026" s="1">
        <v>4</v>
      </c>
      <c r="Q2026" s="24">
        <v>7.2000000000000028</v>
      </c>
      <c r="R2026" s="24">
        <v>64.8</v>
      </c>
      <c r="S2026" s="21">
        <f t="shared" si="95"/>
        <v>0.61999999999999988</v>
      </c>
    </row>
    <row r="2027" spans="2:19" ht="11.4" customHeight="1" x14ac:dyDescent="0.2">
      <c r="B2027" s="24"/>
      <c r="C2027" s="7">
        <v>44632</v>
      </c>
      <c r="D2027" s="18" t="s">
        <v>2118</v>
      </c>
      <c r="E2027" s="18" t="s">
        <v>1135</v>
      </c>
      <c r="F2027" s="17">
        <v>20</v>
      </c>
      <c r="G2027" s="18" t="s">
        <v>23</v>
      </c>
      <c r="H2027" s="17">
        <v>18.36</v>
      </c>
      <c r="I2027" s="8">
        <v>24.8</v>
      </c>
      <c r="J2027" s="21">
        <f t="shared" si="93"/>
        <v>0.35076252723311557</v>
      </c>
      <c r="K2027" s="1">
        <v>3</v>
      </c>
      <c r="L2027" s="24">
        <v>1.7</v>
      </c>
      <c r="M2027" s="24">
        <v>23.064000000000004</v>
      </c>
      <c r="N2027" s="21">
        <f t="shared" si="94"/>
        <v>0.25620915032679764</v>
      </c>
      <c r="P2027" s="1">
        <v>5</v>
      </c>
      <c r="Q2027" s="24">
        <v>2.9759999999999991</v>
      </c>
      <c r="R2027" s="24">
        <v>21.824000000000002</v>
      </c>
      <c r="S2027" s="21">
        <f t="shared" si="95"/>
        <v>0.18867102396514174</v>
      </c>
    </row>
    <row r="2028" spans="2:19" ht="11.4" customHeight="1" x14ac:dyDescent="0.2">
      <c r="B2028" s="24"/>
      <c r="C2028" s="7">
        <v>42221</v>
      </c>
      <c r="D2028" s="18" t="s">
        <v>2119</v>
      </c>
      <c r="E2028" s="18" t="s">
        <v>1135</v>
      </c>
      <c r="F2028" s="18"/>
      <c r="G2028" s="18" t="s">
        <v>902</v>
      </c>
      <c r="H2028" s="17">
        <v>75</v>
      </c>
      <c r="I2028" s="8">
        <v>108</v>
      </c>
      <c r="J2028" s="21">
        <f t="shared" si="93"/>
        <v>0.44</v>
      </c>
      <c r="K2028" s="1">
        <v>1</v>
      </c>
      <c r="L2028" s="24">
        <v>5.4</v>
      </c>
      <c r="M2028" s="24">
        <v>102.6</v>
      </c>
      <c r="N2028" s="21">
        <f t="shared" si="94"/>
        <v>0.36799999999999994</v>
      </c>
      <c r="P2028" s="1">
        <v>4</v>
      </c>
      <c r="Q2028" s="24">
        <v>10.799999999999997</v>
      </c>
      <c r="R2028" s="24">
        <v>97.2</v>
      </c>
      <c r="S2028" s="21">
        <f t="shared" si="95"/>
        <v>0.29600000000000004</v>
      </c>
    </row>
    <row r="2029" spans="2:19" ht="11.4" customHeight="1" x14ac:dyDescent="0.2">
      <c r="B2029" s="24"/>
      <c r="C2029" s="7">
        <v>40955</v>
      </c>
      <c r="D2029" s="18" t="s">
        <v>2120</v>
      </c>
      <c r="E2029" s="18" t="s">
        <v>2060</v>
      </c>
      <c r="F2029" s="18"/>
      <c r="G2029" s="18" t="s">
        <v>902</v>
      </c>
      <c r="H2029" s="17">
        <v>490</v>
      </c>
      <c r="I2029" s="8">
        <v>674</v>
      </c>
      <c r="J2029" s="21">
        <f t="shared" si="93"/>
        <v>0.37551020408163266</v>
      </c>
      <c r="K2029" s="1">
        <v>1</v>
      </c>
      <c r="L2029" s="24">
        <v>33.700000000000003</v>
      </c>
      <c r="M2029" s="24">
        <v>640.29999999999995</v>
      </c>
      <c r="N2029" s="21">
        <f t="shared" si="94"/>
        <v>0.30673469387755092</v>
      </c>
      <c r="P2029" s="1">
        <v>4</v>
      </c>
      <c r="Q2029" s="24">
        <v>67.399999999999977</v>
      </c>
      <c r="R2029" s="24">
        <v>606.6</v>
      </c>
      <c r="S2029" s="21">
        <f t="shared" si="95"/>
        <v>0.23795918367346944</v>
      </c>
    </row>
    <row r="2030" spans="2:19" ht="11.4" customHeight="1" x14ac:dyDescent="0.2">
      <c r="B2030" s="24"/>
      <c r="C2030" s="7">
        <v>22219</v>
      </c>
      <c r="D2030" s="18" t="s">
        <v>2121</v>
      </c>
      <c r="E2030" s="18" t="s">
        <v>2075</v>
      </c>
      <c r="F2030" s="18"/>
      <c r="G2030" s="18" t="s">
        <v>902</v>
      </c>
      <c r="H2030" s="17">
        <v>160</v>
      </c>
      <c r="I2030" s="8">
        <v>244.9</v>
      </c>
      <c r="J2030" s="21">
        <f t="shared" si="93"/>
        <v>0.53062500000000001</v>
      </c>
      <c r="K2030" s="1">
        <v>1</v>
      </c>
      <c r="L2030" s="24">
        <v>12.2</v>
      </c>
      <c r="M2030" s="24">
        <v>232.655</v>
      </c>
      <c r="N2030" s="21">
        <f t="shared" si="94"/>
        <v>0.45409375000000002</v>
      </c>
      <c r="P2030" s="1">
        <v>4</v>
      </c>
      <c r="Q2030" s="24">
        <v>24.490000000000009</v>
      </c>
      <c r="R2030" s="24">
        <v>220.41</v>
      </c>
      <c r="S2030" s="21">
        <f t="shared" si="95"/>
        <v>0.37756249999999997</v>
      </c>
    </row>
    <row r="2031" spans="2:19" ht="11.4" customHeight="1" x14ac:dyDescent="0.2">
      <c r="B2031" s="24"/>
      <c r="C2031" s="7">
        <v>3020</v>
      </c>
      <c r="D2031" s="18" t="s">
        <v>2122</v>
      </c>
      <c r="E2031" s="18" t="s">
        <v>2075</v>
      </c>
      <c r="F2031" s="18"/>
      <c r="G2031" s="18" t="s">
        <v>902</v>
      </c>
      <c r="H2031" s="17">
        <v>149.9</v>
      </c>
      <c r="I2031" s="8">
        <v>159</v>
      </c>
      <c r="J2031" s="21">
        <f t="shared" si="93"/>
        <v>6.0707138092061332E-2</v>
      </c>
      <c r="K2031" s="1">
        <v>1</v>
      </c>
      <c r="L2031" s="24">
        <v>7.9</v>
      </c>
      <c r="M2031" s="24">
        <v>151.04999999999998</v>
      </c>
      <c r="N2031" s="21">
        <f t="shared" si="94"/>
        <v>7.6717811874581539E-3</v>
      </c>
      <c r="P2031" s="1">
        <v>4</v>
      </c>
      <c r="Q2031" s="24">
        <v>15.900000000000006</v>
      </c>
      <c r="R2031" s="24">
        <v>143.1</v>
      </c>
      <c r="S2031" s="21">
        <f t="shared" si="95"/>
        <v>-4.536357571714484E-2</v>
      </c>
    </row>
    <row r="2032" spans="2:19" ht="11.4" customHeight="1" x14ac:dyDescent="0.2">
      <c r="B2032" s="24"/>
      <c r="C2032" s="7">
        <v>21733</v>
      </c>
      <c r="D2032" s="18" t="s">
        <v>2123</v>
      </c>
      <c r="E2032" s="18" t="s">
        <v>2075</v>
      </c>
      <c r="F2032" s="18"/>
      <c r="G2032" s="18" t="s">
        <v>902</v>
      </c>
      <c r="H2032" s="17">
        <v>249.9</v>
      </c>
      <c r="I2032" s="8">
        <v>249.9</v>
      </c>
      <c r="J2032" s="21">
        <f t="shared" si="93"/>
        <v>0</v>
      </c>
      <c r="K2032" s="1">
        <v>1</v>
      </c>
      <c r="L2032" s="24">
        <v>12.4</v>
      </c>
      <c r="M2032" s="24">
        <v>237.405</v>
      </c>
      <c r="N2032" s="21">
        <f t="shared" si="94"/>
        <v>-5.0000000000000017E-2</v>
      </c>
      <c r="P2032" s="1">
        <v>4</v>
      </c>
      <c r="Q2032" s="24">
        <v>24.990000000000009</v>
      </c>
      <c r="R2032" s="24">
        <v>224.91</v>
      </c>
      <c r="S2032" s="21">
        <f t="shared" si="95"/>
        <v>-0.10000000000000003</v>
      </c>
    </row>
    <row r="2033" spans="2:19" ht="11.4" customHeight="1" x14ac:dyDescent="0.2">
      <c r="B2033" s="24"/>
      <c r="C2033" s="7">
        <v>47144</v>
      </c>
      <c r="D2033" s="18" t="s">
        <v>2124</v>
      </c>
      <c r="E2033" s="18" t="s">
        <v>2060</v>
      </c>
      <c r="F2033" s="17">
        <v>30</v>
      </c>
      <c r="G2033" s="18" t="s">
        <v>23</v>
      </c>
      <c r="H2033" s="17">
        <v>20.46</v>
      </c>
      <c r="I2033" s="8">
        <v>40.9</v>
      </c>
      <c r="J2033" s="21">
        <f t="shared" si="93"/>
        <v>0.99902248289345053</v>
      </c>
      <c r="K2033" s="1">
        <v>3</v>
      </c>
      <c r="L2033" s="24">
        <v>2.8</v>
      </c>
      <c r="M2033" s="24">
        <v>38.036999999999999</v>
      </c>
      <c r="N2033" s="21">
        <f t="shared" si="94"/>
        <v>0.85909090909090902</v>
      </c>
      <c r="P2033" s="1">
        <v>5</v>
      </c>
      <c r="Q2033" s="24">
        <v>4.9080000000000013</v>
      </c>
      <c r="R2033" s="24">
        <v>35.991999999999997</v>
      </c>
      <c r="S2033" s="21">
        <f t="shared" si="95"/>
        <v>0.75913978494623635</v>
      </c>
    </row>
    <row r="2034" spans="2:19" ht="11.4" customHeight="1" x14ac:dyDescent="0.2">
      <c r="B2034" s="24"/>
      <c r="C2034" s="7">
        <v>47145</v>
      </c>
      <c r="D2034" s="18" t="s">
        <v>2125</v>
      </c>
      <c r="E2034" s="18" t="s">
        <v>2060</v>
      </c>
      <c r="F2034" s="17">
        <v>30</v>
      </c>
      <c r="G2034" s="18" t="s">
        <v>23</v>
      </c>
      <c r="H2034" s="17">
        <v>27.36</v>
      </c>
      <c r="I2034" s="8">
        <v>64.5</v>
      </c>
      <c r="J2034" s="21">
        <f t="shared" si="93"/>
        <v>1.3574561403508771</v>
      </c>
      <c r="K2034" s="1">
        <v>3</v>
      </c>
      <c r="L2034" s="24">
        <v>4.5</v>
      </c>
      <c r="M2034" s="24">
        <v>59.985000000000007</v>
      </c>
      <c r="N2034" s="21">
        <f t="shared" si="94"/>
        <v>1.1924342105263162</v>
      </c>
      <c r="P2034" s="1">
        <v>5</v>
      </c>
      <c r="Q2034" s="24">
        <v>7.740000000000002</v>
      </c>
      <c r="R2034" s="24">
        <v>56.76</v>
      </c>
      <c r="S2034" s="21">
        <f t="shared" si="95"/>
        <v>1.0745614035087718</v>
      </c>
    </row>
    <row r="2035" spans="2:19" ht="11.4" customHeight="1" x14ac:dyDescent="0.2">
      <c r="B2035" s="24"/>
      <c r="C2035" s="7">
        <v>47155</v>
      </c>
      <c r="D2035" s="18" t="s">
        <v>2126</v>
      </c>
      <c r="E2035" s="18" t="s">
        <v>2060</v>
      </c>
      <c r="F2035" s="17">
        <v>30</v>
      </c>
      <c r="G2035" s="18" t="s">
        <v>23</v>
      </c>
      <c r="H2035" s="18"/>
      <c r="I2035" s="8">
        <v>59.9</v>
      </c>
      <c r="J2035" s="21" t="e">
        <f t="shared" si="93"/>
        <v>#DIV/0!</v>
      </c>
      <c r="K2035" s="1">
        <v>3</v>
      </c>
      <c r="L2035" s="24">
        <v>4.0999999999999996</v>
      </c>
      <c r="M2035" s="24">
        <v>55.707000000000001</v>
      </c>
      <c r="N2035" s="21" t="e">
        <f t="shared" si="94"/>
        <v>#DIV/0!</v>
      </c>
      <c r="P2035" s="1">
        <v>5</v>
      </c>
      <c r="Q2035" s="24">
        <v>7.1880000000000024</v>
      </c>
      <c r="R2035" s="24">
        <v>52.711999999999996</v>
      </c>
      <c r="S2035" s="21" t="e">
        <f t="shared" si="95"/>
        <v>#DIV/0!</v>
      </c>
    </row>
    <row r="2036" spans="2:19" ht="11.4" customHeight="1" x14ac:dyDescent="0.2">
      <c r="B2036" s="24"/>
      <c r="C2036" s="7">
        <v>47143</v>
      </c>
      <c r="D2036" s="18" t="s">
        <v>2127</v>
      </c>
      <c r="E2036" s="18" t="s">
        <v>2060</v>
      </c>
      <c r="F2036" s="17">
        <v>30</v>
      </c>
      <c r="G2036" s="18" t="s">
        <v>23</v>
      </c>
      <c r="H2036" s="17">
        <v>26.7</v>
      </c>
      <c r="I2036" s="8">
        <v>62.9</v>
      </c>
      <c r="J2036" s="21">
        <f t="shared" si="93"/>
        <v>1.3558052434456931</v>
      </c>
      <c r="K2036" s="1">
        <v>3</v>
      </c>
      <c r="L2036" s="24">
        <v>4.4000000000000004</v>
      </c>
      <c r="M2036" s="24">
        <v>58.497</v>
      </c>
      <c r="N2036" s="21">
        <f t="shared" si="94"/>
        <v>1.1908988764044945</v>
      </c>
      <c r="P2036" s="1">
        <v>5</v>
      </c>
      <c r="Q2036" s="24">
        <v>7.5480000000000018</v>
      </c>
      <c r="R2036" s="24">
        <v>55.351999999999997</v>
      </c>
      <c r="S2036" s="21">
        <f t="shared" si="95"/>
        <v>1.0731086142322097</v>
      </c>
    </row>
    <row r="2037" spans="2:19" ht="11.4" customHeight="1" x14ac:dyDescent="0.2">
      <c r="B2037" s="24"/>
      <c r="C2037" s="7">
        <v>42080</v>
      </c>
      <c r="D2037" s="18" t="s">
        <v>2128</v>
      </c>
      <c r="E2037" s="18" t="s">
        <v>2060</v>
      </c>
      <c r="F2037" s="18"/>
      <c r="G2037" s="18" t="s">
        <v>23</v>
      </c>
      <c r="H2037" s="17">
        <v>47.46</v>
      </c>
      <c r="I2037" s="8">
        <v>66.5</v>
      </c>
      <c r="J2037" s="21">
        <f t="shared" si="93"/>
        <v>0.40117994100294985</v>
      </c>
      <c r="K2037" s="1">
        <v>3</v>
      </c>
      <c r="L2037" s="24">
        <v>4.5999999999999996</v>
      </c>
      <c r="M2037" s="24">
        <v>61.845000000000006</v>
      </c>
      <c r="N2037" s="21">
        <f t="shared" si="94"/>
        <v>0.30309734513274345</v>
      </c>
      <c r="P2037" s="1">
        <v>5</v>
      </c>
      <c r="Q2037" s="24">
        <v>7.9799999999999969</v>
      </c>
      <c r="R2037" s="24">
        <v>58.52</v>
      </c>
      <c r="S2037" s="21">
        <f t="shared" si="95"/>
        <v>0.23303834808259591</v>
      </c>
    </row>
    <row r="2038" spans="2:19" ht="11.4" customHeight="1" x14ac:dyDescent="0.2">
      <c r="B2038" s="24"/>
      <c r="C2038" s="7">
        <v>42081</v>
      </c>
      <c r="D2038" s="18" t="s">
        <v>2129</v>
      </c>
      <c r="E2038" s="18" t="s">
        <v>2060</v>
      </c>
      <c r="F2038" s="18"/>
      <c r="G2038" s="18" t="s">
        <v>23</v>
      </c>
      <c r="H2038" s="17">
        <v>26.1</v>
      </c>
      <c r="I2038" s="8">
        <v>36.9</v>
      </c>
      <c r="J2038" s="21">
        <f t="shared" si="93"/>
        <v>0.41379310344827575</v>
      </c>
      <c r="K2038" s="1">
        <v>3</v>
      </c>
      <c r="L2038" s="24">
        <v>2.5</v>
      </c>
      <c r="M2038" s="24">
        <v>34.317</v>
      </c>
      <c r="N2038" s="21">
        <f t="shared" si="94"/>
        <v>0.31482758620689649</v>
      </c>
      <c r="P2038" s="1">
        <v>5</v>
      </c>
      <c r="Q2038" s="24">
        <v>4.4279999999999973</v>
      </c>
      <c r="R2038" s="24">
        <v>32.472000000000001</v>
      </c>
      <c r="S2038" s="21">
        <f t="shared" si="95"/>
        <v>0.24413793103448275</v>
      </c>
    </row>
    <row r="2039" spans="2:19" ht="11.4" customHeight="1" x14ac:dyDescent="0.2">
      <c r="B2039" s="24"/>
      <c r="C2039" s="7">
        <v>47150</v>
      </c>
      <c r="D2039" s="18" t="s">
        <v>2130</v>
      </c>
      <c r="E2039" s="18" t="s">
        <v>2060</v>
      </c>
      <c r="F2039" s="17">
        <v>30</v>
      </c>
      <c r="G2039" s="18" t="s">
        <v>23</v>
      </c>
      <c r="H2039" s="17">
        <v>26.7</v>
      </c>
      <c r="I2039" s="8">
        <v>62.5</v>
      </c>
      <c r="J2039" s="21">
        <f t="shared" si="93"/>
        <v>1.3408239700374531</v>
      </c>
      <c r="K2039" s="1">
        <v>3</v>
      </c>
      <c r="L2039" s="24">
        <v>4.3</v>
      </c>
      <c r="M2039" s="24">
        <v>58.125</v>
      </c>
      <c r="N2039" s="21">
        <f t="shared" si="94"/>
        <v>1.1769662921348316</v>
      </c>
      <c r="P2039" s="1">
        <v>5</v>
      </c>
      <c r="Q2039" s="24">
        <v>7.5</v>
      </c>
      <c r="R2039" s="24">
        <v>55</v>
      </c>
      <c r="S2039" s="21">
        <f t="shared" si="95"/>
        <v>1.0599250936329589</v>
      </c>
    </row>
    <row r="2040" spans="2:19" ht="11.4" customHeight="1" x14ac:dyDescent="0.2">
      <c r="B2040" s="24"/>
      <c r="C2040" s="7">
        <v>43146</v>
      </c>
      <c r="D2040" s="18" t="s">
        <v>2131</v>
      </c>
      <c r="E2040" s="18" t="s">
        <v>2060</v>
      </c>
      <c r="F2040" s="18"/>
      <c r="G2040" s="18" t="s">
        <v>23</v>
      </c>
      <c r="H2040" s="17">
        <v>185.63</v>
      </c>
      <c r="I2040" s="8">
        <v>269.89999999999998</v>
      </c>
      <c r="J2040" s="21">
        <f t="shared" si="93"/>
        <v>0.45396756989710707</v>
      </c>
      <c r="K2040" s="1">
        <v>3</v>
      </c>
      <c r="L2040" s="24">
        <v>18.8</v>
      </c>
      <c r="M2040" s="24">
        <v>251.00700000000001</v>
      </c>
      <c r="N2040" s="21">
        <f t="shared" si="94"/>
        <v>0.3521898400043097</v>
      </c>
      <c r="P2040" s="1">
        <v>5</v>
      </c>
      <c r="Q2040" s="24">
        <v>32.388000000000005</v>
      </c>
      <c r="R2040" s="24">
        <v>237.51199999999997</v>
      </c>
      <c r="S2040" s="21">
        <f t="shared" si="95"/>
        <v>0.2794914615094542</v>
      </c>
    </row>
    <row r="2041" spans="2:19" ht="11.4" customHeight="1" x14ac:dyDescent="0.2">
      <c r="B2041" s="24"/>
      <c r="C2041" s="7">
        <v>19231</v>
      </c>
      <c r="D2041" s="18" t="s">
        <v>2132</v>
      </c>
      <c r="E2041" s="18" t="s">
        <v>2075</v>
      </c>
      <c r="F2041" s="18"/>
      <c r="G2041" s="18" t="s">
        <v>902</v>
      </c>
      <c r="H2041" s="17">
        <v>99.9</v>
      </c>
      <c r="I2041" s="8">
        <v>99</v>
      </c>
      <c r="J2041" s="21">
        <f t="shared" si="93"/>
        <v>-9.0090090090090662E-3</v>
      </c>
      <c r="K2041" s="1">
        <v>1</v>
      </c>
      <c r="L2041" s="24">
        <v>4.9000000000000004</v>
      </c>
      <c r="M2041" s="24">
        <v>94.05</v>
      </c>
      <c r="N2041" s="21">
        <f t="shared" si="94"/>
        <v>-5.855855855855864E-2</v>
      </c>
      <c r="P2041" s="1">
        <v>4</v>
      </c>
      <c r="Q2041" s="24">
        <v>9.8999999999999915</v>
      </c>
      <c r="R2041" s="24">
        <v>89.100000000000009</v>
      </c>
      <c r="S2041" s="21">
        <f t="shared" si="95"/>
        <v>-0.10810810810810807</v>
      </c>
    </row>
    <row r="2042" spans="2:19" ht="11.4" customHeight="1" x14ac:dyDescent="0.2">
      <c r="B2042" s="24"/>
      <c r="C2042" s="7">
        <v>31987</v>
      </c>
      <c r="D2042" s="18" t="s">
        <v>2133</v>
      </c>
      <c r="E2042" s="18" t="s">
        <v>2075</v>
      </c>
      <c r="F2042" s="18"/>
      <c r="G2042" s="18" t="s">
        <v>23</v>
      </c>
      <c r="H2042" s="17">
        <v>99.9</v>
      </c>
      <c r="I2042" s="8">
        <v>99.9</v>
      </c>
      <c r="J2042" s="21">
        <f t="shared" si="93"/>
        <v>0</v>
      </c>
      <c r="K2042" s="1">
        <v>3</v>
      </c>
      <c r="L2042" s="24">
        <v>6.9</v>
      </c>
      <c r="M2042" s="24">
        <v>92.907000000000011</v>
      </c>
      <c r="N2042" s="21">
        <f t="shared" si="94"/>
        <v>-6.9999999999999951E-2</v>
      </c>
      <c r="P2042" s="1">
        <v>5</v>
      </c>
      <c r="Q2042" s="24">
        <v>11.988</v>
      </c>
      <c r="R2042" s="24">
        <v>87.912000000000006</v>
      </c>
      <c r="S2042" s="21">
        <f t="shared" si="95"/>
        <v>-0.12</v>
      </c>
    </row>
    <row r="2043" spans="2:19" ht="11.4" customHeight="1" x14ac:dyDescent="0.2">
      <c r="B2043" s="24"/>
      <c r="C2043" s="7">
        <v>22299</v>
      </c>
      <c r="D2043" s="18" t="s">
        <v>2134</v>
      </c>
      <c r="E2043" s="18" t="s">
        <v>2075</v>
      </c>
      <c r="F2043" s="18"/>
      <c r="G2043" s="18" t="s">
        <v>902</v>
      </c>
      <c r="H2043" s="17">
        <v>357</v>
      </c>
      <c r="I2043" s="8">
        <v>399</v>
      </c>
      <c r="J2043" s="21">
        <f t="shared" si="93"/>
        <v>0.11764705882352941</v>
      </c>
      <c r="K2043" s="1">
        <v>1</v>
      </c>
      <c r="L2043" s="24">
        <v>19.899999999999999</v>
      </c>
      <c r="M2043" s="24">
        <v>379.04999999999995</v>
      </c>
      <c r="N2043" s="21">
        <f t="shared" si="94"/>
        <v>6.1764705882352812E-2</v>
      </c>
      <c r="P2043" s="1">
        <v>4</v>
      </c>
      <c r="Q2043" s="24">
        <v>39.899999999999977</v>
      </c>
      <c r="R2043" s="24">
        <v>359.1</v>
      </c>
      <c r="S2043" s="21">
        <f t="shared" si="95"/>
        <v>5.8823529411765347E-3</v>
      </c>
    </row>
    <row r="2044" spans="2:19" ht="11.4" customHeight="1" x14ac:dyDescent="0.2">
      <c r="B2044" s="24"/>
      <c r="C2044" s="7">
        <v>4041</v>
      </c>
      <c r="D2044" s="18" t="s">
        <v>2135</v>
      </c>
      <c r="E2044" s="18" t="s">
        <v>2075</v>
      </c>
      <c r="F2044" s="18"/>
      <c r="G2044" s="18" t="s">
        <v>902</v>
      </c>
      <c r="H2044" s="17">
        <v>94.9</v>
      </c>
      <c r="I2044" s="8">
        <v>139</v>
      </c>
      <c r="J2044" s="21">
        <f t="shared" si="93"/>
        <v>0.464699683877766</v>
      </c>
      <c r="K2044" s="1">
        <v>1</v>
      </c>
      <c r="L2044" s="24">
        <v>6.9</v>
      </c>
      <c r="M2044" s="24">
        <v>132.04999999999998</v>
      </c>
      <c r="N2044" s="21">
        <f t="shared" si="94"/>
        <v>0.39146469968387748</v>
      </c>
      <c r="P2044" s="1">
        <v>4</v>
      </c>
      <c r="Q2044" s="24">
        <v>13.899999999999991</v>
      </c>
      <c r="R2044" s="24">
        <v>125.10000000000001</v>
      </c>
      <c r="S2044" s="21">
        <f t="shared" si="95"/>
        <v>0.31822971548998946</v>
      </c>
    </row>
    <row r="2045" spans="2:19" ht="11.4" customHeight="1" x14ac:dyDescent="0.2">
      <c r="B2045" s="24"/>
      <c r="C2045" s="7">
        <v>34034</v>
      </c>
      <c r="D2045" s="18" t="s">
        <v>2136</v>
      </c>
      <c r="E2045" s="18" t="s">
        <v>2075</v>
      </c>
      <c r="F2045" s="18"/>
      <c r="G2045" s="18" t="s">
        <v>23</v>
      </c>
      <c r="H2045" s="17">
        <v>77</v>
      </c>
      <c r="I2045" s="8">
        <v>68</v>
      </c>
      <c r="J2045" s="21">
        <f t="shared" si="93"/>
        <v>-0.11688311688311688</v>
      </c>
      <c r="K2045" s="1">
        <v>3</v>
      </c>
      <c r="L2045" s="24">
        <v>4.7</v>
      </c>
      <c r="M2045" s="24">
        <v>63.24</v>
      </c>
      <c r="N2045" s="21">
        <f t="shared" si="94"/>
        <v>-0.17870129870129867</v>
      </c>
      <c r="P2045" s="1">
        <v>5</v>
      </c>
      <c r="Q2045" s="24">
        <v>8.1599999999999966</v>
      </c>
      <c r="R2045" s="24">
        <v>59.84</v>
      </c>
      <c r="S2045" s="21">
        <f t="shared" si="95"/>
        <v>-0.22285714285714281</v>
      </c>
    </row>
    <row r="2046" spans="2:19" ht="11.4" customHeight="1" x14ac:dyDescent="0.2">
      <c r="B2046" s="24"/>
      <c r="C2046" s="7">
        <v>45855</v>
      </c>
      <c r="D2046" s="18" t="s">
        <v>2137</v>
      </c>
      <c r="E2046" s="18" t="s">
        <v>2060</v>
      </c>
      <c r="F2046" s="17">
        <v>10</v>
      </c>
      <c r="G2046" s="18" t="s">
        <v>23</v>
      </c>
      <c r="H2046" s="17">
        <v>73</v>
      </c>
      <c r="I2046" s="8">
        <v>102.9</v>
      </c>
      <c r="J2046" s="21">
        <f t="shared" si="93"/>
        <v>0.4095890410958905</v>
      </c>
      <c r="K2046" s="1">
        <v>3</v>
      </c>
      <c r="L2046" s="24">
        <v>7.2</v>
      </c>
      <c r="M2046" s="24">
        <v>95.697000000000017</v>
      </c>
      <c r="N2046" s="21">
        <f t="shared" si="94"/>
        <v>0.3109178082191783</v>
      </c>
      <c r="P2046" s="1">
        <v>5</v>
      </c>
      <c r="Q2046" s="24">
        <v>12.347999999999999</v>
      </c>
      <c r="R2046" s="24">
        <v>90.552000000000007</v>
      </c>
      <c r="S2046" s="21">
        <f t="shared" si="95"/>
        <v>0.24043835616438367</v>
      </c>
    </row>
    <row r="2047" spans="2:19" ht="11.4" customHeight="1" x14ac:dyDescent="0.2">
      <c r="B2047" s="24"/>
      <c r="C2047" s="7">
        <v>4772</v>
      </c>
      <c r="D2047" s="18" t="s">
        <v>2138</v>
      </c>
      <c r="E2047" s="18" t="s">
        <v>2060</v>
      </c>
      <c r="F2047" s="18"/>
      <c r="G2047" s="18" t="s">
        <v>902</v>
      </c>
      <c r="H2047" s="17">
        <v>609.9</v>
      </c>
      <c r="I2047" s="8">
        <v>749.9</v>
      </c>
      <c r="J2047" s="21">
        <f t="shared" si="93"/>
        <v>0.22954582718478439</v>
      </c>
      <c r="K2047" s="1">
        <v>1</v>
      </c>
      <c r="L2047" s="24">
        <v>37.4</v>
      </c>
      <c r="M2047" s="24">
        <v>712.40499999999997</v>
      </c>
      <c r="N2047" s="21">
        <f t="shared" si="94"/>
        <v>0.16806853582554518</v>
      </c>
      <c r="P2047" s="1">
        <v>4</v>
      </c>
      <c r="Q2047" s="24">
        <v>74.990000000000009</v>
      </c>
      <c r="R2047" s="24">
        <v>674.91</v>
      </c>
      <c r="S2047" s="21">
        <f t="shared" si="95"/>
        <v>0.10659124446630594</v>
      </c>
    </row>
    <row r="2048" spans="2:19" ht="11.4" customHeight="1" x14ac:dyDescent="0.2">
      <c r="B2048" s="24"/>
      <c r="C2048" s="7">
        <v>25790</v>
      </c>
      <c r="D2048" s="18" t="s">
        <v>2139</v>
      </c>
      <c r="E2048" s="18" t="s">
        <v>2060</v>
      </c>
      <c r="F2048" s="17">
        <v>6</v>
      </c>
      <c r="G2048" s="18" t="s">
        <v>23</v>
      </c>
      <c r="H2048" s="17">
        <v>159.53</v>
      </c>
      <c r="I2048" s="8">
        <v>234.6</v>
      </c>
      <c r="J2048" s="21">
        <f t="shared" si="93"/>
        <v>0.47056979878392774</v>
      </c>
      <c r="K2048" s="1">
        <v>3</v>
      </c>
      <c r="L2048" s="24">
        <v>16.399999999999999</v>
      </c>
      <c r="M2048" s="24">
        <v>218.178</v>
      </c>
      <c r="N2048" s="21">
        <f t="shared" si="94"/>
        <v>0.36762991286905283</v>
      </c>
      <c r="P2048" s="1">
        <v>5</v>
      </c>
      <c r="Q2048" s="24">
        <v>28.151999999999987</v>
      </c>
      <c r="R2048" s="24">
        <v>206.44800000000001</v>
      </c>
      <c r="S2048" s="21">
        <f t="shared" si="95"/>
        <v>0.29410142292985647</v>
      </c>
    </row>
    <row r="2049" spans="2:19" ht="11.4" customHeight="1" x14ac:dyDescent="0.2">
      <c r="B2049" s="24"/>
      <c r="C2049" s="7">
        <v>45803</v>
      </c>
      <c r="D2049" s="18" t="s">
        <v>2140</v>
      </c>
      <c r="E2049" s="18" t="s">
        <v>2060</v>
      </c>
      <c r="F2049" s="17">
        <v>10</v>
      </c>
      <c r="G2049" s="18" t="s">
        <v>23</v>
      </c>
      <c r="H2049" s="17">
        <v>278.58</v>
      </c>
      <c r="I2049" s="8">
        <v>348.2</v>
      </c>
      <c r="J2049" s="21">
        <f t="shared" si="93"/>
        <v>0.24991025917151269</v>
      </c>
      <c r="K2049" s="1">
        <v>3</v>
      </c>
      <c r="L2049" s="24">
        <v>24.3</v>
      </c>
      <c r="M2049" s="24">
        <v>323.82600000000002</v>
      </c>
      <c r="N2049" s="21">
        <f t="shared" si="94"/>
        <v>0.16241654102950692</v>
      </c>
      <c r="P2049" s="1">
        <v>5</v>
      </c>
      <c r="Q2049" s="24">
        <v>41.783999999999992</v>
      </c>
      <c r="R2049" s="24">
        <v>306.416</v>
      </c>
      <c r="S2049" s="21">
        <f t="shared" si="95"/>
        <v>9.99210280709312E-2</v>
      </c>
    </row>
    <row r="2050" spans="2:19" ht="11.4" customHeight="1" x14ac:dyDescent="0.2">
      <c r="B2050" s="24"/>
      <c r="C2050" s="7">
        <v>45796</v>
      </c>
      <c r="D2050" s="18" t="s">
        <v>2141</v>
      </c>
      <c r="E2050" s="18" t="s">
        <v>2060</v>
      </c>
      <c r="F2050" s="17">
        <v>16</v>
      </c>
      <c r="G2050" s="18" t="s">
        <v>23</v>
      </c>
      <c r="H2050" s="17">
        <v>48.3</v>
      </c>
      <c r="I2050" s="8">
        <v>60.4</v>
      </c>
      <c r="J2050" s="21">
        <f t="shared" si="93"/>
        <v>0.25051759834368537</v>
      </c>
      <c r="K2050" s="1">
        <v>3</v>
      </c>
      <c r="L2050" s="24">
        <v>4.2</v>
      </c>
      <c r="M2050" s="24">
        <v>56.172000000000004</v>
      </c>
      <c r="N2050" s="21">
        <f t="shared" si="94"/>
        <v>0.16298136645962749</v>
      </c>
      <c r="P2050" s="1">
        <v>5</v>
      </c>
      <c r="Q2050" s="24">
        <v>7.2479999999999976</v>
      </c>
      <c r="R2050" s="24">
        <v>53.152000000000001</v>
      </c>
      <c r="S2050" s="21">
        <f t="shared" si="95"/>
        <v>0.10045548654244316</v>
      </c>
    </row>
    <row r="2051" spans="2:19" ht="11.4" customHeight="1" x14ac:dyDescent="0.2">
      <c r="B2051" s="24"/>
      <c r="C2051" s="7">
        <v>45878</v>
      </c>
      <c r="D2051" s="18" t="s">
        <v>2142</v>
      </c>
      <c r="E2051" s="18" t="s">
        <v>2060</v>
      </c>
      <c r="F2051" s="17">
        <v>8</v>
      </c>
      <c r="G2051" s="18" t="s">
        <v>23</v>
      </c>
      <c r="H2051" s="17">
        <v>100.02</v>
      </c>
      <c r="I2051" s="8">
        <v>125</v>
      </c>
      <c r="J2051" s="21">
        <f t="shared" ref="J2051:J2114" si="96">(I2051-H2051)/H2051</f>
        <v>0.24975004999000205</v>
      </c>
      <c r="K2051" s="1">
        <v>3</v>
      </c>
      <c r="L2051" s="24">
        <v>8.6999999999999993</v>
      </c>
      <c r="M2051" s="24">
        <v>116.25</v>
      </c>
      <c r="N2051" s="21">
        <f t="shared" ref="N2051:N2114" si="97">(M2051-H2051)/H2051</f>
        <v>0.16226754649070191</v>
      </c>
      <c r="P2051" s="1">
        <v>5</v>
      </c>
      <c r="Q2051" s="24">
        <v>15</v>
      </c>
      <c r="R2051" s="24">
        <v>110</v>
      </c>
      <c r="S2051" s="21">
        <f t="shared" ref="S2051:S2114" si="98">(R2051-H2051)/H2051</f>
        <v>9.97800439912018E-2</v>
      </c>
    </row>
    <row r="2052" spans="2:19" ht="11.4" customHeight="1" x14ac:dyDescent="0.2">
      <c r="B2052" s="24"/>
      <c r="C2052" s="7">
        <v>23157</v>
      </c>
      <c r="D2052" s="18" t="s">
        <v>2143</v>
      </c>
      <c r="E2052" s="18" t="s">
        <v>2060</v>
      </c>
      <c r="F2052" s="18"/>
      <c r="G2052" s="18" t="s">
        <v>902</v>
      </c>
      <c r="H2052" s="17">
        <v>530</v>
      </c>
      <c r="I2052" s="8">
        <v>799.9</v>
      </c>
      <c r="J2052" s="21">
        <f t="shared" si="96"/>
        <v>0.50924528301886784</v>
      </c>
      <c r="K2052" s="1">
        <v>1</v>
      </c>
      <c r="L2052" s="24">
        <v>39.9</v>
      </c>
      <c r="M2052" s="24">
        <v>759.90499999999997</v>
      </c>
      <c r="N2052" s="21">
        <f t="shared" si="97"/>
        <v>0.43378301886792447</v>
      </c>
      <c r="P2052" s="1">
        <v>4</v>
      </c>
      <c r="Q2052" s="24">
        <v>79.990000000000009</v>
      </c>
      <c r="R2052" s="24">
        <v>719.91</v>
      </c>
      <c r="S2052" s="21">
        <f t="shared" si="98"/>
        <v>0.35832075471698105</v>
      </c>
    </row>
    <row r="2053" spans="2:19" ht="11.4" customHeight="1" x14ac:dyDescent="0.2">
      <c r="B2053" s="24"/>
      <c r="C2053" s="7">
        <v>42220</v>
      </c>
      <c r="D2053" s="18" t="s">
        <v>2144</v>
      </c>
      <c r="E2053" s="18" t="s">
        <v>2060</v>
      </c>
      <c r="F2053" s="18"/>
      <c r="G2053" s="18" t="s">
        <v>902</v>
      </c>
      <c r="H2053" s="17">
        <v>440</v>
      </c>
      <c r="I2053" s="8">
        <v>882.5</v>
      </c>
      <c r="J2053" s="21">
        <f t="shared" si="96"/>
        <v>1.0056818181818181</v>
      </c>
      <c r="K2053" s="1">
        <v>1</v>
      </c>
      <c r="L2053" s="24">
        <v>44.1</v>
      </c>
      <c r="M2053" s="24">
        <v>838.375</v>
      </c>
      <c r="N2053" s="21">
        <f t="shared" si="97"/>
        <v>0.90539772727272727</v>
      </c>
      <c r="P2053" s="1">
        <v>4</v>
      </c>
      <c r="Q2053" s="24">
        <v>88.25</v>
      </c>
      <c r="R2053" s="24">
        <v>794.25</v>
      </c>
      <c r="S2053" s="21">
        <f t="shared" si="98"/>
        <v>0.80511363636363631</v>
      </c>
    </row>
    <row r="2054" spans="2:19" ht="11.4" customHeight="1" x14ac:dyDescent="0.2">
      <c r="B2054" s="24"/>
      <c r="C2054" s="7">
        <v>45852</v>
      </c>
      <c r="D2054" s="18" t="s">
        <v>2145</v>
      </c>
      <c r="E2054" s="18" t="s">
        <v>2060</v>
      </c>
      <c r="F2054" s="17">
        <v>10</v>
      </c>
      <c r="G2054" s="18" t="s">
        <v>23</v>
      </c>
      <c r="H2054" s="17">
        <v>95</v>
      </c>
      <c r="I2054" s="8">
        <v>104.9</v>
      </c>
      <c r="J2054" s="21">
        <f t="shared" si="96"/>
        <v>0.10421052631578953</v>
      </c>
      <c r="K2054" s="1">
        <v>3</v>
      </c>
      <c r="L2054" s="24">
        <v>7.3</v>
      </c>
      <c r="M2054" s="24">
        <v>97.557000000000016</v>
      </c>
      <c r="N2054" s="21">
        <f t="shared" si="97"/>
        <v>2.6915789473684382E-2</v>
      </c>
      <c r="P2054" s="1">
        <v>5</v>
      </c>
      <c r="Q2054" s="24">
        <v>12.587999999999994</v>
      </c>
      <c r="R2054" s="24">
        <v>92.312000000000012</v>
      </c>
      <c r="S2054" s="21">
        <f t="shared" si="98"/>
        <v>-2.829473684210514E-2</v>
      </c>
    </row>
    <row r="2055" spans="2:19" ht="11.4" customHeight="1" x14ac:dyDescent="0.2">
      <c r="B2055" s="24"/>
      <c r="C2055" s="7">
        <v>4040</v>
      </c>
      <c r="D2055" s="18" t="s">
        <v>2146</v>
      </c>
      <c r="E2055" s="18" t="s">
        <v>2060</v>
      </c>
      <c r="F2055" s="18"/>
      <c r="G2055" s="18" t="s">
        <v>902</v>
      </c>
      <c r="H2055" s="17">
        <v>750</v>
      </c>
      <c r="I2055" s="8">
        <v>889</v>
      </c>
      <c r="J2055" s="21">
        <f t="shared" si="96"/>
        <v>0.18533333333333332</v>
      </c>
      <c r="K2055" s="1">
        <v>1</v>
      </c>
      <c r="L2055" s="24">
        <v>44.4</v>
      </c>
      <c r="M2055" s="24">
        <v>844.55</v>
      </c>
      <c r="N2055" s="21">
        <f t="shared" si="97"/>
        <v>0.1260666666666666</v>
      </c>
      <c r="P2055" s="1">
        <v>4</v>
      </c>
      <c r="Q2055" s="24">
        <v>88.899999999999977</v>
      </c>
      <c r="R2055" s="24">
        <v>800.1</v>
      </c>
      <c r="S2055" s="21">
        <f t="shared" si="98"/>
        <v>6.6800000000000026E-2</v>
      </c>
    </row>
    <row r="2056" spans="2:19" ht="11.4" customHeight="1" x14ac:dyDescent="0.2">
      <c r="B2056" s="24"/>
      <c r="C2056" s="7">
        <v>42076</v>
      </c>
      <c r="D2056" s="18" t="s">
        <v>2147</v>
      </c>
      <c r="E2056" s="18" t="s">
        <v>2060</v>
      </c>
      <c r="F2056" s="18"/>
      <c r="G2056" s="18" t="s">
        <v>23</v>
      </c>
      <c r="H2056" s="17">
        <v>105.78</v>
      </c>
      <c r="I2056" s="8">
        <v>148.19999999999999</v>
      </c>
      <c r="J2056" s="21">
        <f t="shared" si="96"/>
        <v>0.40102098695405547</v>
      </c>
      <c r="K2056" s="1">
        <v>3</v>
      </c>
      <c r="L2056" s="24">
        <v>10.3</v>
      </c>
      <c r="M2056" s="24">
        <v>137.82599999999999</v>
      </c>
      <c r="N2056" s="21">
        <f t="shared" si="97"/>
        <v>0.30294951786727164</v>
      </c>
      <c r="P2056" s="1">
        <v>5</v>
      </c>
      <c r="Q2056" s="24">
        <v>17.783999999999992</v>
      </c>
      <c r="R2056" s="24">
        <v>130.416</v>
      </c>
      <c r="S2056" s="21">
        <f t="shared" si="98"/>
        <v>0.23289846851956889</v>
      </c>
    </row>
    <row r="2057" spans="2:19" ht="11.4" customHeight="1" x14ac:dyDescent="0.2">
      <c r="B2057" s="24"/>
      <c r="C2057" s="7">
        <v>40958</v>
      </c>
      <c r="D2057" s="18" t="s">
        <v>2148</v>
      </c>
      <c r="E2057" s="18" t="s">
        <v>2086</v>
      </c>
      <c r="F2057" s="18"/>
      <c r="G2057" s="18" t="s">
        <v>902</v>
      </c>
      <c r="H2057" s="17">
        <v>275</v>
      </c>
      <c r="I2057" s="8">
        <v>327</v>
      </c>
      <c r="J2057" s="21">
        <f t="shared" si="96"/>
        <v>0.18909090909090909</v>
      </c>
      <c r="K2057" s="1">
        <v>1</v>
      </c>
      <c r="L2057" s="24">
        <v>16.3</v>
      </c>
      <c r="M2057" s="24">
        <v>310.64999999999998</v>
      </c>
      <c r="N2057" s="21">
        <f t="shared" si="97"/>
        <v>0.12963636363636355</v>
      </c>
      <c r="P2057" s="1">
        <v>4</v>
      </c>
      <c r="Q2057" s="24">
        <v>32.699999999999989</v>
      </c>
      <c r="R2057" s="24">
        <v>294.3</v>
      </c>
      <c r="S2057" s="21">
        <f t="shared" si="98"/>
        <v>7.018181818181822E-2</v>
      </c>
    </row>
    <row r="2058" spans="2:19" ht="11.4" customHeight="1" x14ac:dyDescent="0.2">
      <c r="B2058" s="24"/>
      <c r="C2058" s="7">
        <v>21349</v>
      </c>
      <c r="D2058" s="18" t="s">
        <v>2149</v>
      </c>
      <c r="E2058" s="18" t="s">
        <v>2086</v>
      </c>
      <c r="F2058" s="18"/>
      <c r="G2058" s="18" t="s">
        <v>902</v>
      </c>
      <c r="H2058" s="17">
        <v>240</v>
      </c>
      <c r="I2058" s="8">
        <v>249.9</v>
      </c>
      <c r="J2058" s="21">
        <f t="shared" si="96"/>
        <v>4.1250000000000023E-2</v>
      </c>
      <c r="K2058" s="1">
        <v>1</v>
      </c>
      <c r="L2058" s="24">
        <v>12.4</v>
      </c>
      <c r="M2058" s="24">
        <v>237.405</v>
      </c>
      <c r="N2058" s="21">
        <f t="shared" si="97"/>
        <v>-1.0812499999999996E-2</v>
      </c>
      <c r="P2058" s="1">
        <v>4</v>
      </c>
      <c r="Q2058" s="24">
        <v>24.990000000000009</v>
      </c>
      <c r="R2058" s="24">
        <v>224.91</v>
      </c>
      <c r="S2058" s="21">
        <f t="shared" si="98"/>
        <v>-6.2875000000000014E-2</v>
      </c>
    </row>
    <row r="2059" spans="2:19" ht="11.4" customHeight="1" x14ac:dyDescent="0.2">
      <c r="B2059" s="24"/>
      <c r="C2059" s="7">
        <v>21351</v>
      </c>
      <c r="D2059" s="18" t="s">
        <v>2150</v>
      </c>
      <c r="E2059" s="18" t="s">
        <v>2086</v>
      </c>
      <c r="F2059" s="18"/>
      <c r="G2059" s="18" t="s">
        <v>902</v>
      </c>
      <c r="H2059" s="17">
        <v>224</v>
      </c>
      <c r="I2059" s="8">
        <v>349</v>
      </c>
      <c r="J2059" s="21">
        <f t="shared" si="96"/>
        <v>0.5580357142857143</v>
      </c>
      <c r="K2059" s="1">
        <v>1</v>
      </c>
      <c r="L2059" s="24">
        <v>17.399999999999999</v>
      </c>
      <c r="M2059" s="24">
        <v>331.55</v>
      </c>
      <c r="N2059" s="21">
        <f t="shared" si="97"/>
        <v>0.48013392857142861</v>
      </c>
      <c r="P2059" s="1">
        <v>4</v>
      </c>
      <c r="Q2059" s="24">
        <v>34.899999999999977</v>
      </c>
      <c r="R2059" s="24">
        <v>314.10000000000002</v>
      </c>
      <c r="S2059" s="21">
        <f t="shared" si="98"/>
        <v>0.40223214285714298</v>
      </c>
    </row>
    <row r="2060" spans="2:19" ht="11.4" customHeight="1" x14ac:dyDescent="0.2">
      <c r="B2060" s="24"/>
      <c r="C2060" s="7">
        <v>5175</v>
      </c>
      <c r="D2060" s="18" t="s">
        <v>2151</v>
      </c>
      <c r="E2060" s="18" t="s">
        <v>2086</v>
      </c>
      <c r="F2060" s="18"/>
      <c r="G2060" s="18" t="s">
        <v>902</v>
      </c>
      <c r="H2060" s="17">
        <v>239.9</v>
      </c>
      <c r="I2060" s="8">
        <v>299</v>
      </c>
      <c r="J2060" s="21">
        <f t="shared" si="96"/>
        <v>0.24635264693622339</v>
      </c>
      <c r="K2060" s="1">
        <v>1</v>
      </c>
      <c r="L2060" s="24">
        <v>14.9</v>
      </c>
      <c r="M2060" s="24">
        <v>284.05</v>
      </c>
      <c r="N2060" s="21">
        <f t="shared" si="97"/>
        <v>0.18403501458941227</v>
      </c>
      <c r="P2060" s="1">
        <v>4</v>
      </c>
      <c r="Q2060" s="24">
        <v>29.899999999999977</v>
      </c>
      <c r="R2060" s="24">
        <v>269.10000000000002</v>
      </c>
      <c r="S2060" s="21">
        <f t="shared" si="98"/>
        <v>0.12171738224260115</v>
      </c>
    </row>
    <row r="2061" spans="2:19" ht="11.4" customHeight="1" x14ac:dyDescent="0.2">
      <c r="B2061" s="24"/>
      <c r="C2061" s="7">
        <v>21734</v>
      </c>
      <c r="D2061" s="18" t="s">
        <v>2152</v>
      </c>
      <c r="E2061" s="18" t="s">
        <v>2086</v>
      </c>
      <c r="F2061" s="18"/>
      <c r="G2061" s="18" t="s">
        <v>902</v>
      </c>
      <c r="H2061" s="17">
        <v>217</v>
      </c>
      <c r="I2061" s="8">
        <v>249.9</v>
      </c>
      <c r="J2061" s="21">
        <f t="shared" si="96"/>
        <v>0.15161290322580648</v>
      </c>
      <c r="K2061" s="1">
        <v>1</v>
      </c>
      <c r="L2061" s="24">
        <v>12.4</v>
      </c>
      <c r="M2061" s="24">
        <v>237.405</v>
      </c>
      <c r="N2061" s="21">
        <f t="shared" si="97"/>
        <v>9.4032258064516136E-2</v>
      </c>
      <c r="P2061" s="1">
        <v>4</v>
      </c>
      <c r="Q2061" s="24">
        <v>24.990000000000009</v>
      </c>
      <c r="R2061" s="24">
        <v>224.91</v>
      </c>
      <c r="S2061" s="21">
        <f t="shared" si="98"/>
        <v>3.6451612903225794E-2</v>
      </c>
    </row>
    <row r="2062" spans="2:19" ht="11.4" customHeight="1" x14ac:dyDescent="0.2">
      <c r="B2062" s="24"/>
      <c r="C2062" s="7">
        <v>23160</v>
      </c>
      <c r="D2062" s="18" t="s">
        <v>2153</v>
      </c>
      <c r="E2062" s="18" t="s">
        <v>2086</v>
      </c>
      <c r="F2062" s="18"/>
      <c r="G2062" s="18" t="s">
        <v>902</v>
      </c>
      <c r="H2062" s="17">
        <v>215</v>
      </c>
      <c r="I2062" s="8">
        <v>299</v>
      </c>
      <c r="J2062" s="21">
        <f t="shared" si="96"/>
        <v>0.39069767441860465</v>
      </c>
      <c r="K2062" s="1">
        <v>1</v>
      </c>
      <c r="L2062" s="24">
        <v>14.9</v>
      </c>
      <c r="M2062" s="24">
        <v>284.05</v>
      </c>
      <c r="N2062" s="21">
        <f t="shared" si="97"/>
        <v>0.32116279069767445</v>
      </c>
      <c r="P2062" s="1">
        <v>4</v>
      </c>
      <c r="Q2062" s="24">
        <v>29.899999999999977</v>
      </c>
      <c r="R2062" s="24">
        <v>269.10000000000002</v>
      </c>
      <c r="S2062" s="21">
        <f t="shared" si="98"/>
        <v>0.25162790697674431</v>
      </c>
    </row>
    <row r="2063" spans="2:19" ht="11.4" customHeight="1" x14ac:dyDescent="0.2">
      <c r="B2063" s="24"/>
      <c r="C2063" s="7">
        <v>23171</v>
      </c>
      <c r="D2063" s="18" t="s">
        <v>2154</v>
      </c>
      <c r="E2063" s="18" t="s">
        <v>2086</v>
      </c>
      <c r="F2063" s="18"/>
      <c r="G2063" s="18" t="s">
        <v>902</v>
      </c>
      <c r="H2063" s="17">
        <v>210</v>
      </c>
      <c r="I2063" s="8">
        <v>249.9</v>
      </c>
      <c r="J2063" s="21">
        <f t="shared" si="96"/>
        <v>0.19000000000000003</v>
      </c>
      <c r="K2063" s="1">
        <v>1</v>
      </c>
      <c r="L2063" s="24">
        <v>12.4</v>
      </c>
      <c r="M2063" s="24">
        <v>237.405</v>
      </c>
      <c r="N2063" s="21">
        <f t="shared" si="97"/>
        <v>0.1305</v>
      </c>
      <c r="P2063" s="1">
        <v>4</v>
      </c>
      <c r="Q2063" s="24">
        <v>24.990000000000009</v>
      </c>
      <c r="R2063" s="24">
        <v>224.91</v>
      </c>
      <c r="S2063" s="21">
        <f t="shared" si="98"/>
        <v>7.099999999999998E-2</v>
      </c>
    </row>
    <row r="2064" spans="2:19" ht="11.4" customHeight="1" x14ac:dyDescent="0.2">
      <c r="B2064" s="24"/>
      <c r="C2064" s="7">
        <v>42042</v>
      </c>
      <c r="D2064" s="18" t="s">
        <v>2155</v>
      </c>
      <c r="E2064" s="18" t="s">
        <v>1135</v>
      </c>
      <c r="F2064" s="18"/>
      <c r="G2064" s="18" t="s">
        <v>902</v>
      </c>
      <c r="H2064" s="17">
        <v>225</v>
      </c>
      <c r="I2064" s="8">
        <v>349.9</v>
      </c>
      <c r="J2064" s="21">
        <f t="shared" si="96"/>
        <v>0.555111111111111</v>
      </c>
      <c r="K2064" s="1">
        <v>1</v>
      </c>
      <c r="L2064" s="24">
        <v>17.399999999999999</v>
      </c>
      <c r="M2064" s="24">
        <v>332.40499999999997</v>
      </c>
      <c r="N2064" s="21">
        <f t="shared" si="97"/>
        <v>0.47735555555555542</v>
      </c>
      <c r="P2064" s="1">
        <v>4</v>
      </c>
      <c r="Q2064" s="24">
        <v>34.990000000000009</v>
      </c>
      <c r="R2064" s="24">
        <v>314.90999999999997</v>
      </c>
      <c r="S2064" s="21">
        <f t="shared" si="98"/>
        <v>0.39959999999999984</v>
      </c>
    </row>
    <row r="2065" spans="2:19" ht="11.4" customHeight="1" x14ac:dyDescent="0.2">
      <c r="B2065" s="24"/>
      <c r="C2065" s="7">
        <v>3024</v>
      </c>
      <c r="D2065" s="18" t="s">
        <v>2156</v>
      </c>
      <c r="E2065" s="18" t="s">
        <v>2075</v>
      </c>
      <c r="F2065" s="18"/>
      <c r="G2065" s="18" t="s">
        <v>902</v>
      </c>
      <c r="H2065" s="17">
        <v>229.9</v>
      </c>
      <c r="I2065" s="8">
        <v>299</v>
      </c>
      <c r="J2065" s="21">
        <f t="shared" si="96"/>
        <v>0.30056546324488903</v>
      </c>
      <c r="K2065" s="1">
        <v>1</v>
      </c>
      <c r="L2065" s="24">
        <v>14.9</v>
      </c>
      <c r="M2065" s="24">
        <v>284.05</v>
      </c>
      <c r="N2065" s="21">
        <f t="shared" si="97"/>
        <v>0.23553719008264465</v>
      </c>
      <c r="P2065" s="1">
        <v>4</v>
      </c>
      <c r="Q2065" s="24">
        <v>29.899999999999977</v>
      </c>
      <c r="R2065" s="24">
        <v>269.10000000000002</v>
      </c>
      <c r="S2065" s="21">
        <f t="shared" si="98"/>
        <v>0.17050891692040024</v>
      </c>
    </row>
    <row r="2066" spans="2:19" ht="11.4" customHeight="1" x14ac:dyDescent="0.2">
      <c r="B2066" s="24"/>
      <c r="C2066" s="7">
        <v>45843</v>
      </c>
      <c r="D2066" s="18" t="s">
        <v>2157</v>
      </c>
      <c r="E2066" s="18" t="s">
        <v>2075</v>
      </c>
      <c r="F2066" s="17">
        <v>27</v>
      </c>
      <c r="G2066" s="18" t="s">
        <v>23</v>
      </c>
      <c r="H2066" s="17">
        <v>58</v>
      </c>
      <c r="I2066" s="8">
        <v>66.900000000000006</v>
      </c>
      <c r="J2066" s="21">
        <f t="shared" si="96"/>
        <v>0.15344827586206905</v>
      </c>
      <c r="K2066" s="1">
        <v>3</v>
      </c>
      <c r="L2066" s="24">
        <v>4.5999999999999996</v>
      </c>
      <c r="M2066" s="24">
        <v>62.217000000000006</v>
      </c>
      <c r="N2066" s="21">
        <f t="shared" si="97"/>
        <v>7.2706896551724243E-2</v>
      </c>
      <c r="P2066" s="1">
        <v>5</v>
      </c>
      <c r="Q2066" s="24">
        <v>8.0279999999999987</v>
      </c>
      <c r="R2066" s="24">
        <v>58.872000000000007</v>
      </c>
      <c r="S2066" s="21">
        <f t="shared" si="98"/>
        <v>1.503448275862081E-2</v>
      </c>
    </row>
    <row r="2067" spans="2:19" ht="11.4" customHeight="1" x14ac:dyDescent="0.2">
      <c r="B2067" s="24"/>
      <c r="C2067" s="7">
        <v>45845</v>
      </c>
      <c r="D2067" s="18" t="s">
        <v>2158</v>
      </c>
      <c r="E2067" s="18" t="s">
        <v>2075</v>
      </c>
      <c r="F2067" s="17">
        <v>27</v>
      </c>
      <c r="G2067" s="18" t="s">
        <v>23</v>
      </c>
      <c r="H2067" s="17">
        <v>48</v>
      </c>
      <c r="I2067" s="8">
        <v>66.900000000000006</v>
      </c>
      <c r="J2067" s="21">
        <f t="shared" si="96"/>
        <v>0.3937500000000001</v>
      </c>
      <c r="K2067" s="1">
        <v>3</v>
      </c>
      <c r="L2067" s="24">
        <v>4.5999999999999996</v>
      </c>
      <c r="M2067" s="24">
        <v>62.217000000000006</v>
      </c>
      <c r="N2067" s="21">
        <f t="shared" si="97"/>
        <v>0.2961875000000001</v>
      </c>
      <c r="P2067" s="1">
        <v>5</v>
      </c>
      <c r="Q2067" s="24">
        <v>8.0279999999999987</v>
      </c>
      <c r="R2067" s="24">
        <v>58.872000000000007</v>
      </c>
      <c r="S2067" s="21">
        <f t="shared" si="98"/>
        <v>0.22650000000000015</v>
      </c>
    </row>
    <row r="2068" spans="2:19" ht="11.4" customHeight="1" x14ac:dyDescent="0.2">
      <c r="B2068" s="24"/>
      <c r="C2068" s="7">
        <v>45844</v>
      </c>
      <c r="D2068" s="18" t="s">
        <v>2159</v>
      </c>
      <c r="E2068" s="18" t="s">
        <v>2075</v>
      </c>
      <c r="F2068" s="17">
        <v>27</v>
      </c>
      <c r="G2068" s="18" t="s">
        <v>23</v>
      </c>
      <c r="H2068" s="17">
        <v>58</v>
      </c>
      <c r="I2068" s="8">
        <v>66.900000000000006</v>
      </c>
      <c r="J2068" s="21">
        <f t="shared" si="96"/>
        <v>0.15344827586206905</v>
      </c>
      <c r="K2068" s="1">
        <v>3</v>
      </c>
      <c r="L2068" s="24">
        <v>4.5999999999999996</v>
      </c>
      <c r="M2068" s="24">
        <v>62.217000000000006</v>
      </c>
      <c r="N2068" s="21">
        <f t="shared" si="97"/>
        <v>7.2706896551724243E-2</v>
      </c>
      <c r="P2068" s="1">
        <v>5</v>
      </c>
      <c r="Q2068" s="24">
        <v>8.0279999999999987</v>
      </c>
      <c r="R2068" s="24">
        <v>58.872000000000007</v>
      </c>
      <c r="S2068" s="21">
        <f t="shared" si="98"/>
        <v>1.503448275862081E-2</v>
      </c>
    </row>
    <row r="2069" spans="2:19" ht="11.4" customHeight="1" x14ac:dyDescent="0.2">
      <c r="B2069" s="24"/>
      <c r="C2069" s="7">
        <v>44284</v>
      </c>
      <c r="D2069" s="18" t="s">
        <v>2160</v>
      </c>
      <c r="E2069" s="18" t="s">
        <v>2075</v>
      </c>
      <c r="F2069" s="18"/>
      <c r="G2069" s="18" t="s">
        <v>902</v>
      </c>
      <c r="H2069" s="17">
        <v>85</v>
      </c>
      <c r="I2069" s="8">
        <v>119.9</v>
      </c>
      <c r="J2069" s="21">
        <f t="shared" si="96"/>
        <v>0.4105882352941177</v>
      </c>
      <c r="K2069" s="1">
        <v>1</v>
      </c>
      <c r="L2069" s="24">
        <v>5.9</v>
      </c>
      <c r="M2069" s="24">
        <v>113.905</v>
      </c>
      <c r="N2069" s="21">
        <f t="shared" si="97"/>
        <v>0.3400588235294118</v>
      </c>
      <c r="P2069" s="1">
        <v>4</v>
      </c>
      <c r="Q2069" s="24">
        <v>11.989999999999995</v>
      </c>
      <c r="R2069" s="24">
        <v>107.91000000000001</v>
      </c>
      <c r="S2069" s="21">
        <f t="shared" si="98"/>
        <v>0.26952941176470602</v>
      </c>
    </row>
    <row r="2070" spans="2:19" ht="11.4" customHeight="1" x14ac:dyDescent="0.2">
      <c r="B2070" s="24"/>
      <c r="C2070" s="7">
        <v>43392</v>
      </c>
      <c r="D2070" s="18" t="s">
        <v>2161</v>
      </c>
      <c r="E2070" s="18" t="s">
        <v>2075</v>
      </c>
      <c r="F2070" s="17">
        <v>12</v>
      </c>
      <c r="G2070" s="18" t="s">
        <v>23</v>
      </c>
      <c r="H2070" s="17">
        <v>111</v>
      </c>
      <c r="I2070" s="8">
        <v>155</v>
      </c>
      <c r="J2070" s="21">
        <f t="shared" si="96"/>
        <v>0.3963963963963964</v>
      </c>
      <c r="K2070" s="1">
        <v>3</v>
      </c>
      <c r="L2070" s="24">
        <v>10.8</v>
      </c>
      <c r="M2070" s="24">
        <v>144.15</v>
      </c>
      <c r="N2070" s="21">
        <f t="shared" si="97"/>
        <v>0.29864864864864871</v>
      </c>
      <c r="P2070" s="1">
        <v>5</v>
      </c>
      <c r="Q2070" s="24">
        <v>18.599999999999994</v>
      </c>
      <c r="R2070" s="24">
        <v>136.4</v>
      </c>
      <c r="S2070" s="21">
        <f t="shared" si="98"/>
        <v>0.22882882882882888</v>
      </c>
    </row>
    <row r="2071" spans="2:19" ht="11.4" customHeight="1" x14ac:dyDescent="0.2">
      <c r="B2071" s="24"/>
      <c r="C2071" s="7">
        <v>45784</v>
      </c>
      <c r="D2071" s="18" t="s">
        <v>2162</v>
      </c>
      <c r="E2071" s="18" t="s">
        <v>1135</v>
      </c>
      <c r="F2071" s="17">
        <v>20</v>
      </c>
      <c r="G2071" s="18" t="s">
        <v>23</v>
      </c>
      <c r="H2071" s="17">
        <v>54.42</v>
      </c>
      <c r="I2071" s="8">
        <v>68</v>
      </c>
      <c r="J2071" s="21">
        <f t="shared" si="96"/>
        <v>0.24954061006982722</v>
      </c>
      <c r="K2071" s="1">
        <v>3</v>
      </c>
      <c r="L2071" s="24">
        <v>4.7</v>
      </c>
      <c r="M2071" s="24">
        <v>63.24</v>
      </c>
      <c r="N2071" s="21">
        <f t="shared" si="97"/>
        <v>0.16207276736493936</v>
      </c>
      <c r="P2071" s="1">
        <v>5</v>
      </c>
      <c r="Q2071" s="24">
        <v>8.1599999999999966</v>
      </c>
      <c r="R2071" s="24">
        <v>59.84</v>
      </c>
      <c r="S2071" s="21">
        <f t="shared" si="98"/>
        <v>9.9595736861448028E-2</v>
      </c>
    </row>
    <row r="2072" spans="2:19" ht="11.4" customHeight="1" x14ac:dyDescent="0.2">
      <c r="B2072" s="24"/>
      <c r="C2072" s="7">
        <v>23421</v>
      </c>
      <c r="D2072" s="18" t="s">
        <v>2163</v>
      </c>
      <c r="E2072" s="18" t="s">
        <v>1676</v>
      </c>
      <c r="F2072" s="17">
        <v>24</v>
      </c>
      <c r="G2072" s="18" t="s">
        <v>23</v>
      </c>
      <c r="H2072" s="17">
        <v>73.099999999999994</v>
      </c>
      <c r="I2072" s="8">
        <v>93.9</v>
      </c>
      <c r="J2072" s="21">
        <f t="shared" si="96"/>
        <v>0.28454172366621083</v>
      </c>
      <c r="K2072" s="1">
        <v>3</v>
      </c>
      <c r="L2072" s="24">
        <v>6.5</v>
      </c>
      <c r="M2072" s="24">
        <v>87.327000000000012</v>
      </c>
      <c r="N2072" s="21">
        <f t="shared" si="97"/>
        <v>0.19462380300957619</v>
      </c>
      <c r="P2072" s="1">
        <v>5</v>
      </c>
      <c r="Q2072" s="24">
        <v>11.268000000000001</v>
      </c>
      <c r="R2072" s="24">
        <v>82.632000000000005</v>
      </c>
      <c r="S2072" s="21">
        <f t="shared" si="98"/>
        <v>0.13039671682626555</v>
      </c>
    </row>
    <row r="2073" spans="2:19" ht="11.4" customHeight="1" x14ac:dyDescent="0.2">
      <c r="B2073" s="24"/>
      <c r="C2073" s="7">
        <v>23782</v>
      </c>
      <c r="D2073" s="18" t="s">
        <v>2164</v>
      </c>
      <c r="E2073" s="18" t="s">
        <v>1676</v>
      </c>
      <c r="F2073" s="17">
        <v>12</v>
      </c>
      <c r="G2073" s="18" t="s">
        <v>23</v>
      </c>
      <c r="H2073" s="17">
        <v>40.200000000000003</v>
      </c>
      <c r="I2073" s="8">
        <v>40.5</v>
      </c>
      <c r="J2073" s="21">
        <f t="shared" si="96"/>
        <v>7.4626865671641078E-3</v>
      </c>
      <c r="K2073" s="1">
        <v>3</v>
      </c>
      <c r="L2073" s="24">
        <v>2.8</v>
      </c>
      <c r="M2073" s="24">
        <v>37.664999999999999</v>
      </c>
      <c r="N2073" s="21">
        <f t="shared" si="97"/>
        <v>-6.3059701492537396E-2</v>
      </c>
      <c r="P2073" s="1">
        <v>5</v>
      </c>
      <c r="Q2073" s="24">
        <v>4.8599999999999994</v>
      </c>
      <c r="R2073" s="24">
        <v>35.64</v>
      </c>
      <c r="S2073" s="21">
        <f t="shared" si="98"/>
        <v>-0.11343283582089557</v>
      </c>
    </row>
    <row r="2074" spans="2:19" ht="11.4" customHeight="1" x14ac:dyDescent="0.2">
      <c r="B2074" s="24"/>
      <c r="C2074" s="7">
        <v>38913</v>
      </c>
      <c r="D2074" s="18" t="s">
        <v>2165</v>
      </c>
      <c r="E2074" s="18" t="s">
        <v>1361</v>
      </c>
      <c r="F2074" s="17">
        <v>12</v>
      </c>
      <c r="G2074" s="18" t="s">
        <v>23</v>
      </c>
      <c r="H2074" s="17">
        <v>85</v>
      </c>
      <c r="I2074" s="8">
        <v>79</v>
      </c>
      <c r="J2074" s="21">
        <f t="shared" si="96"/>
        <v>-7.0588235294117646E-2</v>
      </c>
      <c r="K2074" s="1">
        <v>3</v>
      </c>
      <c r="L2074" s="24">
        <v>5.5</v>
      </c>
      <c r="M2074" s="24">
        <v>73.47</v>
      </c>
      <c r="N2074" s="21">
        <f t="shared" si="97"/>
        <v>-0.13564705882352943</v>
      </c>
      <c r="P2074" s="1">
        <v>5</v>
      </c>
      <c r="Q2074" s="24">
        <v>9.480000000000004</v>
      </c>
      <c r="R2074" s="24">
        <v>69.52</v>
      </c>
      <c r="S2074" s="21">
        <f t="shared" si="98"/>
        <v>-0.18211764705882358</v>
      </c>
    </row>
    <row r="2075" spans="2:19" ht="11.4" customHeight="1" x14ac:dyDescent="0.2">
      <c r="B2075" s="24"/>
      <c r="C2075" s="7">
        <v>38915</v>
      </c>
      <c r="D2075" s="18" t="s">
        <v>2166</v>
      </c>
      <c r="E2075" s="18" t="s">
        <v>1361</v>
      </c>
      <c r="F2075" s="17">
        <v>12</v>
      </c>
      <c r="G2075" s="18" t="s">
        <v>23</v>
      </c>
      <c r="H2075" s="17">
        <v>85</v>
      </c>
      <c r="I2075" s="8">
        <v>79</v>
      </c>
      <c r="J2075" s="21">
        <f t="shared" si="96"/>
        <v>-7.0588235294117646E-2</v>
      </c>
      <c r="K2075" s="1">
        <v>3</v>
      </c>
      <c r="L2075" s="24">
        <v>5.5</v>
      </c>
      <c r="M2075" s="24">
        <v>73.47</v>
      </c>
      <c r="N2075" s="21">
        <f t="shared" si="97"/>
        <v>-0.13564705882352943</v>
      </c>
      <c r="P2075" s="1">
        <v>5</v>
      </c>
      <c r="Q2075" s="24">
        <v>9.480000000000004</v>
      </c>
      <c r="R2075" s="24">
        <v>69.52</v>
      </c>
      <c r="S2075" s="21">
        <f t="shared" si="98"/>
        <v>-0.18211764705882358</v>
      </c>
    </row>
    <row r="2076" spans="2:19" ht="11.4" customHeight="1" x14ac:dyDescent="0.2">
      <c r="B2076" s="24"/>
      <c r="C2076" s="7">
        <v>38917</v>
      </c>
      <c r="D2076" s="18" t="s">
        <v>2167</v>
      </c>
      <c r="E2076" s="18" t="s">
        <v>1361</v>
      </c>
      <c r="F2076" s="17">
        <v>12</v>
      </c>
      <c r="G2076" s="18" t="s">
        <v>23</v>
      </c>
      <c r="H2076" s="17">
        <v>85</v>
      </c>
      <c r="I2076" s="8">
        <v>89</v>
      </c>
      <c r="J2076" s="21">
        <f t="shared" si="96"/>
        <v>4.7058823529411764E-2</v>
      </c>
      <c r="K2076" s="1">
        <v>3</v>
      </c>
      <c r="L2076" s="24">
        <v>6.2</v>
      </c>
      <c r="M2076" s="24">
        <v>82.77000000000001</v>
      </c>
      <c r="N2076" s="21">
        <f t="shared" si="97"/>
        <v>-2.623529411764694E-2</v>
      </c>
      <c r="P2076" s="1">
        <v>5</v>
      </c>
      <c r="Q2076" s="24">
        <v>10.679999999999993</v>
      </c>
      <c r="R2076" s="24">
        <v>78.320000000000007</v>
      </c>
      <c r="S2076" s="21">
        <f t="shared" si="98"/>
        <v>-7.8588235294117556E-2</v>
      </c>
    </row>
    <row r="2077" spans="2:19" ht="11.4" customHeight="1" x14ac:dyDescent="0.2">
      <c r="B2077" s="24"/>
      <c r="C2077" s="7">
        <v>38918</v>
      </c>
      <c r="D2077" s="18" t="s">
        <v>2168</v>
      </c>
      <c r="E2077" s="18" t="s">
        <v>1361</v>
      </c>
      <c r="F2077" s="17">
        <v>12</v>
      </c>
      <c r="G2077" s="18" t="s">
        <v>23</v>
      </c>
      <c r="H2077" s="17">
        <v>85</v>
      </c>
      <c r="I2077" s="8">
        <v>89</v>
      </c>
      <c r="J2077" s="21">
        <f t="shared" si="96"/>
        <v>4.7058823529411764E-2</v>
      </c>
      <c r="K2077" s="1">
        <v>3</v>
      </c>
      <c r="L2077" s="24">
        <v>6.2</v>
      </c>
      <c r="M2077" s="24">
        <v>82.77000000000001</v>
      </c>
      <c r="N2077" s="21">
        <f t="shared" si="97"/>
        <v>-2.623529411764694E-2</v>
      </c>
      <c r="P2077" s="1">
        <v>5</v>
      </c>
      <c r="Q2077" s="24">
        <v>10.679999999999993</v>
      </c>
      <c r="R2077" s="24">
        <v>78.320000000000007</v>
      </c>
      <c r="S2077" s="21">
        <f t="shared" si="98"/>
        <v>-7.8588235294117556E-2</v>
      </c>
    </row>
    <row r="2078" spans="2:19" ht="11.4" customHeight="1" x14ac:dyDescent="0.2">
      <c r="B2078" s="24"/>
      <c r="C2078" s="7">
        <v>7193</v>
      </c>
      <c r="D2078" s="18" t="s">
        <v>2169</v>
      </c>
      <c r="E2078" s="18" t="s">
        <v>1361</v>
      </c>
      <c r="F2078" s="17">
        <v>12</v>
      </c>
      <c r="G2078" s="18" t="s">
        <v>23</v>
      </c>
      <c r="H2078" s="17">
        <v>79.900000000000006</v>
      </c>
      <c r="I2078" s="8">
        <v>108.9</v>
      </c>
      <c r="J2078" s="21">
        <f t="shared" si="96"/>
        <v>0.36295369211514389</v>
      </c>
      <c r="K2078" s="1">
        <v>3</v>
      </c>
      <c r="L2078" s="24">
        <v>7.6</v>
      </c>
      <c r="M2078" s="24">
        <v>101.27700000000002</v>
      </c>
      <c r="N2078" s="21">
        <f t="shared" si="97"/>
        <v>0.26754693366708393</v>
      </c>
      <c r="P2078" s="1">
        <v>5</v>
      </c>
      <c r="Q2078" s="24">
        <v>13.067999999999998</v>
      </c>
      <c r="R2078" s="24">
        <v>95.832000000000008</v>
      </c>
      <c r="S2078" s="21">
        <f t="shared" si="98"/>
        <v>0.19939924906132667</v>
      </c>
    </row>
    <row r="2079" spans="2:19" ht="11.4" customHeight="1" x14ac:dyDescent="0.2">
      <c r="B2079" s="24"/>
      <c r="C2079" s="7">
        <v>44901</v>
      </c>
      <c r="D2079" s="18" t="s">
        <v>2170</v>
      </c>
      <c r="E2079" s="18" t="s">
        <v>1361</v>
      </c>
      <c r="F2079" s="17">
        <v>16</v>
      </c>
      <c r="G2079" s="18" t="s">
        <v>23</v>
      </c>
      <c r="H2079" s="17">
        <v>25.71</v>
      </c>
      <c r="I2079" s="8">
        <v>35.9</v>
      </c>
      <c r="J2079" s="21">
        <f t="shared" si="96"/>
        <v>0.39634383508362497</v>
      </c>
      <c r="K2079" s="1">
        <v>3</v>
      </c>
      <c r="L2079" s="24">
        <v>2.5</v>
      </c>
      <c r="M2079" s="24">
        <v>33.387</v>
      </c>
      <c r="N2079" s="21">
        <f t="shared" si="97"/>
        <v>0.29859976662777127</v>
      </c>
      <c r="P2079" s="1">
        <v>5</v>
      </c>
      <c r="Q2079" s="24">
        <v>4.3079999999999998</v>
      </c>
      <c r="R2079" s="24">
        <v>31.591999999999999</v>
      </c>
      <c r="S2079" s="21">
        <f t="shared" si="98"/>
        <v>0.22878257487358997</v>
      </c>
    </row>
    <row r="2080" spans="2:19" ht="11.4" customHeight="1" x14ac:dyDescent="0.2">
      <c r="B2080" s="24"/>
      <c r="C2080" s="7">
        <v>44219</v>
      </c>
      <c r="D2080" s="18" t="s">
        <v>2171</v>
      </c>
      <c r="E2080" s="18" t="s">
        <v>1361</v>
      </c>
      <c r="F2080" s="17">
        <v>10</v>
      </c>
      <c r="G2080" s="18" t="s">
        <v>23</v>
      </c>
      <c r="H2080" s="17">
        <v>32</v>
      </c>
      <c r="I2080" s="8">
        <v>49.9</v>
      </c>
      <c r="J2080" s="21">
        <f t="shared" si="96"/>
        <v>0.55937499999999996</v>
      </c>
      <c r="K2080" s="1">
        <v>3</v>
      </c>
      <c r="L2080" s="24">
        <v>3.4</v>
      </c>
      <c r="M2080" s="24">
        <v>46.407000000000004</v>
      </c>
      <c r="N2080" s="21">
        <f t="shared" si="97"/>
        <v>0.45021875000000011</v>
      </c>
      <c r="P2080" s="1">
        <v>5</v>
      </c>
      <c r="Q2080" s="24">
        <v>5.9879999999999995</v>
      </c>
      <c r="R2080" s="24">
        <v>43.911999999999999</v>
      </c>
      <c r="S2080" s="21">
        <f t="shared" si="98"/>
        <v>0.37224999999999997</v>
      </c>
    </row>
    <row r="2081" spans="2:19" ht="11.4" customHeight="1" x14ac:dyDescent="0.2">
      <c r="B2081" s="24"/>
      <c r="C2081" s="7">
        <v>44906</v>
      </c>
      <c r="D2081" s="18" t="s">
        <v>2172</v>
      </c>
      <c r="E2081" s="18" t="s">
        <v>1361</v>
      </c>
      <c r="F2081" s="17">
        <v>16</v>
      </c>
      <c r="G2081" s="18" t="s">
        <v>23</v>
      </c>
      <c r="H2081" s="17">
        <v>25.7</v>
      </c>
      <c r="I2081" s="8">
        <v>35.9</v>
      </c>
      <c r="J2081" s="21">
        <f t="shared" si="96"/>
        <v>0.39688715953307391</v>
      </c>
      <c r="K2081" s="1">
        <v>3</v>
      </c>
      <c r="L2081" s="24">
        <v>2.5</v>
      </c>
      <c r="M2081" s="24">
        <v>33.387</v>
      </c>
      <c r="N2081" s="21">
        <f t="shared" si="97"/>
        <v>0.29910505836575879</v>
      </c>
      <c r="P2081" s="1">
        <v>5</v>
      </c>
      <c r="Q2081" s="24">
        <v>4.3079999999999998</v>
      </c>
      <c r="R2081" s="24">
        <v>31.591999999999999</v>
      </c>
      <c r="S2081" s="21">
        <f t="shared" si="98"/>
        <v>0.22926070038910504</v>
      </c>
    </row>
    <row r="2082" spans="2:19" ht="11.4" customHeight="1" x14ac:dyDescent="0.2">
      <c r="B2082" s="24"/>
      <c r="C2082" s="7">
        <v>44903</v>
      </c>
      <c r="D2082" s="18" t="s">
        <v>2173</v>
      </c>
      <c r="E2082" s="18" t="s">
        <v>1361</v>
      </c>
      <c r="F2082" s="17">
        <v>16</v>
      </c>
      <c r="G2082" s="18" t="s">
        <v>23</v>
      </c>
      <c r="H2082" s="17">
        <v>25.7</v>
      </c>
      <c r="I2082" s="8">
        <v>35.9</v>
      </c>
      <c r="J2082" s="21">
        <f t="shared" si="96"/>
        <v>0.39688715953307391</v>
      </c>
      <c r="K2082" s="1">
        <v>3</v>
      </c>
      <c r="L2082" s="24">
        <v>2.5</v>
      </c>
      <c r="M2082" s="24">
        <v>33.387</v>
      </c>
      <c r="N2082" s="21">
        <f t="shared" si="97"/>
        <v>0.29910505836575879</v>
      </c>
      <c r="P2082" s="1">
        <v>5</v>
      </c>
      <c r="Q2082" s="24">
        <v>4.3079999999999998</v>
      </c>
      <c r="R2082" s="24">
        <v>31.591999999999999</v>
      </c>
      <c r="S2082" s="21">
        <f t="shared" si="98"/>
        <v>0.22926070038910504</v>
      </c>
    </row>
    <row r="2083" spans="2:19" ht="11.4" customHeight="1" x14ac:dyDescent="0.2">
      <c r="B2083" s="24"/>
      <c r="C2083" s="7">
        <v>44221</v>
      </c>
      <c r="D2083" s="18" t="s">
        <v>2174</v>
      </c>
      <c r="E2083" s="18" t="s">
        <v>1361</v>
      </c>
      <c r="F2083" s="17">
        <v>10</v>
      </c>
      <c r="G2083" s="18" t="s">
        <v>23</v>
      </c>
      <c r="H2083" s="17">
        <v>32</v>
      </c>
      <c r="I2083" s="8">
        <v>49.9</v>
      </c>
      <c r="J2083" s="21">
        <f t="shared" si="96"/>
        <v>0.55937499999999996</v>
      </c>
      <c r="K2083" s="1">
        <v>3</v>
      </c>
      <c r="L2083" s="24">
        <v>3.4</v>
      </c>
      <c r="M2083" s="24">
        <v>46.407000000000004</v>
      </c>
      <c r="N2083" s="21">
        <f t="shared" si="97"/>
        <v>0.45021875000000011</v>
      </c>
      <c r="P2083" s="1">
        <v>5</v>
      </c>
      <c r="Q2083" s="24">
        <v>5.9879999999999995</v>
      </c>
      <c r="R2083" s="24">
        <v>43.911999999999999</v>
      </c>
      <c r="S2083" s="21">
        <f t="shared" si="98"/>
        <v>0.37224999999999997</v>
      </c>
    </row>
    <row r="2084" spans="2:19" ht="11.4" customHeight="1" x14ac:dyDescent="0.2">
      <c r="B2084" s="24"/>
      <c r="C2084" s="7">
        <v>39303</v>
      </c>
      <c r="D2084" s="18" t="s">
        <v>2175</v>
      </c>
      <c r="E2084" s="18" t="s">
        <v>1361</v>
      </c>
      <c r="F2084" s="17">
        <v>6</v>
      </c>
      <c r="G2084" s="18" t="s">
        <v>23</v>
      </c>
      <c r="H2084" s="17">
        <v>229.9</v>
      </c>
      <c r="I2084" s="8">
        <v>261</v>
      </c>
      <c r="J2084" s="21">
        <f t="shared" si="96"/>
        <v>0.13527620704654195</v>
      </c>
      <c r="K2084" s="1">
        <v>3</v>
      </c>
      <c r="L2084" s="24">
        <v>18.2</v>
      </c>
      <c r="M2084" s="24">
        <v>242.73000000000002</v>
      </c>
      <c r="N2084" s="21">
        <f t="shared" si="97"/>
        <v>5.5806872553284093E-2</v>
      </c>
      <c r="P2084" s="1">
        <v>5</v>
      </c>
      <c r="Q2084" s="24">
        <v>31.319999999999993</v>
      </c>
      <c r="R2084" s="24">
        <v>229.68</v>
      </c>
      <c r="S2084" s="21">
        <f t="shared" si="98"/>
        <v>-9.5693779904305724E-4</v>
      </c>
    </row>
    <row r="2085" spans="2:19" ht="11.4" customHeight="1" x14ac:dyDescent="0.2">
      <c r="B2085" s="24"/>
      <c r="C2085" s="7">
        <v>28802</v>
      </c>
      <c r="D2085" s="18" t="s">
        <v>2176</v>
      </c>
      <c r="E2085" s="18" t="s">
        <v>1361</v>
      </c>
      <c r="F2085" s="17">
        <v>12</v>
      </c>
      <c r="G2085" s="18" t="s">
        <v>23</v>
      </c>
      <c r="H2085" s="17">
        <v>95.46</v>
      </c>
      <c r="I2085" s="8">
        <v>133.9</v>
      </c>
      <c r="J2085" s="21">
        <f t="shared" si="96"/>
        <v>0.40268175151896096</v>
      </c>
      <c r="K2085" s="1">
        <v>3</v>
      </c>
      <c r="L2085" s="24">
        <v>9.3000000000000007</v>
      </c>
      <c r="M2085" s="24">
        <v>124.52700000000002</v>
      </c>
      <c r="N2085" s="21">
        <f t="shared" si="97"/>
        <v>0.30449402891263383</v>
      </c>
      <c r="P2085" s="1">
        <v>5</v>
      </c>
      <c r="Q2085" s="24">
        <v>16.067999999999998</v>
      </c>
      <c r="R2085" s="24">
        <v>117.83200000000001</v>
      </c>
      <c r="S2085" s="21">
        <f t="shared" si="98"/>
        <v>0.2343599413366857</v>
      </c>
    </row>
    <row r="2086" spans="2:19" ht="11.4" customHeight="1" x14ac:dyDescent="0.2">
      <c r="B2086" s="24"/>
      <c r="C2086" s="7">
        <v>39304</v>
      </c>
      <c r="D2086" s="18" t="s">
        <v>2177</v>
      </c>
      <c r="E2086" s="18" t="s">
        <v>1361</v>
      </c>
      <c r="F2086" s="17">
        <v>6</v>
      </c>
      <c r="G2086" s="18" t="s">
        <v>23</v>
      </c>
      <c r="H2086" s="17">
        <v>229.9</v>
      </c>
      <c r="I2086" s="8">
        <v>251</v>
      </c>
      <c r="J2086" s="21">
        <f t="shared" si="96"/>
        <v>9.1779034362766396E-2</v>
      </c>
      <c r="K2086" s="1">
        <v>3</v>
      </c>
      <c r="L2086" s="24">
        <v>17.5</v>
      </c>
      <c r="M2086" s="24">
        <v>233.43</v>
      </c>
      <c r="N2086" s="21">
        <f t="shared" si="97"/>
        <v>1.5354501957372776E-2</v>
      </c>
      <c r="P2086" s="1">
        <v>5</v>
      </c>
      <c r="Q2086" s="24">
        <v>30.120000000000005</v>
      </c>
      <c r="R2086" s="24">
        <v>220.88</v>
      </c>
      <c r="S2086" s="21">
        <f t="shared" si="98"/>
        <v>-3.9234449760765594E-2</v>
      </c>
    </row>
    <row r="2087" spans="2:19" ht="11.4" customHeight="1" x14ac:dyDescent="0.2">
      <c r="B2087" s="24"/>
      <c r="C2087" s="7">
        <v>44607</v>
      </c>
      <c r="D2087" s="18" t="s">
        <v>2178</v>
      </c>
      <c r="E2087" s="18" t="s">
        <v>1361</v>
      </c>
      <c r="F2087" s="17">
        <v>12</v>
      </c>
      <c r="G2087" s="18" t="s">
        <v>23</v>
      </c>
      <c r="H2087" s="17">
        <v>69.61</v>
      </c>
      <c r="I2087" s="8">
        <v>109.9</v>
      </c>
      <c r="J2087" s="21">
        <f t="shared" si="96"/>
        <v>0.57879614997845141</v>
      </c>
      <c r="K2087" s="1">
        <v>3</v>
      </c>
      <c r="L2087" s="24">
        <v>7.6</v>
      </c>
      <c r="M2087" s="24">
        <v>102.20700000000001</v>
      </c>
      <c r="N2087" s="21">
        <f t="shared" si="97"/>
        <v>0.46828041947995991</v>
      </c>
      <c r="P2087" s="1">
        <v>5</v>
      </c>
      <c r="Q2087" s="24">
        <v>13.188000000000002</v>
      </c>
      <c r="R2087" s="24">
        <v>96.712000000000003</v>
      </c>
      <c r="S2087" s="21">
        <f t="shared" si="98"/>
        <v>0.38934061198103725</v>
      </c>
    </row>
    <row r="2088" spans="2:19" ht="11.4" customHeight="1" x14ac:dyDescent="0.2">
      <c r="B2088" s="24"/>
      <c r="C2088" s="7">
        <v>9007</v>
      </c>
      <c r="D2088" s="18" t="s">
        <v>2179</v>
      </c>
      <c r="E2088" s="18" t="s">
        <v>1361</v>
      </c>
      <c r="F2088" s="17">
        <v>20</v>
      </c>
      <c r="G2088" s="18" t="s">
        <v>23</v>
      </c>
      <c r="H2088" s="17">
        <v>56.2</v>
      </c>
      <c r="I2088" s="8">
        <v>67</v>
      </c>
      <c r="J2088" s="21">
        <f t="shared" si="96"/>
        <v>0.19217081850533801</v>
      </c>
      <c r="K2088" s="1">
        <v>3</v>
      </c>
      <c r="L2088" s="24">
        <v>4.5999999999999996</v>
      </c>
      <c r="M2088" s="24">
        <v>62.31</v>
      </c>
      <c r="N2088" s="21">
        <f t="shared" si="97"/>
        <v>0.10871886120996439</v>
      </c>
      <c r="P2088" s="1">
        <v>5</v>
      </c>
      <c r="Q2088" s="24">
        <v>8.0399999999999991</v>
      </c>
      <c r="R2088" s="24">
        <v>58.96</v>
      </c>
      <c r="S2088" s="21">
        <f t="shared" si="98"/>
        <v>4.9110320284697473E-2</v>
      </c>
    </row>
    <row r="2089" spans="2:19" ht="11.4" customHeight="1" x14ac:dyDescent="0.2">
      <c r="B2089" s="24"/>
      <c r="C2089" s="7">
        <v>29399</v>
      </c>
      <c r="D2089" s="18" t="s">
        <v>2180</v>
      </c>
      <c r="E2089" s="18" t="s">
        <v>1361</v>
      </c>
      <c r="F2089" s="17">
        <v>12</v>
      </c>
      <c r="G2089" s="18" t="s">
        <v>23</v>
      </c>
      <c r="H2089" s="17">
        <v>63.3</v>
      </c>
      <c r="I2089" s="8">
        <v>78</v>
      </c>
      <c r="J2089" s="21">
        <f t="shared" si="96"/>
        <v>0.23222748815165883</v>
      </c>
      <c r="K2089" s="1">
        <v>3</v>
      </c>
      <c r="L2089" s="24">
        <v>5.4</v>
      </c>
      <c r="M2089" s="24">
        <v>72.540000000000006</v>
      </c>
      <c r="N2089" s="21">
        <f t="shared" si="97"/>
        <v>0.1459715639810428</v>
      </c>
      <c r="P2089" s="1">
        <v>5</v>
      </c>
      <c r="Q2089" s="24">
        <v>9.36</v>
      </c>
      <c r="R2089" s="24">
        <v>68.64</v>
      </c>
      <c r="S2089" s="21">
        <f t="shared" si="98"/>
        <v>8.4360189573459768E-2</v>
      </c>
    </row>
    <row r="2090" spans="2:19" ht="11.4" customHeight="1" x14ac:dyDescent="0.2">
      <c r="B2090" s="24"/>
      <c r="C2090" s="7">
        <v>44112</v>
      </c>
      <c r="D2090" s="18" t="s">
        <v>2181</v>
      </c>
      <c r="E2090" s="18" t="s">
        <v>1361</v>
      </c>
      <c r="F2090" s="17">
        <v>12</v>
      </c>
      <c r="G2090" s="18" t="s">
        <v>23</v>
      </c>
      <c r="H2090" s="17">
        <v>61.98</v>
      </c>
      <c r="I2090" s="8">
        <v>88.1</v>
      </c>
      <c r="J2090" s="21">
        <f t="shared" si="96"/>
        <v>0.42142626653759274</v>
      </c>
      <c r="K2090" s="1">
        <v>3</v>
      </c>
      <c r="L2090" s="24">
        <v>6.1</v>
      </c>
      <c r="M2090" s="24">
        <v>81.932999999999993</v>
      </c>
      <c r="N2090" s="21">
        <f t="shared" si="97"/>
        <v>0.32192642787996123</v>
      </c>
      <c r="P2090" s="1">
        <v>5</v>
      </c>
      <c r="Q2090" s="24">
        <v>10.572000000000003</v>
      </c>
      <c r="R2090" s="24">
        <v>77.527999999999992</v>
      </c>
      <c r="S2090" s="21">
        <f t="shared" si="98"/>
        <v>0.25085511455308157</v>
      </c>
    </row>
    <row r="2091" spans="2:19" ht="11.4" customHeight="1" x14ac:dyDescent="0.2">
      <c r="B2091" s="24"/>
      <c r="C2091" s="7">
        <v>30746</v>
      </c>
      <c r="D2091" s="18" t="s">
        <v>2182</v>
      </c>
      <c r="E2091" s="18" t="s">
        <v>1361</v>
      </c>
      <c r="F2091" s="17">
        <v>12</v>
      </c>
      <c r="G2091" s="18" t="s">
        <v>23</v>
      </c>
      <c r="H2091" s="17">
        <v>74.099999999999994</v>
      </c>
      <c r="I2091" s="8">
        <v>90</v>
      </c>
      <c r="J2091" s="21">
        <f t="shared" si="96"/>
        <v>0.21457489878542518</v>
      </c>
      <c r="K2091" s="1">
        <v>3</v>
      </c>
      <c r="L2091" s="24">
        <v>6.3</v>
      </c>
      <c r="M2091" s="24">
        <v>83.7</v>
      </c>
      <c r="N2091" s="21">
        <f t="shared" si="97"/>
        <v>0.12955465587044546</v>
      </c>
      <c r="P2091" s="1">
        <v>5</v>
      </c>
      <c r="Q2091" s="24">
        <v>10.799999999999997</v>
      </c>
      <c r="R2091" s="24">
        <v>79.2</v>
      </c>
      <c r="S2091" s="21">
        <f t="shared" si="98"/>
        <v>6.8825910931174211E-2</v>
      </c>
    </row>
    <row r="2092" spans="2:19" ht="11.4" customHeight="1" x14ac:dyDescent="0.2">
      <c r="B2092" s="24"/>
      <c r="C2092" s="7">
        <v>9008</v>
      </c>
      <c r="D2092" s="18" t="s">
        <v>2183</v>
      </c>
      <c r="E2092" s="18" t="s">
        <v>1361</v>
      </c>
      <c r="F2092" s="17">
        <v>20</v>
      </c>
      <c r="G2092" s="18" t="s">
        <v>23</v>
      </c>
      <c r="H2092" s="17">
        <v>49.92</v>
      </c>
      <c r="I2092" s="8">
        <v>70.900000000000006</v>
      </c>
      <c r="J2092" s="21">
        <f t="shared" si="96"/>
        <v>0.42027243589743596</v>
      </c>
      <c r="K2092" s="1">
        <v>3</v>
      </c>
      <c r="L2092" s="24">
        <v>4.9000000000000004</v>
      </c>
      <c r="M2092" s="24">
        <v>65.937000000000012</v>
      </c>
      <c r="N2092" s="21">
        <f t="shared" si="97"/>
        <v>0.32085336538461556</v>
      </c>
      <c r="P2092" s="1">
        <v>5</v>
      </c>
      <c r="Q2092" s="24">
        <v>8.5080000000000027</v>
      </c>
      <c r="R2092" s="24">
        <v>62.392000000000003</v>
      </c>
      <c r="S2092" s="21">
        <f t="shared" si="98"/>
        <v>0.24983974358974362</v>
      </c>
    </row>
    <row r="2093" spans="2:19" ht="11.4" customHeight="1" x14ac:dyDescent="0.2">
      <c r="B2093" s="24"/>
      <c r="C2093" s="7">
        <v>2536</v>
      </c>
      <c r="D2093" s="18" t="s">
        <v>2184</v>
      </c>
      <c r="E2093" s="18" t="s">
        <v>1361</v>
      </c>
      <c r="F2093" s="17">
        <v>15</v>
      </c>
      <c r="G2093" s="18" t="s">
        <v>23</v>
      </c>
      <c r="H2093" s="17">
        <v>44.9</v>
      </c>
      <c r="I2093" s="8">
        <v>50.9</v>
      </c>
      <c r="J2093" s="21">
        <f t="shared" si="96"/>
        <v>0.133630289532294</v>
      </c>
      <c r="K2093" s="1">
        <v>3</v>
      </c>
      <c r="L2093" s="24">
        <v>3.5</v>
      </c>
      <c r="M2093" s="24">
        <v>47.337000000000003</v>
      </c>
      <c r="N2093" s="21">
        <f t="shared" si="97"/>
        <v>5.4276169265033515E-2</v>
      </c>
      <c r="P2093" s="1">
        <v>5</v>
      </c>
      <c r="Q2093" s="24">
        <v>6.107999999999997</v>
      </c>
      <c r="R2093" s="24">
        <v>44.792000000000002</v>
      </c>
      <c r="S2093" s="21">
        <f t="shared" si="98"/>
        <v>-2.4053452115812249E-3</v>
      </c>
    </row>
    <row r="2094" spans="2:19" ht="11.4" customHeight="1" x14ac:dyDescent="0.2">
      <c r="B2094" s="24"/>
      <c r="C2094" s="7">
        <v>8370</v>
      </c>
      <c r="D2094" s="18" t="s">
        <v>2185</v>
      </c>
      <c r="E2094" s="18" t="s">
        <v>1361</v>
      </c>
      <c r="F2094" s="17">
        <v>20</v>
      </c>
      <c r="G2094" s="18" t="s">
        <v>23</v>
      </c>
      <c r="H2094" s="17">
        <v>70.5</v>
      </c>
      <c r="I2094" s="8">
        <v>81</v>
      </c>
      <c r="J2094" s="21">
        <f t="shared" si="96"/>
        <v>0.14893617021276595</v>
      </c>
      <c r="K2094" s="1">
        <v>3</v>
      </c>
      <c r="L2094" s="24">
        <v>5.6</v>
      </c>
      <c r="M2094" s="24">
        <v>75.33</v>
      </c>
      <c r="N2094" s="21">
        <f t="shared" si="97"/>
        <v>6.8510638297872323E-2</v>
      </c>
      <c r="P2094" s="1">
        <v>5</v>
      </c>
      <c r="Q2094" s="24">
        <v>9.7199999999999989</v>
      </c>
      <c r="R2094" s="24">
        <v>71.28</v>
      </c>
      <c r="S2094" s="21">
        <f t="shared" si="98"/>
        <v>1.1063829787234058E-2</v>
      </c>
    </row>
    <row r="2095" spans="2:19" ht="11.4" customHeight="1" x14ac:dyDescent="0.2">
      <c r="B2095" s="24"/>
      <c r="C2095" s="7">
        <v>4662</v>
      </c>
      <c r="D2095" s="18" t="s">
        <v>2186</v>
      </c>
      <c r="E2095" s="18" t="s">
        <v>1361</v>
      </c>
      <c r="F2095" s="17">
        <v>15</v>
      </c>
      <c r="G2095" s="18" t="s">
        <v>23</v>
      </c>
      <c r="H2095" s="17">
        <v>63.2</v>
      </c>
      <c r="I2095" s="8">
        <v>73.7</v>
      </c>
      <c r="J2095" s="21">
        <f t="shared" si="96"/>
        <v>0.16613924050632911</v>
      </c>
      <c r="K2095" s="1">
        <v>3</v>
      </c>
      <c r="L2095" s="24">
        <v>5.0999999999999996</v>
      </c>
      <c r="M2095" s="24">
        <v>68.541000000000011</v>
      </c>
      <c r="N2095" s="21">
        <f t="shared" si="97"/>
        <v>8.4509493670886199E-2</v>
      </c>
      <c r="P2095" s="1">
        <v>5</v>
      </c>
      <c r="Q2095" s="24">
        <v>8.8439999999999941</v>
      </c>
      <c r="R2095" s="24">
        <v>64.856000000000009</v>
      </c>
      <c r="S2095" s="21">
        <f t="shared" si="98"/>
        <v>2.6202531645569713E-2</v>
      </c>
    </row>
    <row r="2096" spans="2:19" ht="11.4" customHeight="1" x14ac:dyDescent="0.2">
      <c r="B2096" s="24"/>
      <c r="C2096" s="7">
        <v>19076</v>
      </c>
      <c r="D2096" s="18" t="s">
        <v>2187</v>
      </c>
      <c r="E2096" s="18" t="s">
        <v>1361</v>
      </c>
      <c r="F2096" s="17">
        <v>20</v>
      </c>
      <c r="G2096" s="18" t="s">
        <v>23</v>
      </c>
      <c r="H2096" s="17">
        <v>42.4</v>
      </c>
      <c r="I2096" s="8">
        <v>52.9</v>
      </c>
      <c r="J2096" s="21">
        <f t="shared" si="96"/>
        <v>0.24764150943396226</v>
      </c>
      <c r="K2096" s="1">
        <v>3</v>
      </c>
      <c r="L2096" s="24">
        <v>3.7</v>
      </c>
      <c r="M2096" s="24">
        <v>49.197000000000003</v>
      </c>
      <c r="N2096" s="21">
        <f t="shared" si="97"/>
        <v>0.16030660377358502</v>
      </c>
      <c r="P2096" s="1">
        <v>5</v>
      </c>
      <c r="Q2096" s="24">
        <v>6.347999999999999</v>
      </c>
      <c r="R2096" s="24">
        <v>46.552</v>
      </c>
      <c r="S2096" s="21">
        <f t="shared" si="98"/>
        <v>9.7924528301886818E-2</v>
      </c>
    </row>
    <row r="2097" spans="2:19" ht="11.4" customHeight="1" x14ac:dyDescent="0.2">
      <c r="B2097" s="24"/>
      <c r="C2097" s="7">
        <v>41121</v>
      </c>
      <c r="D2097" s="18" t="s">
        <v>2188</v>
      </c>
      <c r="E2097" s="18" t="s">
        <v>1361</v>
      </c>
      <c r="F2097" s="17">
        <v>5</v>
      </c>
      <c r="G2097" s="18" t="s">
        <v>902</v>
      </c>
      <c r="H2097" s="17">
        <v>59</v>
      </c>
      <c r="I2097" s="8">
        <v>77.5</v>
      </c>
      <c r="J2097" s="21">
        <f t="shared" si="96"/>
        <v>0.3135593220338983</v>
      </c>
      <c r="K2097" s="1">
        <v>1</v>
      </c>
      <c r="L2097" s="24">
        <v>3.8</v>
      </c>
      <c r="M2097" s="24">
        <v>73.625</v>
      </c>
      <c r="N2097" s="21">
        <f t="shared" si="97"/>
        <v>0.2478813559322034</v>
      </c>
      <c r="P2097" s="1">
        <v>4</v>
      </c>
      <c r="Q2097" s="24">
        <v>7.75</v>
      </c>
      <c r="R2097" s="24">
        <v>69.75</v>
      </c>
      <c r="S2097" s="21">
        <f t="shared" si="98"/>
        <v>0.18220338983050846</v>
      </c>
    </row>
    <row r="2098" spans="2:19" ht="11.4" customHeight="1" x14ac:dyDescent="0.2">
      <c r="B2098" s="24"/>
      <c r="C2098" s="7">
        <v>41122</v>
      </c>
      <c r="D2098" s="18" t="s">
        <v>2189</v>
      </c>
      <c r="E2098" s="18" t="s">
        <v>1361</v>
      </c>
      <c r="F2098" s="17">
        <v>5</v>
      </c>
      <c r="G2098" s="18" t="s">
        <v>902</v>
      </c>
      <c r="H2098" s="17">
        <v>57</v>
      </c>
      <c r="I2098" s="8">
        <v>74.900000000000006</v>
      </c>
      <c r="J2098" s="21">
        <f t="shared" si="96"/>
        <v>0.31403508771929833</v>
      </c>
      <c r="K2098" s="1">
        <v>1</v>
      </c>
      <c r="L2098" s="24">
        <v>3.7</v>
      </c>
      <c r="M2098" s="24">
        <v>71.155000000000001</v>
      </c>
      <c r="N2098" s="21">
        <f t="shared" si="97"/>
        <v>0.24833333333333335</v>
      </c>
      <c r="P2098" s="1">
        <v>4</v>
      </c>
      <c r="Q2098" s="24">
        <v>7.4899999999999949</v>
      </c>
      <c r="R2098" s="24">
        <v>67.410000000000011</v>
      </c>
      <c r="S2098" s="21">
        <f t="shared" si="98"/>
        <v>0.18263157894736862</v>
      </c>
    </row>
    <row r="2099" spans="2:19" ht="11.4" customHeight="1" x14ac:dyDescent="0.2">
      <c r="B2099" s="24"/>
      <c r="C2099" s="7">
        <v>45084</v>
      </c>
      <c r="D2099" s="18" t="s">
        <v>2190</v>
      </c>
      <c r="E2099" s="18" t="s">
        <v>2191</v>
      </c>
      <c r="F2099" s="18"/>
      <c r="G2099" s="18" t="s">
        <v>23</v>
      </c>
      <c r="H2099" s="17">
        <v>77</v>
      </c>
      <c r="I2099" s="8">
        <v>106.5</v>
      </c>
      <c r="J2099" s="21">
        <f t="shared" si="96"/>
        <v>0.38311688311688313</v>
      </c>
      <c r="K2099" s="1">
        <v>3</v>
      </c>
      <c r="L2099" s="24">
        <v>7.4</v>
      </c>
      <c r="M2099" s="24">
        <v>99.045000000000002</v>
      </c>
      <c r="N2099" s="21">
        <f t="shared" si="97"/>
        <v>0.28629870129870133</v>
      </c>
      <c r="P2099" s="1">
        <v>5</v>
      </c>
      <c r="Q2099" s="24">
        <v>12.780000000000001</v>
      </c>
      <c r="R2099" s="24">
        <v>93.72</v>
      </c>
      <c r="S2099" s="21">
        <f t="shared" si="98"/>
        <v>0.21714285714285714</v>
      </c>
    </row>
    <row r="2100" spans="2:19" ht="11.4" customHeight="1" x14ac:dyDescent="0.2">
      <c r="B2100" s="24"/>
      <c r="C2100" s="7">
        <v>34300</v>
      </c>
      <c r="D2100" s="18" t="s">
        <v>2192</v>
      </c>
      <c r="E2100" s="18" t="s">
        <v>2191</v>
      </c>
      <c r="F2100" s="17">
        <v>12</v>
      </c>
      <c r="G2100" s="18" t="s">
        <v>23</v>
      </c>
      <c r="H2100" s="17">
        <v>43.24</v>
      </c>
      <c r="I2100" s="8">
        <v>59.9</v>
      </c>
      <c r="J2100" s="21">
        <f t="shared" si="96"/>
        <v>0.38529139685476399</v>
      </c>
      <c r="K2100" s="1">
        <v>3</v>
      </c>
      <c r="L2100" s="24">
        <v>4.0999999999999996</v>
      </c>
      <c r="M2100" s="24">
        <v>55.707000000000001</v>
      </c>
      <c r="N2100" s="21">
        <f t="shared" si="97"/>
        <v>0.28832099907493058</v>
      </c>
      <c r="P2100" s="1">
        <v>5</v>
      </c>
      <c r="Q2100" s="24">
        <v>7.1880000000000024</v>
      </c>
      <c r="R2100" s="24">
        <v>52.711999999999996</v>
      </c>
      <c r="S2100" s="21">
        <f t="shared" si="98"/>
        <v>0.21905642923219226</v>
      </c>
    </row>
    <row r="2101" spans="2:19" ht="11.4" customHeight="1" x14ac:dyDescent="0.2">
      <c r="B2101" s="24"/>
      <c r="C2101" s="7">
        <v>25663</v>
      </c>
      <c r="D2101" s="18" t="s">
        <v>2193</v>
      </c>
      <c r="E2101" s="18" t="s">
        <v>2191</v>
      </c>
      <c r="F2101" s="17">
        <v>24</v>
      </c>
      <c r="G2101" s="18" t="s">
        <v>23</v>
      </c>
      <c r="H2101" s="17">
        <v>59.5</v>
      </c>
      <c r="I2101" s="8">
        <v>78.900000000000006</v>
      </c>
      <c r="J2101" s="21">
        <f t="shared" si="96"/>
        <v>0.32605042016806735</v>
      </c>
      <c r="K2101" s="1">
        <v>3</v>
      </c>
      <c r="L2101" s="24">
        <v>5.5</v>
      </c>
      <c r="M2101" s="24">
        <v>73.37700000000001</v>
      </c>
      <c r="N2101" s="21">
        <f t="shared" si="97"/>
        <v>0.23322689075630268</v>
      </c>
      <c r="P2101" s="1">
        <v>5</v>
      </c>
      <c r="Q2101" s="24">
        <v>9.4680000000000035</v>
      </c>
      <c r="R2101" s="24">
        <v>69.432000000000002</v>
      </c>
      <c r="S2101" s="21">
        <f t="shared" si="98"/>
        <v>0.1669243697478992</v>
      </c>
    </row>
    <row r="2102" spans="2:19" ht="11.4" customHeight="1" x14ac:dyDescent="0.2">
      <c r="B2102" s="24"/>
      <c r="C2102" s="7">
        <v>40333</v>
      </c>
      <c r="D2102" s="18" t="s">
        <v>2194</v>
      </c>
      <c r="E2102" s="18" t="s">
        <v>2191</v>
      </c>
      <c r="F2102" s="17">
        <v>24</v>
      </c>
      <c r="G2102" s="18" t="s">
        <v>23</v>
      </c>
      <c r="H2102" s="17">
        <v>51.52</v>
      </c>
      <c r="I2102" s="8">
        <v>79.900000000000006</v>
      </c>
      <c r="J2102" s="21">
        <f t="shared" si="96"/>
        <v>0.55085403726708071</v>
      </c>
      <c r="K2102" s="1">
        <v>3</v>
      </c>
      <c r="L2102" s="24">
        <v>5.5</v>
      </c>
      <c r="M2102" s="24">
        <v>74.307000000000002</v>
      </c>
      <c r="N2102" s="21">
        <f t="shared" si="97"/>
        <v>0.44229425465838507</v>
      </c>
      <c r="P2102" s="1">
        <v>5</v>
      </c>
      <c r="Q2102" s="24">
        <v>9.5879999999999939</v>
      </c>
      <c r="R2102" s="24">
        <v>70.312000000000012</v>
      </c>
      <c r="S2102" s="21">
        <f t="shared" si="98"/>
        <v>0.36475155279503119</v>
      </c>
    </row>
    <row r="2103" spans="2:19" ht="11.4" customHeight="1" x14ac:dyDescent="0.2">
      <c r="B2103" s="24"/>
      <c r="C2103" s="7">
        <v>40326</v>
      </c>
      <c r="D2103" s="18" t="s">
        <v>2195</v>
      </c>
      <c r="E2103" s="18" t="s">
        <v>2191</v>
      </c>
      <c r="F2103" s="17">
        <v>15</v>
      </c>
      <c r="G2103" s="18" t="s">
        <v>23</v>
      </c>
      <c r="H2103" s="17">
        <v>36.9</v>
      </c>
      <c r="I2103" s="8">
        <v>53.5</v>
      </c>
      <c r="J2103" s="21">
        <f t="shared" si="96"/>
        <v>0.44986449864498651</v>
      </c>
      <c r="K2103" s="1">
        <v>3</v>
      </c>
      <c r="L2103" s="24">
        <v>3.7</v>
      </c>
      <c r="M2103" s="24">
        <v>49.755000000000003</v>
      </c>
      <c r="N2103" s="21">
        <f t="shared" si="97"/>
        <v>0.34837398373983752</v>
      </c>
      <c r="P2103" s="1">
        <v>5</v>
      </c>
      <c r="Q2103" s="24">
        <v>6.4200000000000017</v>
      </c>
      <c r="R2103" s="24">
        <v>47.08</v>
      </c>
      <c r="S2103" s="21">
        <f t="shared" si="98"/>
        <v>0.27588075880758806</v>
      </c>
    </row>
    <row r="2104" spans="2:19" ht="11.4" customHeight="1" x14ac:dyDescent="0.2">
      <c r="B2104" s="24"/>
      <c r="C2104" s="7">
        <v>42604</v>
      </c>
      <c r="D2104" s="18" t="s">
        <v>2196</v>
      </c>
      <c r="E2104" s="18" t="s">
        <v>2191</v>
      </c>
      <c r="F2104" s="17">
        <v>12</v>
      </c>
      <c r="G2104" s="18" t="s">
        <v>23</v>
      </c>
      <c r="H2104" s="17">
        <v>75.78</v>
      </c>
      <c r="I2104" s="8">
        <v>116.9</v>
      </c>
      <c r="J2104" s="21">
        <f t="shared" si="96"/>
        <v>0.54262338347849037</v>
      </c>
      <c r="K2104" s="1">
        <v>3</v>
      </c>
      <c r="L2104" s="24">
        <v>8.1</v>
      </c>
      <c r="M2104" s="24">
        <v>108.71700000000001</v>
      </c>
      <c r="N2104" s="21">
        <f t="shared" si="97"/>
        <v>0.43463974663499622</v>
      </c>
      <c r="P2104" s="1">
        <v>5</v>
      </c>
      <c r="Q2104" s="24">
        <v>14.028000000000006</v>
      </c>
      <c r="R2104" s="24">
        <v>102.872</v>
      </c>
      <c r="S2104" s="21">
        <f t="shared" si="98"/>
        <v>0.35750857746107151</v>
      </c>
    </row>
    <row r="2105" spans="2:19" ht="11.4" customHeight="1" x14ac:dyDescent="0.2">
      <c r="B2105" s="24"/>
      <c r="C2105" s="7">
        <v>34579</v>
      </c>
      <c r="D2105" s="18" t="s">
        <v>2197</v>
      </c>
      <c r="E2105" s="18" t="s">
        <v>2191</v>
      </c>
      <c r="F2105" s="17">
        <v>12</v>
      </c>
      <c r="G2105" s="18" t="s">
        <v>23</v>
      </c>
      <c r="H2105" s="17">
        <v>88.7</v>
      </c>
      <c r="I2105" s="8">
        <v>112.3</v>
      </c>
      <c r="J2105" s="21">
        <f t="shared" si="96"/>
        <v>0.26606538895152193</v>
      </c>
      <c r="K2105" s="1">
        <v>3</v>
      </c>
      <c r="L2105" s="24">
        <v>7.8</v>
      </c>
      <c r="M2105" s="24">
        <v>104.43900000000001</v>
      </c>
      <c r="N2105" s="21">
        <f t="shared" si="97"/>
        <v>0.17744081172491549</v>
      </c>
      <c r="P2105" s="1">
        <v>5</v>
      </c>
      <c r="Q2105" s="24">
        <v>13.475999999999999</v>
      </c>
      <c r="R2105" s="24">
        <v>98.823999999999998</v>
      </c>
      <c r="S2105" s="21">
        <f t="shared" si="98"/>
        <v>0.11413754227733929</v>
      </c>
    </row>
    <row r="2106" spans="2:19" ht="11.4" customHeight="1" x14ac:dyDescent="0.2">
      <c r="B2106" s="24"/>
      <c r="C2106" s="7">
        <v>34578</v>
      </c>
      <c r="D2106" s="18" t="s">
        <v>2198</v>
      </c>
      <c r="E2106" s="18" t="s">
        <v>2191</v>
      </c>
      <c r="F2106" s="17">
        <v>12</v>
      </c>
      <c r="G2106" s="18" t="s">
        <v>23</v>
      </c>
      <c r="H2106" s="17">
        <v>88.7</v>
      </c>
      <c r="I2106" s="8">
        <v>112.3</v>
      </c>
      <c r="J2106" s="21">
        <f t="shared" si="96"/>
        <v>0.26606538895152193</v>
      </c>
      <c r="K2106" s="1">
        <v>3</v>
      </c>
      <c r="L2106" s="24">
        <v>7.8</v>
      </c>
      <c r="M2106" s="24">
        <v>104.43900000000001</v>
      </c>
      <c r="N2106" s="21">
        <f t="shared" si="97"/>
        <v>0.17744081172491549</v>
      </c>
      <c r="P2106" s="1">
        <v>5</v>
      </c>
      <c r="Q2106" s="24">
        <v>13.475999999999999</v>
      </c>
      <c r="R2106" s="24">
        <v>98.823999999999998</v>
      </c>
      <c r="S2106" s="21">
        <f t="shared" si="98"/>
        <v>0.11413754227733929</v>
      </c>
    </row>
    <row r="2107" spans="2:19" ht="11.4" customHeight="1" x14ac:dyDescent="0.2">
      <c r="B2107" s="24"/>
      <c r="C2107" s="7">
        <v>44445</v>
      </c>
      <c r="D2107" s="18" t="s">
        <v>2199</v>
      </c>
      <c r="E2107" s="18" t="s">
        <v>2191</v>
      </c>
      <c r="F2107" s="17">
        <v>16</v>
      </c>
      <c r="G2107" s="18" t="s">
        <v>23</v>
      </c>
      <c r="H2107" s="17">
        <v>48.54</v>
      </c>
      <c r="I2107" s="8">
        <v>69.5</v>
      </c>
      <c r="J2107" s="21">
        <f t="shared" si="96"/>
        <v>0.43180881747012778</v>
      </c>
      <c r="K2107" s="1">
        <v>3</v>
      </c>
      <c r="L2107" s="24">
        <v>4.8</v>
      </c>
      <c r="M2107" s="24">
        <v>64.635000000000005</v>
      </c>
      <c r="N2107" s="21">
        <f t="shared" si="97"/>
        <v>0.33158220024721891</v>
      </c>
      <c r="P2107" s="1">
        <v>5</v>
      </c>
      <c r="Q2107" s="24">
        <v>8.3399999999999963</v>
      </c>
      <c r="R2107" s="24">
        <v>61.160000000000004</v>
      </c>
      <c r="S2107" s="21">
        <f t="shared" si="98"/>
        <v>0.25999175937371249</v>
      </c>
    </row>
    <row r="2108" spans="2:19" ht="11.4" customHeight="1" x14ac:dyDescent="0.2">
      <c r="B2108" s="24"/>
      <c r="C2108" s="7">
        <v>44447</v>
      </c>
      <c r="D2108" s="18" t="s">
        <v>2200</v>
      </c>
      <c r="E2108" s="18" t="s">
        <v>2191</v>
      </c>
      <c r="F2108" s="17">
        <v>16</v>
      </c>
      <c r="G2108" s="18" t="s">
        <v>23</v>
      </c>
      <c r="H2108" s="17">
        <v>46.44</v>
      </c>
      <c r="I2108" s="8">
        <v>67.5</v>
      </c>
      <c r="J2108" s="21">
        <f t="shared" si="96"/>
        <v>0.45348837209302334</v>
      </c>
      <c r="K2108" s="1">
        <v>3</v>
      </c>
      <c r="L2108" s="24">
        <v>4.7</v>
      </c>
      <c r="M2108" s="24">
        <v>62.775000000000006</v>
      </c>
      <c r="N2108" s="21">
        <f t="shared" si="97"/>
        <v>0.35174418604651181</v>
      </c>
      <c r="P2108" s="1">
        <v>5</v>
      </c>
      <c r="Q2108" s="24">
        <v>8.1000000000000014</v>
      </c>
      <c r="R2108" s="24">
        <v>59.4</v>
      </c>
      <c r="S2108" s="21">
        <f t="shared" si="98"/>
        <v>0.27906976744186052</v>
      </c>
    </row>
    <row r="2109" spans="2:19" ht="11.4" customHeight="1" x14ac:dyDescent="0.2">
      <c r="B2109" s="24"/>
      <c r="C2109" s="7">
        <v>44448</v>
      </c>
      <c r="D2109" s="18" t="s">
        <v>2201</v>
      </c>
      <c r="E2109" s="18" t="s">
        <v>2191</v>
      </c>
      <c r="F2109" s="17">
        <v>16</v>
      </c>
      <c r="G2109" s="18" t="s">
        <v>23</v>
      </c>
      <c r="H2109" s="17">
        <v>47.88</v>
      </c>
      <c r="I2109" s="8">
        <v>69.5</v>
      </c>
      <c r="J2109" s="21">
        <f t="shared" si="96"/>
        <v>0.45154553049289886</v>
      </c>
      <c r="K2109" s="1">
        <v>3</v>
      </c>
      <c r="L2109" s="24">
        <v>4.8</v>
      </c>
      <c r="M2109" s="24">
        <v>64.635000000000005</v>
      </c>
      <c r="N2109" s="21">
        <f t="shared" si="97"/>
        <v>0.34993734335839605</v>
      </c>
      <c r="P2109" s="1">
        <v>5</v>
      </c>
      <c r="Q2109" s="24">
        <v>8.3399999999999963</v>
      </c>
      <c r="R2109" s="24">
        <v>61.160000000000004</v>
      </c>
      <c r="S2109" s="21">
        <f t="shared" si="98"/>
        <v>0.27736006683375103</v>
      </c>
    </row>
    <row r="2110" spans="2:19" ht="11.4" customHeight="1" x14ac:dyDescent="0.2">
      <c r="B2110" s="24"/>
      <c r="C2110" s="7">
        <v>37683</v>
      </c>
      <c r="D2110" s="18" t="s">
        <v>2202</v>
      </c>
      <c r="E2110" s="18" t="s">
        <v>2191</v>
      </c>
      <c r="F2110" s="17">
        <v>24</v>
      </c>
      <c r="G2110" s="18" t="s">
        <v>23</v>
      </c>
      <c r="H2110" s="17">
        <v>125.9</v>
      </c>
      <c r="I2110" s="8">
        <v>169.9</v>
      </c>
      <c r="J2110" s="21">
        <f t="shared" si="96"/>
        <v>0.34948371723590149</v>
      </c>
      <c r="K2110" s="1">
        <v>3</v>
      </c>
      <c r="L2110" s="24">
        <v>11.8</v>
      </c>
      <c r="M2110" s="24">
        <v>158.00700000000001</v>
      </c>
      <c r="N2110" s="21">
        <f t="shared" si="97"/>
        <v>0.2550198570293884</v>
      </c>
      <c r="P2110" s="1">
        <v>5</v>
      </c>
      <c r="Q2110" s="24">
        <v>20.388000000000005</v>
      </c>
      <c r="R2110" s="24">
        <v>149.512</v>
      </c>
      <c r="S2110" s="21">
        <f t="shared" si="98"/>
        <v>0.18754567116759327</v>
      </c>
    </row>
    <row r="2111" spans="2:19" ht="11.4" customHeight="1" x14ac:dyDescent="0.2">
      <c r="B2111" s="24"/>
      <c r="C2111" s="7">
        <v>42748</v>
      </c>
      <c r="D2111" s="18" t="s">
        <v>2203</v>
      </c>
      <c r="E2111" s="18" t="s">
        <v>2191</v>
      </c>
      <c r="F2111" s="18"/>
      <c r="G2111" s="18" t="s">
        <v>23</v>
      </c>
      <c r="H2111" s="17">
        <v>22.92</v>
      </c>
      <c r="I2111" s="8">
        <v>29.9</v>
      </c>
      <c r="J2111" s="21">
        <f t="shared" si="96"/>
        <v>0.30453752181500859</v>
      </c>
      <c r="K2111" s="1">
        <v>3</v>
      </c>
      <c r="L2111" s="24">
        <v>2</v>
      </c>
      <c r="M2111" s="24">
        <v>27.806999999999999</v>
      </c>
      <c r="N2111" s="21">
        <f t="shared" si="97"/>
        <v>0.21321989528795796</v>
      </c>
      <c r="P2111" s="1">
        <v>5</v>
      </c>
      <c r="Q2111" s="24">
        <v>3.588000000000001</v>
      </c>
      <c r="R2111" s="24">
        <v>26.311999999999998</v>
      </c>
      <c r="S2111" s="21">
        <f t="shared" si="98"/>
        <v>0.14799301919720748</v>
      </c>
    </row>
    <row r="2112" spans="2:19" ht="11.4" customHeight="1" x14ac:dyDescent="0.2">
      <c r="B2112" s="24"/>
      <c r="C2112" s="7">
        <v>42749</v>
      </c>
      <c r="D2112" s="18" t="s">
        <v>2204</v>
      </c>
      <c r="E2112" s="18" t="s">
        <v>2191</v>
      </c>
      <c r="F2112" s="18"/>
      <c r="G2112" s="18" t="s">
        <v>23</v>
      </c>
      <c r="H2112" s="17">
        <v>20.7</v>
      </c>
      <c r="I2112" s="8">
        <v>29.9</v>
      </c>
      <c r="J2112" s="21">
        <f t="shared" si="96"/>
        <v>0.44444444444444442</v>
      </c>
      <c r="K2112" s="1">
        <v>3</v>
      </c>
      <c r="L2112" s="24">
        <v>2</v>
      </c>
      <c r="M2112" s="24">
        <v>27.806999999999999</v>
      </c>
      <c r="N2112" s="21">
        <f t="shared" si="97"/>
        <v>0.34333333333333332</v>
      </c>
      <c r="P2112" s="1">
        <v>5</v>
      </c>
      <c r="Q2112" s="24">
        <v>3.588000000000001</v>
      </c>
      <c r="R2112" s="24">
        <v>26.311999999999998</v>
      </c>
      <c r="S2112" s="21">
        <f t="shared" si="98"/>
        <v>0.27111111111111103</v>
      </c>
    </row>
    <row r="2113" spans="2:19" ht="11.4" customHeight="1" x14ac:dyDescent="0.2">
      <c r="B2113" s="24"/>
      <c r="C2113" s="7">
        <v>34183</v>
      </c>
      <c r="D2113" s="18" t="s">
        <v>2205</v>
      </c>
      <c r="E2113" s="18" t="s">
        <v>2191</v>
      </c>
      <c r="F2113" s="17">
        <v>36</v>
      </c>
      <c r="G2113" s="18" t="s">
        <v>23</v>
      </c>
      <c r="H2113" s="17">
        <v>196.5</v>
      </c>
      <c r="I2113" s="8">
        <v>265</v>
      </c>
      <c r="J2113" s="21">
        <f t="shared" si="96"/>
        <v>0.34860050890585242</v>
      </c>
      <c r="K2113" s="1">
        <v>3</v>
      </c>
      <c r="L2113" s="24">
        <v>18.5</v>
      </c>
      <c r="M2113" s="24">
        <v>246.45000000000002</v>
      </c>
      <c r="N2113" s="21">
        <f t="shared" si="97"/>
        <v>0.25419847328244283</v>
      </c>
      <c r="P2113" s="1">
        <v>5</v>
      </c>
      <c r="Q2113" s="24">
        <v>31.800000000000011</v>
      </c>
      <c r="R2113" s="24">
        <v>233.2</v>
      </c>
      <c r="S2113" s="21">
        <f t="shared" si="98"/>
        <v>0.18676844783715008</v>
      </c>
    </row>
    <row r="2114" spans="2:19" ht="11.4" customHeight="1" x14ac:dyDescent="0.2">
      <c r="B2114" s="24"/>
      <c r="C2114" s="7">
        <v>34184</v>
      </c>
      <c r="D2114" s="18" t="s">
        <v>2206</v>
      </c>
      <c r="E2114" s="18" t="s">
        <v>2191</v>
      </c>
      <c r="F2114" s="17">
        <v>36</v>
      </c>
      <c r="G2114" s="18" t="s">
        <v>23</v>
      </c>
      <c r="H2114" s="17">
        <v>196.5</v>
      </c>
      <c r="I2114" s="8">
        <v>265</v>
      </c>
      <c r="J2114" s="21">
        <f t="shared" si="96"/>
        <v>0.34860050890585242</v>
      </c>
      <c r="K2114" s="1">
        <v>3</v>
      </c>
      <c r="L2114" s="24">
        <v>18.5</v>
      </c>
      <c r="M2114" s="24">
        <v>246.45000000000002</v>
      </c>
      <c r="N2114" s="21">
        <f t="shared" si="97"/>
        <v>0.25419847328244283</v>
      </c>
      <c r="P2114" s="1">
        <v>5</v>
      </c>
      <c r="Q2114" s="24">
        <v>31.800000000000011</v>
      </c>
      <c r="R2114" s="24">
        <v>233.2</v>
      </c>
      <c r="S2114" s="21">
        <f t="shared" si="98"/>
        <v>0.18676844783715008</v>
      </c>
    </row>
    <row r="2115" spans="2:19" ht="11.4" customHeight="1" x14ac:dyDescent="0.2">
      <c r="B2115" s="24"/>
      <c r="C2115" s="7">
        <v>27375</v>
      </c>
      <c r="D2115" s="18" t="s">
        <v>2207</v>
      </c>
      <c r="E2115" s="18" t="s">
        <v>2191</v>
      </c>
      <c r="F2115" s="17">
        <v>48</v>
      </c>
      <c r="G2115" s="18" t="s">
        <v>23</v>
      </c>
      <c r="H2115" s="17">
        <v>39.96</v>
      </c>
      <c r="I2115" s="8">
        <v>61.5</v>
      </c>
      <c r="J2115" s="21">
        <f t="shared" ref="J2115:J2178" si="99">(I2115-H2115)/H2115</f>
        <v>0.53903903903903905</v>
      </c>
      <c r="K2115" s="1">
        <v>3</v>
      </c>
      <c r="L2115" s="24">
        <v>4.3</v>
      </c>
      <c r="M2115" s="24">
        <v>57.195</v>
      </c>
      <c r="N2115" s="21">
        <f t="shared" ref="N2115:N2178" si="100">(M2115-H2115)/H2115</f>
        <v>0.43130630630630629</v>
      </c>
      <c r="P2115" s="1">
        <v>5</v>
      </c>
      <c r="Q2115" s="24">
        <v>7.3800000000000026</v>
      </c>
      <c r="R2115" s="24">
        <v>54.12</v>
      </c>
      <c r="S2115" s="21">
        <f t="shared" ref="S2115:S2178" si="101">(R2115-H2115)/H2115</f>
        <v>0.35435435435435425</v>
      </c>
    </row>
    <row r="2116" spans="2:19" ht="11.4" customHeight="1" x14ac:dyDescent="0.2">
      <c r="B2116" s="24"/>
      <c r="C2116" s="7">
        <v>40327</v>
      </c>
      <c r="D2116" s="18" t="s">
        <v>2208</v>
      </c>
      <c r="E2116" s="18" t="s">
        <v>2191</v>
      </c>
      <c r="F2116" s="17">
        <v>24</v>
      </c>
      <c r="G2116" s="18" t="s">
        <v>23</v>
      </c>
      <c r="H2116" s="17">
        <v>37.24</v>
      </c>
      <c r="I2116" s="8">
        <v>53.9</v>
      </c>
      <c r="J2116" s="21">
        <f t="shared" si="99"/>
        <v>0.44736842105263147</v>
      </c>
      <c r="K2116" s="1">
        <v>3</v>
      </c>
      <c r="L2116" s="24">
        <v>3.7</v>
      </c>
      <c r="M2116" s="24">
        <v>50.127000000000002</v>
      </c>
      <c r="N2116" s="21">
        <f t="shared" si="100"/>
        <v>0.34605263157894739</v>
      </c>
      <c r="P2116" s="1">
        <v>5</v>
      </c>
      <c r="Q2116" s="24">
        <v>6.4679999999999964</v>
      </c>
      <c r="R2116" s="24">
        <v>47.432000000000002</v>
      </c>
      <c r="S2116" s="21">
        <f t="shared" si="101"/>
        <v>0.27368421052631575</v>
      </c>
    </row>
    <row r="2117" spans="2:19" ht="11.4" customHeight="1" x14ac:dyDescent="0.2">
      <c r="B2117" s="24"/>
      <c r="C2117" s="7">
        <v>37680</v>
      </c>
      <c r="D2117" s="18" t="s">
        <v>2209</v>
      </c>
      <c r="E2117" s="18" t="s">
        <v>2191</v>
      </c>
      <c r="F2117" s="17">
        <v>24</v>
      </c>
      <c r="G2117" s="18" t="s">
        <v>23</v>
      </c>
      <c r="H2117" s="17">
        <v>100.92</v>
      </c>
      <c r="I2117" s="8">
        <v>139</v>
      </c>
      <c r="J2117" s="21">
        <f t="shared" si="99"/>
        <v>0.37732857709076495</v>
      </c>
      <c r="K2117" s="1">
        <v>3</v>
      </c>
      <c r="L2117" s="24">
        <v>9.6999999999999993</v>
      </c>
      <c r="M2117" s="24">
        <v>129.27000000000001</v>
      </c>
      <c r="N2117" s="21">
        <f t="shared" si="100"/>
        <v>0.28091557669441147</v>
      </c>
      <c r="P2117" s="1">
        <v>5</v>
      </c>
      <c r="Q2117" s="24">
        <v>16.679999999999993</v>
      </c>
      <c r="R2117" s="24">
        <v>122.32000000000001</v>
      </c>
      <c r="S2117" s="21">
        <f t="shared" si="101"/>
        <v>0.21204914783987322</v>
      </c>
    </row>
    <row r="2118" spans="2:19" ht="11.4" customHeight="1" x14ac:dyDescent="0.2">
      <c r="B2118" s="24"/>
      <c r="C2118" s="7">
        <v>38415</v>
      </c>
      <c r="D2118" s="18" t="s">
        <v>2210</v>
      </c>
      <c r="E2118" s="18" t="s">
        <v>2191</v>
      </c>
      <c r="F2118" s="17">
        <v>48</v>
      </c>
      <c r="G2118" s="18" t="s">
        <v>23</v>
      </c>
      <c r="H2118" s="17">
        <v>65.900000000000006</v>
      </c>
      <c r="I2118" s="8">
        <v>74.900000000000006</v>
      </c>
      <c r="J2118" s="21">
        <f t="shared" si="99"/>
        <v>0.13657056145675264</v>
      </c>
      <c r="K2118" s="1">
        <v>3</v>
      </c>
      <c r="L2118" s="24">
        <v>5.2</v>
      </c>
      <c r="M2118" s="24">
        <v>69.657000000000011</v>
      </c>
      <c r="N2118" s="21">
        <f t="shared" si="100"/>
        <v>5.701062215478004E-2</v>
      </c>
      <c r="P2118" s="1">
        <v>5</v>
      </c>
      <c r="Q2118" s="24">
        <v>8.9879999999999995</v>
      </c>
      <c r="R2118" s="24">
        <v>65.912000000000006</v>
      </c>
      <c r="S2118" s="21">
        <f t="shared" si="101"/>
        <v>1.8209408194234375E-4</v>
      </c>
    </row>
    <row r="2119" spans="2:19" ht="11.4" customHeight="1" x14ac:dyDescent="0.2">
      <c r="B2119" s="24"/>
      <c r="C2119" s="7">
        <v>37681</v>
      </c>
      <c r="D2119" s="18" t="s">
        <v>2211</v>
      </c>
      <c r="E2119" s="18" t="s">
        <v>2191</v>
      </c>
      <c r="F2119" s="17">
        <v>24</v>
      </c>
      <c r="G2119" s="18" t="s">
        <v>23</v>
      </c>
      <c r="H2119" s="17">
        <v>100.92</v>
      </c>
      <c r="I2119" s="8">
        <v>139</v>
      </c>
      <c r="J2119" s="21">
        <f t="shared" si="99"/>
        <v>0.37732857709076495</v>
      </c>
      <c r="K2119" s="1">
        <v>3</v>
      </c>
      <c r="L2119" s="24">
        <v>9.6999999999999993</v>
      </c>
      <c r="M2119" s="24">
        <v>129.27000000000001</v>
      </c>
      <c r="N2119" s="21">
        <f t="shared" si="100"/>
        <v>0.28091557669441147</v>
      </c>
      <c r="P2119" s="1">
        <v>5</v>
      </c>
      <c r="Q2119" s="24">
        <v>16.679999999999993</v>
      </c>
      <c r="R2119" s="24">
        <v>122.32000000000001</v>
      </c>
      <c r="S2119" s="21">
        <f t="shared" si="101"/>
        <v>0.21204914783987322</v>
      </c>
    </row>
    <row r="2120" spans="2:19" ht="11.4" customHeight="1" x14ac:dyDescent="0.2">
      <c r="B2120" s="24"/>
      <c r="C2120" s="7">
        <v>23625</v>
      </c>
      <c r="D2120" s="18" t="s">
        <v>2212</v>
      </c>
      <c r="E2120" s="18" t="s">
        <v>2191</v>
      </c>
      <c r="F2120" s="17">
        <v>48</v>
      </c>
      <c r="G2120" s="18" t="s">
        <v>23</v>
      </c>
      <c r="H2120" s="17">
        <v>42.9</v>
      </c>
      <c r="I2120" s="8">
        <v>59.9</v>
      </c>
      <c r="J2120" s="21">
        <f t="shared" si="99"/>
        <v>0.39627039627039629</v>
      </c>
      <c r="K2120" s="1">
        <v>3</v>
      </c>
      <c r="L2120" s="24">
        <v>4.0999999999999996</v>
      </c>
      <c r="M2120" s="24">
        <v>55.707000000000001</v>
      </c>
      <c r="N2120" s="21">
        <f t="shared" si="100"/>
        <v>0.29853146853146861</v>
      </c>
      <c r="P2120" s="1">
        <v>5</v>
      </c>
      <c r="Q2120" s="24">
        <v>7.1880000000000024</v>
      </c>
      <c r="R2120" s="24">
        <v>52.711999999999996</v>
      </c>
      <c r="S2120" s="21">
        <f t="shared" si="101"/>
        <v>0.22871794871794868</v>
      </c>
    </row>
    <row r="2121" spans="2:19" ht="11.4" customHeight="1" x14ac:dyDescent="0.2">
      <c r="B2121" s="24"/>
      <c r="C2121" s="7">
        <v>18471</v>
      </c>
      <c r="D2121" s="18" t="s">
        <v>2213</v>
      </c>
      <c r="E2121" s="18" t="s">
        <v>2191</v>
      </c>
      <c r="F2121" s="17">
        <v>24</v>
      </c>
      <c r="G2121" s="18" t="s">
        <v>23</v>
      </c>
      <c r="H2121" s="17">
        <v>74.5</v>
      </c>
      <c r="I2121" s="8">
        <v>96</v>
      </c>
      <c r="J2121" s="21">
        <f t="shared" si="99"/>
        <v>0.28859060402684567</v>
      </c>
      <c r="K2121" s="1">
        <v>3</v>
      </c>
      <c r="L2121" s="24">
        <v>6.7</v>
      </c>
      <c r="M2121" s="24">
        <v>89.28</v>
      </c>
      <c r="N2121" s="21">
        <f t="shared" si="100"/>
        <v>0.19838926174496646</v>
      </c>
      <c r="P2121" s="1">
        <v>5</v>
      </c>
      <c r="Q2121" s="24">
        <v>11.519999999999996</v>
      </c>
      <c r="R2121" s="24">
        <v>84.48</v>
      </c>
      <c r="S2121" s="21">
        <f t="shared" si="101"/>
        <v>0.13395973154362423</v>
      </c>
    </row>
    <row r="2122" spans="2:19" ht="11.4" customHeight="1" x14ac:dyDescent="0.2">
      <c r="B2122" s="24"/>
      <c r="C2122" s="7">
        <v>42603</v>
      </c>
      <c r="D2122" s="18" t="s">
        <v>2214</v>
      </c>
      <c r="E2122" s="18" t="s">
        <v>2191</v>
      </c>
      <c r="F2122" s="18"/>
      <c r="G2122" s="18" t="s">
        <v>23</v>
      </c>
      <c r="H2122" s="17">
        <v>53.04</v>
      </c>
      <c r="I2122" s="8">
        <v>68.900000000000006</v>
      </c>
      <c r="J2122" s="21">
        <f t="shared" si="99"/>
        <v>0.29901960784313736</v>
      </c>
      <c r="K2122" s="1">
        <v>3</v>
      </c>
      <c r="L2122" s="24">
        <v>4.8</v>
      </c>
      <c r="M2122" s="24">
        <v>64.077000000000012</v>
      </c>
      <c r="N2122" s="21">
        <f t="shared" si="100"/>
        <v>0.20808823529411791</v>
      </c>
      <c r="P2122" s="1">
        <v>5</v>
      </c>
      <c r="Q2122" s="24">
        <v>8.2680000000000007</v>
      </c>
      <c r="R2122" s="24">
        <v>60.632000000000005</v>
      </c>
      <c r="S2122" s="21">
        <f t="shared" si="101"/>
        <v>0.14313725490196089</v>
      </c>
    </row>
    <row r="2123" spans="2:19" ht="11.4" customHeight="1" x14ac:dyDescent="0.2">
      <c r="B2123" s="24"/>
      <c r="C2123" s="7">
        <v>42605</v>
      </c>
      <c r="D2123" s="18" t="s">
        <v>2215</v>
      </c>
      <c r="E2123" s="18" t="s">
        <v>2191</v>
      </c>
      <c r="F2123" s="18"/>
      <c r="G2123" s="18" t="s">
        <v>23</v>
      </c>
      <c r="H2123" s="17">
        <v>45</v>
      </c>
      <c r="I2123" s="8">
        <v>76.900000000000006</v>
      </c>
      <c r="J2123" s="21">
        <f t="shared" si="99"/>
        <v>0.70888888888888901</v>
      </c>
      <c r="K2123" s="1">
        <v>3</v>
      </c>
      <c r="L2123" s="24">
        <v>5.3</v>
      </c>
      <c r="M2123" s="24">
        <v>71.51700000000001</v>
      </c>
      <c r="N2123" s="21">
        <f t="shared" si="100"/>
        <v>0.58926666666666694</v>
      </c>
      <c r="P2123" s="1">
        <v>5</v>
      </c>
      <c r="Q2123" s="24">
        <v>9.2279999999999944</v>
      </c>
      <c r="R2123" s="24">
        <v>67.672000000000011</v>
      </c>
      <c r="S2123" s="21">
        <f t="shared" si="101"/>
        <v>0.5038222222222225</v>
      </c>
    </row>
    <row r="2124" spans="2:19" ht="11.4" customHeight="1" x14ac:dyDescent="0.2">
      <c r="B2124" s="24"/>
      <c r="C2124" s="7">
        <v>42606</v>
      </c>
      <c r="D2124" s="18" t="s">
        <v>2216</v>
      </c>
      <c r="E2124" s="18" t="s">
        <v>2191</v>
      </c>
      <c r="F2124" s="18"/>
      <c r="G2124" s="18" t="s">
        <v>23</v>
      </c>
      <c r="H2124" s="17">
        <v>30</v>
      </c>
      <c r="I2124" s="8">
        <v>76.900000000000006</v>
      </c>
      <c r="J2124" s="21">
        <f t="shared" si="99"/>
        <v>1.5633333333333335</v>
      </c>
      <c r="K2124" s="1">
        <v>3</v>
      </c>
      <c r="L2124" s="24">
        <v>5.3</v>
      </c>
      <c r="M2124" s="24">
        <v>71.51700000000001</v>
      </c>
      <c r="N2124" s="21">
        <f t="shared" si="100"/>
        <v>1.3839000000000004</v>
      </c>
      <c r="P2124" s="1">
        <v>5</v>
      </c>
      <c r="Q2124" s="24">
        <v>9.2279999999999944</v>
      </c>
      <c r="R2124" s="24">
        <v>67.672000000000011</v>
      </c>
      <c r="S2124" s="21">
        <f t="shared" si="101"/>
        <v>1.2557333333333338</v>
      </c>
    </row>
    <row r="2125" spans="2:19" ht="11.4" customHeight="1" x14ac:dyDescent="0.2">
      <c r="B2125" s="24"/>
      <c r="C2125" s="7">
        <v>40332</v>
      </c>
      <c r="D2125" s="18" t="s">
        <v>2217</v>
      </c>
      <c r="E2125" s="18" t="s">
        <v>2191</v>
      </c>
      <c r="F2125" s="17">
        <v>24</v>
      </c>
      <c r="G2125" s="18" t="s">
        <v>23</v>
      </c>
      <c r="H2125" s="17">
        <v>44.42</v>
      </c>
      <c r="I2125" s="8">
        <v>69.900000000000006</v>
      </c>
      <c r="J2125" s="21">
        <f t="shared" si="99"/>
        <v>0.57361548851868538</v>
      </c>
      <c r="K2125" s="1">
        <v>3</v>
      </c>
      <c r="L2125" s="24">
        <v>4.8</v>
      </c>
      <c r="M2125" s="24">
        <v>65.007000000000005</v>
      </c>
      <c r="N2125" s="21">
        <f t="shared" si="100"/>
        <v>0.46346240432237734</v>
      </c>
      <c r="P2125" s="1">
        <v>5</v>
      </c>
      <c r="Q2125" s="24">
        <v>8.3879999999999981</v>
      </c>
      <c r="R2125" s="24">
        <v>61.512000000000008</v>
      </c>
      <c r="S2125" s="21">
        <f t="shared" si="101"/>
        <v>0.38478162989644316</v>
      </c>
    </row>
    <row r="2126" spans="2:19" ht="11.4" customHeight="1" x14ac:dyDescent="0.2">
      <c r="B2126" s="24"/>
      <c r="C2126" s="7">
        <v>44449</v>
      </c>
      <c r="D2126" s="18" t="s">
        <v>2218</v>
      </c>
      <c r="E2126" s="18" t="s">
        <v>2191</v>
      </c>
      <c r="F2126" s="17">
        <v>16</v>
      </c>
      <c r="G2126" s="18" t="s">
        <v>23</v>
      </c>
      <c r="H2126" s="17">
        <v>49.86</v>
      </c>
      <c r="I2126" s="8">
        <v>71.5</v>
      </c>
      <c r="J2126" s="21">
        <f t="shared" si="99"/>
        <v>0.43401524267950264</v>
      </c>
      <c r="K2126" s="1">
        <v>3</v>
      </c>
      <c r="L2126" s="24">
        <v>5</v>
      </c>
      <c r="M2126" s="24">
        <v>66.495000000000005</v>
      </c>
      <c r="N2126" s="21">
        <f t="shared" si="100"/>
        <v>0.33363417569193754</v>
      </c>
      <c r="P2126" s="1">
        <v>5</v>
      </c>
      <c r="Q2126" s="24">
        <v>8.5799999999999983</v>
      </c>
      <c r="R2126" s="24">
        <v>62.92</v>
      </c>
      <c r="S2126" s="21">
        <f t="shared" si="101"/>
        <v>0.26193341355796235</v>
      </c>
    </row>
    <row r="2127" spans="2:19" ht="11.4" customHeight="1" x14ac:dyDescent="0.2">
      <c r="B2127" s="24"/>
      <c r="C2127" s="7">
        <v>44451</v>
      </c>
      <c r="D2127" s="18" t="s">
        <v>2219</v>
      </c>
      <c r="E2127" s="18" t="s">
        <v>2191</v>
      </c>
      <c r="F2127" s="17">
        <v>16</v>
      </c>
      <c r="G2127" s="18" t="s">
        <v>23</v>
      </c>
      <c r="H2127" s="17">
        <v>55.32</v>
      </c>
      <c r="I2127" s="8">
        <v>89.9</v>
      </c>
      <c r="J2127" s="21">
        <f t="shared" si="99"/>
        <v>0.62509038322487354</v>
      </c>
      <c r="K2127" s="1">
        <v>3</v>
      </c>
      <c r="L2127" s="24">
        <v>6.2</v>
      </c>
      <c r="M2127" s="24">
        <v>83.607000000000014</v>
      </c>
      <c r="N2127" s="21">
        <f t="shared" si="100"/>
        <v>0.51133405639913254</v>
      </c>
      <c r="P2127" s="1">
        <v>5</v>
      </c>
      <c r="Q2127" s="24">
        <v>10.787999999999997</v>
      </c>
      <c r="R2127" s="24">
        <v>79.112000000000009</v>
      </c>
      <c r="S2127" s="21">
        <f t="shared" si="101"/>
        <v>0.43007953723788878</v>
      </c>
    </row>
    <row r="2128" spans="2:19" ht="11.4" customHeight="1" x14ac:dyDescent="0.2">
      <c r="B2128" s="24"/>
      <c r="C2128" s="7">
        <v>37682</v>
      </c>
      <c r="D2128" s="18" t="s">
        <v>2220</v>
      </c>
      <c r="E2128" s="18" t="s">
        <v>2191</v>
      </c>
      <c r="F2128" s="17">
        <v>24</v>
      </c>
      <c r="G2128" s="18" t="s">
        <v>23</v>
      </c>
      <c r="H2128" s="17">
        <v>119.5</v>
      </c>
      <c r="I2128" s="8">
        <v>149</v>
      </c>
      <c r="J2128" s="21">
        <f t="shared" si="99"/>
        <v>0.24686192468619247</v>
      </c>
      <c r="K2128" s="1">
        <v>3</v>
      </c>
      <c r="L2128" s="24">
        <v>10.4</v>
      </c>
      <c r="M2128" s="24">
        <v>138.57</v>
      </c>
      <c r="N2128" s="21">
        <f t="shared" si="100"/>
        <v>0.15958158995815894</v>
      </c>
      <c r="P2128" s="1">
        <v>5</v>
      </c>
      <c r="Q2128" s="24">
        <v>17.879999999999995</v>
      </c>
      <c r="R2128" s="24">
        <v>131.12</v>
      </c>
      <c r="S2128" s="21">
        <f t="shared" si="101"/>
        <v>9.7238493723849406E-2</v>
      </c>
    </row>
    <row r="2129" spans="2:19" ht="11.4" customHeight="1" x14ac:dyDescent="0.2">
      <c r="B2129" s="24"/>
      <c r="C2129" s="7">
        <v>38416</v>
      </c>
      <c r="D2129" s="18" t="s">
        <v>2221</v>
      </c>
      <c r="E2129" s="18" t="s">
        <v>2191</v>
      </c>
      <c r="F2129" s="17">
        <v>48</v>
      </c>
      <c r="G2129" s="18" t="s">
        <v>23</v>
      </c>
      <c r="H2129" s="17">
        <v>69.900000000000006</v>
      </c>
      <c r="I2129" s="8">
        <v>91.9</v>
      </c>
      <c r="J2129" s="21">
        <f t="shared" si="99"/>
        <v>0.31473533619456362</v>
      </c>
      <c r="K2129" s="1">
        <v>3</v>
      </c>
      <c r="L2129" s="24">
        <v>6.4</v>
      </c>
      <c r="M2129" s="24">
        <v>85.467000000000013</v>
      </c>
      <c r="N2129" s="21">
        <f t="shared" si="100"/>
        <v>0.2227038626609443</v>
      </c>
      <c r="P2129" s="1">
        <v>5</v>
      </c>
      <c r="Q2129" s="24">
        <v>11.028000000000006</v>
      </c>
      <c r="R2129" s="24">
        <v>80.872</v>
      </c>
      <c r="S2129" s="21">
        <f t="shared" si="101"/>
        <v>0.15696709585121593</v>
      </c>
    </row>
    <row r="2130" spans="2:19" ht="11.4" customHeight="1" x14ac:dyDescent="0.2">
      <c r="B2130" s="24"/>
      <c r="C2130" s="7">
        <v>18546</v>
      </c>
      <c r="D2130" s="18" t="s">
        <v>2222</v>
      </c>
      <c r="E2130" s="18" t="s">
        <v>2191</v>
      </c>
      <c r="F2130" s="17">
        <v>24</v>
      </c>
      <c r="G2130" s="18" t="s">
        <v>23</v>
      </c>
      <c r="H2130" s="17">
        <v>108.1</v>
      </c>
      <c r="I2130" s="8">
        <v>130.9</v>
      </c>
      <c r="J2130" s="21">
        <f t="shared" si="99"/>
        <v>0.21091581868640161</v>
      </c>
      <c r="K2130" s="1">
        <v>3</v>
      </c>
      <c r="L2130" s="24">
        <v>9.1</v>
      </c>
      <c r="M2130" s="24">
        <v>121.73700000000001</v>
      </c>
      <c r="N2130" s="21">
        <f t="shared" si="100"/>
        <v>0.12615171137835351</v>
      </c>
      <c r="P2130" s="1">
        <v>5</v>
      </c>
      <c r="Q2130" s="24">
        <v>15.707999999999998</v>
      </c>
      <c r="R2130" s="24">
        <v>115.19200000000001</v>
      </c>
      <c r="S2130" s="21">
        <f t="shared" si="101"/>
        <v>6.5605920444033419E-2</v>
      </c>
    </row>
    <row r="2131" spans="2:19" ht="11.4" customHeight="1" x14ac:dyDescent="0.2">
      <c r="B2131" s="24"/>
      <c r="C2131" s="7">
        <v>44450</v>
      </c>
      <c r="D2131" s="18" t="s">
        <v>2223</v>
      </c>
      <c r="E2131" s="18" t="s">
        <v>2191</v>
      </c>
      <c r="F2131" s="17">
        <v>16</v>
      </c>
      <c r="G2131" s="18" t="s">
        <v>23</v>
      </c>
      <c r="H2131" s="17">
        <v>51.6</v>
      </c>
      <c r="I2131" s="8">
        <v>79.900000000000006</v>
      </c>
      <c r="J2131" s="21">
        <f t="shared" si="99"/>
        <v>0.54844961240310086</v>
      </c>
      <c r="K2131" s="1">
        <v>3</v>
      </c>
      <c r="L2131" s="24">
        <v>5.5</v>
      </c>
      <c r="M2131" s="24">
        <v>74.307000000000002</v>
      </c>
      <c r="N2131" s="21">
        <f t="shared" si="100"/>
        <v>0.44005813953488371</v>
      </c>
      <c r="P2131" s="1">
        <v>5</v>
      </c>
      <c r="Q2131" s="24">
        <v>9.5879999999999939</v>
      </c>
      <c r="R2131" s="24">
        <v>70.312000000000012</v>
      </c>
      <c r="S2131" s="21">
        <f t="shared" si="101"/>
        <v>0.36263565891472888</v>
      </c>
    </row>
    <row r="2132" spans="2:19" ht="11.4" customHeight="1" x14ac:dyDescent="0.2">
      <c r="B2132" s="24"/>
      <c r="C2132" s="7">
        <v>42602</v>
      </c>
      <c r="D2132" s="18" t="s">
        <v>2224</v>
      </c>
      <c r="E2132" s="18" t="s">
        <v>2191</v>
      </c>
      <c r="F2132" s="18"/>
      <c r="G2132" s="18" t="s">
        <v>23</v>
      </c>
      <c r="H2132" s="17">
        <v>60.66</v>
      </c>
      <c r="I2132" s="8">
        <v>107.5</v>
      </c>
      <c r="J2132" s="21">
        <f t="shared" si="99"/>
        <v>0.7721727662380482</v>
      </c>
      <c r="K2132" s="1">
        <v>3</v>
      </c>
      <c r="L2132" s="24">
        <v>7.5</v>
      </c>
      <c r="M2132" s="24">
        <v>99.975000000000009</v>
      </c>
      <c r="N2132" s="21">
        <f t="shared" si="100"/>
        <v>0.64812067260138495</v>
      </c>
      <c r="P2132" s="1">
        <v>5</v>
      </c>
      <c r="Q2132" s="24">
        <v>12.900000000000006</v>
      </c>
      <c r="R2132" s="24">
        <v>94.6</v>
      </c>
      <c r="S2132" s="21">
        <f t="shared" si="101"/>
        <v>0.55951203428948237</v>
      </c>
    </row>
    <row r="2133" spans="2:19" ht="11.4" customHeight="1" x14ac:dyDescent="0.2">
      <c r="B2133" s="24"/>
      <c r="C2133" s="7">
        <v>42607</v>
      </c>
      <c r="D2133" s="18" t="s">
        <v>2225</v>
      </c>
      <c r="E2133" s="18" t="s">
        <v>2191</v>
      </c>
      <c r="F2133" s="18"/>
      <c r="G2133" s="18" t="s">
        <v>23</v>
      </c>
      <c r="H2133" s="17">
        <v>45</v>
      </c>
      <c r="I2133" s="8">
        <v>76.900000000000006</v>
      </c>
      <c r="J2133" s="21">
        <f t="shared" si="99"/>
        <v>0.70888888888888901</v>
      </c>
      <c r="K2133" s="1">
        <v>3</v>
      </c>
      <c r="L2133" s="24">
        <v>5.3</v>
      </c>
      <c r="M2133" s="24">
        <v>71.51700000000001</v>
      </c>
      <c r="N2133" s="21">
        <f t="shared" si="100"/>
        <v>0.58926666666666694</v>
      </c>
      <c r="P2133" s="1">
        <v>5</v>
      </c>
      <c r="Q2133" s="24">
        <v>9.2279999999999944</v>
      </c>
      <c r="R2133" s="24">
        <v>67.672000000000011</v>
      </c>
      <c r="S2133" s="21">
        <f t="shared" si="101"/>
        <v>0.5038222222222225</v>
      </c>
    </row>
    <row r="2134" spans="2:19" ht="11.4" customHeight="1" x14ac:dyDescent="0.2">
      <c r="B2134" s="24"/>
      <c r="C2134" s="7">
        <v>28902</v>
      </c>
      <c r="D2134" s="18" t="s">
        <v>2226</v>
      </c>
      <c r="E2134" s="18" t="s">
        <v>2191</v>
      </c>
      <c r="F2134" s="17">
        <v>32</v>
      </c>
      <c r="G2134" s="18" t="s">
        <v>23</v>
      </c>
      <c r="H2134" s="17">
        <v>358.8</v>
      </c>
      <c r="I2134" s="8">
        <v>484</v>
      </c>
      <c r="J2134" s="21">
        <f t="shared" si="99"/>
        <v>0.34894091415830542</v>
      </c>
      <c r="K2134" s="1">
        <v>3</v>
      </c>
      <c r="L2134" s="24">
        <v>33.799999999999997</v>
      </c>
      <c r="M2134" s="24">
        <v>450.12</v>
      </c>
      <c r="N2134" s="21">
        <f t="shared" si="100"/>
        <v>0.25451505016722403</v>
      </c>
      <c r="P2134" s="1">
        <v>5</v>
      </c>
      <c r="Q2134" s="24">
        <v>58.079999999999984</v>
      </c>
      <c r="R2134" s="24">
        <v>425.92</v>
      </c>
      <c r="S2134" s="21">
        <f t="shared" si="101"/>
        <v>0.18706800445930882</v>
      </c>
    </row>
    <row r="2135" spans="2:19" ht="11.4" customHeight="1" x14ac:dyDescent="0.2">
      <c r="B2135" s="24"/>
      <c r="C2135" s="7">
        <v>34294</v>
      </c>
      <c r="D2135" s="18" t="s">
        <v>2227</v>
      </c>
      <c r="E2135" s="18" t="s">
        <v>2191</v>
      </c>
      <c r="F2135" s="17">
        <v>12</v>
      </c>
      <c r="G2135" s="18" t="s">
        <v>23</v>
      </c>
      <c r="H2135" s="17">
        <v>83.34</v>
      </c>
      <c r="I2135" s="8">
        <v>112</v>
      </c>
      <c r="J2135" s="21">
        <f t="shared" si="99"/>
        <v>0.34389248860091187</v>
      </c>
      <c r="K2135" s="1">
        <v>3</v>
      </c>
      <c r="L2135" s="24">
        <v>7.8</v>
      </c>
      <c r="M2135" s="24">
        <v>104.16000000000001</v>
      </c>
      <c r="N2135" s="21">
        <f t="shared" si="100"/>
        <v>0.24982001439884818</v>
      </c>
      <c r="P2135" s="1">
        <v>5</v>
      </c>
      <c r="Q2135" s="24">
        <v>13.439999999999998</v>
      </c>
      <c r="R2135" s="24">
        <v>98.56</v>
      </c>
      <c r="S2135" s="21">
        <f t="shared" si="101"/>
        <v>0.18262538996880248</v>
      </c>
    </row>
    <row r="2136" spans="2:19" ht="11.4" customHeight="1" x14ac:dyDescent="0.2">
      <c r="B2136" s="24"/>
      <c r="C2136" s="7">
        <v>44233</v>
      </c>
      <c r="D2136" s="18" t="s">
        <v>2228</v>
      </c>
      <c r="E2136" s="18" t="s">
        <v>2191</v>
      </c>
      <c r="F2136" s="17">
        <v>49</v>
      </c>
      <c r="G2136" s="18" t="s">
        <v>23</v>
      </c>
      <c r="H2136" s="17">
        <v>232.74</v>
      </c>
      <c r="I2136" s="8">
        <v>314</v>
      </c>
      <c r="J2136" s="21">
        <f t="shared" si="99"/>
        <v>0.34914496863452776</v>
      </c>
      <c r="K2136" s="1">
        <v>3</v>
      </c>
      <c r="L2136" s="24">
        <v>21.9</v>
      </c>
      <c r="M2136" s="24">
        <v>292.02000000000004</v>
      </c>
      <c r="N2136" s="21">
        <f t="shared" si="100"/>
        <v>0.25470482083011098</v>
      </c>
      <c r="P2136" s="1">
        <v>5</v>
      </c>
      <c r="Q2136" s="24">
        <v>37.680000000000007</v>
      </c>
      <c r="R2136" s="24">
        <v>276.32</v>
      </c>
      <c r="S2136" s="21">
        <f t="shared" si="101"/>
        <v>0.18724757239838438</v>
      </c>
    </row>
    <row r="2137" spans="2:19" ht="11.4" customHeight="1" x14ac:dyDescent="0.2">
      <c r="B2137" s="24"/>
      <c r="C2137" s="7">
        <v>44484</v>
      </c>
      <c r="D2137" s="18" t="s">
        <v>2229</v>
      </c>
      <c r="E2137" s="18" t="s">
        <v>2191</v>
      </c>
      <c r="F2137" s="17">
        <v>32</v>
      </c>
      <c r="G2137" s="18" t="s">
        <v>23</v>
      </c>
      <c r="H2137" s="17">
        <v>128.22</v>
      </c>
      <c r="I2137" s="8">
        <v>169</v>
      </c>
      <c r="J2137" s="21">
        <f t="shared" si="99"/>
        <v>0.31804710653564189</v>
      </c>
      <c r="K2137" s="1">
        <v>3</v>
      </c>
      <c r="L2137" s="24">
        <v>11.8</v>
      </c>
      <c r="M2137" s="24">
        <v>157.17000000000002</v>
      </c>
      <c r="N2137" s="21">
        <f t="shared" si="100"/>
        <v>0.22578380907814707</v>
      </c>
      <c r="P2137" s="1">
        <v>5</v>
      </c>
      <c r="Q2137" s="24">
        <v>20.28</v>
      </c>
      <c r="R2137" s="24">
        <v>148.72</v>
      </c>
      <c r="S2137" s="21">
        <f t="shared" si="101"/>
        <v>0.15988145375136484</v>
      </c>
    </row>
    <row r="2138" spans="2:19" ht="11.4" customHeight="1" x14ac:dyDescent="0.2">
      <c r="B2138" s="24"/>
      <c r="C2138" s="7">
        <v>16087</v>
      </c>
      <c r="D2138" s="18" t="s">
        <v>2230</v>
      </c>
      <c r="E2138" s="18" t="s">
        <v>2191</v>
      </c>
      <c r="F2138" s="17">
        <v>48</v>
      </c>
      <c r="G2138" s="18" t="s">
        <v>23</v>
      </c>
      <c r="H2138" s="17">
        <v>68.5</v>
      </c>
      <c r="I2138" s="8">
        <v>59.9</v>
      </c>
      <c r="J2138" s="21">
        <f t="shared" si="99"/>
        <v>-0.12554744525547448</v>
      </c>
      <c r="K2138" s="1">
        <v>3</v>
      </c>
      <c r="L2138" s="24">
        <v>4.0999999999999996</v>
      </c>
      <c r="M2138" s="24">
        <v>55.707000000000001</v>
      </c>
      <c r="N2138" s="21">
        <f t="shared" si="100"/>
        <v>-0.18675912408759124</v>
      </c>
      <c r="P2138" s="1">
        <v>5</v>
      </c>
      <c r="Q2138" s="24">
        <v>7.1880000000000024</v>
      </c>
      <c r="R2138" s="24">
        <v>52.711999999999996</v>
      </c>
      <c r="S2138" s="21">
        <f t="shared" si="101"/>
        <v>-0.23048175182481756</v>
      </c>
    </row>
    <row r="2139" spans="2:19" ht="11.4" customHeight="1" x14ac:dyDescent="0.2">
      <c r="B2139" s="24"/>
      <c r="C2139" s="7">
        <v>961</v>
      </c>
      <c r="D2139" s="18" t="s">
        <v>2231</v>
      </c>
      <c r="E2139" s="18" t="s">
        <v>2191</v>
      </c>
      <c r="F2139" s="18"/>
      <c r="G2139" s="18" t="s">
        <v>23</v>
      </c>
      <c r="H2139" s="17">
        <v>109.5</v>
      </c>
      <c r="I2139" s="8">
        <v>109.5</v>
      </c>
      <c r="J2139" s="21">
        <f t="shared" si="99"/>
        <v>0</v>
      </c>
      <c r="K2139" s="1">
        <v>3</v>
      </c>
      <c r="L2139" s="24">
        <v>7.6</v>
      </c>
      <c r="M2139" s="24">
        <v>101.83500000000001</v>
      </c>
      <c r="N2139" s="21">
        <f t="shared" si="100"/>
        <v>-6.9999999999999923E-2</v>
      </c>
      <c r="P2139" s="1">
        <v>5</v>
      </c>
      <c r="Q2139" s="24">
        <v>13.14</v>
      </c>
      <c r="R2139" s="24">
        <v>96.36</v>
      </c>
      <c r="S2139" s="21">
        <f t="shared" si="101"/>
        <v>-0.12000000000000001</v>
      </c>
    </row>
    <row r="2140" spans="2:19" ht="11.4" customHeight="1" x14ac:dyDescent="0.2">
      <c r="B2140" s="24"/>
      <c r="C2140" s="7">
        <v>44485</v>
      </c>
      <c r="D2140" s="18" t="s">
        <v>2232</v>
      </c>
      <c r="E2140" s="18" t="s">
        <v>2191</v>
      </c>
      <c r="F2140" s="17">
        <v>32</v>
      </c>
      <c r="G2140" s="18" t="s">
        <v>23</v>
      </c>
      <c r="H2140" s="17">
        <v>128.22</v>
      </c>
      <c r="I2140" s="8">
        <v>169</v>
      </c>
      <c r="J2140" s="21">
        <f t="shared" si="99"/>
        <v>0.31804710653564189</v>
      </c>
      <c r="K2140" s="1">
        <v>3</v>
      </c>
      <c r="L2140" s="24">
        <v>11.8</v>
      </c>
      <c r="M2140" s="24">
        <v>157.17000000000002</v>
      </c>
      <c r="N2140" s="21">
        <f t="shared" si="100"/>
        <v>0.22578380907814707</v>
      </c>
      <c r="P2140" s="1">
        <v>5</v>
      </c>
      <c r="Q2140" s="24">
        <v>20.28</v>
      </c>
      <c r="R2140" s="24">
        <v>148.72</v>
      </c>
      <c r="S2140" s="21">
        <f t="shared" si="101"/>
        <v>0.15988145375136484</v>
      </c>
    </row>
    <row r="2141" spans="2:19" ht="11.4" customHeight="1" x14ac:dyDescent="0.2">
      <c r="B2141" s="24"/>
      <c r="C2141" s="7">
        <v>36757</v>
      </c>
      <c r="D2141" s="18" t="s">
        <v>2233</v>
      </c>
      <c r="E2141" s="18" t="s">
        <v>2191</v>
      </c>
      <c r="F2141" s="17">
        <v>12</v>
      </c>
      <c r="G2141" s="18" t="s">
        <v>23</v>
      </c>
      <c r="H2141" s="17">
        <v>110.5</v>
      </c>
      <c r="I2141" s="8">
        <v>139.9</v>
      </c>
      <c r="J2141" s="21">
        <f t="shared" si="99"/>
        <v>0.26606334841628965</v>
      </c>
      <c r="K2141" s="1">
        <v>3</v>
      </c>
      <c r="L2141" s="24">
        <v>9.6999999999999993</v>
      </c>
      <c r="M2141" s="24">
        <v>130.107</v>
      </c>
      <c r="N2141" s="21">
        <f t="shared" si="100"/>
        <v>0.17743891402714931</v>
      </c>
      <c r="P2141" s="1">
        <v>5</v>
      </c>
      <c r="Q2141" s="24">
        <v>16.787999999999997</v>
      </c>
      <c r="R2141" s="24">
        <v>123.11200000000001</v>
      </c>
      <c r="S2141" s="21">
        <f t="shared" si="101"/>
        <v>0.11413574660633492</v>
      </c>
    </row>
    <row r="2142" spans="2:19" ht="11.4" customHeight="1" x14ac:dyDescent="0.2">
      <c r="B2142" s="24"/>
      <c r="C2142" s="7">
        <v>36760</v>
      </c>
      <c r="D2142" s="18" t="s">
        <v>2234</v>
      </c>
      <c r="E2142" s="18" t="s">
        <v>2191</v>
      </c>
      <c r="F2142" s="17">
        <v>12</v>
      </c>
      <c r="G2142" s="18" t="s">
        <v>23</v>
      </c>
      <c r="H2142" s="17">
        <v>110.5</v>
      </c>
      <c r="I2142" s="8">
        <v>139.9</v>
      </c>
      <c r="J2142" s="21">
        <f t="shared" si="99"/>
        <v>0.26606334841628965</v>
      </c>
      <c r="K2142" s="1">
        <v>3</v>
      </c>
      <c r="L2142" s="24">
        <v>9.6999999999999993</v>
      </c>
      <c r="M2142" s="24">
        <v>130.107</v>
      </c>
      <c r="N2142" s="21">
        <f t="shared" si="100"/>
        <v>0.17743891402714931</v>
      </c>
      <c r="P2142" s="1">
        <v>5</v>
      </c>
      <c r="Q2142" s="24">
        <v>16.787999999999997</v>
      </c>
      <c r="R2142" s="24">
        <v>123.11200000000001</v>
      </c>
      <c r="S2142" s="21">
        <f t="shared" si="101"/>
        <v>0.11413574660633492</v>
      </c>
    </row>
    <row r="2143" spans="2:19" ht="11.4" customHeight="1" x14ac:dyDescent="0.2">
      <c r="B2143" s="24"/>
      <c r="C2143" s="7">
        <v>44222</v>
      </c>
      <c r="D2143" s="18" t="s">
        <v>2235</v>
      </c>
      <c r="E2143" s="18" t="s">
        <v>2191</v>
      </c>
      <c r="F2143" s="17">
        <v>24</v>
      </c>
      <c r="G2143" s="18" t="s">
        <v>23</v>
      </c>
      <c r="H2143" s="17">
        <v>35.92</v>
      </c>
      <c r="I2143" s="8">
        <v>59.9</v>
      </c>
      <c r="J2143" s="21">
        <f t="shared" si="99"/>
        <v>0.66759465478841862</v>
      </c>
      <c r="K2143" s="1">
        <v>3</v>
      </c>
      <c r="L2143" s="24">
        <v>4.0999999999999996</v>
      </c>
      <c r="M2143" s="24">
        <v>55.707000000000001</v>
      </c>
      <c r="N2143" s="21">
        <f t="shared" si="100"/>
        <v>0.55086302895322936</v>
      </c>
      <c r="P2143" s="1">
        <v>5</v>
      </c>
      <c r="Q2143" s="24">
        <v>7.1880000000000024</v>
      </c>
      <c r="R2143" s="24">
        <v>52.711999999999996</v>
      </c>
      <c r="S2143" s="21">
        <f t="shared" si="101"/>
        <v>0.4674832962138083</v>
      </c>
    </row>
    <row r="2144" spans="2:19" ht="11.4" customHeight="1" x14ac:dyDescent="0.2">
      <c r="B2144" s="24"/>
      <c r="C2144" s="7">
        <v>38419</v>
      </c>
      <c r="D2144" s="18" t="s">
        <v>2236</v>
      </c>
      <c r="E2144" s="18" t="s">
        <v>2191</v>
      </c>
      <c r="F2144" s="17">
        <v>24</v>
      </c>
      <c r="G2144" s="18" t="s">
        <v>23</v>
      </c>
      <c r="H2144" s="17">
        <v>64.5</v>
      </c>
      <c r="I2144" s="8">
        <v>64.5</v>
      </c>
      <c r="J2144" s="21">
        <f t="shared" si="99"/>
        <v>0</v>
      </c>
      <c r="K2144" s="1">
        <v>3</v>
      </c>
      <c r="L2144" s="24">
        <v>4.5</v>
      </c>
      <c r="M2144" s="24">
        <v>59.985000000000007</v>
      </c>
      <c r="N2144" s="21">
        <f t="shared" si="100"/>
        <v>-6.9999999999999896E-2</v>
      </c>
      <c r="P2144" s="1">
        <v>5</v>
      </c>
      <c r="Q2144" s="24">
        <v>7.740000000000002</v>
      </c>
      <c r="R2144" s="24">
        <v>56.76</v>
      </c>
      <c r="S2144" s="21">
        <f t="shared" si="101"/>
        <v>-0.12000000000000004</v>
      </c>
    </row>
    <row r="2145" spans="2:19" ht="11.4" customHeight="1" x14ac:dyDescent="0.2">
      <c r="B2145" s="24"/>
      <c r="C2145" s="7">
        <v>38420</v>
      </c>
      <c r="D2145" s="18" t="s">
        <v>2237</v>
      </c>
      <c r="E2145" s="18" t="s">
        <v>2191</v>
      </c>
      <c r="F2145" s="17">
        <v>24</v>
      </c>
      <c r="G2145" s="18" t="s">
        <v>23</v>
      </c>
      <c r="H2145" s="17">
        <v>64.5</v>
      </c>
      <c r="I2145" s="8">
        <v>64.5</v>
      </c>
      <c r="J2145" s="21">
        <f t="shared" si="99"/>
        <v>0</v>
      </c>
      <c r="K2145" s="1">
        <v>3</v>
      </c>
      <c r="L2145" s="24">
        <v>4.5</v>
      </c>
      <c r="M2145" s="24">
        <v>59.985000000000007</v>
      </c>
      <c r="N2145" s="21">
        <f t="shared" si="100"/>
        <v>-6.9999999999999896E-2</v>
      </c>
      <c r="P2145" s="1">
        <v>5</v>
      </c>
      <c r="Q2145" s="24">
        <v>7.740000000000002</v>
      </c>
      <c r="R2145" s="24">
        <v>56.76</v>
      </c>
      <c r="S2145" s="21">
        <f t="shared" si="101"/>
        <v>-0.12000000000000004</v>
      </c>
    </row>
    <row r="2146" spans="2:19" ht="11.4" customHeight="1" x14ac:dyDescent="0.2">
      <c r="B2146" s="24"/>
      <c r="C2146" s="7">
        <v>44223</v>
      </c>
      <c r="D2146" s="18" t="s">
        <v>2238</v>
      </c>
      <c r="E2146" s="18" t="s">
        <v>2191</v>
      </c>
      <c r="F2146" s="17">
        <v>24</v>
      </c>
      <c r="G2146" s="18" t="s">
        <v>23</v>
      </c>
      <c r="H2146" s="17">
        <v>35.92</v>
      </c>
      <c r="I2146" s="8">
        <v>59</v>
      </c>
      <c r="J2146" s="21">
        <f t="shared" si="99"/>
        <v>0.6425389755011135</v>
      </c>
      <c r="K2146" s="1">
        <v>3</v>
      </c>
      <c r="L2146" s="24">
        <v>4.0999999999999996</v>
      </c>
      <c r="M2146" s="24">
        <v>54.870000000000005</v>
      </c>
      <c r="N2146" s="21">
        <f t="shared" si="100"/>
        <v>0.5275612472160357</v>
      </c>
      <c r="P2146" s="1">
        <v>5</v>
      </c>
      <c r="Q2146" s="24">
        <v>7.0799999999999983</v>
      </c>
      <c r="R2146" s="24">
        <v>51.92</v>
      </c>
      <c r="S2146" s="21">
        <f t="shared" si="101"/>
        <v>0.44543429844097993</v>
      </c>
    </row>
    <row r="2147" spans="2:19" ht="11.4" customHeight="1" x14ac:dyDescent="0.2">
      <c r="B2147" s="24"/>
      <c r="C2147" s="7">
        <v>44231</v>
      </c>
      <c r="D2147" s="18" t="s">
        <v>2239</v>
      </c>
      <c r="E2147" s="18" t="s">
        <v>2191</v>
      </c>
      <c r="F2147" s="17">
        <v>48</v>
      </c>
      <c r="G2147" s="18" t="s">
        <v>23</v>
      </c>
      <c r="H2147" s="17">
        <v>232.74</v>
      </c>
      <c r="I2147" s="8">
        <v>314</v>
      </c>
      <c r="J2147" s="21">
        <f t="shared" si="99"/>
        <v>0.34914496863452776</v>
      </c>
      <c r="K2147" s="1">
        <v>3</v>
      </c>
      <c r="L2147" s="24">
        <v>21.9</v>
      </c>
      <c r="M2147" s="24">
        <v>292.02000000000004</v>
      </c>
      <c r="N2147" s="21">
        <f t="shared" si="100"/>
        <v>0.25470482083011098</v>
      </c>
      <c r="P2147" s="1">
        <v>5</v>
      </c>
      <c r="Q2147" s="24">
        <v>37.680000000000007</v>
      </c>
      <c r="R2147" s="24">
        <v>276.32</v>
      </c>
      <c r="S2147" s="21">
        <f t="shared" si="101"/>
        <v>0.18724757239838438</v>
      </c>
    </row>
    <row r="2148" spans="2:19" ht="11.4" customHeight="1" x14ac:dyDescent="0.2">
      <c r="B2148" s="24"/>
      <c r="C2148" s="7">
        <v>44232</v>
      </c>
      <c r="D2148" s="18" t="s">
        <v>2240</v>
      </c>
      <c r="E2148" s="18" t="s">
        <v>2191</v>
      </c>
      <c r="F2148" s="17">
        <v>32</v>
      </c>
      <c r="G2148" s="18" t="s">
        <v>23</v>
      </c>
      <c r="H2148" s="17">
        <v>358.8</v>
      </c>
      <c r="I2148" s="8">
        <v>484</v>
      </c>
      <c r="J2148" s="21">
        <f t="shared" si="99"/>
        <v>0.34894091415830542</v>
      </c>
      <c r="K2148" s="1">
        <v>3</v>
      </c>
      <c r="L2148" s="24">
        <v>33.799999999999997</v>
      </c>
      <c r="M2148" s="24">
        <v>450.12</v>
      </c>
      <c r="N2148" s="21">
        <f t="shared" si="100"/>
        <v>0.25451505016722403</v>
      </c>
      <c r="P2148" s="1">
        <v>5</v>
      </c>
      <c r="Q2148" s="24">
        <v>58.079999999999984</v>
      </c>
      <c r="R2148" s="24">
        <v>425.92</v>
      </c>
      <c r="S2148" s="21">
        <f t="shared" si="101"/>
        <v>0.18706800445930882</v>
      </c>
    </row>
    <row r="2149" spans="2:19" ht="11.4" customHeight="1" x14ac:dyDescent="0.2">
      <c r="B2149" s="24"/>
      <c r="C2149" s="7">
        <v>44229</v>
      </c>
      <c r="D2149" s="18" t="s">
        <v>2241</v>
      </c>
      <c r="E2149" s="18" t="s">
        <v>2191</v>
      </c>
      <c r="F2149" s="17">
        <v>12</v>
      </c>
      <c r="G2149" s="18" t="s">
        <v>23</v>
      </c>
      <c r="H2149" s="17">
        <v>203</v>
      </c>
      <c r="I2149" s="8">
        <v>299.89999999999998</v>
      </c>
      <c r="J2149" s="21">
        <f t="shared" si="99"/>
        <v>0.4773399014778324</v>
      </c>
      <c r="K2149" s="1">
        <v>3</v>
      </c>
      <c r="L2149" s="24">
        <v>20.9</v>
      </c>
      <c r="M2149" s="24">
        <v>278.90699999999998</v>
      </c>
      <c r="N2149" s="21">
        <f t="shared" si="100"/>
        <v>0.37392610837438417</v>
      </c>
      <c r="P2149" s="1">
        <v>5</v>
      </c>
      <c r="Q2149" s="24">
        <v>35.988</v>
      </c>
      <c r="R2149" s="24">
        <v>263.91199999999998</v>
      </c>
      <c r="S2149" s="21">
        <f t="shared" si="101"/>
        <v>0.30005911330049251</v>
      </c>
    </row>
    <row r="2150" spans="2:19" ht="11.4" customHeight="1" x14ac:dyDescent="0.2">
      <c r="B2150" s="24"/>
      <c r="C2150" s="7">
        <v>44228</v>
      </c>
      <c r="D2150" s="18" t="s">
        <v>2242</v>
      </c>
      <c r="E2150" s="18" t="s">
        <v>2191</v>
      </c>
      <c r="F2150" s="17">
        <v>12</v>
      </c>
      <c r="G2150" s="18" t="s">
        <v>23</v>
      </c>
      <c r="H2150" s="17">
        <v>208</v>
      </c>
      <c r="I2150" s="8">
        <v>299.89999999999998</v>
      </c>
      <c r="J2150" s="21">
        <f t="shared" si="99"/>
        <v>0.44182692307692295</v>
      </c>
      <c r="K2150" s="1">
        <v>3</v>
      </c>
      <c r="L2150" s="24">
        <v>20.9</v>
      </c>
      <c r="M2150" s="24">
        <v>278.90699999999998</v>
      </c>
      <c r="N2150" s="21">
        <f t="shared" si="100"/>
        <v>0.34089903846153835</v>
      </c>
      <c r="P2150" s="1">
        <v>5</v>
      </c>
      <c r="Q2150" s="24">
        <v>35.988</v>
      </c>
      <c r="R2150" s="24">
        <v>263.91199999999998</v>
      </c>
      <c r="S2150" s="21">
        <f t="shared" si="101"/>
        <v>0.26880769230769219</v>
      </c>
    </row>
    <row r="2151" spans="2:19" ht="11.4" customHeight="1" x14ac:dyDescent="0.2">
      <c r="B2151" s="24"/>
      <c r="C2151" s="7">
        <v>39263</v>
      </c>
      <c r="D2151" s="18" t="s">
        <v>2243</v>
      </c>
      <c r="E2151" s="18" t="s">
        <v>2191</v>
      </c>
      <c r="F2151" s="17">
        <v>24</v>
      </c>
      <c r="G2151" s="18" t="s">
        <v>23</v>
      </c>
      <c r="H2151" s="17">
        <v>92.5</v>
      </c>
      <c r="I2151" s="8">
        <v>125.5</v>
      </c>
      <c r="J2151" s="21">
        <f t="shared" si="99"/>
        <v>0.35675675675675678</v>
      </c>
      <c r="K2151" s="1">
        <v>3</v>
      </c>
      <c r="L2151" s="24">
        <v>8.6999999999999993</v>
      </c>
      <c r="M2151" s="24">
        <v>116.715</v>
      </c>
      <c r="N2151" s="21">
        <f t="shared" si="100"/>
        <v>0.26178378378378381</v>
      </c>
      <c r="P2151" s="1">
        <v>5</v>
      </c>
      <c r="Q2151" s="24">
        <v>15.060000000000002</v>
      </c>
      <c r="R2151" s="24">
        <v>110.44</v>
      </c>
      <c r="S2151" s="21">
        <f t="shared" si="101"/>
        <v>0.19394594594594591</v>
      </c>
    </row>
    <row r="2152" spans="2:19" ht="11.4" customHeight="1" x14ac:dyDescent="0.2">
      <c r="B2152" s="24"/>
      <c r="C2152" s="7">
        <v>38421</v>
      </c>
      <c r="D2152" s="18" t="s">
        <v>2244</v>
      </c>
      <c r="E2152" s="18" t="s">
        <v>2191</v>
      </c>
      <c r="F2152" s="17">
        <v>24</v>
      </c>
      <c r="G2152" s="18" t="s">
        <v>23</v>
      </c>
      <c r="H2152" s="17">
        <v>94.5</v>
      </c>
      <c r="I2152" s="8">
        <v>94.5</v>
      </c>
      <c r="J2152" s="21">
        <f t="shared" si="99"/>
        <v>0</v>
      </c>
      <c r="K2152" s="1">
        <v>3</v>
      </c>
      <c r="L2152" s="24">
        <v>6.6</v>
      </c>
      <c r="M2152" s="24">
        <v>87.885000000000005</v>
      </c>
      <c r="N2152" s="21">
        <f t="shared" si="100"/>
        <v>-6.9999999999999951E-2</v>
      </c>
      <c r="P2152" s="1">
        <v>5</v>
      </c>
      <c r="Q2152" s="24">
        <v>11.340000000000003</v>
      </c>
      <c r="R2152" s="24">
        <v>83.16</v>
      </c>
      <c r="S2152" s="21">
        <f t="shared" si="101"/>
        <v>-0.12000000000000004</v>
      </c>
    </row>
    <row r="2153" spans="2:19" ht="11.4" customHeight="1" x14ac:dyDescent="0.2">
      <c r="B2153" s="24"/>
      <c r="C2153" s="7">
        <v>38422</v>
      </c>
      <c r="D2153" s="18" t="s">
        <v>2245</v>
      </c>
      <c r="E2153" s="18" t="s">
        <v>2191</v>
      </c>
      <c r="F2153" s="17">
        <v>24</v>
      </c>
      <c r="G2153" s="18" t="s">
        <v>23</v>
      </c>
      <c r="H2153" s="17">
        <v>94.5</v>
      </c>
      <c r="I2153" s="8">
        <v>94.5</v>
      </c>
      <c r="J2153" s="21">
        <f t="shared" si="99"/>
        <v>0</v>
      </c>
      <c r="K2153" s="1">
        <v>3</v>
      </c>
      <c r="L2153" s="24">
        <v>6.6</v>
      </c>
      <c r="M2153" s="24">
        <v>87.885000000000005</v>
      </c>
      <c r="N2153" s="21">
        <f t="shared" si="100"/>
        <v>-6.9999999999999951E-2</v>
      </c>
      <c r="P2153" s="1">
        <v>5</v>
      </c>
      <c r="Q2153" s="24">
        <v>11.340000000000003</v>
      </c>
      <c r="R2153" s="24">
        <v>83.16</v>
      </c>
      <c r="S2153" s="21">
        <f t="shared" si="101"/>
        <v>-0.12000000000000004</v>
      </c>
    </row>
    <row r="2154" spans="2:19" ht="11.4" customHeight="1" x14ac:dyDescent="0.2">
      <c r="B2154" s="24"/>
      <c r="C2154" s="7">
        <v>39261</v>
      </c>
      <c r="D2154" s="18" t="s">
        <v>2246</v>
      </c>
      <c r="E2154" s="18" t="s">
        <v>2191</v>
      </c>
      <c r="F2154" s="17">
        <v>24</v>
      </c>
      <c r="G2154" s="18" t="s">
        <v>23</v>
      </c>
      <c r="H2154" s="17">
        <v>79.5</v>
      </c>
      <c r="I2154" s="8">
        <v>109.5</v>
      </c>
      <c r="J2154" s="21">
        <f t="shared" si="99"/>
        <v>0.37735849056603776</v>
      </c>
      <c r="K2154" s="1">
        <v>3</v>
      </c>
      <c r="L2154" s="24">
        <v>7.6</v>
      </c>
      <c r="M2154" s="24">
        <v>101.83500000000001</v>
      </c>
      <c r="N2154" s="21">
        <f t="shared" si="100"/>
        <v>0.28094339622641518</v>
      </c>
      <c r="P2154" s="1">
        <v>5</v>
      </c>
      <c r="Q2154" s="24">
        <v>13.14</v>
      </c>
      <c r="R2154" s="24">
        <v>96.36</v>
      </c>
      <c r="S2154" s="21">
        <f t="shared" si="101"/>
        <v>0.21207547169811319</v>
      </c>
    </row>
    <row r="2155" spans="2:19" ht="11.4" customHeight="1" x14ac:dyDescent="0.2">
      <c r="B2155" s="24"/>
      <c r="C2155" s="7">
        <v>39262</v>
      </c>
      <c r="D2155" s="18" t="s">
        <v>2247</v>
      </c>
      <c r="E2155" s="18" t="s">
        <v>2191</v>
      </c>
      <c r="F2155" s="17">
        <v>24</v>
      </c>
      <c r="G2155" s="18" t="s">
        <v>23</v>
      </c>
      <c r="H2155" s="17">
        <v>84.5</v>
      </c>
      <c r="I2155" s="8">
        <v>112.5</v>
      </c>
      <c r="J2155" s="21">
        <f t="shared" si="99"/>
        <v>0.33136094674556216</v>
      </c>
      <c r="K2155" s="1">
        <v>3</v>
      </c>
      <c r="L2155" s="24">
        <v>7.8</v>
      </c>
      <c r="M2155" s="24">
        <v>104.625</v>
      </c>
      <c r="N2155" s="21">
        <f t="shared" si="100"/>
        <v>0.23816568047337278</v>
      </c>
      <c r="P2155" s="1">
        <v>5</v>
      </c>
      <c r="Q2155" s="24">
        <v>13.5</v>
      </c>
      <c r="R2155" s="24">
        <v>99</v>
      </c>
      <c r="S2155" s="21">
        <f t="shared" si="101"/>
        <v>0.17159763313609466</v>
      </c>
    </row>
    <row r="2156" spans="2:19" ht="11.4" customHeight="1" x14ac:dyDescent="0.2">
      <c r="B2156" s="24"/>
      <c r="C2156" s="7">
        <v>44227</v>
      </c>
      <c r="D2156" s="18" t="s">
        <v>2248</v>
      </c>
      <c r="E2156" s="18" t="s">
        <v>2191</v>
      </c>
      <c r="F2156" s="17">
        <v>12</v>
      </c>
      <c r="G2156" s="18" t="s">
        <v>23</v>
      </c>
      <c r="H2156" s="17">
        <v>117</v>
      </c>
      <c r="I2156" s="8">
        <v>229.5</v>
      </c>
      <c r="J2156" s="21">
        <f t="shared" si="99"/>
        <v>0.96153846153846156</v>
      </c>
      <c r="K2156" s="1">
        <v>3</v>
      </c>
      <c r="L2156" s="24">
        <v>16</v>
      </c>
      <c r="M2156" s="24">
        <v>213.435</v>
      </c>
      <c r="N2156" s="21">
        <f t="shared" si="100"/>
        <v>0.82423076923076921</v>
      </c>
      <c r="P2156" s="1">
        <v>5</v>
      </c>
      <c r="Q2156" s="24">
        <v>27.539999999999992</v>
      </c>
      <c r="R2156" s="24">
        <v>201.96</v>
      </c>
      <c r="S2156" s="21">
        <f t="shared" si="101"/>
        <v>0.72615384615384626</v>
      </c>
    </row>
    <row r="2157" spans="2:19" ht="11.4" customHeight="1" x14ac:dyDescent="0.2">
      <c r="B2157" s="24"/>
      <c r="C2157" s="7">
        <v>44226</v>
      </c>
      <c r="D2157" s="18" t="s">
        <v>2249</v>
      </c>
      <c r="E2157" s="18" t="s">
        <v>2191</v>
      </c>
      <c r="F2157" s="17">
        <v>12</v>
      </c>
      <c r="G2157" s="18" t="s">
        <v>23</v>
      </c>
      <c r="H2157" s="17">
        <v>117</v>
      </c>
      <c r="I2157" s="8">
        <v>229.5</v>
      </c>
      <c r="J2157" s="21">
        <f t="shared" si="99"/>
        <v>0.96153846153846156</v>
      </c>
      <c r="K2157" s="1">
        <v>3</v>
      </c>
      <c r="L2157" s="24">
        <v>16</v>
      </c>
      <c r="M2157" s="24">
        <v>213.435</v>
      </c>
      <c r="N2157" s="21">
        <f t="shared" si="100"/>
        <v>0.82423076923076921</v>
      </c>
      <c r="P2157" s="1">
        <v>5</v>
      </c>
      <c r="Q2157" s="24">
        <v>27.539999999999992</v>
      </c>
      <c r="R2157" s="24">
        <v>201.96</v>
      </c>
      <c r="S2157" s="21">
        <f t="shared" si="101"/>
        <v>0.72615384615384626</v>
      </c>
    </row>
    <row r="2158" spans="2:19" ht="11.4" customHeight="1" x14ac:dyDescent="0.2">
      <c r="B2158" s="24"/>
      <c r="C2158" s="7">
        <v>47357</v>
      </c>
      <c r="D2158" s="18" t="s">
        <v>2250</v>
      </c>
      <c r="E2158" s="18" t="s">
        <v>2191</v>
      </c>
      <c r="F2158" s="17">
        <v>24</v>
      </c>
      <c r="G2158" s="18" t="s">
        <v>23</v>
      </c>
      <c r="H2158" s="17">
        <v>41.46</v>
      </c>
      <c r="I2158" s="8">
        <v>53.9</v>
      </c>
      <c r="J2158" s="21">
        <f t="shared" si="99"/>
        <v>0.30004823926676311</v>
      </c>
      <c r="K2158" s="1">
        <v>3</v>
      </c>
      <c r="L2158" s="24">
        <v>3.7</v>
      </c>
      <c r="M2158" s="24">
        <v>50.127000000000002</v>
      </c>
      <c r="N2158" s="21">
        <f t="shared" si="100"/>
        <v>0.20904486251808976</v>
      </c>
      <c r="P2158" s="1">
        <v>5</v>
      </c>
      <c r="Q2158" s="24">
        <v>6.4679999999999964</v>
      </c>
      <c r="R2158" s="24">
        <v>47.432000000000002</v>
      </c>
      <c r="S2158" s="21">
        <f t="shared" si="101"/>
        <v>0.14404245055475159</v>
      </c>
    </row>
    <row r="2159" spans="2:19" ht="11.4" customHeight="1" x14ac:dyDescent="0.2">
      <c r="B2159" s="24"/>
      <c r="C2159" s="7">
        <v>5753</v>
      </c>
      <c r="D2159" s="18" t="s">
        <v>2251</v>
      </c>
      <c r="E2159" s="18" t="s">
        <v>2191</v>
      </c>
      <c r="F2159" s="18"/>
      <c r="G2159" s="18" t="s">
        <v>23</v>
      </c>
      <c r="H2159" s="17">
        <v>40.86</v>
      </c>
      <c r="I2159" s="8">
        <v>53.9</v>
      </c>
      <c r="J2159" s="21">
        <f t="shared" si="99"/>
        <v>0.31913852178169355</v>
      </c>
      <c r="K2159" s="1">
        <v>3</v>
      </c>
      <c r="L2159" s="24">
        <v>3.7</v>
      </c>
      <c r="M2159" s="24">
        <v>50.127000000000002</v>
      </c>
      <c r="N2159" s="21">
        <f t="shared" si="100"/>
        <v>0.22679882525697512</v>
      </c>
      <c r="P2159" s="1">
        <v>5</v>
      </c>
      <c r="Q2159" s="24">
        <v>6.4679999999999964</v>
      </c>
      <c r="R2159" s="24">
        <v>47.432000000000002</v>
      </c>
      <c r="S2159" s="21">
        <f t="shared" si="101"/>
        <v>0.16084189916789043</v>
      </c>
    </row>
    <row r="2160" spans="2:19" ht="11.4" customHeight="1" x14ac:dyDescent="0.2">
      <c r="B2160" s="24"/>
      <c r="C2160" s="7">
        <v>40329</v>
      </c>
      <c r="D2160" s="18" t="s">
        <v>2252</v>
      </c>
      <c r="E2160" s="18" t="s">
        <v>2191</v>
      </c>
      <c r="F2160" s="17">
        <v>36</v>
      </c>
      <c r="G2160" s="18" t="s">
        <v>23</v>
      </c>
      <c r="H2160" s="17">
        <v>46</v>
      </c>
      <c r="I2160" s="8">
        <v>69.900000000000006</v>
      </c>
      <c r="J2160" s="21">
        <f t="shared" si="99"/>
        <v>0.51956521739130446</v>
      </c>
      <c r="K2160" s="1">
        <v>3</v>
      </c>
      <c r="L2160" s="24">
        <v>4.8</v>
      </c>
      <c r="M2160" s="24">
        <v>65.007000000000005</v>
      </c>
      <c r="N2160" s="21">
        <f t="shared" si="100"/>
        <v>0.41319565217391313</v>
      </c>
      <c r="P2160" s="1">
        <v>5</v>
      </c>
      <c r="Q2160" s="24">
        <v>8.3879999999999981</v>
      </c>
      <c r="R2160" s="24">
        <v>61.512000000000008</v>
      </c>
      <c r="S2160" s="21">
        <f t="shared" si="101"/>
        <v>0.33721739130434797</v>
      </c>
    </row>
    <row r="2161" spans="2:19" ht="11.4" customHeight="1" x14ac:dyDescent="0.2">
      <c r="B2161" s="24"/>
      <c r="C2161" s="7">
        <v>40330</v>
      </c>
      <c r="D2161" s="18" t="s">
        <v>2253</v>
      </c>
      <c r="E2161" s="18" t="s">
        <v>2191</v>
      </c>
      <c r="F2161" s="17">
        <v>24</v>
      </c>
      <c r="G2161" s="18" t="s">
        <v>23</v>
      </c>
      <c r="H2161" s="17">
        <v>57.84</v>
      </c>
      <c r="I2161" s="8">
        <v>91.9</v>
      </c>
      <c r="J2161" s="21">
        <f t="shared" si="99"/>
        <v>0.58886583679114801</v>
      </c>
      <c r="K2161" s="1">
        <v>3</v>
      </c>
      <c r="L2161" s="24">
        <v>6.4</v>
      </c>
      <c r="M2161" s="24">
        <v>85.467000000000013</v>
      </c>
      <c r="N2161" s="21">
        <f t="shared" si="100"/>
        <v>0.47764522821576777</v>
      </c>
      <c r="P2161" s="1">
        <v>5</v>
      </c>
      <c r="Q2161" s="24">
        <v>11.028000000000006</v>
      </c>
      <c r="R2161" s="24">
        <v>80.872</v>
      </c>
      <c r="S2161" s="21">
        <f t="shared" si="101"/>
        <v>0.39820193637621015</v>
      </c>
    </row>
    <row r="2162" spans="2:19" ht="11.4" customHeight="1" x14ac:dyDescent="0.2">
      <c r="B2162" s="24"/>
      <c r="C2162" s="7">
        <v>4129</v>
      </c>
      <c r="D2162" s="18" t="s">
        <v>2254</v>
      </c>
      <c r="E2162" s="18" t="s">
        <v>2191</v>
      </c>
      <c r="F2162" s="17">
        <v>36</v>
      </c>
      <c r="G2162" s="18" t="s">
        <v>23</v>
      </c>
      <c r="H2162" s="17">
        <v>101.9</v>
      </c>
      <c r="I2162" s="8">
        <v>128.9</v>
      </c>
      <c r="J2162" s="21">
        <f t="shared" si="99"/>
        <v>0.2649656526005888</v>
      </c>
      <c r="K2162" s="1">
        <v>3</v>
      </c>
      <c r="L2162" s="24">
        <v>9</v>
      </c>
      <c r="M2162" s="24">
        <v>119.87700000000001</v>
      </c>
      <c r="N2162" s="21">
        <f t="shared" si="100"/>
        <v>0.17641805691854762</v>
      </c>
      <c r="P2162" s="1">
        <v>5</v>
      </c>
      <c r="Q2162" s="24">
        <v>15.468000000000004</v>
      </c>
      <c r="R2162" s="24">
        <v>113.432</v>
      </c>
      <c r="S2162" s="21">
        <f t="shared" si="101"/>
        <v>0.11316977428851811</v>
      </c>
    </row>
    <row r="2163" spans="2:19" ht="11.4" customHeight="1" x14ac:dyDescent="0.2">
      <c r="B2163" s="24"/>
      <c r="C2163" s="7">
        <v>40331</v>
      </c>
      <c r="D2163" s="18" t="s">
        <v>2255</v>
      </c>
      <c r="E2163" s="18" t="s">
        <v>2191</v>
      </c>
      <c r="F2163" s="17">
        <v>36</v>
      </c>
      <c r="G2163" s="18" t="s">
        <v>23</v>
      </c>
      <c r="H2163" s="17">
        <v>47.52</v>
      </c>
      <c r="I2163" s="8">
        <v>79.5</v>
      </c>
      <c r="J2163" s="21">
        <f t="shared" si="99"/>
        <v>0.6729797979797979</v>
      </c>
      <c r="K2163" s="1">
        <v>3</v>
      </c>
      <c r="L2163" s="24">
        <v>5.5</v>
      </c>
      <c r="M2163" s="24">
        <v>73.935000000000002</v>
      </c>
      <c r="N2163" s="21">
        <f t="shared" si="100"/>
        <v>0.55587121212121204</v>
      </c>
      <c r="P2163" s="1">
        <v>5</v>
      </c>
      <c r="Q2163" s="24">
        <v>9.5400000000000063</v>
      </c>
      <c r="R2163" s="24">
        <v>69.959999999999994</v>
      </c>
      <c r="S2163" s="21">
        <f t="shared" si="101"/>
        <v>0.47222222222222199</v>
      </c>
    </row>
    <row r="2164" spans="2:19" ht="11.4" customHeight="1" x14ac:dyDescent="0.2">
      <c r="B2164" s="24"/>
      <c r="C2164" s="7">
        <v>963</v>
      </c>
      <c r="D2164" s="18" t="s">
        <v>2256</v>
      </c>
      <c r="E2164" s="18" t="s">
        <v>2191</v>
      </c>
      <c r="F2164" s="17">
        <v>24</v>
      </c>
      <c r="G2164" s="18" t="s">
        <v>23</v>
      </c>
      <c r="H2164" s="17">
        <v>61.26</v>
      </c>
      <c r="I2164" s="8">
        <v>99.5</v>
      </c>
      <c r="J2164" s="21">
        <f t="shared" si="99"/>
        <v>0.62422461638916105</v>
      </c>
      <c r="K2164" s="1">
        <v>2</v>
      </c>
      <c r="L2164" s="24">
        <v>6.9</v>
      </c>
      <c r="M2164" s="24">
        <v>92.535000000000011</v>
      </c>
      <c r="N2164" s="21">
        <f t="shared" si="100"/>
        <v>0.51052889324191986</v>
      </c>
      <c r="P2164" s="1">
        <v>4</v>
      </c>
      <c r="Q2164" s="24">
        <v>11.939999999999998</v>
      </c>
      <c r="R2164" s="24">
        <v>87.56</v>
      </c>
      <c r="S2164" s="21">
        <f t="shared" si="101"/>
        <v>0.42931766242246172</v>
      </c>
    </row>
    <row r="2165" spans="2:19" ht="11.4" customHeight="1" x14ac:dyDescent="0.2">
      <c r="B2165" s="24"/>
      <c r="C2165" s="7">
        <v>34301</v>
      </c>
      <c r="D2165" s="18" t="s">
        <v>2257</v>
      </c>
      <c r="E2165" s="18" t="s">
        <v>2191</v>
      </c>
      <c r="F2165" s="17">
        <v>12</v>
      </c>
      <c r="G2165" s="18" t="s">
        <v>23</v>
      </c>
      <c r="H2165" s="17">
        <v>78.3</v>
      </c>
      <c r="I2165" s="8">
        <v>124.5</v>
      </c>
      <c r="J2165" s="21">
        <f t="shared" si="99"/>
        <v>0.5900383141762453</v>
      </c>
      <c r="K2165" s="1">
        <v>2</v>
      </c>
      <c r="L2165" s="24">
        <v>8.6999999999999993</v>
      </c>
      <c r="M2165" s="24">
        <v>115.78500000000001</v>
      </c>
      <c r="N2165" s="21">
        <f t="shared" si="100"/>
        <v>0.47873563218390824</v>
      </c>
      <c r="P2165" s="1">
        <v>4</v>
      </c>
      <c r="Q2165" s="24">
        <v>14.939999999999998</v>
      </c>
      <c r="R2165" s="24">
        <v>109.56</v>
      </c>
      <c r="S2165" s="21">
        <f t="shared" si="101"/>
        <v>0.39923371647509587</v>
      </c>
    </row>
    <row r="2166" spans="2:19" ht="11.4" customHeight="1" x14ac:dyDescent="0.2">
      <c r="B2166" s="24"/>
      <c r="C2166" s="7">
        <v>37678</v>
      </c>
      <c r="D2166" s="18" t="s">
        <v>2258</v>
      </c>
      <c r="E2166" s="18" t="s">
        <v>2191</v>
      </c>
      <c r="F2166" s="17">
        <v>36</v>
      </c>
      <c r="G2166" s="18" t="s">
        <v>23</v>
      </c>
      <c r="H2166" s="17">
        <v>124.9</v>
      </c>
      <c r="I2166" s="8">
        <v>149.9</v>
      </c>
      <c r="J2166" s="21">
        <f t="shared" si="99"/>
        <v>0.20016012810248199</v>
      </c>
      <c r="K2166" s="1">
        <v>2</v>
      </c>
      <c r="L2166" s="24">
        <v>10.4</v>
      </c>
      <c r="M2166" s="24">
        <v>139.40700000000001</v>
      </c>
      <c r="N2166" s="21">
        <f t="shared" si="100"/>
        <v>0.11614891913530828</v>
      </c>
      <c r="P2166" s="1">
        <v>4</v>
      </c>
      <c r="Q2166" s="24">
        <v>17.988</v>
      </c>
      <c r="R2166" s="24">
        <v>131.91200000000001</v>
      </c>
      <c r="S2166" s="21">
        <f t="shared" si="101"/>
        <v>5.614091273018415E-2</v>
      </c>
    </row>
    <row r="2167" spans="2:19" ht="11.4" customHeight="1" x14ac:dyDescent="0.2">
      <c r="B2167" s="24"/>
      <c r="C2167" s="7">
        <v>9880</v>
      </c>
      <c r="D2167" s="18" t="s">
        <v>2259</v>
      </c>
      <c r="E2167" s="18" t="s">
        <v>2191</v>
      </c>
      <c r="F2167" s="17">
        <v>36</v>
      </c>
      <c r="G2167" s="18" t="s">
        <v>23</v>
      </c>
      <c r="H2167" s="17">
        <v>85.6</v>
      </c>
      <c r="I2167" s="8">
        <v>107.9</v>
      </c>
      <c r="J2167" s="21">
        <f t="shared" si="99"/>
        <v>0.26051401869158891</v>
      </c>
      <c r="K2167" s="1">
        <v>2</v>
      </c>
      <c r="L2167" s="24">
        <v>7.5</v>
      </c>
      <c r="M2167" s="24">
        <v>100.34700000000001</v>
      </c>
      <c r="N2167" s="21">
        <f t="shared" si="100"/>
        <v>0.17227803738317773</v>
      </c>
      <c r="P2167" s="1">
        <v>4</v>
      </c>
      <c r="Q2167" s="24">
        <v>12.947999999999993</v>
      </c>
      <c r="R2167" s="24">
        <v>94.952000000000012</v>
      </c>
      <c r="S2167" s="21">
        <f t="shared" si="101"/>
        <v>0.10925233644859834</v>
      </c>
    </row>
    <row r="2168" spans="2:19" ht="11.4" customHeight="1" x14ac:dyDescent="0.2">
      <c r="B2168" s="24"/>
      <c r="C2168" s="7">
        <v>44452</v>
      </c>
      <c r="D2168" s="18" t="s">
        <v>2260</v>
      </c>
      <c r="E2168" s="18" t="s">
        <v>2191</v>
      </c>
      <c r="F2168" s="17">
        <v>16</v>
      </c>
      <c r="G2168" s="18" t="s">
        <v>23</v>
      </c>
      <c r="H2168" s="17">
        <v>45.36</v>
      </c>
      <c r="I2168" s="8">
        <v>65.900000000000006</v>
      </c>
      <c r="J2168" s="21">
        <f t="shared" si="99"/>
        <v>0.45282186948853631</v>
      </c>
      <c r="K2168" s="1">
        <v>2</v>
      </c>
      <c r="L2168" s="24">
        <v>4.5999999999999996</v>
      </c>
      <c r="M2168" s="24">
        <v>61.287000000000006</v>
      </c>
      <c r="N2168" s="21">
        <f t="shared" si="100"/>
        <v>0.35112433862433878</v>
      </c>
      <c r="P2168" s="1">
        <v>4</v>
      </c>
      <c r="Q2168" s="24">
        <v>7.9080000000000013</v>
      </c>
      <c r="R2168" s="24">
        <v>57.992000000000004</v>
      </c>
      <c r="S2168" s="21">
        <f t="shared" si="101"/>
        <v>0.27848324514991191</v>
      </c>
    </row>
    <row r="2169" spans="2:19" ht="11.4" customHeight="1" x14ac:dyDescent="0.2">
      <c r="B2169" s="24"/>
      <c r="C2169" s="7">
        <v>42747</v>
      </c>
      <c r="D2169" s="18" t="s">
        <v>2261</v>
      </c>
      <c r="E2169" s="18" t="s">
        <v>2191</v>
      </c>
      <c r="F2169" s="18"/>
      <c r="G2169" s="18" t="s">
        <v>23</v>
      </c>
      <c r="H2169" s="17">
        <v>99.72</v>
      </c>
      <c r="I2169" s="8">
        <v>134.9</v>
      </c>
      <c r="J2169" s="21">
        <f t="shared" si="99"/>
        <v>0.35278780585639796</v>
      </c>
      <c r="K2169" s="1">
        <v>2</v>
      </c>
      <c r="L2169" s="24">
        <v>9.4</v>
      </c>
      <c r="M2169" s="24">
        <v>125.45700000000001</v>
      </c>
      <c r="N2169" s="21">
        <f t="shared" si="100"/>
        <v>0.25809265944645016</v>
      </c>
      <c r="P2169" s="1">
        <v>4</v>
      </c>
      <c r="Q2169" s="24">
        <v>16.188000000000002</v>
      </c>
      <c r="R2169" s="24">
        <v>118.712</v>
      </c>
      <c r="S2169" s="21">
        <f t="shared" si="101"/>
        <v>0.1904532691536302</v>
      </c>
    </row>
    <row r="2170" spans="2:19" ht="11.4" customHeight="1" x14ac:dyDescent="0.2">
      <c r="B2170" s="24"/>
      <c r="C2170" s="7">
        <v>42085</v>
      </c>
      <c r="D2170" s="18" t="s">
        <v>2262</v>
      </c>
      <c r="E2170" s="18" t="s">
        <v>2263</v>
      </c>
      <c r="F2170" s="18"/>
      <c r="G2170" s="18" t="s">
        <v>23</v>
      </c>
      <c r="H2170" s="17">
        <v>116.64</v>
      </c>
      <c r="I2170" s="8">
        <v>169</v>
      </c>
      <c r="J2170" s="21">
        <f t="shared" si="99"/>
        <v>0.44890260631001372</v>
      </c>
      <c r="K2170" s="1">
        <v>2</v>
      </c>
      <c r="L2170" s="24">
        <v>11.8</v>
      </c>
      <c r="M2170" s="24">
        <v>157.17000000000002</v>
      </c>
      <c r="N2170" s="21">
        <f t="shared" si="100"/>
        <v>0.34747942386831288</v>
      </c>
      <c r="P2170" s="1">
        <v>4</v>
      </c>
      <c r="Q2170" s="24">
        <v>20.28</v>
      </c>
      <c r="R2170" s="24">
        <v>148.72</v>
      </c>
      <c r="S2170" s="21">
        <f t="shared" si="101"/>
        <v>0.27503429355281206</v>
      </c>
    </row>
    <row r="2171" spans="2:19" ht="11.4" customHeight="1" x14ac:dyDescent="0.2">
      <c r="B2171" s="24"/>
      <c r="C2171" s="7">
        <v>38586</v>
      </c>
      <c r="D2171" s="18" t="s">
        <v>2264</v>
      </c>
      <c r="E2171" s="18" t="s">
        <v>2263</v>
      </c>
      <c r="F2171" s="17">
        <v>6</v>
      </c>
      <c r="G2171" s="18" t="s">
        <v>23</v>
      </c>
      <c r="H2171" s="17">
        <v>145.9</v>
      </c>
      <c r="I2171" s="8">
        <v>154.5</v>
      </c>
      <c r="J2171" s="21">
        <f t="shared" si="99"/>
        <v>5.8944482522275493E-2</v>
      </c>
      <c r="K2171" s="1">
        <v>2</v>
      </c>
      <c r="L2171" s="24">
        <v>10.8</v>
      </c>
      <c r="M2171" s="24">
        <v>143.685</v>
      </c>
      <c r="N2171" s="21">
        <f t="shared" si="100"/>
        <v>-1.5181631254283779E-2</v>
      </c>
      <c r="P2171" s="1">
        <v>4</v>
      </c>
      <c r="Q2171" s="24">
        <v>18.539999999999992</v>
      </c>
      <c r="R2171" s="24">
        <v>135.96</v>
      </c>
      <c r="S2171" s="21">
        <f t="shared" si="101"/>
        <v>-6.8128855380397521E-2</v>
      </c>
    </row>
    <row r="2172" spans="2:19" ht="11.4" customHeight="1" x14ac:dyDescent="0.2">
      <c r="B2172" s="24"/>
      <c r="C2172" s="7">
        <v>42087</v>
      </c>
      <c r="D2172" s="18" t="s">
        <v>2265</v>
      </c>
      <c r="E2172" s="18" t="s">
        <v>2263</v>
      </c>
      <c r="F2172" s="18"/>
      <c r="G2172" s="18" t="s">
        <v>23</v>
      </c>
      <c r="H2172" s="17">
        <v>69.959999999999994</v>
      </c>
      <c r="I2172" s="8">
        <v>120</v>
      </c>
      <c r="J2172" s="21">
        <f t="shared" si="99"/>
        <v>0.71526586620926258</v>
      </c>
      <c r="K2172" s="1">
        <v>2</v>
      </c>
      <c r="L2172" s="24">
        <v>8.3000000000000007</v>
      </c>
      <c r="M2172" s="24">
        <v>111.60000000000001</v>
      </c>
      <c r="N2172" s="21">
        <f t="shared" si="100"/>
        <v>0.59519725557461434</v>
      </c>
      <c r="P2172" s="1">
        <v>4</v>
      </c>
      <c r="Q2172" s="24">
        <v>14.400000000000006</v>
      </c>
      <c r="R2172" s="24">
        <v>105.6</v>
      </c>
      <c r="S2172" s="21">
        <f t="shared" si="101"/>
        <v>0.50943396226415105</v>
      </c>
    </row>
    <row r="2173" spans="2:19" ht="11.4" customHeight="1" x14ac:dyDescent="0.2">
      <c r="B2173" s="24"/>
      <c r="C2173" s="7">
        <v>38606</v>
      </c>
      <c r="D2173" s="18" t="s">
        <v>2266</v>
      </c>
      <c r="E2173" s="18" t="s">
        <v>2263</v>
      </c>
      <c r="F2173" s="17">
        <v>6</v>
      </c>
      <c r="G2173" s="18" t="s">
        <v>23</v>
      </c>
      <c r="H2173" s="17">
        <v>67.5</v>
      </c>
      <c r="I2173" s="8">
        <v>76.5</v>
      </c>
      <c r="J2173" s="21">
        <f t="shared" si="99"/>
        <v>0.13333333333333333</v>
      </c>
      <c r="K2173" s="1">
        <v>2</v>
      </c>
      <c r="L2173" s="24">
        <v>5.3</v>
      </c>
      <c r="M2173" s="24">
        <v>71.14500000000001</v>
      </c>
      <c r="N2173" s="21">
        <f t="shared" si="100"/>
        <v>5.4000000000000152E-2</v>
      </c>
      <c r="P2173" s="1">
        <v>4</v>
      </c>
      <c r="Q2173" s="24">
        <v>9.1799999999999926</v>
      </c>
      <c r="R2173" s="24">
        <v>67.320000000000007</v>
      </c>
      <c r="S2173" s="21">
        <f t="shared" si="101"/>
        <v>-2.6666666666665573E-3</v>
      </c>
    </row>
    <row r="2174" spans="2:19" ht="11.4" customHeight="1" x14ac:dyDescent="0.2">
      <c r="B2174" s="24"/>
      <c r="C2174" s="7">
        <v>38605</v>
      </c>
      <c r="D2174" s="18" t="s">
        <v>2267</v>
      </c>
      <c r="E2174" s="18" t="s">
        <v>2263</v>
      </c>
      <c r="F2174" s="17">
        <v>6</v>
      </c>
      <c r="G2174" s="18" t="s">
        <v>23</v>
      </c>
      <c r="H2174" s="17">
        <v>129.5</v>
      </c>
      <c r="I2174" s="8">
        <v>129.5</v>
      </c>
      <c r="J2174" s="21">
        <f t="shared" si="99"/>
        <v>0</v>
      </c>
      <c r="K2174" s="1">
        <v>2</v>
      </c>
      <c r="L2174" s="24">
        <v>9</v>
      </c>
      <c r="M2174" s="24">
        <v>120.435</v>
      </c>
      <c r="N2174" s="21">
        <f t="shared" si="100"/>
        <v>-6.9999999999999979E-2</v>
      </c>
      <c r="P2174" s="1">
        <v>4</v>
      </c>
      <c r="Q2174" s="24">
        <v>15.540000000000006</v>
      </c>
      <c r="R2174" s="24">
        <v>113.96</v>
      </c>
      <c r="S2174" s="21">
        <f t="shared" si="101"/>
        <v>-0.12000000000000005</v>
      </c>
    </row>
    <row r="2175" spans="2:19" ht="11.4" customHeight="1" x14ac:dyDescent="0.2">
      <c r="B2175" s="24"/>
      <c r="C2175" s="7">
        <v>38604</v>
      </c>
      <c r="D2175" s="18" t="s">
        <v>2268</v>
      </c>
      <c r="E2175" s="18" t="s">
        <v>2263</v>
      </c>
      <c r="F2175" s="17">
        <v>6</v>
      </c>
      <c r="G2175" s="18" t="s">
        <v>23</v>
      </c>
      <c r="H2175" s="17">
        <v>119.5</v>
      </c>
      <c r="I2175" s="8">
        <v>139.5</v>
      </c>
      <c r="J2175" s="21">
        <f t="shared" si="99"/>
        <v>0.16736401673640167</v>
      </c>
      <c r="K2175" s="1">
        <v>2</v>
      </c>
      <c r="L2175" s="24">
        <v>9.6999999999999993</v>
      </c>
      <c r="M2175" s="24">
        <v>129.73500000000001</v>
      </c>
      <c r="N2175" s="21">
        <f t="shared" si="100"/>
        <v>8.5648535564853676E-2</v>
      </c>
      <c r="P2175" s="1">
        <v>4</v>
      </c>
      <c r="Q2175" s="24">
        <v>16.739999999999995</v>
      </c>
      <c r="R2175" s="24">
        <v>122.76</v>
      </c>
      <c r="S2175" s="21">
        <f t="shared" si="101"/>
        <v>2.7280334728033515E-2</v>
      </c>
    </row>
    <row r="2176" spans="2:19" ht="11.4" customHeight="1" x14ac:dyDescent="0.2">
      <c r="B2176" s="24"/>
      <c r="C2176" s="7">
        <v>38587</v>
      </c>
      <c r="D2176" s="18" t="s">
        <v>2269</v>
      </c>
      <c r="E2176" s="18" t="s">
        <v>2263</v>
      </c>
      <c r="F2176" s="17">
        <v>6</v>
      </c>
      <c r="G2176" s="18" t="s">
        <v>23</v>
      </c>
      <c r="H2176" s="17">
        <v>105</v>
      </c>
      <c r="I2176" s="8">
        <v>119.9</v>
      </c>
      <c r="J2176" s="21">
        <f t="shared" si="99"/>
        <v>0.14190476190476195</v>
      </c>
      <c r="K2176" s="1">
        <v>2</v>
      </c>
      <c r="L2176" s="24">
        <v>8.3000000000000007</v>
      </c>
      <c r="M2176" s="24">
        <v>111.50700000000001</v>
      </c>
      <c r="N2176" s="21">
        <f t="shared" si="100"/>
        <v>6.1971428571428622E-2</v>
      </c>
      <c r="P2176" s="1">
        <v>4</v>
      </c>
      <c r="Q2176" s="24">
        <v>14.388000000000005</v>
      </c>
      <c r="R2176" s="24">
        <v>105.512</v>
      </c>
      <c r="S2176" s="21">
        <f t="shared" si="101"/>
        <v>4.8761904761904801E-3</v>
      </c>
    </row>
    <row r="2177" spans="2:19" ht="11.4" customHeight="1" x14ac:dyDescent="0.2">
      <c r="B2177" s="24"/>
      <c r="C2177" s="7">
        <v>38608</v>
      </c>
      <c r="D2177" s="18" t="s">
        <v>2270</v>
      </c>
      <c r="E2177" s="18" t="s">
        <v>2263</v>
      </c>
      <c r="F2177" s="17">
        <v>6</v>
      </c>
      <c r="G2177" s="18" t="s">
        <v>23</v>
      </c>
      <c r="H2177" s="17">
        <v>72.900000000000006</v>
      </c>
      <c r="I2177" s="8">
        <v>80.900000000000006</v>
      </c>
      <c r="J2177" s="21">
        <f t="shared" si="99"/>
        <v>0.10973936899862825</v>
      </c>
      <c r="K2177" s="1">
        <v>2</v>
      </c>
      <c r="L2177" s="24">
        <v>5.6</v>
      </c>
      <c r="M2177" s="24">
        <v>75.237000000000009</v>
      </c>
      <c r="N2177" s="21">
        <f t="shared" si="100"/>
        <v>3.2057613168724325E-2</v>
      </c>
      <c r="P2177" s="1">
        <v>4</v>
      </c>
      <c r="Q2177" s="24">
        <v>9.7079999999999984</v>
      </c>
      <c r="R2177" s="24">
        <v>71.192000000000007</v>
      </c>
      <c r="S2177" s="21">
        <f t="shared" si="101"/>
        <v>-2.3429355281207109E-2</v>
      </c>
    </row>
    <row r="2178" spans="2:19" ht="11.4" customHeight="1" x14ac:dyDescent="0.2">
      <c r="B2178" s="24"/>
      <c r="C2178" s="7">
        <v>38595</v>
      </c>
      <c r="D2178" s="18" t="s">
        <v>2271</v>
      </c>
      <c r="E2178" s="18" t="s">
        <v>2263</v>
      </c>
      <c r="F2178" s="17">
        <v>6</v>
      </c>
      <c r="G2178" s="18" t="s">
        <v>23</v>
      </c>
      <c r="H2178" s="17">
        <v>106.9</v>
      </c>
      <c r="I2178" s="8">
        <v>119.9</v>
      </c>
      <c r="J2178" s="21">
        <f t="shared" si="99"/>
        <v>0.12160898035547239</v>
      </c>
      <c r="K2178" s="1">
        <v>2</v>
      </c>
      <c r="L2178" s="24">
        <v>8.3000000000000007</v>
      </c>
      <c r="M2178" s="24">
        <v>111.50700000000001</v>
      </c>
      <c r="N2178" s="21">
        <f t="shared" si="100"/>
        <v>4.309635173058933E-2</v>
      </c>
      <c r="P2178" s="1">
        <v>4</v>
      </c>
      <c r="Q2178" s="24">
        <v>14.388000000000005</v>
      </c>
      <c r="R2178" s="24">
        <v>105.512</v>
      </c>
      <c r="S2178" s="21">
        <f t="shared" si="101"/>
        <v>-1.2984097287184332E-2</v>
      </c>
    </row>
    <row r="2179" spans="2:19" ht="11.4" customHeight="1" x14ac:dyDescent="0.2">
      <c r="B2179" s="24"/>
      <c r="C2179" s="7">
        <v>44481</v>
      </c>
      <c r="D2179" s="18" t="s">
        <v>2272</v>
      </c>
      <c r="E2179" s="18" t="s">
        <v>2263</v>
      </c>
      <c r="F2179" s="17">
        <v>12</v>
      </c>
      <c r="G2179" s="18" t="s">
        <v>23</v>
      </c>
      <c r="H2179" s="17">
        <v>60</v>
      </c>
      <c r="I2179" s="8">
        <v>84</v>
      </c>
      <c r="J2179" s="21">
        <f t="shared" ref="J2179:J2242" si="102">(I2179-H2179)/H2179</f>
        <v>0.4</v>
      </c>
      <c r="K2179" s="1">
        <v>2</v>
      </c>
      <c r="L2179" s="24">
        <v>5.8</v>
      </c>
      <c r="M2179" s="24">
        <v>78.12</v>
      </c>
      <c r="N2179" s="21">
        <f t="shared" ref="N2179:N2242" si="103">(M2179-H2179)/H2179</f>
        <v>0.3020000000000001</v>
      </c>
      <c r="P2179" s="1">
        <v>4</v>
      </c>
      <c r="Q2179" s="24">
        <v>10.079999999999998</v>
      </c>
      <c r="R2179" s="24">
        <v>73.92</v>
      </c>
      <c r="S2179" s="21">
        <f t="shared" ref="S2179:S2242" si="104">(R2179-H2179)/H2179</f>
        <v>0.23200000000000004</v>
      </c>
    </row>
    <row r="2180" spans="2:19" ht="11.4" customHeight="1" x14ac:dyDescent="0.2">
      <c r="B2180" s="24"/>
      <c r="C2180" s="7">
        <v>38614</v>
      </c>
      <c r="D2180" s="18" t="s">
        <v>2273</v>
      </c>
      <c r="E2180" s="18" t="s">
        <v>2263</v>
      </c>
      <c r="F2180" s="17">
        <v>16</v>
      </c>
      <c r="G2180" s="18" t="s">
        <v>23</v>
      </c>
      <c r="H2180" s="17">
        <v>35.5</v>
      </c>
      <c r="I2180" s="8">
        <v>35.5</v>
      </c>
      <c r="J2180" s="21">
        <f t="shared" si="102"/>
        <v>0</v>
      </c>
      <c r="K2180" s="1">
        <v>2</v>
      </c>
      <c r="L2180" s="24">
        <v>2.4</v>
      </c>
      <c r="M2180" s="24">
        <v>33.015000000000001</v>
      </c>
      <c r="N2180" s="21">
        <f t="shared" si="103"/>
        <v>-6.9999999999999979E-2</v>
      </c>
      <c r="P2180" s="1">
        <v>4</v>
      </c>
      <c r="Q2180" s="24">
        <v>4.2600000000000016</v>
      </c>
      <c r="R2180" s="24">
        <v>31.24</v>
      </c>
      <c r="S2180" s="21">
        <f t="shared" si="104"/>
        <v>-0.12000000000000004</v>
      </c>
    </row>
    <row r="2181" spans="2:19" ht="11.4" customHeight="1" x14ac:dyDescent="0.2">
      <c r="B2181" s="24"/>
      <c r="C2181" s="7">
        <v>38615</v>
      </c>
      <c r="D2181" s="18" t="s">
        <v>2274</v>
      </c>
      <c r="E2181" s="18" t="s">
        <v>2263</v>
      </c>
      <c r="F2181" s="17">
        <v>16</v>
      </c>
      <c r="G2181" s="18" t="s">
        <v>23</v>
      </c>
      <c r="H2181" s="17">
        <v>32.5</v>
      </c>
      <c r="I2181" s="8">
        <v>32.5</v>
      </c>
      <c r="J2181" s="21">
        <f t="shared" si="102"/>
        <v>0</v>
      </c>
      <c r="K2181" s="1">
        <v>2</v>
      </c>
      <c r="L2181" s="24">
        <v>2.2000000000000002</v>
      </c>
      <c r="M2181" s="24">
        <v>30.225000000000001</v>
      </c>
      <c r="N2181" s="21">
        <f t="shared" si="103"/>
        <v>-6.9999999999999951E-2</v>
      </c>
      <c r="P2181" s="1">
        <v>4</v>
      </c>
      <c r="Q2181" s="24">
        <v>3.8999999999999986</v>
      </c>
      <c r="R2181" s="24">
        <v>28.6</v>
      </c>
      <c r="S2181" s="21">
        <f t="shared" si="104"/>
        <v>-0.11999999999999995</v>
      </c>
    </row>
    <row r="2182" spans="2:19" ht="11.4" customHeight="1" x14ac:dyDescent="0.2">
      <c r="B2182" s="24"/>
      <c r="C2182" s="7">
        <v>38589</v>
      </c>
      <c r="D2182" s="18" t="s">
        <v>2275</v>
      </c>
      <c r="E2182" s="18" t="s">
        <v>2263</v>
      </c>
      <c r="F2182" s="17">
        <v>6</v>
      </c>
      <c r="G2182" s="18" t="s">
        <v>23</v>
      </c>
      <c r="H2182" s="17">
        <v>57.5</v>
      </c>
      <c r="I2182" s="8">
        <v>57.5</v>
      </c>
      <c r="J2182" s="21">
        <f t="shared" si="102"/>
        <v>0</v>
      </c>
      <c r="K2182" s="1">
        <v>2</v>
      </c>
      <c r="L2182" s="24">
        <v>4</v>
      </c>
      <c r="M2182" s="24">
        <v>53.475000000000001</v>
      </c>
      <c r="N2182" s="21">
        <f t="shared" si="103"/>
        <v>-6.9999999999999979E-2</v>
      </c>
      <c r="P2182" s="1">
        <v>4</v>
      </c>
      <c r="Q2182" s="24">
        <v>6.8999999999999986</v>
      </c>
      <c r="R2182" s="24">
        <v>50.6</v>
      </c>
      <c r="S2182" s="21">
        <f t="shared" si="104"/>
        <v>-0.11999999999999998</v>
      </c>
    </row>
    <row r="2183" spans="2:19" ht="11.4" customHeight="1" x14ac:dyDescent="0.2">
      <c r="B2183" s="24"/>
      <c r="C2183" s="7">
        <v>38588</v>
      </c>
      <c r="D2183" s="18" t="s">
        <v>2276</v>
      </c>
      <c r="E2183" s="18" t="s">
        <v>2263</v>
      </c>
      <c r="F2183" s="17">
        <v>6</v>
      </c>
      <c r="G2183" s="18" t="s">
        <v>23</v>
      </c>
      <c r="H2183" s="17">
        <v>57.5</v>
      </c>
      <c r="I2183" s="8">
        <v>57.5</v>
      </c>
      <c r="J2183" s="21">
        <f t="shared" si="102"/>
        <v>0</v>
      </c>
      <c r="K2183" s="1">
        <v>2</v>
      </c>
      <c r="L2183" s="24">
        <v>4</v>
      </c>
      <c r="M2183" s="24">
        <v>53.475000000000001</v>
      </c>
      <c r="N2183" s="21">
        <f t="shared" si="103"/>
        <v>-6.9999999999999979E-2</v>
      </c>
      <c r="P2183" s="1">
        <v>4</v>
      </c>
      <c r="Q2183" s="24">
        <v>6.8999999999999986</v>
      </c>
      <c r="R2183" s="24">
        <v>50.6</v>
      </c>
      <c r="S2183" s="21">
        <f t="shared" si="104"/>
        <v>-0.11999999999999998</v>
      </c>
    </row>
    <row r="2184" spans="2:19" ht="11.4" customHeight="1" x14ac:dyDescent="0.2">
      <c r="B2184" s="24"/>
      <c r="C2184" s="7">
        <v>38607</v>
      </c>
      <c r="D2184" s="18" t="s">
        <v>2277</v>
      </c>
      <c r="E2184" s="18" t="s">
        <v>2263</v>
      </c>
      <c r="F2184" s="17">
        <v>6</v>
      </c>
      <c r="G2184" s="18" t="s">
        <v>23</v>
      </c>
      <c r="H2184" s="17">
        <v>58.9</v>
      </c>
      <c r="I2184" s="8">
        <v>58.9</v>
      </c>
      <c r="J2184" s="21">
        <f t="shared" si="102"/>
        <v>0</v>
      </c>
      <c r="K2184" s="1">
        <v>2</v>
      </c>
      <c r="L2184" s="24">
        <v>4.0999999999999996</v>
      </c>
      <c r="M2184" s="24">
        <v>54.777000000000001</v>
      </c>
      <c r="N2184" s="21">
        <f t="shared" si="103"/>
        <v>-6.9999999999999965E-2</v>
      </c>
      <c r="P2184" s="1">
        <v>4</v>
      </c>
      <c r="Q2184" s="24">
        <v>7.0679999999999978</v>
      </c>
      <c r="R2184" s="24">
        <v>51.832000000000001</v>
      </c>
      <c r="S2184" s="21">
        <f t="shared" si="104"/>
        <v>-0.11999999999999997</v>
      </c>
    </row>
    <row r="2185" spans="2:19" ht="11.4" customHeight="1" x14ac:dyDescent="0.2">
      <c r="B2185" s="24"/>
      <c r="C2185" s="7">
        <v>42086</v>
      </c>
      <c r="D2185" s="18" t="s">
        <v>2278</v>
      </c>
      <c r="E2185" s="18" t="s">
        <v>2263</v>
      </c>
      <c r="F2185" s="17">
        <v>24</v>
      </c>
      <c r="G2185" s="18" t="s">
        <v>23</v>
      </c>
      <c r="H2185" s="17">
        <v>111.6</v>
      </c>
      <c r="I2185" s="8">
        <v>161</v>
      </c>
      <c r="J2185" s="21">
        <f t="shared" si="102"/>
        <v>0.44265232974910401</v>
      </c>
      <c r="K2185" s="1">
        <v>2</v>
      </c>
      <c r="L2185" s="24">
        <v>11.2</v>
      </c>
      <c r="M2185" s="24">
        <v>149.73000000000002</v>
      </c>
      <c r="N2185" s="21">
        <f t="shared" si="103"/>
        <v>0.3416666666666669</v>
      </c>
      <c r="P2185" s="1">
        <v>4</v>
      </c>
      <c r="Q2185" s="24">
        <v>19.319999999999993</v>
      </c>
      <c r="R2185" s="24">
        <v>141.68</v>
      </c>
      <c r="S2185" s="21">
        <f t="shared" si="104"/>
        <v>0.26953405017921162</v>
      </c>
    </row>
    <row r="2186" spans="2:19" ht="11.4" customHeight="1" x14ac:dyDescent="0.2">
      <c r="B2186" s="24"/>
      <c r="C2186" s="7">
        <v>38609</v>
      </c>
      <c r="D2186" s="18" t="s">
        <v>2279</v>
      </c>
      <c r="E2186" s="18" t="s">
        <v>2263</v>
      </c>
      <c r="F2186" s="17">
        <v>6</v>
      </c>
      <c r="G2186" s="18" t="s">
        <v>23</v>
      </c>
      <c r="H2186" s="17">
        <v>69.900000000000006</v>
      </c>
      <c r="I2186" s="8">
        <v>79.5</v>
      </c>
      <c r="J2186" s="21">
        <f t="shared" si="102"/>
        <v>0.13733905579399133</v>
      </c>
      <c r="K2186" s="1">
        <v>2</v>
      </c>
      <c r="L2186" s="24">
        <v>5.5</v>
      </c>
      <c r="M2186" s="24">
        <v>73.935000000000002</v>
      </c>
      <c r="N2186" s="21">
        <f t="shared" si="103"/>
        <v>5.7725321888411965E-2</v>
      </c>
      <c r="P2186" s="1">
        <v>4</v>
      </c>
      <c r="Q2186" s="24">
        <v>9.5400000000000063</v>
      </c>
      <c r="R2186" s="24">
        <v>69.959999999999994</v>
      </c>
      <c r="S2186" s="21">
        <f t="shared" si="104"/>
        <v>8.5836909871227554E-4</v>
      </c>
    </row>
    <row r="2187" spans="2:19" ht="11.4" customHeight="1" x14ac:dyDescent="0.2">
      <c r="B2187" s="24"/>
      <c r="C2187" s="7">
        <v>38593</v>
      </c>
      <c r="D2187" s="18" t="s">
        <v>2280</v>
      </c>
      <c r="E2187" s="18" t="s">
        <v>2263</v>
      </c>
      <c r="F2187" s="17">
        <v>6</v>
      </c>
      <c r="G2187" s="18" t="s">
        <v>23</v>
      </c>
      <c r="H2187" s="17">
        <v>105.9</v>
      </c>
      <c r="I2187" s="8">
        <v>118.5</v>
      </c>
      <c r="J2187" s="21">
        <f t="shared" si="102"/>
        <v>0.11898016997167132</v>
      </c>
      <c r="K2187" s="1">
        <v>2</v>
      </c>
      <c r="L2187" s="24">
        <v>8.1999999999999993</v>
      </c>
      <c r="M2187" s="24">
        <v>110.20500000000001</v>
      </c>
      <c r="N2187" s="21">
        <f t="shared" si="103"/>
        <v>4.0651558073654455E-2</v>
      </c>
      <c r="P2187" s="1">
        <v>4</v>
      </c>
      <c r="Q2187" s="24">
        <v>14.219999999999999</v>
      </c>
      <c r="R2187" s="24">
        <v>104.28</v>
      </c>
      <c r="S2187" s="21">
        <f t="shared" si="104"/>
        <v>-1.5297450424929221E-2</v>
      </c>
    </row>
    <row r="2188" spans="2:19" ht="11.4" customHeight="1" x14ac:dyDescent="0.2">
      <c r="B2188" s="24"/>
      <c r="C2188" s="7">
        <v>29794</v>
      </c>
      <c r="D2188" s="18" t="s">
        <v>2281</v>
      </c>
      <c r="E2188" s="18" t="s">
        <v>2263</v>
      </c>
      <c r="F2188" s="17">
        <v>6</v>
      </c>
      <c r="G2188" s="18" t="s">
        <v>23</v>
      </c>
      <c r="H2188" s="17">
        <v>99.9</v>
      </c>
      <c r="I2188" s="8">
        <v>113.9</v>
      </c>
      <c r="J2188" s="21">
        <f t="shared" si="102"/>
        <v>0.14014014014014015</v>
      </c>
      <c r="K2188" s="1">
        <v>2</v>
      </c>
      <c r="L2188" s="24">
        <v>7.9</v>
      </c>
      <c r="M2188" s="24">
        <v>105.92700000000001</v>
      </c>
      <c r="N2188" s="21">
        <f t="shared" si="103"/>
        <v>6.0330330330330334E-2</v>
      </c>
      <c r="P2188" s="1">
        <v>4</v>
      </c>
      <c r="Q2188" s="24">
        <v>13.668000000000006</v>
      </c>
      <c r="R2188" s="24">
        <v>100.232</v>
      </c>
      <c r="S2188" s="21">
        <f t="shared" si="104"/>
        <v>3.3233233233232592E-3</v>
      </c>
    </row>
    <row r="2189" spans="2:19" ht="11.4" customHeight="1" x14ac:dyDescent="0.2">
      <c r="B2189" s="24"/>
      <c r="C2189" s="7">
        <v>38610</v>
      </c>
      <c r="D2189" s="18" t="s">
        <v>2282</v>
      </c>
      <c r="E2189" s="18" t="s">
        <v>2263</v>
      </c>
      <c r="F2189" s="17">
        <v>6</v>
      </c>
      <c r="G2189" s="18" t="s">
        <v>23</v>
      </c>
      <c r="H2189" s="17">
        <v>66.900000000000006</v>
      </c>
      <c r="I2189" s="8">
        <v>74.900000000000006</v>
      </c>
      <c r="J2189" s="21">
        <f t="shared" si="102"/>
        <v>0.11958146487294469</v>
      </c>
      <c r="K2189" s="1">
        <v>2</v>
      </c>
      <c r="L2189" s="24">
        <v>5.2</v>
      </c>
      <c r="M2189" s="24">
        <v>69.657000000000011</v>
      </c>
      <c r="N2189" s="21">
        <f t="shared" si="103"/>
        <v>4.1210762331838638E-2</v>
      </c>
      <c r="P2189" s="1">
        <v>4</v>
      </c>
      <c r="Q2189" s="24">
        <v>8.9879999999999995</v>
      </c>
      <c r="R2189" s="24">
        <v>65.912000000000006</v>
      </c>
      <c r="S2189" s="21">
        <f t="shared" si="104"/>
        <v>-1.4768310911808661E-2</v>
      </c>
    </row>
    <row r="2190" spans="2:19" ht="11.4" customHeight="1" x14ac:dyDescent="0.2">
      <c r="B2190" s="24"/>
      <c r="C2190" s="7">
        <v>38594</v>
      </c>
      <c r="D2190" s="18" t="s">
        <v>2283</v>
      </c>
      <c r="E2190" s="18" t="s">
        <v>2263</v>
      </c>
      <c r="F2190" s="17">
        <v>6</v>
      </c>
      <c r="G2190" s="18" t="s">
        <v>23</v>
      </c>
      <c r="H2190" s="17">
        <v>95.9</v>
      </c>
      <c r="I2190" s="8">
        <v>109.5</v>
      </c>
      <c r="J2190" s="21">
        <f t="shared" si="102"/>
        <v>0.14181438998957241</v>
      </c>
      <c r="K2190" s="1">
        <v>2</v>
      </c>
      <c r="L2190" s="24">
        <v>7.6</v>
      </c>
      <c r="M2190" s="24">
        <v>101.83500000000001</v>
      </c>
      <c r="N2190" s="21">
        <f t="shared" si="103"/>
        <v>6.1887382690302417E-2</v>
      </c>
      <c r="P2190" s="1">
        <v>4</v>
      </c>
      <c r="Q2190" s="24">
        <v>13.14</v>
      </c>
      <c r="R2190" s="24">
        <v>96.36</v>
      </c>
      <c r="S2190" s="21">
        <f t="shared" si="104"/>
        <v>4.7966631908237089E-3</v>
      </c>
    </row>
    <row r="2191" spans="2:19" ht="11.4" customHeight="1" x14ac:dyDescent="0.2">
      <c r="B2191" s="24"/>
      <c r="C2191" s="7">
        <v>44476</v>
      </c>
      <c r="D2191" s="18" t="s">
        <v>2284</v>
      </c>
      <c r="E2191" s="18" t="s">
        <v>2263</v>
      </c>
      <c r="F2191" s="17">
        <v>48</v>
      </c>
      <c r="G2191" s="18" t="s">
        <v>23</v>
      </c>
      <c r="H2191" s="17">
        <v>76.86</v>
      </c>
      <c r="I2191" s="8">
        <v>119.5</v>
      </c>
      <c r="J2191" s="21">
        <f t="shared" si="102"/>
        <v>0.55477491543065316</v>
      </c>
      <c r="K2191" s="1">
        <v>2</v>
      </c>
      <c r="L2191" s="24">
        <v>8.3000000000000007</v>
      </c>
      <c r="M2191" s="24">
        <v>111.13500000000001</v>
      </c>
      <c r="N2191" s="21">
        <f t="shared" si="103"/>
        <v>0.44594067135050747</v>
      </c>
      <c r="P2191" s="1">
        <v>4</v>
      </c>
      <c r="Q2191" s="24">
        <v>14.340000000000003</v>
      </c>
      <c r="R2191" s="24">
        <v>105.16</v>
      </c>
      <c r="S2191" s="21">
        <f t="shared" si="104"/>
        <v>0.36820192557897474</v>
      </c>
    </row>
    <row r="2192" spans="2:19" ht="11.4" customHeight="1" x14ac:dyDescent="0.2">
      <c r="B2192" s="24"/>
      <c r="C2192" s="7">
        <v>44268</v>
      </c>
      <c r="D2192" s="18" t="s">
        <v>2285</v>
      </c>
      <c r="E2192" s="18" t="s">
        <v>2263</v>
      </c>
      <c r="F2192" s="17">
        <v>12</v>
      </c>
      <c r="G2192" s="18" t="s">
        <v>23</v>
      </c>
      <c r="H2192" s="17">
        <v>100.98</v>
      </c>
      <c r="I2192" s="8">
        <v>159.9</v>
      </c>
      <c r="J2192" s="21">
        <f t="shared" si="102"/>
        <v>0.58348187759952463</v>
      </c>
      <c r="K2192" s="1">
        <v>2</v>
      </c>
      <c r="L2192" s="24">
        <v>11.1</v>
      </c>
      <c r="M2192" s="24">
        <v>148.70700000000002</v>
      </c>
      <c r="N2192" s="21">
        <f t="shared" si="103"/>
        <v>0.47263814616755812</v>
      </c>
      <c r="P2192" s="1">
        <v>4</v>
      </c>
      <c r="Q2192" s="24">
        <v>19.187999999999988</v>
      </c>
      <c r="R2192" s="24">
        <v>140.71200000000002</v>
      </c>
      <c r="S2192" s="21">
        <f t="shared" si="104"/>
        <v>0.3934640522875818</v>
      </c>
    </row>
    <row r="2193" spans="2:19" ht="11.4" customHeight="1" x14ac:dyDescent="0.2">
      <c r="B2193" s="24"/>
      <c r="C2193" s="7">
        <v>44272</v>
      </c>
      <c r="D2193" s="18" t="s">
        <v>2286</v>
      </c>
      <c r="E2193" s="18" t="s">
        <v>2263</v>
      </c>
      <c r="F2193" s="17">
        <v>12</v>
      </c>
      <c r="G2193" s="18" t="s">
        <v>23</v>
      </c>
      <c r="H2193" s="17">
        <v>96</v>
      </c>
      <c r="I2193" s="8">
        <v>149.9</v>
      </c>
      <c r="J2193" s="21">
        <f t="shared" si="102"/>
        <v>0.56145833333333339</v>
      </c>
      <c r="K2193" s="1">
        <v>2</v>
      </c>
      <c r="L2193" s="24">
        <v>10.4</v>
      </c>
      <c r="M2193" s="24">
        <v>139.40700000000001</v>
      </c>
      <c r="N2193" s="21">
        <f t="shared" si="103"/>
        <v>0.45215625000000009</v>
      </c>
      <c r="P2193" s="1">
        <v>4</v>
      </c>
      <c r="Q2193" s="24">
        <v>17.988</v>
      </c>
      <c r="R2193" s="24">
        <v>131.91200000000001</v>
      </c>
      <c r="S2193" s="21">
        <f t="shared" si="104"/>
        <v>0.37408333333333338</v>
      </c>
    </row>
    <row r="2194" spans="2:19" ht="11.4" customHeight="1" x14ac:dyDescent="0.2">
      <c r="B2194" s="24"/>
      <c r="C2194" s="7">
        <v>29791</v>
      </c>
      <c r="D2194" s="18" t="s">
        <v>2287</v>
      </c>
      <c r="E2194" s="18" t="s">
        <v>2263</v>
      </c>
      <c r="F2194" s="17">
        <v>6</v>
      </c>
      <c r="G2194" s="18" t="s">
        <v>23</v>
      </c>
      <c r="H2194" s="17">
        <v>69.900000000000006</v>
      </c>
      <c r="I2194" s="8">
        <v>69.900000000000006</v>
      </c>
      <c r="J2194" s="21">
        <f t="shared" si="102"/>
        <v>0</v>
      </c>
      <c r="K2194" s="1">
        <v>2</v>
      </c>
      <c r="L2194" s="24">
        <v>4.8</v>
      </c>
      <c r="M2194" s="24">
        <v>65.007000000000005</v>
      </c>
      <c r="N2194" s="21">
        <f t="shared" si="103"/>
        <v>-7.0000000000000007E-2</v>
      </c>
      <c r="P2194" s="1">
        <v>4</v>
      </c>
      <c r="Q2194" s="24">
        <v>8.3879999999999981</v>
      </c>
      <c r="R2194" s="24">
        <v>61.512000000000008</v>
      </c>
      <c r="S2194" s="21">
        <f t="shared" si="104"/>
        <v>-0.11999999999999997</v>
      </c>
    </row>
    <row r="2195" spans="2:19" ht="11.4" customHeight="1" x14ac:dyDescent="0.2">
      <c r="B2195" s="24"/>
      <c r="C2195" s="7">
        <v>38597</v>
      </c>
      <c r="D2195" s="18" t="s">
        <v>2288</v>
      </c>
      <c r="E2195" s="18" t="s">
        <v>2263</v>
      </c>
      <c r="F2195" s="17">
        <v>6</v>
      </c>
      <c r="G2195" s="18" t="s">
        <v>23</v>
      </c>
      <c r="H2195" s="17">
        <v>75.900000000000006</v>
      </c>
      <c r="I2195" s="8">
        <v>75.900000000000006</v>
      </c>
      <c r="J2195" s="21">
        <f t="shared" si="102"/>
        <v>0</v>
      </c>
      <c r="K2195" s="1">
        <v>2</v>
      </c>
      <c r="L2195" s="24">
        <v>5.3</v>
      </c>
      <c r="M2195" s="24">
        <v>70.587000000000003</v>
      </c>
      <c r="N2195" s="21">
        <f t="shared" si="103"/>
        <v>-7.0000000000000021E-2</v>
      </c>
      <c r="P2195" s="1">
        <v>4</v>
      </c>
      <c r="Q2195" s="24">
        <v>9.1080000000000041</v>
      </c>
      <c r="R2195" s="24">
        <v>66.792000000000002</v>
      </c>
      <c r="S2195" s="21">
        <f t="shared" si="104"/>
        <v>-0.12000000000000005</v>
      </c>
    </row>
    <row r="2196" spans="2:19" ht="11.4" customHeight="1" x14ac:dyDescent="0.2">
      <c r="B2196" s="24"/>
      <c r="C2196" s="7">
        <v>29790</v>
      </c>
      <c r="D2196" s="18" t="s">
        <v>2289</v>
      </c>
      <c r="E2196" s="18" t="s">
        <v>2263</v>
      </c>
      <c r="F2196" s="17">
        <v>6</v>
      </c>
      <c r="G2196" s="18" t="s">
        <v>23</v>
      </c>
      <c r="H2196" s="17">
        <v>69.900000000000006</v>
      </c>
      <c r="I2196" s="8">
        <v>69.900000000000006</v>
      </c>
      <c r="J2196" s="21">
        <f t="shared" si="102"/>
        <v>0</v>
      </c>
      <c r="K2196" s="1">
        <v>2</v>
      </c>
      <c r="L2196" s="24">
        <v>4.8</v>
      </c>
      <c r="M2196" s="24">
        <v>65.007000000000005</v>
      </c>
      <c r="N2196" s="21">
        <f t="shared" si="103"/>
        <v>-7.0000000000000007E-2</v>
      </c>
      <c r="P2196" s="1">
        <v>4</v>
      </c>
      <c r="Q2196" s="24">
        <v>8.3879999999999981</v>
      </c>
      <c r="R2196" s="24">
        <v>61.512000000000008</v>
      </c>
      <c r="S2196" s="21">
        <f t="shared" si="104"/>
        <v>-0.11999999999999997</v>
      </c>
    </row>
    <row r="2197" spans="2:19" ht="11.4" customHeight="1" x14ac:dyDescent="0.2">
      <c r="B2197" s="24"/>
      <c r="C2197" s="7">
        <v>38590</v>
      </c>
      <c r="D2197" s="18" t="s">
        <v>2290</v>
      </c>
      <c r="E2197" s="18" t="s">
        <v>2263</v>
      </c>
      <c r="F2197" s="17">
        <v>6</v>
      </c>
      <c r="G2197" s="18" t="s">
        <v>23</v>
      </c>
      <c r="H2197" s="17">
        <v>69.900000000000006</v>
      </c>
      <c r="I2197" s="8">
        <v>69.900000000000006</v>
      </c>
      <c r="J2197" s="21">
        <f t="shared" si="102"/>
        <v>0</v>
      </c>
      <c r="K2197" s="1">
        <v>2</v>
      </c>
      <c r="L2197" s="24">
        <v>4.8</v>
      </c>
      <c r="M2197" s="24">
        <v>65.007000000000005</v>
      </c>
      <c r="N2197" s="21">
        <f t="shared" si="103"/>
        <v>-7.0000000000000007E-2</v>
      </c>
      <c r="P2197" s="1">
        <v>4</v>
      </c>
      <c r="Q2197" s="24">
        <v>8.3879999999999981</v>
      </c>
      <c r="R2197" s="24">
        <v>61.512000000000008</v>
      </c>
      <c r="S2197" s="21">
        <f t="shared" si="104"/>
        <v>-0.11999999999999997</v>
      </c>
    </row>
    <row r="2198" spans="2:19" ht="11.4" customHeight="1" x14ac:dyDescent="0.2">
      <c r="B2198" s="24"/>
      <c r="C2198" s="7">
        <v>38596</v>
      </c>
      <c r="D2198" s="18" t="s">
        <v>2291</v>
      </c>
      <c r="E2198" s="18" t="s">
        <v>2263</v>
      </c>
      <c r="F2198" s="17">
        <v>6</v>
      </c>
      <c r="G2198" s="18" t="s">
        <v>23</v>
      </c>
      <c r="H2198" s="17">
        <v>75.900000000000006</v>
      </c>
      <c r="I2198" s="8">
        <v>75.900000000000006</v>
      </c>
      <c r="J2198" s="21">
        <f t="shared" si="102"/>
        <v>0</v>
      </c>
      <c r="K2198" s="1">
        <v>2</v>
      </c>
      <c r="L2198" s="24">
        <v>5.3</v>
      </c>
      <c r="M2198" s="24">
        <v>70.587000000000003</v>
      </c>
      <c r="N2198" s="21">
        <f t="shared" si="103"/>
        <v>-7.0000000000000021E-2</v>
      </c>
      <c r="P2198" s="1">
        <v>4</v>
      </c>
      <c r="Q2198" s="24">
        <v>9.1080000000000041</v>
      </c>
      <c r="R2198" s="24">
        <v>66.792000000000002</v>
      </c>
      <c r="S2198" s="21">
        <f t="shared" si="104"/>
        <v>-0.12000000000000005</v>
      </c>
    </row>
    <row r="2199" spans="2:19" ht="11.4" customHeight="1" x14ac:dyDescent="0.2">
      <c r="B2199" s="24"/>
      <c r="C2199" s="7">
        <v>38591</v>
      </c>
      <c r="D2199" s="18" t="s">
        <v>2292</v>
      </c>
      <c r="E2199" s="18" t="s">
        <v>2263</v>
      </c>
      <c r="F2199" s="17">
        <v>6</v>
      </c>
      <c r="G2199" s="18" t="s">
        <v>23</v>
      </c>
      <c r="H2199" s="17">
        <v>69.900000000000006</v>
      </c>
      <c r="I2199" s="8">
        <v>69.900000000000006</v>
      </c>
      <c r="J2199" s="21">
        <f t="shared" si="102"/>
        <v>0</v>
      </c>
      <c r="K2199" s="1">
        <v>2</v>
      </c>
      <c r="L2199" s="24">
        <v>4.8</v>
      </c>
      <c r="M2199" s="24">
        <v>65.007000000000005</v>
      </c>
      <c r="N2199" s="21">
        <f t="shared" si="103"/>
        <v>-7.0000000000000007E-2</v>
      </c>
      <c r="P2199" s="1">
        <v>4</v>
      </c>
      <c r="Q2199" s="24">
        <v>8.3879999999999981</v>
      </c>
      <c r="R2199" s="24">
        <v>61.512000000000008</v>
      </c>
      <c r="S2199" s="21">
        <f t="shared" si="104"/>
        <v>-0.11999999999999997</v>
      </c>
    </row>
    <row r="2200" spans="2:19" ht="11.4" customHeight="1" x14ac:dyDescent="0.2">
      <c r="B2200" s="24"/>
      <c r="C2200" s="7">
        <v>44480</v>
      </c>
      <c r="D2200" s="18" t="s">
        <v>2293</v>
      </c>
      <c r="E2200" s="18" t="s">
        <v>2263</v>
      </c>
      <c r="F2200" s="17">
        <v>12</v>
      </c>
      <c r="G2200" s="18" t="s">
        <v>23</v>
      </c>
      <c r="H2200" s="17">
        <v>191.76</v>
      </c>
      <c r="I2200" s="8">
        <v>268.5</v>
      </c>
      <c r="J2200" s="21">
        <f t="shared" si="102"/>
        <v>0.40018773466833546</v>
      </c>
      <c r="K2200" s="1">
        <v>2</v>
      </c>
      <c r="L2200" s="24">
        <v>18.7</v>
      </c>
      <c r="M2200" s="24">
        <v>249.70500000000001</v>
      </c>
      <c r="N2200" s="21">
        <f t="shared" si="103"/>
        <v>0.30217459324155205</v>
      </c>
      <c r="P2200" s="1">
        <v>4</v>
      </c>
      <c r="Q2200" s="24">
        <v>32.22</v>
      </c>
      <c r="R2200" s="24">
        <v>236.28</v>
      </c>
      <c r="S2200" s="21">
        <f t="shared" si="104"/>
        <v>0.23216520650813524</v>
      </c>
    </row>
    <row r="2201" spans="2:19" ht="11.4" customHeight="1" x14ac:dyDescent="0.2">
      <c r="B2201" s="24"/>
      <c r="C2201" s="7">
        <v>44479</v>
      </c>
      <c r="D2201" s="18" t="s">
        <v>2294</v>
      </c>
      <c r="E2201" s="18" t="s">
        <v>2263</v>
      </c>
      <c r="F2201" s="17">
        <v>48</v>
      </c>
      <c r="G2201" s="18" t="s">
        <v>23</v>
      </c>
      <c r="H2201" s="17">
        <v>94.14</v>
      </c>
      <c r="I2201" s="8">
        <v>131.9</v>
      </c>
      <c r="J2201" s="21">
        <f t="shared" si="102"/>
        <v>0.40110473762481413</v>
      </c>
      <c r="K2201" s="1">
        <v>2</v>
      </c>
      <c r="L2201" s="24">
        <v>9.1999999999999993</v>
      </c>
      <c r="M2201" s="24">
        <v>122.66700000000002</v>
      </c>
      <c r="N2201" s="21">
        <f t="shared" si="103"/>
        <v>0.3030274059910773</v>
      </c>
      <c r="P2201" s="1">
        <v>4</v>
      </c>
      <c r="Q2201" s="24">
        <v>15.828000000000003</v>
      </c>
      <c r="R2201" s="24">
        <v>116.072</v>
      </c>
      <c r="S2201" s="21">
        <f t="shared" si="104"/>
        <v>0.23297216910983642</v>
      </c>
    </row>
    <row r="2202" spans="2:19" ht="11.4" customHeight="1" x14ac:dyDescent="0.2">
      <c r="B2202" s="24"/>
      <c r="C2202" s="7">
        <v>42088</v>
      </c>
      <c r="D2202" s="18" t="s">
        <v>2295</v>
      </c>
      <c r="E2202" s="18" t="s">
        <v>2263</v>
      </c>
      <c r="F2202" s="17">
        <v>24</v>
      </c>
      <c r="G2202" s="18" t="s">
        <v>23</v>
      </c>
      <c r="H2202" s="17">
        <v>124.2</v>
      </c>
      <c r="I2202" s="8">
        <v>180</v>
      </c>
      <c r="J2202" s="21">
        <f t="shared" si="102"/>
        <v>0.44927536231884052</v>
      </c>
      <c r="K2202" s="1">
        <v>2</v>
      </c>
      <c r="L2202" s="24">
        <v>12.6</v>
      </c>
      <c r="M2202" s="24">
        <v>167.4</v>
      </c>
      <c r="N2202" s="21">
        <f t="shared" si="103"/>
        <v>0.34782608695652173</v>
      </c>
      <c r="P2202" s="1">
        <v>4</v>
      </c>
      <c r="Q2202" s="24">
        <v>21.599999999999994</v>
      </c>
      <c r="R2202" s="24">
        <v>158.4</v>
      </c>
      <c r="S2202" s="21">
        <f t="shared" si="104"/>
        <v>0.27536231884057971</v>
      </c>
    </row>
    <row r="2203" spans="2:19" ht="11.4" customHeight="1" x14ac:dyDescent="0.2">
      <c r="B2203" s="24"/>
      <c r="C2203" s="7">
        <v>38592</v>
      </c>
      <c r="D2203" s="18" t="s">
        <v>2296</v>
      </c>
      <c r="E2203" s="18" t="s">
        <v>2263</v>
      </c>
      <c r="F2203" s="17">
        <v>6</v>
      </c>
      <c r="G2203" s="18" t="s">
        <v>23</v>
      </c>
      <c r="H2203" s="17">
        <v>139.9</v>
      </c>
      <c r="I2203" s="8">
        <v>139.9</v>
      </c>
      <c r="J2203" s="21">
        <f t="shared" si="102"/>
        <v>0</v>
      </c>
      <c r="K2203" s="1">
        <v>2</v>
      </c>
      <c r="L2203" s="24">
        <v>9.6999999999999993</v>
      </c>
      <c r="M2203" s="24">
        <v>130.107</v>
      </c>
      <c r="N2203" s="21">
        <f t="shared" si="103"/>
        <v>-7.0000000000000048E-2</v>
      </c>
      <c r="P2203" s="1">
        <v>4</v>
      </c>
      <c r="Q2203" s="24">
        <v>16.787999999999997</v>
      </c>
      <c r="R2203" s="24">
        <v>123.11200000000001</v>
      </c>
      <c r="S2203" s="21">
        <f t="shared" si="104"/>
        <v>-0.11999999999999997</v>
      </c>
    </row>
    <row r="2204" spans="2:19" ht="11.4" customHeight="1" x14ac:dyDescent="0.2">
      <c r="B2204" s="24"/>
      <c r="C2204" s="7">
        <v>38603</v>
      </c>
      <c r="D2204" s="18" t="s">
        <v>2297</v>
      </c>
      <c r="E2204" s="18" t="s">
        <v>2263</v>
      </c>
      <c r="F2204" s="17">
        <v>6</v>
      </c>
      <c r="G2204" s="18" t="s">
        <v>23</v>
      </c>
      <c r="H2204" s="17">
        <v>109</v>
      </c>
      <c r="I2204" s="8">
        <v>109</v>
      </c>
      <c r="J2204" s="21">
        <f t="shared" si="102"/>
        <v>0</v>
      </c>
      <c r="K2204" s="1">
        <v>2</v>
      </c>
      <c r="L2204" s="24">
        <v>7.6</v>
      </c>
      <c r="M2204" s="24">
        <v>101.37</v>
      </c>
      <c r="N2204" s="21">
        <f t="shared" si="103"/>
        <v>-6.9999999999999965E-2</v>
      </c>
      <c r="P2204" s="1">
        <v>4</v>
      </c>
      <c r="Q2204" s="24">
        <v>13.079999999999998</v>
      </c>
      <c r="R2204" s="24">
        <v>95.92</v>
      </c>
      <c r="S2204" s="21">
        <f t="shared" si="104"/>
        <v>-0.11999999999999998</v>
      </c>
    </row>
    <row r="2205" spans="2:19" ht="11.4" customHeight="1" x14ac:dyDescent="0.2">
      <c r="B2205" s="24"/>
      <c r="C2205" s="7">
        <v>38585</v>
      </c>
      <c r="D2205" s="18" t="s">
        <v>2298</v>
      </c>
      <c r="E2205" s="18" t="s">
        <v>2263</v>
      </c>
      <c r="F2205" s="17">
        <v>6</v>
      </c>
      <c r="G2205" s="18" t="s">
        <v>23</v>
      </c>
      <c r="H2205" s="17">
        <v>135.9</v>
      </c>
      <c r="I2205" s="8">
        <v>169.5</v>
      </c>
      <c r="J2205" s="21">
        <f t="shared" si="102"/>
        <v>0.24724061810154521</v>
      </c>
      <c r="K2205" s="1">
        <v>2</v>
      </c>
      <c r="L2205" s="24">
        <v>11.8</v>
      </c>
      <c r="M2205" s="24">
        <v>157.63500000000002</v>
      </c>
      <c r="N2205" s="21">
        <f t="shared" si="103"/>
        <v>0.15993377483443719</v>
      </c>
      <c r="P2205" s="1">
        <v>4</v>
      </c>
      <c r="Q2205" s="24">
        <v>20.340000000000003</v>
      </c>
      <c r="R2205" s="24">
        <v>149.16</v>
      </c>
      <c r="S2205" s="21">
        <f t="shared" si="104"/>
        <v>9.7571743929359758E-2</v>
      </c>
    </row>
    <row r="2206" spans="2:19" ht="11.4" customHeight="1" x14ac:dyDescent="0.2">
      <c r="B2206" s="24"/>
      <c r="C2206" s="7">
        <v>44271</v>
      </c>
      <c r="D2206" s="18" t="s">
        <v>2299</v>
      </c>
      <c r="E2206" s="18" t="s">
        <v>2263</v>
      </c>
      <c r="F2206" s="17">
        <v>12</v>
      </c>
      <c r="G2206" s="18" t="s">
        <v>23</v>
      </c>
      <c r="H2206" s="17">
        <v>112.98</v>
      </c>
      <c r="I2206" s="8">
        <v>165.9</v>
      </c>
      <c r="J2206" s="21">
        <f t="shared" si="102"/>
        <v>0.46840148698884759</v>
      </c>
      <c r="K2206" s="1">
        <v>2</v>
      </c>
      <c r="L2206" s="24">
        <v>11.6</v>
      </c>
      <c r="M2206" s="24">
        <v>154.28700000000001</v>
      </c>
      <c r="N2206" s="21">
        <f t="shared" si="103"/>
        <v>0.36561338289962825</v>
      </c>
      <c r="P2206" s="1">
        <v>4</v>
      </c>
      <c r="Q2206" s="24">
        <v>19.907999999999987</v>
      </c>
      <c r="R2206" s="24">
        <v>145.99200000000002</v>
      </c>
      <c r="S2206" s="21">
        <f t="shared" si="104"/>
        <v>0.29219330855018599</v>
      </c>
    </row>
    <row r="2207" spans="2:19" ht="11.4" customHeight="1" x14ac:dyDescent="0.2">
      <c r="B2207" s="24"/>
      <c r="C2207" s="7">
        <v>44273</v>
      </c>
      <c r="D2207" s="18" t="s">
        <v>2300</v>
      </c>
      <c r="E2207" s="18" t="s">
        <v>2263</v>
      </c>
      <c r="F2207" s="17">
        <v>12</v>
      </c>
      <c r="G2207" s="18" t="s">
        <v>23</v>
      </c>
      <c r="H2207" s="17">
        <v>103.98</v>
      </c>
      <c r="I2207" s="8">
        <v>156.9</v>
      </c>
      <c r="J2207" s="21">
        <f t="shared" si="102"/>
        <v>0.50894402769763414</v>
      </c>
      <c r="K2207" s="1">
        <v>2</v>
      </c>
      <c r="L2207" s="24">
        <v>10.9</v>
      </c>
      <c r="M2207" s="24">
        <v>145.917</v>
      </c>
      <c r="N2207" s="21">
        <f t="shared" si="103"/>
        <v>0.40331794575879976</v>
      </c>
      <c r="P2207" s="1">
        <v>4</v>
      </c>
      <c r="Q2207" s="24">
        <v>18.828000000000003</v>
      </c>
      <c r="R2207" s="24">
        <v>138.072</v>
      </c>
      <c r="S2207" s="21">
        <f t="shared" si="104"/>
        <v>0.32787074437391805</v>
      </c>
    </row>
    <row r="2208" spans="2:19" ht="11.4" customHeight="1" x14ac:dyDescent="0.2">
      <c r="B2208" s="24"/>
      <c r="C2208" s="7">
        <v>39267</v>
      </c>
      <c r="D2208" s="18" t="s">
        <v>2301</v>
      </c>
      <c r="E2208" s="18" t="s">
        <v>2302</v>
      </c>
      <c r="F2208" s="17">
        <v>12</v>
      </c>
      <c r="G2208" s="18" t="s">
        <v>23</v>
      </c>
      <c r="H2208" s="17">
        <v>69.900000000000006</v>
      </c>
      <c r="I2208" s="8">
        <v>79.900000000000006</v>
      </c>
      <c r="J2208" s="21">
        <f t="shared" si="102"/>
        <v>0.14306151645207438</v>
      </c>
      <c r="K2208" s="1">
        <v>2</v>
      </c>
      <c r="L2208" s="24">
        <v>5.5</v>
      </c>
      <c r="M2208" s="24">
        <v>74.307000000000002</v>
      </c>
      <c r="N2208" s="21">
        <f t="shared" si="103"/>
        <v>6.3047210300429132E-2</v>
      </c>
      <c r="P2208" s="1">
        <v>4</v>
      </c>
      <c r="Q2208" s="24">
        <v>9.5879999999999939</v>
      </c>
      <c r="R2208" s="24">
        <v>70.312000000000012</v>
      </c>
      <c r="S2208" s="21">
        <f t="shared" si="104"/>
        <v>5.8941344778255522E-3</v>
      </c>
    </row>
    <row r="2209" spans="2:19" ht="11.4" customHeight="1" x14ac:dyDescent="0.2">
      <c r="B2209" s="24"/>
      <c r="C2209" s="7">
        <v>41054</v>
      </c>
      <c r="D2209" s="18" t="s">
        <v>2303</v>
      </c>
      <c r="E2209" s="18" t="s">
        <v>2302</v>
      </c>
      <c r="F2209" s="17">
        <v>12</v>
      </c>
      <c r="G2209" s="18" t="s">
        <v>23</v>
      </c>
      <c r="H2209" s="17">
        <v>101.25</v>
      </c>
      <c r="I2209" s="8">
        <v>199.5</v>
      </c>
      <c r="J2209" s="21">
        <f t="shared" si="102"/>
        <v>0.97037037037037033</v>
      </c>
      <c r="K2209" s="1">
        <v>2</v>
      </c>
      <c r="L2209" s="24">
        <v>13.9</v>
      </c>
      <c r="M2209" s="24">
        <v>185.535</v>
      </c>
      <c r="N2209" s="21">
        <f t="shared" si="103"/>
        <v>0.83244444444444443</v>
      </c>
      <c r="P2209" s="1">
        <v>4</v>
      </c>
      <c r="Q2209" s="24">
        <v>23.939999999999998</v>
      </c>
      <c r="R2209" s="24">
        <v>175.56</v>
      </c>
      <c r="S2209" s="21">
        <f t="shared" si="104"/>
        <v>0.73392592592592598</v>
      </c>
    </row>
    <row r="2210" spans="2:19" ht="11.4" customHeight="1" x14ac:dyDescent="0.2">
      <c r="B2210" s="24"/>
      <c r="C2210" s="7">
        <v>39266</v>
      </c>
      <c r="D2210" s="18" t="s">
        <v>2304</v>
      </c>
      <c r="E2210" s="18" t="s">
        <v>2302</v>
      </c>
      <c r="F2210" s="17">
        <v>12</v>
      </c>
      <c r="G2210" s="18" t="s">
        <v>23</v>
      </c>
      <c r="H2210" s="17">
        <v>69.900000000000006</v>
      </c>
      <c r="I2210" s="8">
        <v>86.9</v>
      </c>
      <c r="J2210" s="21">
        <f t="shared" si="102"/>
        <v>0.24320457796852646</v>
      </c>
      <c r="K2210" s="1">
        <v>2</v>
      </c>
      <c r="L2210" s="24">
        <v>6</v>
      </c>
      <c r="M2210" s="24">
        <v>80.817000000000007</v>
      </c>
      <c r="N2210" s="21">
        <f t="shared" si="103"/>
        <v>0.15618025751072961</v>
      </c>
      <c r="P2210" s="1">
        <v>4</v>
      </c>
      <c r="Q2210" s="24">
        <v>10.427999999999997</v>
      </c>
      <c r="R2210" s="24">
        <v>76.472000000000008</v>
      </c>
      <c r="S2210" s="21">
        <f t="shared" si="104"/>
        <v>9.4020028612303325E-2</v>
      </c>
    </row>
    <row r="2211" spans="2:19" ht="11.4" customHeight="1" x14ac:dyDescent="0.2">
      <c r="B2211" s="24"/>
      <c r="C2211" s="7">
        <v>39268</v>
      </c>
      <c r="D2211" s="18" t="s">
        <v>2305</v>
      </c>
      <c r="E2211" s="18" t="s">
        <v>2302</v>
      </c>
      <c r="F2211" s="17">
        <v>12</v>
      </c>
      <c r="G2211" s="18" t="s">
        <v>23</v>
      </c>
      <c r="H2211" s="17">
        <v>84.5</v>
      </c>
      <c r="I2211" s="8">
        <v>98.9</v>
      </c>
      <c r="J2211" s="21">
        <f t="shared" si="102"/>
        <v>0.17041420118343201</v>
      </c>
      <c r="K2211" s="1">
        <v>2</v>
      </c>
      <c r="L2211" s="24">
        <v>6.9</v>
      </c>
      <c r="M2211" s="24">
        <v>91.977000000000004</v>
      </c>
      <c r="N2211" s="21">
        <f t="shared" si="103"/>
        <v>8.8485207100591767E-2</v>
      </c>
      <c r="P2211" s="1">
        <v>4</v>
      </c>
      <c r="Q2211" s="24">
        <v>11.867999999999995</v>
      </c>
      <c r="R2211" s="24">
        <v>87.032000000000011</v>
      </c>
      <c r="S2211" s="21">
        <f t="shared" si="104"/>
        <v>2.9964497041420245E-2</v>
      </c>
    </row>
    <row r="2212" spans="2:19" ht="11.4" customHeight="1" x14ac:dyDescent="0.2">
      <c r="B2212" s="24"/>
      <c r="C2212" s="7">
        <v>40144</v>
      </c>
      <c r="D2212" s="18" t="s">
        <v>2306</v>
      </c>
      <c r="E2212" s="18" t="s">
        <v>2302</v>
      </c>
      <c r="F2212" s="17">
        <v>12</v>
      </c>
      <c r="G2212" s="18" t="s">
        <v>23</v>
      </c>
      <c r="H2212" s="17">
        <v>57.12</v>
      </c>
      <c r="I2212" s="8">
        <v>103.9</v>
      </c>
      <c r="J2212" s="21">
        <f t="shared" si="102"/>
        <v>0.81897759103641476</v>
      </c>
      <c r="K2212" s="1">
        <v>2</v>
      </c>
      <c r="L2212" s="24">
        <v>7.2</v>
      </c>
      <c r="M2212" s="24">
        <v>96.62700000000001</v>
      </c>
      <c r="N2212" s="21">
        <f t="shared" si="103"/>
        <v>0.69164915966386575</v>
      </c>
      <c r="P2212" s="1">
        <v>4</v>
      </c>
      <c r="Q2212" s="24">
        <v>12.468000000000004</v>
      </c>
      <c r="R2212" s="24">
        <v>91.432000000000002</v>
      </c>
      <c r="S2212" s="21">
        <f t="shared" si="104"/>
        <v>0.6007002801120449</v>
      </c>
    </row>
    <row r="2213" spans="2:19" ht="11.4" customHeight="1" x14ac:dyDescent="0.2">
      <c r="B2213" s="24"/>
      <c r="C2213" s="7">
        <v>40145</v>
      </c>
      <c r="D2213" s="18" t="s">
        <v>2307</v>
      </c>
      <c r="E2213" s="18" t="s">
        <v>2302</v>
      </c>
      <c r="F2213" s="17">
        <v>9</v>
      </c>
      <c r="G2213" s="18" t="s">
        <v>23</v>
      </c>
      <c r="H2213" s="17">
        <v>79.2</v>
      </c>
      <c r="I2213" s="8">
        <v>125.5</v>
      </c>
      <c r="J2213" s="21">
        <f t="shared" si="102"/>
        <v>0.58459595959595956</v>
      </c>
      <c r="K2213" s="1">
        <v>2</v>
      </c>
      <c r="L2213" s="24">
        <v>8.6999999999999993</v>
      </c>
      <c r="M2213" s="24">
        <v>116.715</v>
      </c>
      <c r="N2213" s="21">
        <f t="shared" si="103"/>
        <v>0.47367424242424244</v>
      </c>
      <c r="P2213" s="1">
        <v>4</v>
      </c>
      <c r="Q2213" s="24">
        <v>15.060000000000002</v>
      </c>
      <c r="R2213" s="24">
        <v>110.44</v>
      </c>
      <c r="S2213" s="21">
        <f t="shared" si="104"/>
        <v>0.39444444444444438</v>
      </c>
    </row>
    <row r="2214" spans="2:19" ht="11.4" customHeight="1" x14ac:dyDescent="0.2">
      <c r="B2214" s="24"/>
      <c r="C2214" s="7">
        <v>38412</v>
      </c>
      <c r="D2214" s="18" t="s">
        <v>2308</v>
      </c>
      <c r="E2214" s="18" t="s">
        <v>2302</v>
      </c>
      <c r="F2214" s="17">
        <v>12</v>
      </c>
      <c r="G2214" s="18" t="s">
        <v>23</v>
      </c>
      <c r="H2214" s="17">
        <v>69.900000000000006</v>
      </c>
      <c r="I2214" s="8">
        <v>78.7</v>
      </c>
      <c r="J2214" s="21">
        <f t="shared" si="102"/>
        <v>0.12589413447782541</v>
      </c>
      <c r="K2214" s="1">
        <v>2</v>
      </c>
      <c r="L2214" s="24">
        <v>5.5</v>
      </c>
      <c r="M2214" s="24">
        <v>73.191000000000003</v>
      </c>
      <c r="N2214" s="21">
        <f t="shared" si="103"/>
        <v>4.7081545064377631E-2</v>
      </c>
      <c r="P2214" s="1">
        <v>4</v>
      </c>
      <c r="Q2214" s="24">
        <v>9.4440000000000026</v>
      </c>
      <c r="R2214" s="24">
        <v>69.256</v>
      </c>
      <c r="S2214" s="21">
        <f t="shared" si="104"/>
        <v>-9.2131616595136686E-3</v>
      </c>
    </row>
    <row r="2215" spans="2:19" ht="11.4" customHeight="1" x14ac:dyDescent="0.2">
      <c r="B2215" s="24"/>
      <c r="C2215" s="7">
        <v>40146</v>
      </c>
      <c r="D2215" s="18" t="s">
        <v>2309</v>
      </c>
      <c r="E2215" s="18" t="s">
        <v>2302</v>
      </c>
      <c r="F2215" s="17">
        <v>9</v>
      </c>
      <c r="G2215" s="18" t="s">
        <v>23</v>
      </c>
      <c r="H2215" s="17">
        <v>71.400000000000006</v>
      </c>
      <c r="I2215" s="8">
        <v>112.9</v>
      </c>
      <c r="J2215" s="21">
        <f t="shared" si="102"/>
        <v>0.58123249299719881</v>
      </c>
      <c r="K2215" s="1">
        <v>2</v>
      </c>
      <c r="L2215" s="24">
        <v>7.9</v>
      </c>
      <c r="M2215" s="24">
        <v>104.99700000000001</v>
      </c>
      <c r="N2215" s="21">
        <f t="shared" si="103"/>
        <v>0.47054621848739503</v>
      </c>
      <c r="P2215" s="1">
        <v>4</v>
      </c>
      <c r="Q2215" s="24">
        <v>13.548000000000002</v>
      </c>
      <c r="R2215" s="24">
        <v>99.352000000000004</v>
      </c>
      <c r="S2215" s="21">
        <f t="shared" si="104"/>
        <v>0.39148459383753498</v>
      </c>
    </row>
    <row r="2216" spans="2:19" ht="11.4" customHeight="1" x14ac:dyDescent="0.2">
      <c r="B2216" s="24"/>
      <c r="C2216" s="7">
        <v>24809</v>
      </c>
      <c r="D2216" s="18" t="s">
        <v>2310</v>
      </c>
      <c r="E2216" s="18" t="s">
        <v>2302</v>
      </c>
      <c r="F2216" s="17">
        <v>12</v>
      </c>
      <c r="G2216" s="18" t="s">
        <v>23</v>
      </c>
      <c r="H2216" s="17">
        <v>59.9</v>
      </c>
      <c r="I2216" s="8">
        <v>78.7</v>
      </c>
      <c r="J2216" s="21">
        <f t="shared" si="102"/>
        <v>0.31385642737896502</v>
      </c>
      <c r="K2216" s="1">
        <v>2</v>
      </c>
      <c r="L2216" s="24">
        <v>5.5</v>
      </c>
      <c r="M2216" s="24">
        <v>73.191000000000003</v>
      </c>
      <c r="N2216" s="21">
        <f t="shared" si="103"/>
        <v>0.22188647746243748</v>
      </c>
      <c r="P2216" s="1">
        <v>4</v>
      </c>
      <c r="Q2216" s="24">
        <v>9.4440000000000026</v>
      </c>
      <c r="R2216" s="24">
        <v>69.256</v>
      </c>
      <c r="S2216" s="21">
        <f t="shared" si="104"/>
        <v>0.15619365609348917</v>
      </c>
    </row>
    <row r="2217" spans="2:19" ht="11.4" customHeight="1" x14ac:dyDescent="0.2">
      <c r="B2217" s="24"/>
      <c r="C2217" s="7">
        <v>8730</v>
      </c>
      <c r="D2217" s="18" t="s">
        <v>2311</v>
      </c>
      <c r="E2217" s="18" t="s">
        <v>2302</v>
      </c>
      <c r="F2217" s="18"/>
      <c r="G2217" s="18" t="s">
        <v>23</v>
      </c>
      <c r="H2217" s="17">
        <v>63.5</v>
      </c>
      <c r="I2217" s="8">
        <v>89.9</v>
      </c>
      <c r="J2217" s="21">
        <f t="shared" si="102"/>
        <v>0.4157480314960631</v>
      </c>
      <c r="K2217" s="1">
        <v>2</v>
      </c>
      <c r="L2217" s="24">
        <v>6.2</v>
      </c>
      <c r="M2217" s="24">
        <v>83.607000000000014</v>
      </c>
      <c r="N2217" s="21">
        <f t="shared" si="103"/>
        <v>0.3166456692913388</v>
      </c>
      <c r="P2217" s="1">
        <v>4</v>
      </c>
      <c r="Q2217" s="24">
        <v>10.787999999999997</v>
      </c>
      <c r="R2217" s="24">
        <v>79.112000000000009</v>
      </c>
      <c r="S2217" s="21">
        <f t="shared" si="104"/>
        <v>0.24585826771653557</v>
      </c>
    </row>
    <row r="2218" spans="2:19" ht="11.4" customHeight="1" x14ac:dyDescent="0.2">
      <c r="B2218" s="24"/>
      <c r="C2218" s="7">
        <v>38423</v>
      </c>
      <c r="D2218" s="18" t="s">
        <v>2312</v>
      </c>
      <c r="E2218" s="18" t="s">
        <v>2302</v>
      </c>
      <c r="F2218" s="17">
        <v>12</v>
      </c>
      <c r="G2218" s="18" t="s">
        <v>23</v>
      </c>
      <c r="H2218" s="17">
        <v>69.5</v>
      </c>
      <c r="I2218" s="8">
        <v>69.5</v>
      </c>
      <c r="J2218" s="21">
        <f t="shared" si="102"/>
        <v>0</v>
      </c>
      <c r="K2218" s="1">
        <v>2</v>
      </c>
      <c r="L2218" s="24">
        <v>4.8</v>
      </c>
      <c r="M2218" s="24">
        <v>64.635000000000005</v>
      </c>
      <c r="N2218" s="21">
        <f t="shared" si="103"/>
        <v>-6.9999999999999923E-2</v>
      </c>
      <c r="P2218" s="1">
        <v>4</v>
      </c>
      <c r="Q2218" s="24">
        <v>8.3399999999999963</v>
      </c>
      <c r="R2218" s="24">
        <v>61.160000000000004</v>
      </c>
      <c r="S2218" s="21">
        <f t="shared" si="104"/>
        <v>-0.11999999999999994</v>
      </c>
    </row>
    <row r="2219" spans="2:19" ht="11.4" customHeight="1" x14ac:dyDescent="0.2">
      <c r="B2219" s="24"/>
      <c r="C2219" s="7">
        <v>44620</v>
      </c>
      <c r="D2219" s="18" t="s">
        <v>2313</v>
      </c>
      <c r="E2219" s="18" t="s">
        <v>2302</v>
      </c>
      <c r="F2219" s="17">
        <v>8</v>
      </c>
      <c r="G2219" s="18" t="s">
        <v>23</v>
      </c>
      <c r="H2219" s="17">
        <v>68.31</v>
      </c>
      <c r="I2219" s="8">
        <v>109.5</v>
      </c>
      <c r="J2219" s="21">
        <f t="shared" si="102"/>
        <v>0.60298638559508122</v>
      </c>
      <c r="K2219" s="1">
        <v>2</v>
      </c>
      <c r="L2219" s="24">
        <v>7.6</v>
      </c>
      <c r="M2219" s="24">
        <v>101.83500000000001</v>
      </c>
      <c r="N2219" s="21">
        <f t="shared" si="103"/>
        <v>0.49077733860342565</v>
      </c>
      <c r="P2219" s="1">
        <v>4</v>
      </c>
      <c r="Q2219" s="24">
        <v>13.14</v>
      </c>
      <c r="R2219" s="24">
        <v>96.36</v>
      </c>
      <c r="S2219" s="21">
        <f t="shared" si="104"/>
        <v>0.41062801932367143</v>
      </c>
    </row>
    <row r="2220" spans="2:19" ht="11.4" customHeight="1" x14ac:dyDescent="0.2">
      <c r="B2220" s="24"/>
      <c r="C2220" s="7">
        <v>38388</v>
      </c>
      <c r="D2220" s="18" t="s">
        <v>2314</v>
      </c>
      <c r="E2220" s="18" t="s">
        <v>2302</v>
      </c>
      <c r="F2220" s="17">
        <v>10</v>
      </c>
      <c r="G2220" s="18" t="s">
        <v>23</v>
      </c>
      <c r="H2220" s="17">
        <v>59.9</v>
      </c>
      <c r="I2220" s="8">
        <v>59.9</v>
      </c>
      <c r="J2220" s="21">
        <f t="shared" si="102"/>
        <v>0</v>
      </c>
      <c r="K2220" s="1">
        <v>2</v>
      </c>
      <c r="L2220" s="24">
        <v>4.0999999999999996</v>
      </c>
      <c r="M2220" s="24">
        <v>55.707000000000001</v>
      </c>
      <c r="N2220" s="21">
        <f t="shared" si="103"/>
        <v>-6.9999999999999965E-2</v>
      </c>
      <c r="P2220" s="1">
        <v>4</v>
      </c>
      <c r="Q2220" s="24">
        <v>7.1880000000000024</v>
      </c>
      <c r="R2220" s="24">
        <v>52.711999999999996</v>
      </c>
      <c r="S2220" s="21">
        <f t="shared" si="104"/>
        <v>-0.12000000000000004</v>
      </c>
    </row>
    <row r="2221" spans="2:19" ht="11.4" customHeight="1" x14ac:dyDescent="0.2">
      <c r="B2221" s="24"/>
      <c r="C2221" s="7">
        <v>37646</v>
      </c>
      <c r="D2221" s="18" t="s">
        <v>2315</v>
      </c>
      <c r="E2221" s="18" t="s">
        <v>2302</v>
      </c>
      <c r="F2221" s="17">
        <v>12</v>
      </c>
      <c r="G2221" s="18" t="s">
        <v>23</v>
      </c>
      <c r="H2221" s="17">
        <v>79.5</v>
      </c>
      <c r="I2221" s="8">
        <v>79.5</v>
      </c>
      <c r="J2221" s="21">
        <f t="shared" si="102"/>
        <v>0</v>
      </c>
      <c r="K2221" s="1">
        <v>2</v>
      </c>
      <c r="L2221" s="24">
        <v>5.5</v>
      </c>
      <c r="M2221" s="24">
        <v>73.935000000000002</v>
      </c>
      <c r="N2221" s="21">
        <f t="shared" si="103"/>
        <v>-6.9999999999999965E-2</v>
      </c>
      <c r="P2221" s="1">
        <v>4</v>
      </c>
      <c r="Q2221" s="24">
        <v>9.5400000000000063</v>
      </c>
      <c r="R2221" s="24">
        <v>69.959999999999994</v>
      </c>
      <c r="S2221" s="21">
        <f t="shared" si="104"/>
        <v>-0.12000000000000008</v>
      </c>
    </row>
    <row r="2222" spans="2:19" ht="11.4" customHeight="1" x14ac:dyDescent="0.2">
      <c r="B2222" s="24"/>
      <c r="C2222" s="7">
        <v>37647</v>
      </c>
      <c r="D2222" s="18" t="s">
        <v>2316</v>
      </c>
      <c r="E2222" s="18" t="s">
        <v>2302</v>
      </c>
      <c r="F2222" s="17">
        <v>6</v>
      </c>
      <c r="G2222" s="18" t="s">
        <v>23</v>
      </c>
      <c r="H2222" s="17">
        <v>139</v>
      </c>
      <c r="I2222" s="8">
        <v>119.5</v>
      </c>
      <c r="J2222" s="21">
        <f t="shared" si="102"/>
        <v>-0.14028776978417265</v>
      </c>
      <c r="K2222" s="1">
        <v>2</v>
      </c>
      <c r="L2222" s="24">
        <v>8.3000000000000007</v>
      </c>
      <c r="M2222" s="24">
        <v>111.13500000000001</v>
      </c>
      <c r="N2222" s="21">
        <f t="shared" si="103"/>
        <v>-0.20046762589928055</v>
      </c>
      <c r="P2222" s="1">
        <v>4</v>
      </c>
      <c r="Q2222" s="24">
        <v>14.340000000000003</v>
      </c>
      <c r="R2222" s="24">
        <v>105.16</v>
      </c>
      <c r="S2222" s="21">
        <f t="shared" si="104"/>
        <v>-0.24345323741007197</v>
      </c>
    </row>
    <row r="2223" spans="2:19" ht="11.4" customHeight="1" x14ac:dyDescent="0.2">
      <c r="B2223" s="24"/>
      <c r="C2223" s="7">
        <v>5081</v>
      </c>
      <c r="D2223" s="18" t="s">
        <v>2317</v>
      </c>
      <c r="E2223" s="18" t="s">
        <v>2302</v>
      </c>
      <c r="F2223" s="17">
        <v>16</v>
      </c>
      <c r="G2223" s="18" t="s">
        <v>23</v>
      </c>
      <c r="H2223" s="17">
        <v>98.8</v>
      </c>
      <c r="I2223" s="8">
        <v>99.9</v>
      </c>
      <c r="J2223" s="21">
        <f t="shared" si="102"/>
        <v>1.1133603238866483E-2</v>
      </c>
      <c r="K2223" s="1">
        <v>2</v>
      </c>
      <c r="L2223" s="24">
        <v>6.9</v>
      </c>
      <c r="M2223" s="24">
        <v>92.907000000000011</v>
      </c>
      <c r="N2223" s="21">
        <f t="shared" si="103"/>
        <v>-5.9645748987854116E-2</v>
      </c>
      <c r="P2223" s="1">
        <v>4</v>
      </c>
      <c r="Q2223" s="24">
        <v>11.988</v>
      </c>
      <c r="R2223" s="24">
        <v>87.912000000000006</v>
      </c>
      <c r="S2223" s="21">
        <f t="shared" si="104"/>
        <v>-0.11020242914979748</v>
      </c>
    </row>
    <row r="2224" spans="2:19" ht="11.4" customHeight="1" x14ac:dyDescent="0.2">
      <c r="B2224" s="24"/>
      <c r="C2224" s="7">
        <v>42691</v>
      </c>
      <c r="D2224" s="18" t="s">
        <v>2318</v>
      </c>
      <c r="E2224" s="18" t="s">
        <v>2302</v>
      </c>
      <c r="F2224" s="17">
        <v>12</v>
      </c>
      <c r="G2224" s="18" t="s">
        <v>23</v>
      </c>
      <c r="H2224" s="17">
        <v>64.56</v>
      </c>
      <c r="I2224" s="8">
        <v>94.5</v>
      </c>
      <c r="J2224" s="21">
        <f t="shared" si="102"/>
        <v>0.46375464684014867</v>
      </c>
      <c r="K2224" s="1">
        <v>2</v>
      </c>
      <c r="L2224" s="24">
        <v>6.6</v>
      </c>
      <c r="M2224" s="24">
        <v>87.885000000000005</v>
      </c>
      <c r="N2224" s="21">
        <f t="shared" si="103"/>
        <v>0.36129182156133832</v>
      </c>
      <c r="P2224" s="1">
        <v>4</v>
      </c>
      <c r="Q2224" s="24">
        <v>11.340000000000003</v>
      </c>
      <c r="R2224" s="24">
        <v>83.16</v>
      </c>
      <c r="S2224" s="21">
        <f t="shared" si="104"/>
        <v>0.28810408921933078</v>
      </c>
    </row>
    <row r="2225" spans="2:19" ht="11.4" customHeight="1" x14ac:dyDescent="0.2">
      <c r="B2225" s="24"/>
      <c r="C2225" s="7">
        <v>42694</v>
      </c>
      <c r="D2225" s="18" t="s">
        <v>2319</v>
      </c>
      <c r="E2225" s="18" t="s">
        <v>2302</v>
      </c>
      <c r="F2225" s="17">
        <v>12</v>
      </c>
      <c r="G2225" s="18" t="s">
        <v>23</v>
      </c>
      <c r="H2225" s="17">
        <v>64.56</v>
      </c>
      <c r="I2225" s="8">
        <v>94.5</v>
      </c>
      <c r="J2225" s="21">
        <f t="shared" si="102"/>
        <v>0.46375464684014867</v>
      </c>
      <c r="K2225" s="1">
        <v>2</v>
      </c>
      <c r="L2225" s="24">
        <v>6.6</v>
      </c>
      <c r="M2225" s="24">
        <v>87.885000000000005</v>
      </c>
      <c r="N2225" s="21">
        <f t="shared" si="103"/>
        <v>0.36129182156133832</v>
      </c>
      <c r="P2225" s="1">
        <v>4</v>
      </c>
      <c r="Q2225" s="24">
        <v>11.340000000000003</v>
      </c>
      <c r="R2225" s="24">
        <v>83.16</v>
      </c>
      <c r="S2225" s="21">
        <f t="shared" si="104"/>
        <v>0.28810408921933078</v>
      </c>
    </row>
    <row r="2226" spans="2:19" ht="11.4" customHeight="1" x14ac:dyDescent="0.2">
      <c r="B2226" s="24"/>
      <c r="C2226" s="7">
        <v>38613</v>
      </c>
      <c r="D2226" s="18" t="s">
        <v>2320</v>
      </c>
      <c r="E2226" s="18" t="s">
        <v>2302</v>
      </c>
      <c r="F2226" s="17">
        <v>6</v>
      </c>
      <c r="G2226" s="18" t="s">
        <v>23</v>
      </c>
      <c r="H2226" s="17">
        <v>49.9</v>
      </c>
      <c r="I2226" s="8">
        <v>61.9</v>
      </c>
      <c r="J2226" s="21">
        <f t="shared" si="102"/>
        <v>0.24048096192384771</v>
      </c>
      <c r="K2226" s="1">
        <v>2</v>
      </c>
      <c r="L2226" s="24">
        <v>4.3</v>
      </c>
      <c r="M2226" s="24">
        <v>57.567</v>
      </c>
      <c r="N2226" s="21">
        <f t="shared" si="103"/>
        <v>0.15364729458917839</v>
      </c>
      <c r="P2226" s="1">
        <v>4</v>
      </c>
      <c r="Q2226" s="24">
        <v>7.4279999999999973</v>
      </c>
      <c r="R2226" s="24">
        <v>54.472000000000001</v>
      </c>
      <c r="S2226" s="21">
        <f t="shared" si="104"/>
        <v>9.1623246492986032E-2</v>
      </c>
    </row>
    <row r="2227" spans="2:19" ht="11.4" customHeight="1" x14ac:dyDescent="0.2">
      <c r="B2227" s="24"/>
      <c r="C2227" s="7">
        <v>10228</v>
      </c>
      <c r="D2227" s="18" t="s">
        <v>2321</v>
      </c>
      <c r="E2227" s="18" t="s">
        <v>2302</v>
      </c>
      <c r="F2227" s="17">
        <v>12</v>
      </c>
      <c r="G2227" s="18" t="s">
        <v>23</v>
      </c>
      <c r="H2227" s="17">
        <v>43.2</v>
      </c>
      <c r="I2227" s="8">
        <v>58.5</v>
      </c>
      <c r="J2227" s="21">
        <f t="shared" si="102"/>
        <v>0.35416666666666657</v>
      </c>
      <c r="K2227" s="1">
        <v>2</v>
      </c>
      <c r="L2227" s="24">
        <v>4</v>
      </c>
      <c r="M2227" s="24">
        <v>54.405000000000001</v>
      </c>
      <c r="N2227" s="21">
        <f t="shared" si="103"/>
        <v>0.25937499999999997</v>
      </c>
      <c r="P2227" s="1">
        <v>4</v>
      </c>
      <c r="Q2227" s="24">
        <v>7.0200000000000031</v>
      </c>
      <c r="R2227" s="24">
        <v>51.48</v>
      </c>
      <c r="S2227" s="21">
        <f t="shared" si="104"/>
        <v>0.19166666666666651</v>
      </c>
    </row>
    <row r="2228" spans="2:19" ht="11.4" customHeight="1" x14ac:dyDescent="0.2">
      <c r="B2228" s="24"/>
      <c r="C2228" s="7">
        <v>11264</v>
      </c>
      <c r="D2228" s="18" t="s">
        <v>2322</v>
      </c>
      <c r="E2228" s="18" t="s">
        <v>2302</v>
      </c>
      <c r="F2228" s="17">
        <v>12</v>
      </c>
      <c r="G2228" s="18" t="s">
        <v>23</v>
      </c>
      <c r="H2228" s="17">
        <v>72.7</v>
      </c>
      <c r="I2228" s="8">
        <v>96.9</v>
      </c>
      <c r="J2228" s="21">
        <f t="shared" si="102"/>
        <v>0.33287482806052271</v>
      </c>
      <c r="K2228" s="1">
        <v>2</v>
      </c>
      <c r="L2228" s="24">
        <v>6.7</v>
      </c>
      <c r="M2228" s="24">
        <v>90.117000000000004</v>
      </c>
      <c r="N2228" s="21">
        <f t="shared" si="103"/>
        <v>0.23957359009628612</v>
      </c>
      <c r="P2228" s="1">
        <v>4</v>
      </c>
      <c r="Q2228" s="24">
        <v>11.628</v>
      </c>
      <c r="R2228" s="24">
        <v>85.272000000000006</v>
      </c>
      <c r="S2228" s="21">
        <f t="shared" si="104"/>
        <v>0.17292984869326</v>
      </c>
    </row>
    <row r="2229" spans="2:19" ht="11.4" customHeight="1" x14ac:dyDescent="0.2">
      <c r="B2229" s="24"/>
      <c r="C2229" s="7">
        <v>5738</v>
      </c>
      <c r="D2229" s="18" t="s">
        <v>2323</v>
      </c>
      <c r="E2229" s="18" t="s">
        <v>2302</v>
      </c>
      <c r="F2229" s="17">
        <v>16</v>
      </c>
      <c r="G2229" s="18" t="s">
        <v>23</v>
      </c>
      <c r="H2229" s="17">
        <v>57.8</v>
      </c>
      <c r="I2229" s="8">
        <v>60.6</v>
      </c>
      <c r="J2229" s="21">
        <f t="shared" si="102"/>
        <v>4.844290657439454E-2</v>
      </c>
      <c r="K2229" s="1">
        <v>2</v>
      </c>
      <c r="L2229" s="24">
        <v>4.2</v>
      </c>
      <c r="M2229" s="24">
        <v>56.358000000000004</v>
      </c>
      <c r="N2229" s="21">
        <f t="shared" si="103"/>
        <v>-2.494809688581303E-2</v>
      </c>
      <c r="P2229" s="1">
        <v>4</v>
      </c>
      <c r="Q2229" s="24">
        <v>7.2719999999999985</v>
      </c>
      <c r="R2229" s="24">
        <v>53.328000000000003</v>
      </c>
      <c r="S2229" s="21">
        <f t="shared" si="104"/>
        <v>-7.7370242214532772E-2</v>
      </c>
    </row>
    <row r="2230" spans="2:19" ht="11.4" customHeight="1" x14ac:dyDescent="0.2">
      <c r="B2230" s="24"/>
      <c r="C2230" s="7">
        <v>44643</v>
      </c>
      <c r="D2230" s="18" t="s">
        <v>2324</v>
      </c>
      <c r="E2230" s="18" t="s">
        <v>2302</v>
      </c>
      <c r="F2230" s="17">
        <v>12</v>
      </c>
      <c r="G2230" s="18" t="s">
        <v>23</v>
      </c>
      <c r="H2230" s="17">
        <v>24</v>
      </c>
      <c r="I2230" s="8">
        <v>39.9</v>
      </c>
      <c r="J2230" s="21">
        <f t="shared" si="102"/>
        <v>0.66249999999999998</v>
      </c>
      <c r="K2230" s="1">
        <v>2</v>
      </c>
      <c r="L2230" s="24">
        <v>2.7</v>
      </c>
      <c r="M2230" s="24">
        <v>37.106999999999999</v>
      </c>
      <c r="N2230" s="21">
        <f t="shared" si="103"/>
        <v>0.54612499999999997</v>
      </c>
      <c r="P2230" s="1">
        <v>4</v>
      </c>
      <c r="Q2230" s="24">
        <v>4.7879999999999967</v>
      </c>
      <c r="R2230" s="24">
        <v>35.112000000000002</v>
      </c>
      <c r="S2230" s="21">
        <f t="shared" si="104"/>
        <v>0.46300000000000008</v>
      </c>
    </row>
    <row r="2231" spans="2:19" ht="11.4" customHeight="1" x14ac:dyDescent="0.2">
      <c r="B2231" s="24"/>
      <c r="C2231" s="7">
        <v>624</v>
      </c>
      <c r="D2231" s="18" t="s">
        <v>2325</v>
      </c>
      <c r="E2231" s="18" t="s">
        <v>2302</v>
      </c>
      <c r="F2231" s="17">
        <v>12</v>
      </c>
      <c r="G2231" s="18" t="s">
        <v>23</v>
      </c>
      <c r="H2231" s="17">
        <v>35.82</v>
      </c>
      <c r="I2231" s="8">
        <v>51.9</v>
      </c>
      <c r="J2231" s="21">
        <f t="shared" si="102"/>
        <v>0.44891122278056944</v>
      </c>
      <c r="K2231" s="1">
        <v>2</v>
      </c>
      <c r="L2231" s="24">
        <v>3.6</v>
      </c>
      <c r="M2231" s="24">
        <v>48.267000000000003</v>
      </c>
      <c r="N2231" s="21">
        <f t="shared" si="103"/>
        <v>0.34748743718592973</v>
      </c>
      <c r="P2231" s="1">
        <v>4</v>
      </c>
      <c r="Q2231" s="24">
        <v>6.2280000000000015</v>
      </c>
      <c r="R2231" s="24">
        <v>45.671999999999997</v>
      </c>
      <c r="S2231" s="21">
        <f t="shared" si="104"/>
        <v>0.27504187604690106</v>
      </c>
    </row>
    <row r="2232" spans="2:19" ht="11.4" customHeight="1" x14ac:dyDescent="0.2">
      <c r="B2232" s="24"/>
      <c r="C2232" s="7">
        <v>41606</v>
      </c>
      <c r="D2232" s="18" t="s">
        <v>2326</v>
      </c>
      <c r="E2232" s="18" t="s">
        <v>2302</v>
      </c>
      <c r="F2232" s="18"/>
      <c r="G2232" s="18" t="s">
        <v>23</v>
      </c>
      <c r="H2232" s="17">
        <v>31.38</v>
      </c>
      <c r="I2232" s="8">
        <v>51.9</v>
      </c>
      <c r="J2232" s="21">
        <f t="shared" si="102"/>
        <v>0.65391969407265771</v>
      </c>
      <c r="K2232" s="1">
        <v>2</v>
      </c>
      <c r="L2232" s="24">
        <v>3.6</v>
      </c>
      <c r="M2232" s="24">
        <v>48.267000000000003</v>
      </c>
      <c r="N2232" s="21">
        <f t="shared" si="103"/>
        <v>0.53814531548757183</v>
      </c>
      <c r="P2232" s="1">
        <v>4</v>
      </c>
      <c r="Q2232" s="24">
        <v>6.2280000000000015</v>
      </c>
      <c r="R2232" s="24">
        <v>45.671999999999997</v>
      </c>
      <c r="S2232" s="21">
        <f t="shared" si="104"/>
        <v>0.45544933078393879</v>
      </c>
    </row>
    <row r="2233" spans="2:19" ht="11.4" customHeight="1" x14ac:dyDescent="0.2">
      <c r="B2233" s="24"/>
      <c r="C2233" s="7">
        <v>41607</v>
      </c>
      <c r="D2233" s="18" t="s">
        <v>2327</v>
      </c>
      <c r="E2233" s="18" t="s">
        <v>2302</v>
      </c>
      <c r="F2233" s="18"/>
      <c r="G2233" s="18" t="s">
        <v>23</v>
      </c>
      <c r="H2233" s="17">
        <v>37.200000000000003</v>
      </c>
      <c r="I2233" s="8">
        <v>61.5</v>
      </c>
      <c r="J2233" s="21">
        <f t="shared" si="102"/>
        <v>0.65322580645161277</v>
      </c>
      <c r="K2233" s="1">
        <v>2</v>
      </c>
      <c r="L2233" s="24">
        <v>4.3</v>
      </c>
      <c r="M2233" s="24">
        <v>57.195</v>
      </c>
      <c r="N2233" s="21">
        <f t="shared" si="103"/>
        <v>0.53749999999999987</v>
      </c>
      <c r="P2233" s="1">
        <v>4</v>
      </c>
      <c r="Q2233" s="24">
        <v>7.3800000000000026</v>
      </c>
      <c r="R2233" s="24">
        <v>54.12</v>
      </c>
      <c r="S2233" s="21">
        <f t="shared" si="104"/>
        <v>0.45483870967741918</v>
      </c>
    </row>
    <row r="2234" spans="2:19" ht="11.4" customHeight="1" x14ac:dyDescent="0.2">
      <c r="B2234" s="24"/>
      <c r="C2234" s="7">
        <v>7857</v>
      </c>
      <c r="D2234" s="18" t="s">
        <v>2328</v>
      </c>
      <c r="E2234" s="18" t="s">
        <v>2302</v>
      </c>
      <c r="F2234" s="17">
        <v>12</v>
      </c>
      <c r="G2234" s="18" t="s">
        <v>23</v>
      </c>
      <c r="H2234" s="17">
        <v>56.5</v>
      </c>
      <c r="I2234" s="8">
        <v>49.9</v>
      </c>
      <c r="J2234" s="21">
        <f t="shared" si="102"/>
        <v>-0.11681415929203542</v>
      </c>
      <c r="K2234" s="1">
        <v>2</v>
      </c>
      <c r="L2234" s="24">
        <v>3.4</v>
      </c>
      <c r="M2234" s="24">
        <v>46.407000000000004</v>
      </c>
      <c r="N2234" s="21">
        <f t="shared" si="103"/>
        <v>-0.17863716814159286</v>
      </c>
      <c r="P2234" s="1">
        <v>4</v>
      </c>
      <c r="Q2234" s="24">
        <v>5.9879999999999995</v>
      </c>
      <c r="R2234" s="24">
        <v>43.911999999999999</v>
      </c>
      <c r="S2234" s="21">
        <f t="shared" si="104"/>
        <v>-0.22279646017699117</v>
      </c>
    </row>
    <row r="2235" spans="2:19" ht="11.4" customHeight="1" x14ac:dyDescent="0.2">
      <c r="B2235" s="24"/>
      <c r="C2235" s="7">
        <v>7856</v>
      </c>
      <c r="D2235" s="18" t="s">
        <v>2329</v>
      </c>
      <c r="E2235" s="18" t="s">
        <v>2302</v>
      </c>
      <c r="F2235" s="18"/>
      <c r="G2235" s="18" t="s">
        <v>23</v>
      </c>
      <c r="H2235" s="17">
        <v>45.6</v>
      </c>
      <c r="I2235" s="8">
        <v>55.9</v>
      </c>
      <c r="J2235" s="21">
        <f t="shared" si="102"/>
        <v>0.22587719298245607</v>
      </c>
      <c r="K2235" s="1">
        <v>2</v>
      </c>
      <c r="L2235" s="24">
        <v>3.9</v>
      </c>
      <c r="M2235" s="24">
        <v>51.987000000000002</v>
      </c>
      <c r="N2235" s="21">
        <f t="shared" si="103"/>
        <v>0.14006578947368423</v>
      </c>
      <c r="P2235" s="1">
        <v>4</v>
      </c>
      <c r="Q2235" s="24">
        <v>6.7079999999999984</v>
      </c>
      <c r="R2235" s="24">
        <v>49.192</v>
      </c>
      <c r="S2235" s="21">
        <f t="shared" si="104"/>
        <v>7.8771929824561368E-2</v>
      </c>
    </row>
    <row r="2236" spans="2:19" ht="11.4" customHeight="1" x14ac:dyDescent="0.2">
      <c r="B2236" s="24"/>
      <c r="C2236" s="7">
        <v>37773</v>
      </c>
      <c r="D2236" s="18" t="s">
        <v>2330</v>
      </c>
      <c r="E2236" s="18" t="s">
        <v>2302</v>
      </c>
      <c r="F2236" s="17">
        <v>8</v>
      </c>
      <c r="G2236" s="18" t="s">
        <v>23</v>
      </c>
      <c r="H2236" s="17">
        <v>36.5</v>
      </c>
      <c r="I2236" s="8">
        <v>39.9</v>
      </c>
      <c r="J2236" s="21">
        <f t="shared" si="102"/>
        <v>9.3150684931506814E-2</v>
      </c>
      <c r="K2236" s="1">
        <v>2</v>
      </c>
      <c r="L2236" s="24">
        <v>2.7</v>
      </c>
      <c r="M2236" s="24">
        <v>37.106999999999999</v>
      </c>
      <c r="N2236" s="21">
        <f t="shared" si="103"/>
        <v>1.663013698630135E-2</v>
      </c>
      <c r="P2236" s="1">
        <v>4</v>
      </c>
      <c r="Q2236" s="24">
        <v>4.7879999999999967</v>
      </c>
      <c r="R2236" s="24">
        <v>35.112000000000002</v>
      </c>
      <c r="S2236" s="21">
        <f t="shared" si="104"/>
        <v>-3.8027397260273918E-2</v>
      </c>
    </row>
    <row r="2237" spans="2:19" ht="11.4" customHeight="1" x14ac:dyDescent="0.2">
      <c r="B2237" s="24"/>
      <c r="C2237" s="7">
        <v>21917</v>
      </c>
      <c r="D2237" s="18" t="s">
        <v>2331</v>
      </c>
      <c r="E2237" s="18" t="s">
        <v>2302</v>
      </c>
      <c r="F2237" s="17">
        <v>12</v>
      </c>
      <c r="G2237" s="18" t="s">
        <v>23</v>
      </c>
      <c r="H2237" s="17">
        <v>62.9</v>
      </c>
      <c r="I2237" s="8">
        <v>69.900000000000006</v>
      </c>
      <c r="J2237" s="21">
        <f t="shared" si="102"/>
        <v>0.11128775834658199</v>
      </c>
      <c r="K2237" s="1">
        <v>2</v>
      </c>
      <c r="L2237" s="24">
        <v>4.8</v>
      </c>
      <c r="M2237" s="24">
        <v>65.007000000000005</v>
      </c>
      <c r="N2237" s="21">
        <f t="shared" si="103"/>
        <v>3.3497615262321249E-2</v>
      </c>
      <c r="P2237" s="1">
        <v>4</v>
      </c>
      <c r="Q2237" s="24">
        <v>8.3879999999999981</v>
      </c>
      <c r="R2237" s="24">
        <v>61.512000000000008</v>
      </c>
      <c r="S2237" s="21">
        <f t="shared" si="104"/>
        <v>-2.2066772655007807E-2</v>
      </c>
    </row>
    <row r="2238" spans="2:19" ht="11.4" customHeight="1" x14ac:dyDescent="0.2">
      <c r="B2238" s="24"/>
      <c r="C2238" s="7">
        <v>37382</v>
      </c>
      <c r="D2238" s="18" t="s">
        <v>2332</v>
      </c>
      <c r="E2238" s="18" t="s">
        <v>2333</v>
      </c>
      <c r="F2238" s="18"/>
      <c r="G2238" s="18" t="s">
        <v>23</v>
      </c>
      <c r="H2238" s="17">
        <v>83.9</v>
      </c>
      <c r="I2238" s="8">
        <v>83.9</v>
      </c>
      <c r="J2238" s="21">
        <f t="shared" si="102"/>
        <v>0</v>
      </c>
      <c r="K2238" s="1">
        <v>2</v>
      </c>
      <c r="L2238" s="24">
        <v>5.8</v>
      </c>
      <c r="M2238" s="24">
        <v>78.027000000000015</v>
      </c>
      <c r="N2238" s="21">
        <f t="shared" si="103"/>
        <v>-6.9999999999999882E-2</v>
      </c>
      <c r="P2238" s="1">
        <v>4</v>
      </c>
      <c r="Q2238" s="24">
        <v>10.067999999999998</v>
      </c>
      <c r="R2238" s="24">
        <v>73.832000000000008</v>
      </c>
      <c r="S2238" s="21">
        <f t="shared" si="104"/>
        <v>-0.11999999999999997</v>
      </c>
    </row>
    <row r="2239" spans="2:19" ht="11.4" customHeight="1" x14ac:dyDescent="0.2">
      <c r="B2239" s="24"/>
      <c r="C2239" s="7">
        <v>37383</v>
      </c>
      <c r="D2239" s="18" t="s">
        <v>2334</v>
      </c>
      <c r="E2239" s="18" t="s">
        <v>2333</v>
      </c>
      <c r="F2239" s="18"/>
      <c r="G2239" s="18" t="s">
        <v>23</v>
      </c>
      <c r="H2239" s="17">
        <v>68.900000000000006</v>
      </c>
      <c r="I2239" s="8">
        <v>68.900000000000006</v>
      </c>
      <c r="J2239" s="21">
        <f t="shared" si="102"/>
        <v>0</v>
      </c>
      <c r="K2239" s="1">
        <v>2</v>
      </c>
      <c r="L2239" s="24">
        <v>4.8</v>
      </c>
      <c r="M2239" s="24">
        <v>64.077000000000012</v>
      </c>
      <c r="N2239" s="21">
        <f t="shared" si="103"/>
        <v>-6.9999999999999896E-2</v>
      </c>
      <c r="P2239" s="1">
        <v>4</v>
      </c>
      <c r="Q2239" s="24">
        <v>8.2680000000000007</v>
      </c>
      <c r="R2239" s="24">
        <v>60.632000000000005</v>
      </c>
      <c r="S2239" s="21">
        <f t="shared" si="104"/>
        <v>-0.12</v>
      </c>
    </row>
    <row r="2240" spans="2:19" ht="11.4" customHeight="1" x14ac:dyDescent="0.2">
      <c r="B2240" s="24"/>
      <c r="C2240" s="7">
        <v>37384</v>
      </c>
      <c r="D2240" s="18" t="s">
        <v>2335</v>
      </c>
      <c r="E2240" s="18" t="s">
        <v>2333</v>
      </c>
      <c r="F2240" s="18"/>
      <c r="G2240" s="18" t="s">
        <v>23</v>
      </c>
      <c r="H2240" s="17">
        <v>75.900000000000006</v>
      </c>
      <c r="I2240" s="8">
        <v>75.900000000000006</v>
      </c>
      <c r="J2240" s="21">
        <f t="shared" si="102"/>
        <v>0</v>
      </c>
      <c r="K2240" s="1">
        <v>2</v>
      </c>
      <c r="L2240" s="24">
        <v>5.3</v>
      </c>
      <c r="M2240" s="24">
        <v>70.587000000000003</v>
      </c>
      <c r="N2240" s="21">
        <f t="shared" si="103"/>
        <v>-7.0000000000000021E-2</v>
      </c>
      <c r="P2240" s="1">
        <v>4</v>
      </c>
      <c r="Q2240" s="24">
        <v>9.1080000000000041</v>
      </c>
      <c r="R2240" s="24">
        <v>66.792000000000002</v>
      </c>
      <c r="S2240" s="21">
        <f t="shared" si="104"/>
        <v>-0.12000000000000005</v>
      </c>
    </row>
    <row r="2241" spans="2:19" ht="11.4" customHeight="1" x14ac:dyDescent="0.2">
      <c r="B2241" s="24"/>
      <c r="C2241" s="7">
        <v>37385</v>
      </c>
      <c r="D2241" s="18" t="s">
        <v>2336</v>
      </c>
      <c r="E2241" s="18" t="s">
        <v>2333</v>
      </c>
      <c r="F2241" s="18"/>
      <c r="G2241" s="18" t="s">
        <v>23</v>
      </c>
      <c r="H2241" s="17">
        <v>70.900000000000006</v>
      </c>
      <c r="I2241" s="8">
        <v>70.900000000000006</v>
      </c>
      <c r="J2241" s="21">
        <f t="shared" si="102"/>
        <v>0</v>
      </c>
      <c r="K2241" s="1">
        <v>2</v>
      </c>
      <c r="L2241" s="24">
        <v>4.9000000000000004</v>
      </c>
      <c r="M2241" s="24">
        <v>65.937000000000012</v>
      </c>
      <c r="N2241" s="21">
        <f t="shared" si="103"/>
        <v>-6.999999999999991E-2</v>
      </c>
      <c r="P2241" s="1">
        <v>4</v>
      </c>
      <c r="Q2241" s="24">
        <v>8.5080000000000027</v>
      </c>
      <c r="R2241" s="24">
        <v>62.392000000000003</v>
      </c>
      <c r="S2241" s="21">
        <f t="shared" si="104"/>
        <v>-0.12000000000000002</v>
      </c>
    </row>
    <row r="2242" spans="2:19" ht="11.4" customHeight="1" x14ac:dyDescent="0.2">
      <c r="B2242" s="24"/>
      <c r="C2242" s="7">
        <v>37386</v>
      </c>
      <c r="D2242" s="18" t="s">
        <v>2337</v>
      </c>
      <c r="E2242" s="18" t="s">
        <v>2333</v>
      </c>
      <c r="F2242" s="18"/>
      <c r="G2242" s="18" t="s">
        <v>23</v>
      </c>
      <c r="H2242" s="17">
        <v>75.900000000000006</v>
      </c>
      <c r="I2242" s="8">
        <v>75.900000000000006</v>
      </c>
      <c r="J2242" s="21">
        <f t="shared" si="102"/>
        <v>0</v>
      </c>
      <c r="K2242" s="1">
        <v>2</v>
      </c>
      <c r="L2242" s="24">
        <v>5.3</v>
      </c>
      <c r="M2242" s="24">
        <v>70.587000000000003</v>
      </c>
      <c r="N2242" s="21">
        <f t="shared" si="103"/>
        <v>-7.0000000000000021E-2</v>
      </c>
      <c r="P2242" s="1">
        <v>4</v>
      </c>
      <c r="Q2242" s="24">
        <v>9.1080000000000041</v>
      </c>
      <c r="R2242" s="24">
        <v>66.792000000000002</v>
      </c>
      <c r="S2242" s="21">
        <f t="shared" si="104"/>
        <v>-0.12000000000000005</v>
      </c>
    </row>
    <row r="2243" spans="2:19" ht="11.4" customHeight="1" x14ac:dyDescent="0.2">
      <c r="B2243" s="24"/>
      <c r="C2243" s="7">
        <v>37387</v>
      </c>
      <c r="D2243" s="18" t="s">
        <v>2338</v>
      </c>
      <c r="E2243" s="18" t="s">
        <v>2333</v>
      </c>
      <c r="F2243" s="18"/>
      <c r="G2243" s="18" t="s">
        <v>23</v>
      </c>
      <c r="H2243" s="17">
        <v>75.900000000000006</v>
      </c>
      <c r="I2243" s="8">
        <v>75.900000000000006</v>
      </c>
      <c r="J2243" s="21">
        <f t="shared" ref="J2243:J2306" si="105">(I2243-H2243)/H2243</f>
        <v>0</v>
      </c>
      <c r="K2243" s="1">
        <v>2</v>
      </c>
      <c r="L2243" s="24">
        <v>5.3</v>
      </c>
      <c r="M2243" s="24">
        <v>70.587000000000003</v>
      </c>
      <c r="N2243" s="21">
        <f t="shared" ref="N2243:N2306" si="106">(M2243-H2243)/H2243</f>
        <v>-7.0000000000000021E-2</v>
      </c>
      <c r="P2243" s="1">
        <v>4</v>
      </c>
      <c r="Q2243" s="24">
        <v>9.1080000000000041</v>
      </c>
      <c r="R2243" s="24">
        <v>66.792000000000002</v>
      </c>
      <c r="S2243" s="21">
        <f t="shared" ref="S2243:S2306" si="107">(R2243-H2243)/H2243</f>
        <v>-0.12000000000000005</v>
      </c>
    </row>
    <row r="2244" spans="2:19" ht="11.4" customHeight="1" x14ac:dyDescent="0.2">
      <c r="B2244" s="24"/>
      <c r="C2244" s="7">
        <v>12565</v>
      </c>
      <c r="D2244" s="18" t="s">
        <v>2339</v>
      </c>
      <c r="E2244" s="18" t="s">
        <v>2302</v>
      </c>
      <c r="F2244" s="17">
        <v>16</v>
      </c>
      <c r="G2244" s="18" t="s">
        <v>23</v>
      </c>
      <c r="H2244" s="17">
        <v>90</v>
      </c>
      <c r="I2244" s="8">
        <v>94.9</v>
      </c>
      <c r="J2244" s="21">
        <f t="shared" si="105"/>
        <v>5.4444444444444511E-2</v>
      </c>
      <c r="K2244" s="1">
        <v>2</v>
      </c>
      <c r="L2244" s="24">
        <v>6.6</v>
      </c>
      <c r="M2244" s="24">
        <v>88.257000000000005</v>
      </c>
      <c r="N2244" s="21">
        <f t="shared" si="106"/>
        <v>-1.9366666666666612E-2</v>
      </c>
      <c r="P2244" s="1">
        <v>4</v>
      </c>
      <c r="Q2244" s="24">
        <v>11.388000000000005</v>
      </c>
      <c r="R2244" s="24">
        <v>83.512</v>
      </c>
      <c r="S2244" s="21">
        <f t="shared" si="107"/>
        <v>-7.2088888888888883E-2</v>
      </c>
    </row>
    <row r="2245" spans="2:19" ht="11.4" customHeight="1" x14ac:dyDescent="0.2">
      <c r="B2245" s="24"/>
      <c r="C2245" s="7">
        <v>2221</v>
      </c>
      <c r="D2245" s="18" t="s">
        <v>2340</v>
      </c>
      <c r="E2245" s="18" t="s">
        <v>2302</v>
      </c>
      <c r="F2245" s="17">
        <v>12</v>
      </c>
      <c r="G2245" s="18" t="s">
        <v>23</v>
      </c>
      <c r="H2245" s="17">
        <v>49.32</v>
      </c>
      <c r="I2245" s="8">
        <v>76.900000000000006</v>
      </c>
      <c r="J2245" s="21">
        <f t="shared" si="105"/>
        <v>0.55920519059205198</v>
      </c>
      <c r="K2245" s="1">
        <v>2</v>
      </c>
      <c r="L2245" s="24">
        <v>5.3</v>
      </c>
      <c r="M2245" s="24">
        <v>71.51700000000001</v>
      </c>
      <c r="N2245" s="21">
        <f t="shared" si="106"/>
        <v>0.45006082725060848</v>
      </c>
      <c r="P2245" s="1">
        <v>4</v>
      </c>
      <c r="Q2245" s="24">
        <v>9.2279999999999944</v>
      </c>
      <c r="R2245" s="24">
        <v>67.672000000000011</v>
      </c>
      <c r="S2245" s="21">
        <f t="shared" si="107"/>
        <v>0.37210056772100591</v>
      </c>
    </row>
    <row r="2246" spans="2:19" ht="11.4" customHeight="1" x14ac:dyDescent="0.2">
      <c r="B2246" s="24"/>
      <c r="C2246" s="7">
        <v>42671</v>
      </c>
      <c r="D2246" s="18" t="s">
        <v>2341</v>
      </c>
      <c r="E2246" s="18" t="s">
        <v>2302</v>
      </c>
      <c r="F2246" s="17">
        <v>8</v>
      </c>
      <c r="G2246" s="18" t="s">
        <v>23</v>
      </c>
      <c r="H2246" s="17">
        <v>31.32</v>
      </c>
      <c r="I2246" s="8">
        <v>54.5</v>
      </c>
      <c r="J2246" s="21">
        <f t="shared" si="105"/>
        <v>0.74010217113665389</v>
      </c>
      <c r="K2246" s="1">
        <v>2</v>
      </c>
      <c r="L2246" s="24">
        <v>3.8</v>
      </c>
      <c r="M2246" s="24">
        <v>50.685000000000002</v>
      </c>
      <c r="N2246" s="21">
        <f t="shared" si="106"/>
        <v>0.61829501915708818</v>
      </c>
      <c r="P2246" s="1">
        <v>4</v>
      </c>
      <c r="Q2246" s="24">
        <v>6.5399999999999991</v>
      </c>
      <c r="R2246" s="24">
        <v>47.96</v>
      </c>
      <c r="S2246" s="21">
        <f t="shared" si="107"/>
        <v>0.53128991060025543</v>
      </c>
    </row>
    <row r="2247" spans="2:19" ht="11.4" customHeight="1" x14ac:dyDescent="0.2">
      <c r="B2247" s="24"/>
      <c r="C2247" s="7">
        <v>627</v>
      </c>
      <c r="D2247" s="18" t="s">
        <v>2342</v>
      </c>
      <c r="E2247" s="18" t="s">
        <v>2302</v>
      </c>
      <c r="F2247" s="18"/>
      <c r="G2247" s="18" t="s">
        <v>23</v>
      </c>
      <c r="H2247" s="17">
        <v>54.3</v>
      </c>
      <c r="I2247" s="8">
        <v>73.5</v>
      </c>
      <c r="J2247" s="21">
        <f t="shared" si="105"/>
        <v>0.35359116022099457</v>
      </c>
      <c r="K2247" s="1">
        <v>2</v>
      </c>
      <c r="L2247" s="24">
        <v>5.0999999999999996</v>
      </c>
      <c r="M2247" s="24">
        <v>68.355000000000004</v>
      </c>
      <c r="N2247" s="21">
        <f t="shared" si="106"/>
        <v>0.25883977900552502</v>
      </c>
      <c r="P2247" s="1">
        <v>4</v>
      </c>
      <c r="Q2247" s="24">
        <v>8.8199999999999932</v>
      </c>
      <c r="R2247" s="24">
        <v>64.680000000000007</v>
      </c>
      <c r="S2247" s="21">
        <f t="shared" si="107"/>
        <v>0.19116022099447533</v>
      </c>
    </row>
    <row r="2248" spans="2:19" ht="11.4" customHeight="1" x14ac:dyDescent="0.2">
      <c r="B2248" s="24"/>
      <c r="C2248" s="7">
        <v>30259</v>
      </c>
      <c r="D2248" s="18" t="s">
        <v>2343</v>
      </c>
      <c r="E2248" s="18" t="s">
        <v>2302</v>
      </c>
      <c r="F2248" s="17">
        <v>12</v>
      </c>
      <c r="G2248" s="18" t="s">
        <v>23</v>
      </c>
      <c r="H2248" s="17">
        <v>49.32</v>
      </c>
      <c r="I2248" s="8">
        <v>69.900000000000006</v>
      </c>
      <c r="J2248" s="21">
        <f t="shared" si="105"/>
        <v>0.41727493917274949</v>
      </c>
      <c r="K2248" s="1">
        <v>2</v>
      </c>
      <c r="L2248" s="24">
        <v>4.8</v>
      </c>
      <c r="M2248" s="24">
        <v>65.007000000000005</v>
      </c>
      <c r="N2248" s="21">
        <f t="shared" si="106"/>
        <v>0.31806569343065705</v>
      </c>
      <c r="P2248" s="1">
        <v>4</v>
      </c>
      <c r="Q2248" s="24">
        <v>8.3879999999999981</v>
      </c>
      <c r="R2248" s="24">
        <v>61.512000000000008</v>
      </c>
      <c r="S2248" s="21">
        <f t="shared" si="107"/>
        <v>0.24720194647201962</v>
      </c>
    </row>
    <row r="2249" spans="2:19" ht="11.4" customHeight="1" x14ac:dyDescent="0.2">
      <c r="B2249" s="24"/>
      <c r="C2249" s="7">
        <v>12564</v>
      </c>
      <c r="D2249" s="18" t="s">
        <v>2344</v>
      </c>
      <c r="E2249" s="18" t="s">
        <v>2302</v>
      </c>
      <c r="F2249" s="17">
        <v>16</v>
      </c>
      <c r="G2249" s="18" t="s">
        <v>23</v>
      </c>
      <c r="H2249" s="17">
        <v>66.7</v>
      </c>
      <c r="I2249" s="8">
        <v>82.6</v>
      </c>
      <c r="J2249" s="21">
        <f t="shared" si="105"/>
        <v>0.23838080959520225</v>
      </c>
      <c r="K2249" s="1">
        <v>2</v>
      </c>
      <c r="L2249" s="24">
        <v>5.7</v>
      </c>
      <c r="M2249" s="24">
        <v>76.817999999999998</v>
      </c>
      <c r="N2249" s="21">
        <f t="shared" si="106"/>
        <v>0.15169415292353816</v>
      </c>
      <c r="P2249" s="1">
        <v>4</v>
      </c>
      <c r="Q2249" s="24">
        <v>9.9119999999999919</v>
      </c>
      <c r="R2249" s="24">
        <v>72.688000000000002</v>
      </c>
      <c r="S2249" s="21">
        <f t="shared" si="107"/>
        <v>8.9775112443778102E-2</v>
      </c>
    </row>
    <row r="2250" spans="2:19" ht="11.4" customHeight="1" x14ac:dyDescent="0.2">
      <c r="B2250" s="24"/>
      <c r="C2250" s="7">
        <v>44634</v>
      </c>
      <c r="D2250" s="18" t="s">
        <v>2345</v>
      </c>
      <c r="E2250" s="18" t="s">
        <v>2302</v>
      </c>
      <c r="F2250" s="17">
        <v>12</v>
      </c>
      <c r="G2250" s="18" t="s">
        <v>23</v>
      </c>
      <c r="H2250" s="17">
        <v>36</v>
      </c>
      <c r="I2250" s="8">
        <v>52.5</v>
      </c>
      <c r="J2250" s="21">
        <f t="shared" si="105"/>
        <v>0.45833333333333331</v>
      </c>
      <c r="K2250" s="1">
        <v>2</v>
      </c>
      <c r="L2250" s="24">
        <v>3.6</v>
      </c>
      <c r="M2250" s="24">
        <v>48.825000000000003</v>
      </c>
      <c r="N2250" s="21">
        <f t="shared" si="106"/>
        <v>0.35625000000000007</v>
      </c>
      <c r="P2250" s="1">
        <v>4</v>
      </c>
      <c r="Q2250" s="24">
        <v>6.2999999999999972</v>
      </c>
      <c r="R2250" s="24">
        <v>46.2</v>
      </c>
      <c r="S2250" s="21">
        <f t="shared" si="107"/>
        <v>0.28333333333333344</v>
      </c>
    </row>
    <row r="2251" spans="2:19" ht="11.4" customHeight="1" x14ac:dyDescent="0.2">
      <c r="B2251" s="24"/>
      <c r="C2251" s="7">
        <v>8028</v>
      </c>
      <c r="D2251" s="18" t="s">
        <v>2346</v>
      </c>
      <c r="E2251" s="18" t="s">
        <v>2302</v>
      </c>
      <c r="F2251" s="18"/>
      <c r="G2251" s="18" t="s">
        <v>23</v>
      </c>
      <c r="H2251" s="17">
        <v>51.7</v>
      </c>
      <c r="I2251" s="8">
        <v>72.5</v>
      </c>
      <c r="J2251" s="21">
        <f t="shared" si="105"/>
        <v>0.40232108317214693</v>
      </c>
      <c r="K2251" s="1">
        <v>2</v>
      </c>
      <c r="L2251" s="24">
        <v>5</v>
      </c>
      <c r="M2251" s="24">
        <v>67.424999999999997</v>
      </c>
      <c r="N2251" s="21">
        <f t="shared" si="106"/>
        <v>0.30415860735009659</v>
      </c>
      <c r="P2251" s="1">
        <v>4</v>
      </c>
      <c r="Q2251" s="24">
        <v>8.7000000000000028</v>
      </c>
      <c r="R2251" s="24">
        <v>63.8</v>
      </c>
      <c r="S2251" s="21">
        <f t="shared" si="107"/>
        <v>0.23404255319148923</v>
      </c>
    </row>
    <row r="2252" spans="2:19" ht="11.4" customHeight="1" x14ac:dyDescent="0.2">
      <c r="B2252" s="24"/>
      <c r="C2252" s="7">
        <v>42688</v>
      </c>
      <c r="D2252" s="18" t="s">
        <v>2347</v>
      </c>
      <c r="E2252" s="18" t="s">
        <v>2302</v>
      </c>
      <c r="F2252" s="17">
        <v>8</v>
      </c>
      <c r="G2252" s="18" t="s">
        <v>23</v>
      </c>
      <c r="H2252" s="17">
        <v>66.959999999999994</v>
      </c>
      <c r="I2252" s="8">
        <v>96.9</v>
      </c>
      <c r="J2252" s="21">
        <f t="shared" si="105"/>
        <v>0.44713261648745539</v>
      </c>
      <c r="K2252" s="1">
        <v>2</v>
      </c>
      <c r="L2252" s="24">
        <v>6.7</v>
      </c>
      <c r="M2252" s="24">
        <v>90.117000000000004</v>
      </c>
      <c r="N2252" s="21">
        <f t="shared" si="106"/>
        <v>0.34583333333333355</v>
      </c>
      <c r="P2252" s="1">
        <v>4</v>
      </c>
      <c r="Q2252" s="24">
        <v>11.628</v>
      </c>
      <c r="R2252" s="24">
        <v>85.272000000000006</v>
      </c>
      <c r="S2252" s="21">
        <f t="shared" si="107"/>
        <v>0.27347670250896078</v>
      </c>
    </row>
    <row r="2253" spans="2:19" ht="11.4" customHeight="1" x14ac:dyDescent="0.2">
      <c r="B2253" s="24"/>
      <c r="C2253" s="7">
        <v>44619</v>
      </c>
      <c r="D2253" s="18" t="s">
        <v>2348</v>
      </c>
      <c r="E2253" s="18" t="s">
        <v>2302</v>
      </c>
      <c r="F2253" s="17">
        <v>8</v>
      </c>
      <c r="G2253" s="18" t="s">
        <v>23</v>
      </c>
      <c r="H2253" s="17">
        <v>63.76</v>
      </c>
      <c r="I2253" s="8">
        <v>99.5</v>
      </c>
      <c r="J2253" s="21">
        <f t="shared" si="105"/>
        <v>0.56053952321204525</v>
      </c>
      <c r="K2253" s="1">
        <v>2</v>
      </c>
      <c r="L2253" s="24">
        <v>6.9</v>
      </c>
      <c r="M2253" s="24">
        <v>92.535000000000011</v>
      </c>
      <c r="N2253" s="21">
        <f t="shared" si="106"/>
        <v>0.45130175658720223</v>
      </c>
      <c r="P2253" s="1">
        <v>4</v>
      </c>
      <c r="Q2253" s="24">
        <v>11.939999999999998</v>
      </c>
      <c r="R2253" s="24">
        <v>87.56</v>
      </c>
      <c r="S2253" s="21">
        <f t="shared" si="107"/>
        <v>0.37327478042659984</v>
      </c>
    </row>
    <row r="2254" spans="2:19" ht="11.4" customHeight="1" x14ac:dyDescent="0.2">
      <c r="B2254" s="24"/>
      <c r="C2254" s="7">
        <v>40965</v>
      </c>
      <c r="D2254" s="18" t="s">
        <v>2349</v>
      </c>
      <c r="E2254" s="18" t="s">
        <v>2302</v>
      </c>
      <c r="F2254" s="17">
        <v>8</v>
      </c>
      <c r="G2254" s="18" t="s">
        <v>23</v>
      </c>
      <c r="H2254" s="17">
        <v>33.6</v>
      </c>
      <c r="I2254" s="8">
        <v>53.9</v>
      </c>
      <c r="J2254" s="21">
        <f t="shared" si="105"/>
        <v>0.60416666666666652</v>
      </c>
      <c r="K2254" s="1">
        <v>2</v>
      </c>
      <c r="L2254" s="24">
        <v>3.7</v>
      </c>
      <c r="M2254" s="24">
        <v>50.127000000000002</v>
      </c>
      <c r="N2254" s="21">
        <f t="shared" si="106"/>
        <v>0.49187500000000001</v>
      </c>
      <c r="P2254" s="1">
        <v>4</v>
      </c>
      <c r="Q2254" s="24">
        <v>6.4679999999999964</v>
      </c>
      <c r="R2254" s="24">
        <v>47.432000000000002</v>
      </c>
      <c r="S2254" s="21">
        <f t="shared" si="107"/>
        <v>0.41166666666666668</v>
      </c>
    </row>
    <row r="2255" spans="2:19" ht="11.4" customHeight="1" x14ac:dyDescent="0.2">
      <c r="B2255" s="24"/>
      <c r="C2255" s="7">
        <v>25204</v>
      </c>
      <c r="D2255" s="18" t="s">
        <v>2350</v>
      </c>
      <c r="E2255" s="18" t="s">
        <v>2302</v>
      </c>
      <c r="F2255" s="17">
        <v>8</v>
      </c>
      <c r="G2255" s="18" t="s">
        <v>23</v>
      </c>
      <c r="H2255" s="17">
        <v>54.9</v>
      </c>
      <c r="I2255" s="8">
        <v>49.9</v>
      </c>
      <c r="J2255" s="21">
        <f t="shared" si="105"/>
        <v>-9.1074681238615673E-2</v>
      </c>
      <c r="K2255" s="1">
        <v>2</v>
      </c>
      <c r="L2255" s="24">
        <v>3.4</v>
      </c>
      <c r="M2255" s="24">
        <v>46.407000000000004</v>
      </c>
      <c r="N2255" s="21">
        <f t="shared" si="106"/>
        <v>-0.15469945355191247</v>
      </c>
      <c r="P2255" s="1">
        <v>4</v>
      </c>
      <c r="Q2255" s="24">
        <v>5.9879999999999995</v>
      </c>
      <c r="R2255" s="24">
        <v>43.911999999999999</v>
      </c>
      <c r="S2255" s="21">
        <f t="shared" si="107"/>
        <v>-0.20014571948998178</v>
      </c>
    </row>
    <row r="2256" spans="2:19" ht="11.4" customHeight="1" x14ac:dyDescent="0.2">
      <c r="B2256" s="24"/>
      <c r="C2256" s="7">
        <v>38612</v>
      </c>
      <c r="D2256" s="18" t="s">
        <v>2351</v>
      </c>
      <c r="E2256" s="18" t="s">
        <v>2302</v>
      </c>
      <c r="F2256" s="17">
        <v>6</v>
      </c>
      <c r="G2256" s="18" t="s">
        <v>23</v>
      </c>
      <c r="H2256" s="17">
        <v>65.900000000000006</v>
      </c>
      <c r="I2256" s="8">
        <v>65.900000000000006</v>
      </c>
      <c r="J2256" s="21">
        <f t="shared" si="105"/>
        <v>0</v>
      </c>
      <c r="K2256" s="1">
        <v>2</v>
      </c>
      <c r="L2256" s="24">
        <v>4.5999999999999996</v>
      </c>
      <c r="M2256" s="24">
        <v>61.287000000000006</v>
      </c>
      <c r="N2256" s="21">
        <f t="shared" si="106"/>
        <v>-6.9999999999999993E-2</v>
      </c>
      <c r="P2256" s="1">
        <v>4</v>
      </c>
      <c r="Q2256" s="24">
        <v>7.9080000000000013</v>
      </c>
      <c r="R2256" s="24">
        <v>57.992000000000004</v>
      </c>
      <c r="S2256" s="21">
        <f t="shared" si="107"/>
        <v>-0.12000000000000001</v>
      </c>
    </row>
    <row r="2257" spans="2:19" ht="11.4" customHeight="1" x14ac:dyDescent="0.2">
      <c r="B2257" s="24"/>
      <c r="C2257" s="7">
        <v>42697</v>
      </c>
      <c r="D2257" s="18" t="s">
        <v>2352</v>
      </c>
      <c r="E2257" s="18" t="s">
        <v>2302</v>
      </c>
      <c r="F2257" s="17">
        <v>12</v>
      </c>
      <c r="G2257" s="18" t="s">
        <v>23</v>
      </c>
      <c r="H2257" s="17">
        <v>37.020000000000003</v>
      </c>
      <c r="I2257" s="8">
        <v>51.9</v>
      </c>
      <c r="J2257" s="21">
        <f t="shared" si="105"/>
        <v>0.40194489465153954</v>
      </c>
      <c r="K2257" s="1">
        <v>2</v>
      </c>
      <c r="L2257" s="24">
        <v>3.6</v>
      </c>
      <c r="M2257" s="24">
        <v>48.267000000000003</v>
      </c>
      <c r="N2257" s="21">
        <f t="shared" si="106"/>
        <v>0.30380875202593188</v>
      </c>
      <c r="P2257" s="1">
        <v>4</v>
      </c>
      <c r="Q2257" s="24">
        <v>6.2280000000000015</v>
      </c>
      <c r="R2257" s="24">
        <v>45.671999999999997</v>
      </c>
      <c r="S2257" s="21">
        <f t="shared" si="107"/>
        <v>0.23371150729335477</v>
      </c>
    </row>
    <row r="2258" spans="2:19" ht="11.4" customHeight="1" x14ac:dyDescent="0.2">
      <c r="B2258" s="24"/>
      <c r="C2258" s="7">
        <v>32539</v>
      </c>
      <c r="D2258" s="18" t="s">
        <v>2353</v>
      </c>
      <c r="E2258" s="18" t="s">
        <v>2302</v>
      </c>
      <c r="F2258" s="17">
        <v>12</v>
      </c>
      <c r="G2258" s="18" t="s">
        <v>23</v>
      </c>
      <c r="H2258" s="17">
        <v>74.5</v>
      </c>
      <c r="I2258" s="8">
        <v>89.4</v>
      </c>
      <c r="J2258" s="21">
        <f t="shared" si="105"/>
        <v>0.20000000000000007</v>
      </c>
      <c r="K2258" s="1">
        <v>2</v>
      </c>
      <c r="L2258" s="24">
        <v>6.2</v>
      </c>
      <c r="M2258" s="24">
        <v>83.14200000000001</v>
      </c>
      <c r="N2258" s="21">
        <f t="shared" si="106"/>
        <v>0.11600000000000013</v>
      </c>
      <c r="P2258" s="1">
        <v>4</v>
      </c>
      <c r="Q2258" s="24">
        <v>10.727999999999994</v>
      </c>
      <c r="R2258" s="24">
        <v>78.672000000000011</v>
      </c>
      <c r="S2258" s="21">
        <f t="shared" si="107"/>
        <v>5.6000000000000154E-2</v>
      </c>
    </row>
    <row r="2259" spans="2:19" ht="11.4" customHeight="1" x14ac:dyDescent="0.2">
      <c r="B2259" s="24"/>
      <c r="C2259" s="7">
        <v>40966</v>
      </c>
      <c r="D2259" s="18" t="s">
        <v>2354</v>
      </c>
      <c r="E2259" s="18" t="s">
        <v>2302</v>
      </c>
      <c r="F2259" s="17">
        <v>8</v>
      </c>
      <c r="G2259" s="18" t="s">
        <v>23</v>
      </c>
      <c r="H2259" s="17">
        <v>34.56</v>
      </c>
      <c r="I2259" s="8">
        <v>55.9</v>
      </c>
      <c r="J2259" s="21">
        <f t="shared" si="105"/>
        <v>0.61747685185185175</v>
      </c>
      <c r="K2259" s="1">
        <v>2</v>
      </c>
      <c r="L2259" s="24">
        <v>3.9</v>
      </c>
      <c r="M2259" s="24">
        <v>51.987000000000002</v>
      </c>
      <c r="N2259" s="21">
        <f t="shared" si="106"/>
        <v>0.50425347222222217</v>
      </c>
      <c r="P2259" s="1">
        <v>4</v>
      </c>
      <c r="Q2259" s="24">
        <v>6.7079999999999984</v>
      </c>
      <c r="R2259" s="24">
        <v>49.192</v>
      </c>
      <c r="S2259" s="21">
        <f t="shared" si="107"/>
        <v>0.42337962962962955</v>
      </c>
    </row>
    <row r="2260" spans="2:19" ht="11.4" customHeight="1" x14ac:dyDescent="0.2">
      <c r="B2260" s="24"/>
      <c r="C2260" s="7">
        <v>25201</v>
      </c>
      <c r="D2260" s="18" t="s">
        <v>2355</v>
      </c>
      <c r="E2260" s="18" t="s">
        <v>2302</v>
      </c>
      <c r="F2260" s="17">
        <v>8</v>
      </c>
      <c r="G2260" s="18" t="s">
        <v>23</v>
      </c>
      <c r="H2260" s="17">
        <v>54.9</v>
      </c>
      <c r="I2260" s="8">
        <v>49.9</v>
      </c>
      <c r="J2260" s="21">
        <f t="shared" si="105"/>
        <v>-9.1074681238615673E-2</v>
      </c>
      <c r="K2260" s="1">
        <v>2</v>
      </c>
      <c r="L2260" s="24">
        <v>3.4</v>
      </c>
      <c r="M2260" s="24">
        <v>46.407000000000004</v>
      </c>
      <c r="N2260" s="21">
        <f t="shared" si="106"/>
        <v>-0.15469945355191247</v>
      </c>
      <c r="P2260" s="1">
        <v>4</v>
      </c>
      <c r="Q2260" s="24">
        <v>5.9879999999999995</v>
      </c>
      <c r="R2260" s="24">
        <v>43.911999999999999</v>
      </c>
      <c r="S2260" s="21">
        <f t="shared" si="107"/>
        <v>-0.20014571948998178</v>
      </c>
    </row>
    <row r="2261" spans="2:19" ht="11.4" customHeight="1" x14ac:dyDescent="0.2">
      <c r="B2261" s="24"/>
      <c r="C2261" s="7">
        <v>5094</v>
      </c>
      <c r="D2261" s="18" t="s">
        <v>2356</v>
      </c>
      <c r="E2261" s="18" t="s">
        <v>2302</v>
      </c>
      <c r="F2261" s="18"/>
      <c r="G2261" s="18" t="s">
        <v>23</v>
      </c>
      <c r="H2261" s="17">
        <v>64.02</v>
      </c>
      <c r="I2261" s="8">
        <v>90.3</v>
      </c>
      <c r="J2261" s="21">
        <f t="shared" si="105"/>
        <v>0.41049671977507035</v>
      </c>
      <c r="K2261" s="1">
        <v>2</v>
      </c>
      <c r="L2261" s="24">
        <v>6.3</v>
      </c>
      <c r="M2261" s="24">
        <v>83.978999999999999</v>
      </c>
      <c r="N2261" s="21">
        <f t="shared" si="106"/>
        <v>0.31176194939081542</v>
      </c>
      <c r="P2261" s="1">
        <v>4</v>
      </c>
      <c r="Q2261" s="24">
        <v>10.835999999999999</v>
      </c>
      <c r="R2261" s="24">
        <v>79.463999999999999</v>
      </c>
      <c r="S2261" s="21">
        <f t="shared" si="107"/>
        <v>0.24123711340206191</v>
      </c>
    </row>
    <row r="2262" spans="2:19" ht="11.4" customHeight="1" x14ac:dyDescent="0.2">
      <c r="B2262" s="24"/>
      <c r="C2262" s="7">
        <v>38611</v>
      </c>
      <c r="D2262" s="18" t="s">
        <v>2357</v>
      </c>
      <c r="E2262" s="18" t="s">
        <v>2302</v>
      </c>
      <c r="F2262" s="17">
        <v>6</v>
      </c>
      <c r="G2262" s="18" t="s">
        <v>23</v>
      </c>
      <c r="H2262" s="17">
        <v>65.900000000000006</v>
      </c>
      <c r="I2262" s="8">
        <v>65.900000000000006</v>
      </c>
      <c r="J2262" s="21">
        <f t="shared" si="105"/>
        <v>0</v>
      </c>
      <c r="K2262" s="1">
        <v>2</v>
      </c>
      <c r="L2262" s="24">
        <v>4.5999999999999996</v>
      </c>
      <c r="M2262" s="24">
        <v>61.287000000000006</v>
      </c>
      <c r="N2262" s="21">
        <f t="shared" si="106"/>
        <v>-6.9999999999999993E-2</v>
      </c>
      <c r="P2262" s="1">
        <v>4</v>
      </c>
      <c r="Q2262" s="24">
        <v>7.9080000000000013</v>
      </c>
      <c r="R2262" s="24">
        <v>57.992000000000004</v>
      </c>
      <c r="S2262" s="21">
        <f t="shared" si="107"/>
        <v>-0.12000000000000001</v>
      </c>
    </row>
    <row r="2263" spans="2:19" ht="11.4" customHeight="1" x14ac:dyDescent="0.2">
      <c r="B2263" s="24"/>
      <c r="C2263" s="7">
        <v>42696</v>
      </c>
      <c r="D2263" s="18" t="s">
        <v>2358</v>
      </c>
      <c r="E2263" s="18" t="s">
        <v>2302</v>
      </c>
      <c r="F2263" s="17">
        <v>12</v>
      </c>
      <c r="G2263" s="18" t="s">
        <v>23</v>
      </c>
      <c r="H2263" s="17">
        <v>32.64</v>
      </c>
      <c r="I2263" s="8">
        <v>49.9</v>
      </c>
      <c r="J2263" s="21">
        <f t="shared" si="105"/>
        <v>0.52879901960784303</v>
      </c>
      <c r="K2263" s="1">
        <v>2</v>
      </c>
      <c r="L2263" s="24">
        <v>3.4</v>
      </c>
      <c r="M2263" s="24">
        <v>46.407000000000004</v>
      </c>
      <c r="N2263" s="21">
        <f t="shared" si="106"/>
        <v>0.4217830882352942</v>
      </c>
      <c r="P2263" s="1">
        <v>4</v>
      </c>
      <c r="Q2263" s="24">
        <v>5.9879999999999995</v>
      </c>
      <c r="R2263" s="24">
        <v>43.911999999999999</v>
      </c>
      <c r="S2263" s="21">
        <f t="shared" si="107"/>
        <v>0.3453431372549019</v>
      </c>
    </row>
    <row r="2264" spans="2:19" ht="11.4" customHeight="1" x14ac:dyDescent="0.2">
      <c r="B2264" s="24"/>
      <c r="C2264" s="7">
        <v>19005</v>
      </c>
      <c r="D2264" s="18" t="s">
        <v>2359</v>
      </c>
      <c r="E2264" s="18" t="s">
        <v>2302</v>
      </c>
      <c r="F2264" s="17">
        <v>16</v>
      </c>
      <c r="G2264" s="18" t="s">
        <v>23</v>
      </c>
      <c r="H2264" s="17">
        <v>53.6</v>
      </c>
      <c r="I2264" s="8">
        <v>59.3</v>
      </c>
      <c r="J2264" s="21">
        <f t="shared" si="105"/>
        <v>0.10634328358208947</v>
      </c>
      <c r="K2264" s="1">
        <v>2</v>
      </c>
      <c r="L2264" s="24">
        <v>4.0999999999999996</v>
      </c>
      <c r="M2264" s="24">
        <v>55.149000000000001</v>
      </c>
      <c r="N2264" s="21">
        <f t="shared" si="106"/>
        <v>2.8899253731343274E-2</v>
      </c>
      <c r="P2264" s="1">
        <v>4</v>
      </c>
      <c r="Q2264" s="24">
        <v>7.1159999999999997</v>
      </c>
      <c r="R2264" s="24">
        <v>52.183999999999997</v>
      </c>
      <c r="S2264" s="21">
        <f t="shared" si="107"/>
        <v>-2.6417910447761265E-2</v>
      </c>
    </row>
    <row r="2265" spans="2:19" ht="11.4" customHeight="1" x14ac:dyDescent="0.2">
      <c r="B2265" s="24"/>
      <c r="C2265" s="7">
        <v>25647</v>
      </c>
      <c r="D2265" s="18" t="s">
        <v>2360</v>
      </c>
      <c r="E2265" s="18" t="s">
        <v>2302</v>
      </c>
      <c r="F2265" s="17">
        <v>12</v>
      </c>
      <c r="G2265" s="18" t="s">
        <v>23</v>
      </c>
      <c r="H2265" s="17">
        <v>71.94</v>
      </c>
      <c r="I2265" s="8">
        <v>97.5</v>
      </c>
      <c r="J2265" s="21">
        <f t="shared" si="105"/>
        <v>0.35529608006672231</v>
      </c>
      <c r="K2265" s="1">
        <v>2</v>
      </c>
      <c r="L2265" s="24">
        <v>6.8</v>
      </c>
      <c r="M2265" s="24">
        <v>90.675000000000011</v>
      </c>
      <c r="N2265" s="21">
        <f t="shared" si="106"/>
        <v>0.26042535446205189</v>
      </c>
      <c r="P2265" s="1">
        <v>4</v>
      </c>
      <c r="Q2265" s="24">
        <v>11.700000000000003</v>
      </c>
      <c r="R2265" s="24">
        <v>85.8</v>
      </c>
      <c r="S2265" s="21">
        <f t="shared" si="107"/>
        <v>0.19266055045871561</v>
      </c>
    </row>
    <row r="2266" spans="2:19" ht="11.4" customHeight="1" x14ac:dyDescent="0.2">
      <c r="B2266" s="24"/>
      <c r="C2266" s="7">
        <v>42698</v>
      </c>
      <c r="D2266" s="18" t="s">
        <v>2361</v>
      </c>
      <c r="E2266" s="18" t="s">
        <v>2302</v>
      </c>
      <c r="F2266" s="17">
        <v>12</v>
      </c>
      <c r="G2266" s="18" t="s">
        <v>23</v>
      </c>
      <c r="H2266" s="17">
        <v>37.020000000000003</v>
      </c>
      <c r="I2266" s="8">
        <v>52.8</v>
      </c>
      <c r="J2266" s="21">
        <f t="shared" si="105"/>
        <v>0.42625607779578584</v>
      </c>
      <c r="K2266" s="1">
        <v>2</v>
      </c>
      <c r="L2266" s="24">
        <v>3.6</v>
      </c>
      <c r="M2266" s="24">
        <v>49.103999999999999</v>
      </c>
      <c r="N2266" s="21">
        <f t="shared" si="106"/>
        <v>0.32641815235008093</v>
      </c>
      <c r="P2266" s="1">
        <v>4</v>
      </c>
      <c r="Q2266" s="24">
        <v>6.3359999999999985</v>
      </c>
      <c r="R2266" s="24">
        <v>46.463999999999999</v>
      </c>
      <c r="S2266" s="21">
        <f t="shared" si="107"/>
        <v>0.25510534846029159</v>
      </c>
    </row>
    <row r="2267" spans="2:19" ht="11.4" customHeight="1" x14ac:dyDescent="0.2">
      <c r="B2267" s="24"/>
      <c r="C2267" s="7">
        <v>13038</v>
      </c>
      <c r="D2267" s="18" t="s">
        <v>2362</v>
      </c>
      <c r="E2267" s="18" t="s">
        <v>2302</v>
      </c>
      <c r="F2267" s="17">
        <v>16</v>
      </c>
      <c r="G2267" s="18" t="s">
        <v>23</v>
      </c>
      <c r="H2267" s="17">
        <v>55.5</v>
      </c>
      <c r="I2267" s="8">
        <v>61.5</v>
      </c>
      <c r="J2267" s="21">
        <f t="shared" si="105"/>
        <v>0.10810810810810811</v>
      </c>
      <c r="K2267" s="1">
        <v>2</v>
      </c>
      <c r="L2267" s="24">
        <v>4.3</v>
      </c>
      <c r="M2267" s="24">
        <v>57.195</v>
      </c>
      <c r="N2267" s="21">
        <f t="shared" si="106"/>
        <v>3.0540540540540544E-2</v>
      </c>
      <c r="P2267" s="1">
        <v>4</v>
      </c>
      <c r="Q2267" s="24">
        <v>7.3800000000000026</v>
      </c>
      <c r="R2267" s="24">
        <v>54.12</v>
      </c>
      <c r="S2267" s="21">
        <f t="shared" si="107"/>
        <v>-2.4864864864864909E-2</v>
      </c>
    </row>
    <row r="2268" spans="2:19" ht="11.4" customHeight="1" x14ac:dyDescent="0.2">
      <c r="B2268" s="24"/>
      <c r="C2268" s="7">
        <v>8146</v>
      </c>
      <c r="D2268" s="18" t="s">
        <v>2363</v>
      </c>
      <c r="E2268" s="18" t="s">
        <v>2302</v>
      </c>
      <c r="F2268" s="18"/>
      <c r="G2268" s="18" t="s">
        <v>23</v>
      </c>
      <c r="H2268" s="17">
        <v>57.5</v>
      </c>
      <c r="I2268" s="8">
        <v>69.5</v>
      </c>
      <c r="J2268" s="21">
        <f t="shared" si="105"/>
        <v>0.20869565217391303</v>
      </c>
      <c r="K2268" s="1">
        <v>2</v>
      </c>
      <c r="L2268" s="24">
        <v>4.8</v>
      </c>
      <c r="M2268" s="24">
        <v>64.635000000000005</v>
      </c>
      <c r="N2268" s="21">
        <f t="shared" si="106"/>
        <v>0.12408695652173922</v>
      </c>
      <c r="P2268" s="1">
        <v>4</v>
      </c>
      <c r="Q2268" s="24">
        <v>8.3399999999999963</v>
      </c>
      <c r="R2268" s="24">
        <v>61.160000000000004</v>
      </c>
      <c r="S2268" s="21">
        <f t="shared" si="107"/>
        <v>6.3652173913043536E-2</v>
      </c>
    </row>
    <row r="2269" spans="2:19" ht="11.4" customHeight="1" x14ac:dyDescent="0.2">
      <c r="B2269" s="24"/>
      <c r="C2269" s="7">
        <v>25646</v>
      </c>
      <c r="D2269" s="18" t="s">
        <v>2364</v>
      </c>
      <c r="E2269" s="18" t="s">
        <v>2302</v>
      </c>
      <c r="F2269" s="17">
        <v>12</v>
      </c>
      <c r="G2269" s="18" t="s">
        <v>23</v>
      </c>
      <c r="H2269" s="17">
        <v>68.16</v>
      </c>
      <c r="I2269" s="8">
        <v>102.5</v>
      </c>
      <c r="J2269" s="21">
        <f t="shared" si="105"/>
        <v>0.50381455399061037</v>
      </c>
      <c r="K2269" s="1">
        <v>2</v>
      </c>
      <c r="L2269" s="24">
        <v>7.1</v>
      </c>
      <c r="M2269" s="24">
        <v>95.325000000000003</v>
      </c>
      <c r="N2269" s="21">
        <f t="shared" si="106"/>
        <v>0.39854753521126773</v>
      </c>
      <c r="P2269" s="1">
        <v>4</v>
      </c>
      <c r="Q2269" s="24">
        <v>12.299999999999997</v>
      </c>
      <c r="R2269" s="24">
        <v>90.2</v>
      </c>
      <c r="S2269" s="21">
        <f t="shared" si="107"/>
        <v>0.32335680751173718</v>
      </c>
    </row>
    <row r="2270" spans="2:19" ht="11.4" customHeight="1" x14ac:dyDescent="0.2">
      <c r="B2270" s="24"/>
      <c r="C2270" s="7">
        <v>10227</v>
      </c>
      <c r="D2270" s="18" t="s">
        <v>2365</v>
      </c>
      <c r="E2270" s="18" t="s">
        <v>2302</v>
      </c>
      <c r="F2270" s="17">
        <v>12</v>
      </c>
      <c r="G2270" s="18" t="s">
        <v>23</v>
      </c>
      <c r="H2270" s="17">
        <v>43.2</v>
      </c>
      <c r="I2270" s="8">
        <v>58.5</v>
      </c>
      <c r="J2270" s="21">
        <f t="shared" si="105"/>
        <v>0.35416666666666657</v>
      </c>
      <c r="K2270" s="1">
        <v>2</v>
      </c>
      <c r="L2270" s="24">
        <v>4</v>
      </c>
      <c r="M2270" s="24">
        <v>54.405000000000001</v>
      </c>
      <c r="N2270" s="21">
        <f t="shared" si="106"/>
        <v>0.25937499999999997</v>
      </c>
      <c r="P2270" s="1">
        <v>4</v>
      </c>
      <c r="Q2270" s="24">
        <v>7.0200000000000031</v>
      </c>
      <c r="R2270" s="24">
        <v>51.48</v>
      </c>
      <c r="S2270" s="21">
        <f t="shared" si="107"/>
        <v>0.19166666666666651</v>
      </c>
    </row>
    <row r="2271" spans="2:19" ht="11.4" customHeight="1" x14ac:dyDescent="0.2">
      <c r="B2271" s="24"/>
      <c r="C2271" s="7">
        <v>8224</v>
      </c>
      <c r="D2271" s="18" t="s">
        <v>2366</v>
      </c>
      <c r="E2271" s="18" t="s">
        <v>2302</v>
      </c>
      <c r="F2271" s="17">
        <v>12</v>
      </c>
      <c r="G2271" s="18" t="s">
        <v>23</v>
      </c>
      <c r="H2271" s="17">
        <v>72.3</v>
      </c>
      <c r="I2271" s="8">
        <v>96.5</v>
      </c>
      <c r="J2271" s="21">
        <f t="shared" si="105"/>
        <v>0.33471645919778703</v>
      </c>
      <c r="K2271" s="1">
        <v>2</v>
      </c>
      <c r="L2271" s="24">
        <v>6.7</v>
      </c>
      <c r="M2271" s="24">
        <v>89.745000000000005</v>
      </c>
      <c r="N2271" s="21">
        <f t="shared" si="106"/>
        <v>0.24128630705394202</v>
      </c>
      <c r="P2271" s="1">
        <v>4</v>
      </c>
      <c r="Q2271" s="24">
        <v>11.579999999999998</v>
      </c>
      <c r="R2271" s="24">
        <v>84.92</v>
      </c>
      <c r="S2271" s="21">
        <f t="shared" si="107"/>
        <v>0.17455048409405263</v>
      </c>
    </row>
    <row r="2272" spans="2:19" ht="11.4" customHeight="1" x14ac:dyDescent="0.2">
      <c r="B2272" s="24"/>
      <c r="C2272" s="7">
        <v>5095</v>
      </c>
      <c r="D2272" s="18" t="s">
        <v>2367</v>
      </c>
      <c r="E2272" s="18" t="s">
        <v>2302</v>
      </c>
      <c r="F2272" s="17">
        <v>16</v>
      </c>
      <c r="G2272" s="18" t="s">
        <v>23</v>
      </c>
      <c r="H2272" s="17">
        <v>59</v>
      </c>
      <c r="I2272" s="8">
        <v>62</v>
      </c>
      <c r="J2272" s="21">
        <f t="shared" si="105"/>
        <v>5.0847457627118647E-2</v>
      </c>
      <c r="K2272" s="1">
        <v>2</v>
      </c>
      <c r="L2272" s="24">
        <v>4.3</v>
      </c>
      <c r="M2272" s="24">
        <v>57.660000000000004</v>
      </c>
      <c r="N2272" s="21">
        <f t="shared" si="106"/>
        <v>-2.2711864406779598E-2</v>
      </c>
      <c r="P2272" s="1">
        <v>4</v>
      </c>
      <c r="Q2272" s="24">
        <v>7.4399999999999977</v>
      </c>
      <c r="R2272" s="24">
        <v>54.56</v>
      </c>
      <c r="S2272" s="21">
        <f t="shared" si="107"/>
        <v>-7.5254237288135559E-2</v>
      </c>
    </row>
    <row r="2273" spans="2:19" ht="11.4" customHeight="1" x14ac:dyDescent="0.2">
      <c r="B2273" s="24"/>
      <c r="C2273" s="7">
        <v>41608</v>
      </c>
      <c r="D2273" s="18" t="s">
        <v>2368</v>
      </c>
      <c r="E2273" s="18" t="s">
        <v>2302</v>
      </c>
      <c r="F2273" s="18"/>
      <c r="G2273" s="18" t="s">
        <v>23</v>
      </c>
      <c r="H2273" s="17">
        <v>34.56</v>
      </c>
      <c r="I2273" s="8">
        <v>56.9</v>
      </c>
      <c r="J2273" s="21">
        <f t="shared" si="105"/>
        <v>0.64641203703703687</v>
      </c>
      <c r="K2273" s="1">
        <v>2</v>
      </c>
      <c r="L2273" s="24">
        <v>3.9</v>
      </c>
      <c r="M2273" s="24">
        <v>52.917000000000002</v>
      </c>
      <c r="N2273" s="21">
        <f t="shared" si="106"/>
        <v>0.53116319444444438</v>
      </c>
      <c r="P2273" s="1">
        <v>4</v>
      </c>
      <c r="Q2273" s="24">
        <v>6.828000000000003</v>
      </c>
      <c r="R2273" s="24">
        <v>50.071999999999996</v>
      </c>
      <c r="S2273" s="21">
        <f t="shared" si="107"/>
        <v>0.44884259259259235</v>
      </c>
    </row>
    <row r="2274" spans="2:19" ht="11.4" customHeight="1" x14ac:dyDescent="0.2">
      <c r="B2274" s="24"/>
      <c r="C2274" s="7">
        <v>8250</v>
      </c>
      <c r="D2274" s="18" t="s">
        <v>2369</v>
      </c>
      <c r="E2274" s="18" t="s">
        <v>2302</v>
      </c>
      <c r="F2274" s="18"/>
      <c r="G2274" s="18" t="s">
        <v>23</v>
      </c>
      <c r="H2274" s="17">
        <v>46.9</v>
      </c>
      <c r="I2274" s="8">
        <v>57.9</v>
      </c>
      <c r="J2274" s="21">
        <f t="shared" si="105"/>
        <v>0.23454157782515991</v>
      </c>
      <c r="K2274" s="1">
        <v>2</v>
      </c>
      <c r="L2274" s="24">
        <v>4</v>
      </c>
      <c r="M2274" s="24">
        <v>53.847000000000001</v>
      </c>
      <c r="N2274" s="21">
        <f t="shared" si="106"/>
        <v>0.14812366737739879</v>
      </c>
      <c r="P2274" s="1">
        <v>4</v>
      </c>
      <c r="Q2274" s="24">
        <v>6.9480000000000004</v>
      </c>
      <c r="R2274" s="24">
        <v>50.951999999999998</v>
      </c>
      <c r="S2274" s="21">
        <f t="shared" si="107"/>
        <v>8.6396588486140721E-2</v>
      </c>
    </row>
    <row r="2275" spans="2:19" ht="11.4" customHeight="1" x14ac:dyDescent="0.2">
      <c r="B2275" s="24"/>
      <c r="C2275" s="7">
        <v>38409</v>
      </c>
      <c r="D2275" s="18" t="s">
        <v>2370</v>
      </c>
      <c r="E2275" s="18" t="s">
        <v>2302</v>
      </c>
      <c r="F2275" s="17">
        <v>24</v>
      </c>
      <c r="G2275" s="18" t="s">
        <v>23</v>
      </c>
      <c r="H2275" s="17">
        <v>54.5</v>
      </c>
      <c r="I2275" s="8">
        <v>54.5</v>
      </c>
      <c r="J2275" s="21">
        <f t="shared" si="105"/>
        <v>0</v>
      </c>
      <c r="K2275" s="1">
        <v>2</v>
      </c>
      <c r="L2275" s="24">
        <v>3.8</v>
      </c>
      <c r="M2275" s="24">
        <v>50.685000000000002</v>
      </c>
      <c r="N2275" s="21">
        <f t="shared" si="106"/>
        <v>-6.9999999999999965E-2</v>
      </c>
      <c r="P2275" s="1">
        <v>4</v>
      </c>
      <c r="Q2275" s="24">
        <v>6.5399999999999991</v>
      </c>
      <c r="R2275" s="24">
        <v>47.96</v>
      </c>
      <c r="S2275" s="21">
        <f t="shared" si="107"/>
        <v>-0.11999999999999998</v>
      </c>
    </row>
    <row r="2276" spans="2:19" ht="11.4" customHeight="1" x14ac:dyDescent="0.2">
      <c r="B2276" s="24"/>
      <c r="C2276" s="7">
        <v>21918</v>
      </c>
      <c r="D2276" s="18" t="s">
        <v>2371</v>
      </c>
      <c r="E2276" s="18" t="s">
        <v>2302</v>
      </c>
      <c r="F2276" s="17">
        <v>12</v>
      </c>
      <c r="G2276" s="18" t="s">
        <v>23</v>
      </c>
      <c r="H2276" s="17">
        <v>64.400000000000006</v>
      </c>
      <c r="I2276" s="8">
        <v>71.900000000000006</v>
      </c>
      <c r="J2276" s="21">
        <f t="shared" si="105"/>
        <v>0.11645962732919253</v>
      </c>
      <c r="K2276" s="1">
        <v>2</v>
      </c>
      <c r="L2276" s="24">
        <v>5</v>
      </c>
      <c r="M2276" s="24">
        <v>66.867000000000004</v>
      </c>
      <c r="N2276" s="21">
        <f t="shared" si="106"/>
        <v>3.8307453416149044E-2</v>
      </c>
      <c r="P2276" s="1">
        <v>4</v>
      </c>
      <c r="Q2276" s="24">
        <v>8.6280000000000001</v>
      </c>
      <c r="R2276" s="24">
        <v>63.272000000000006</v>
      </c>
      <c r="S2276" s="21">
        <f t="shared" si="107"/>
        <v>-1.7515527950310559E-2</v>
      </c>
    </row>
    <row r="2277" spans="2:19" ht="11.4" customHeight="1" x14ac:dyDescent="0.2">
      <c r="B2277" s="24"/>
      <c r="C2277" s="7">
        <v>13607</v>
      </c>
      <c r="D2277" s="18" t="s">
        <v>2372</v>
      </c>
      <c r="E2277" s="18" t="s">
        <v>2302</v>
      </c>
      <c r="F2277" s="17">
        <v>12</v>
      </c>
      <c r="G2277" s="18" t="s">
        <v>23</v>
      </c>
      <c r="H2277" s="17">
        <v>40.200000000000003</v>
      </c>
      <c r="I2277" s="8">
        <v>52.9</v>
      </c>
      <c r="J2277" s="21">
        <f t="shared" si="105"/>
        <v>0.31592039800995014</v>
      </c>
      <c r="K2277" s="1">
        <v>2</v>
      </c>
      <c r="L2277" s="24">
        <v>3.7</v>
      </c>
      <c r="M2277" s="24">
        <v>49.197000000000003</v>
      </c>
      <c r="N2277" s="21">
        <f t="shared" si="106"/>
        <v>0.22380597014925371</v>
      </c>
      <c r="P2277" s="1">
        <v>4</v>
      </c>
      <c r="Q2277" s="24">
        <v>6.347999999999999</v>
      </c>
      <c r="R2277" s="24">
        <v>46.552</v>
      </c>
      <c r="S2277" s="21">
        <f t="shared" si="107"/>
        <v>0.15800995024875614</v>
      </c>
    </row>
    <row r="2278" spans="2:19" ht="11.4" customHeight="1" x14ac:dyDescent="0.2">
      <c r="B2278" s="24"/>
      <c r="C2278" s="7">
        <v>44224</v>
      </c>
      <c r="D2278" s="18" t="s">
        <v>2373</v>
      </c>
      <c r="E2278" s="18" t="s">
        <v>2302</v>
      </c>
      <c r="F2278" s="17">
        <v>24</v>
      </c>
      <c r="G2278" s="18" t="s">
        <v>23</v>
      </c>
      <c r="H2278" s="17">
        <v>28.5</v>
      </c>
      <c r="I2278" s="8">
        <v>45.5</v>
      </c>
      <c r="J2278" s="21">
        <f t="shared" si="105"/>
        <v>0.59649122807017541</v>
      </c>
      <c r="K2278" s="1">
        <v>2</v>
      </c>
      <c r="L2278" s="24">
        <v>3.1</v>
      </c>
      <c r="M2278" s="24">
        <v>42.315000000000005</v>
      </c>
      <c r="N2278" s="21">
        <f t="shared" si="106"/>
        <v>0.48473684210526335</v>
      </c>
      <c r="P2278" s="1">
        <v>4</v>
      </c>
      <c r="Q2278" s="24">
        <v>5.4600000000000009</v>
      </c>
      <c r="R2278" s="24">
        <v>40.04</v>
      </c>
      <c r="S2278" s="21">
        <f t="shared" si="107"/>
        <v>0.40491228070175433</v>
      </c>
    </row>
    <row r="2279" spans="2:19" ht="11.4" customHeight="1" x14ac:dyDescent="0.2">
      <c r="B2279" s="24"/>
      <c r="C2279" s="7">
        <v>39063</v>
      </c>
      <c r="D2279" s="18" t="s">
        <v>2374</v>
      </c>
      <c r="E2279" s="18" t="s">
        <v>2302</v>
      </c>
      <c r="F2279" s="17">
        <v>10</v>
      </c>
      <c r="G2279" s="18" t="s">
        <v>23</v>
      </c>
      <c r="H2279" s="17">
        <v>173.81</v>
      </c>
      <c r="I2279" s="8">
        <v>225.9</v>
      </c>
      <c r="J2279" s="21">
        <f t="shared" si="105"/>
        <v>0.2996950693285772</v>
      </c>
      <c r="K2279" s="1">
        <v>2</v>
      </c>
      <c r="L2279" s="24">
        <v>15.8</v>
      </c>
      <c r="M2279" s="24">
        <v>210.08700000000002</v>
      </c>
      <c r="N2279" s="21">
        <f t="shared" si="106"/>
        <v>0.20871641447557687</v>
      </c>
      <c r="P2279" s="1">
        <v>4</v>
      </c>
      <c r="Q2279" s="24">
        <v>27.108000000000004</v>
      </c>
      <c r="R2279" s="24">
        <v>198.792</v>
      </c>
      <c r="S2279" s="21">
        <f t="shared" si="107"/>
        <v>0.14373166100914792</v>
      </c>
    </row>
    <row r="2280" spans="2:19" ht="11.4" customHeight="1" x14ac:dyDescent="0.2">
      <c r="B2280" s="24"/>
      <c r="C2280" s="7">
        <v>42690</v>
      </c>
      <c r="D2280" s="18" t="s">
        <v>2375</v>
      </c>
      <c r="E2280" s="18" t="s">
        <v>2302</v>
      </c>
      <c r="F2280" s="17">
        <v>12</v>
      </c>
      <c r="G2280" s="18" t="s">
        <v>23</v>
      </c>
      <c r="H2280" s="17">
        <v>72</v>
      </c>
      <c r="I2280" s="8">
        <v>99.9</v>
      </c>
      <c r="J2280" s="21">
        <f t="shared" si="105"/>
        <v>0.38750000000000007</v>
      </c>
      <c r="K2280" s="1">
        <v>2</v>
      </c>
      <c r="L2280" s="24">
        <v>6.9</v>
      </c>
      <c r="M2280" s="24">
        <v>92.907000000000011</v>
      </c>
      <c r="N2280" s="21">
        <f t="shared" si="106"/>
        <v>0.29037500000000016</v>
      </c>
      <c r="P2280" s="1">
        <v>4</v>
      </c>
      <c r="Q2280" s="24">
        <v>11.988</v>
      </c>
      <c r="R2280" s="24">
        <v>87.912000000000006</v>
      </c>
      <c r="S2280" s="21">
        <f t="shared" si="107"/>
        <v>0.22100000000000009</v>
      </c>
    </row>
    <row r="2281" spans="2:19" ht="11.4" customHeight="1" x14ac:dyDescent="0.2">
      <c r="B2281" s="24"/>
      <c r="C2281" s="7">
        <v>27670</v>
      </c>
      <c r="D2281" s="18" t="s">
        <v>2376</v>
      </c>
      <c r="E2281" s="18" t="s">
        <v>2302</v>
      </c>
      <c r="F2281" s="18"/>
      <c r="G2281" s="18" t="s">
        <v>23</v>
      </c>
      <c r="H2281" s="17">
        <v>37.619999999999997</v>
      </c>
      <c r="I2281" s="8">
        <v>62.5</v>
      </c>
      <c r="J2281" s="21">
        <f t="shared" si="105"/>
        <v>0.66135034556087202</v>
      </c>
      <c r="K2281" s="1">
        <v>2</v>
      </c>
      <c r="L2281" s="24">
        <v>4.3</v>
      </c>
      <c r="M2281" s="24">
        <v>58.125</v>
      </c>
      <c r="N2281" s="21">
        <f t="shared" si="106"/>
        <v>0.5450558213716109</v>
      </c>
      <c r="P2281" s="1">
        <v>4</v>
      </c>
      <c r="Q2281" s="24">
        <v>7.5</v>
      </c>
      <c r="R2281" s="24">
        <v>55</v>
      </c>
      <c r="S2281" s="21">
        <f t="shared" si="107"/>
        <v>0.46198830409356734</v>
      </c>
    </row>
    <row r="2282" spans="2:19" ht="11.4" customHeight="1" x14ac:dyDescent="0.2">
      <c r="B2282" s="24"/>
      <c r="C2282" s="7">
        <v>44477</v>
      </c>
      <c r="D2282" s="18" t="s">
        <v>2377</v>
      </c>
      <c r="E2282" s="18" t="s">
        <v>2302</v>
      </c>
      <c r="F2282" s="17">
        <v>12</v>
      </c>
      <c r="G2282" s="18" t="s">
        <v>23</v>
      </c>
      <c r="H2282" s="17">
        <v>73.319999999999993</v>
      </c>
      <c r="I2282" s="8">
        <v>112.5</v>
      </c>
      <c r="J2282" s="21">
        <f t="shared" si="105"/>
        <v>0.53436988543371533</v>
      </c>
      <c r="K2282" s="1">
        <v>2</v>
      </c>
      <c r="L2282" s="24">
        <v>7.8</v>
      </c>
      <c r="M2282" s="24">
        <v>104.625</v>
      </c>
      <c r="N2282" s="21">
        <f t="shared" si="106"/>
        <v>0.42696399345335528</v>
      </c>
      <c r="P2282" s="1">
        <v>4</v>
      </c>
      <c r="Q2282" s="24">
        <v>13.5</v>
      </c>
      <c r="R2282" s="24">
        <v>99</v>
      </c>
      <c r="S2282" s="21">
        <f t="shared" si="107"/>
        <v>0.35024549918166953</v>
      </c>
    </row>
    <row r="2283" spans="2:19" ht="11.4" customHeight="1" x14ac:dyDescent="0.2">
      <c r="B2283" s="24"/>
      <c r="C2283" s="7">
        <v>44483</v>
      </c>
      <c r="D2283" s="18" t="s">
        <v>2378</v>
      </c>
      <c r="E2283" s="18" t="s">
        <v>2302</v>
      </c>
      <c r="F2283" s="17">
        <v>12</v>
      </c>
      <c r="G2283" s="18" t="s">
        <v>23</v>
      </c>
      <c r="H2283" s="17">
        <v>73.319999999999993</v>
      </c>
      <c r="I2283" s="8">
        <v>112.5</v>
      </c>
      <c r="J2283" s="21">
        <f t="shared" si="105"/>
        <v>0.53436988543371533</v>
      </c>
      <c r="K2283" s="1">
        <v>2</v>
      </c>
      <c r="L2283" s="24">
        <v>7.8</v>
      </c>
      <c r="M2283" s="24">
        <v>104.625</v>
      </c>
      <c r="N2283" s="21">
        <f t="shared" si="106"/>
        <v>0.42696399345335528</v>
      </c>
      <c r="P2283" s="1">
        <v>4</v>
      </c>
      <c r="Q2283" s="24">
        <v>13.5</v>
      </c>
      <c r="R2283" s="24">
        <v>99</v>
      </c>
      <c r="S2283" s="21">
        <f t="shared" si="107"/>
        <v>0.35024549918166953</v>
      </c>
    </row>
    <row r="2284" spans="2:19" ht="11.4" customHeight="1" x14ac:dyDescent="0.2">
      <c r="B2284" s="24"/>
      <c r="C2284" s="7">
        <v>38389</v>
      </c>
      <c r="D2284" s="18" t="s">
        <v>2379</v>
      </c>
      <c r="E2284" s="18" t="s">
        <v>2302</v>
      </c>
      <c r="F2284" s="17">
        <v>10</v>
      </c>
      <c r="G2284" s="18" t="s">
        <v>23</v>
      </c>
      <c r="H2284" s="17">
        <v>59.9</v>
      </c>
      <c r="I2284" s="8">
        <v>59.9</v>
      </c>
      <c r="J2284" s="21">
        <f t="shared" si="105"/>
        <v>0</v>
      </c>
      <c r="K2284" s="1">
        <v>2</v>
      </c>
      <c r="L2284" s="24">
        <v>4.0999999999999996</v>
      </c>
      <c r="M2284" s="24">
        <v>55.707000000000001</v>
      </c>
      <c r="N2284" s="21">
        <f t="shared" si="106"/>
        <v>-6.9999999999999965E-2</v>
      </c>
      <c r="P2284" s="1">
        <v>4</v>
      </c>
      <c r="Q2284" s="24">
        <v>7.1880000000000024</v>
      </c>
      <c r="R2284" s="24">
        <v>52.711999999999996</v>
      </c>
      <c r="S2284" s="21">
        <f t="shared" si="107"/>
        <v>-0.12000000000000004</v>
      </c>
    </row>
    <row r="2285" spans="2:19" ht="11.4" customHeight="1" x14ac:dyDescent="0.2">
      <c r="B2285" s="24"/>
      <c r="C2285" s="7">
        <v>38411</v>
      </c>
      <c r="D2285" s="18" t="s">
        <v>2380</v>
      </c>
      <c r="E2285" s="18" t="s">
        <v>2302</v>
      </c>
      <c r="F2285" s="17">
        <v>12</v>
      </c>
      <c r="G2285" s="18" t="s">
        <v>23</v>
      </c>
      <c r="H2285" s="17">
        <v>79.5</v>
      </c>
      <c r="I2285" s="8">
        <v>95</v>
      </c>
      <c r="J2285" s="21">
        <f t="shared" si="105"/>
        <v>0.19496855345911951</v>
      </c>
      <c r="K2285" s="1">
        <v>2</v>
      </c>
      <c r="L2285" s="24">
        <v>6.6</v>
      </c>
      <c r="M2285" s="24">
        <v>88.350000000000009</v>
      </c>
      <c r="N2285" s="21">
        <f t="shared" si="106"/>
        <v>0.11132075471698125</v>
      </c>
      <c r="P2285" s="1">
        <v>4</v>
      </c>
      <c r="Q2285" s="24">
        <v>11.400000000000006</v>
      </c>
      <c r="R2285" s="24">
        <v>83.6</v>
      </c>
      <c r="S2285" s="21">
        <f t="shared" si="107"/>
        <v>5.1572327044025083E-2</v>
      </c>
    </row>
    <row r="2286" spans="2:19" ht="11.4" customHeight="1" x14ac:dyDescent="0.2">
      <c r="B2286" s="24"/>
      <c r="C2286" s="7">
        <v>38031</v>
      </c>
      <c r="D2286" s="18" t="s">
        <v>2381</v>
      </c>
      <c r="E2286" s="18" t="s">
        <v>2302</v>
      </c>
      <c r="F2286" s="17">
        <v>6</v>
      </c>
      <c r="G2286" s="18" t="s">
        <v>23</v>
      </c>
      <c r="H2286" s="17">
        <v>129.9</v>
      </c>
      <c r="I2286" s="8">
        <v>129.9</v>
      </c>
      <c r="J2286" s="21">
        <f t="shared" si="105"/>
        <v>0</v>
      </c>
      <c r="K2286" s="1">
        <v>2</v>
      </c>
      <c r="L2286" s="24">
        <v>9</v>
      </c>
      <c r="M2286" s="24">
        <v>120.80700000000002</v>
      </c>
      <c r="N2286" s="21">
        <f t="shared" si="106"/>
        <v>-6.999999999999991E-2</v>
      </c>
      <c r="P2286" s="1">
        <v>4</v>
      </c>
      <c r="Q2286" s="24">
        <v>15.587999999999994</v>
      </c>
      <c r="R2286" s="24">
        <v>114.31200000000001</v>
      </c>
      <c r="S2286" s="21">
        <f t="shared" si="107"/>
        <v>-0.11999999999999995</v>
      </c>
    </row>
    <row r="2287" spans="2:19" ht="11.4" customHeight="1" x14ac:dyDescent="0.2">
      <c r="B2287" s="24"/>
      <c r="C2287" s="7">
        <v>37644</v>
      </c>
      <c r="D2287" s="18" t="s">
        <v>2382</v>
      </c>
      <c r="E2287" s="18" t="s">
        <v>2302</v>
      </c>
      <c r="F2287" s="17">
        <v>8</v>
      </c>
      <c r="G2287" s="18" t="s">
        <v>23</v>
      </c>
      <c r="H2287" s="17">
        <v>89.9</v>
      </c>
      <c r="I2287" s="8">
        <v>85.9</v>
      </c>
      <c r="J2287" s="21">
        <f t="shared" si="105"/>
        <v>-4.4493882091212453E-2</v>
      </c>
      <c r="K2287" s="1">
        <v>2</v>
      </c>
      <c r="L2287" s="24">
        <v>6</v>
      </c>
      <c r="M2287" s="24">
        <v>79.887000000000015</v>
      </c>
      <c r="N2287" s="21">
        <f t="shared" si="106"/>
        <v>-0.11137931034482748</v>
      </c>
      <c r="P2287" s="1">
        <v>4</v>
      </c>
      <c r="Q2287" s="24">
        <v>10.308000000000007</v>
      </c>
      <c r="R2287" s="24">
        <v>75.591999999999999</v>
      </c>
      <c r="S2287" s="21">
        <f t="shared" si="107"/>
        <v>-0.15915461624026703</v>
      </c>
    </row>
    <row r="2288" spans="2:19" ht="11.4" customHeight="1" x14ac:dyDescent="0.2">
      <c r="B2288" s="24"/>
      <c r="C2288" s="7">
        <v>5101</v>
      </c>
      <c r="D2288" s="18" t="s">
        <v>2383</v>
      </c>
      <c r="E2288" s="18" t="s">
        <v>2302</v>
      </c>
      <c r="F2288" s="17">
        <v>16</v>
      </c>
      <c r="G2288" s="18" t="s">
        <v>23</v>
      </c>
      <c r="H2288" s="17">
        <v>83.2</v>
      </c>
      <c r="I2288" s="8">
        <v>91.2</v>
      </c>
      <c r="J2288" s="21">
        <f t="shared" si="105"/>
        <v>9.6153846153846145E-2</v>
      </c>
      <c r="K2288" s="1">
        <v>2</v>
      </c>
      <c r="L2288" s="24">
        <v>6.3</v>
      </c>
      <c r="M2288" s="24">
        <v>84.816000000000003</v>
      </c>
      <c r="N2288" s="21">
        <f t="shared" si="106"/>
        <v>1.9423076923076918E-2</v>
      </c>
      <c r="P2288" s="1">
        <v>4</v>
      </c>
      <c r="Q2288" s="24">
        <v>10.944000000000003</v>
      </c>
      <c r="R2288" s="24">
        <v>80.256</v>
      </c>
      <c r="S2288" s="21">
        <f t="shared" si="107"/>
        <v>-3.5384615384615417E-2</v>
      </c>
    </row>
    <row r="2289" spans="2:19" ht="11.4" customHeight="1" x14ac:dyDescent="0.2">
      <c r="B2289" s="24"/>
      <c r="C2289" s="7">
        <v>5967</v>
      </c>
      <c r="D2289" s="18" t="s">
        <v>2384</v>
      </c>
      <c r="E2289" s="18" t="s">
        <v>2302</v>
      </c>
      <c r="F2289" s="17">
        <v>16</v>
      </c>
      <c r="G2289" s="18" t="s">
        <v>23</v>
      </c>
      <c r="H2289" s="17">
        <v>100.3</v>
      </c>
      <c r="I2289" s="8">
        <v>110.1</v>
      </c>
      <c r="J2289" s="21">
        <f t="shared" si="105"/>
        <v>9.7706879361914231E-2</v>
      </c>
      <c r="K2289" s="1">
        <v>2</v>
      </c>
      <c r="L2289" s="24">
        <v>7.7</v>
      </c>
      <c r="M2289" s="24">
        <v>102.393</v>
      </c>
      <c r="N2289" s="21">
        <f t="shared" si="106"/>
        <v>2.0867397806580295E-2</v>
      </c>
      <c r="P2289" s="1">
        <v>4</v>
      </c>
      <c r="Q2289" s="24">
        <v>13.212000000000003</v>
      </c>
      <c r="R2289" s="24">
        <v>96.887999999999991</v>
      </c>
      <c r="S2289" s="21">
        <f t="shared" si="107"/>
        <v>-3.4017946161515517E-2</v>
      </c>
    </row>
    <row r="2290" spans="2:19" ht="11.4" customHeight="1" x14ac:dyDescent="0.2">
      <c r="B2290" s="24"/>
      <c r="C2290" s="7">
        <v>42684</v>
      </c>
      <c r="D2290" s="18" t="s">
        <v>2385</v>
      </c>
      <c r="E2290" s="18" t="s">
        <v>2302</v>
      </c>
      <c r="F2290" s="17">
        <v>8</v>
      </c>
      <c r="G2290" s="18" t="s">
        <v>23</v>
      </c>
      <c r="H2290" s="17">
        <v>83.04</v>
      </c>
      <c r="I2290" s="8">
        <v>119.9</v>
      </c>
      <c r="J2290" s="21">
        <f t="shared" si="105"/>
        <v>0.44388246628131017</v>
      </c>
      <c r="K2290" s="1">
        <v>2</v>
      </c>
      <c r="L2290" s="24">
        <v>8.3000000000000007</v>
      </c>
      <c r="M2290" s="24">
        <v>111.50700000000001</v>
      </c>
      <c r="N2290" s="21">
        <f t="shared" si="106"/>
        <v>0.34281069364161848</v>
      </c>
      <c r="P2290" s="1">
        <v>4</v>
      </c>
      <c r="Q2290" s="24">
        <v>14.388000000000005</v>
      </c>
      <c r="R2290" s="24">
        <v>105.512</v>
      </c>
      <c r="S2290" s="21">
        <f t="shared" si="107"/>
        <v>0.27061657032755287</v>
      </c>
    </row>
    <row r="2291" spans="2:19" ht="11.4" customHeight="1" x14ac:dyDescent="0.2">
      <c r="B2291" s="24"/>
      <c r="C2291" s="7">
        <v>44902</v>
      </c>
      <c r="D2291" s="18" t="s">
        <v>2386</v>
      </c>
      <c r="E2291" s="18" t="s">
        <v>2302</v>
      </c>
      <c r="F2291" s="17">
        <v>12</v>
      </c>
      <c r="G2291" s="18" t="s">
        <v>23</v>
      </c>
      <c r="H2291" s="17">
        <v>78.400000000000006</v>
      </c>
      <c r="I2291" s="8">
        <v>105.9</v>
      </c>
      <c r="J2291" s="21">
        <f t="shared" si="105"/>
        <v>0.35076530612244894</v>
      </c>
      <c r="K2291" s="1">
        <v>2</v>
      </c>
      <c r="L2291" s="24">
        <v>7.4</v>
      </c>
      <c r="M2291" s="24">
        <v>98.487000000000009</v>
      </c>
      <c r="N2291" s="21">
        <f t="shared" si="106"/>
        <v>0.25621173469387759</v>
      </c>
      <c r="P2291" s="1">
        <v>4</v>
      </c>
      <c r="Q2291" s="24">
        <v>12.707999999999998</v>
      </c>
      <c r="R2291" s="24">
        <v>93.192000000000007</v>
      </c>
      <c r="S2291" s="21">
        <f t="shared" si="107"/>
        <v>0.18867346938775512</v>
      </c>
    </row>
    <row r="2292" spans="2:19" ht="11.4" customHeight="1" x14ac:dyDescent="0.2">
      <c r="B2292" s="24"/>
      <c r="C2292" s="7">
        <v>39269</v>
      </c>
      <c r="D2292" s="18" t="s">
        <v>2387</v>
      </c>
      <c r="E2292" s="18" t="s">
        <v>2302</v>
      </c>
      <c r="F2292" s="17">
        <v>12</v>
      </c>
      <c r="G2292" s="18" t="s">
        <v>23</v>
      </c>
      <c r="H2292" s="17">
        <v>89.9</v>
      </c>
      <c r="I2292" s="8">
        <v>109.5</v>
      </c>
      <c r="J2292" s="21">
        <f t="shared" si="105"/>
        <v>0.21802002224694098</v>
      </c>
      <c r="K2292" s="1">
        <v>2</v>
      </c>
      <c r="L2292" s="24">
        <v>7.6</v>
      </c>
      <c r="M2292" s="24">
        <v>101.83500000000001</v>
      </c>
      <c r="N2292" s="21">
        <f t="shared" si="106"/>
        <v>0.13275862068965519</v>
      </c>
      <c r="P2292" s="1">
        <v>4</v>
      </c>
      <c r="Q2292" s="24">
        <v>13.14</v>
      </c>
      <c r="R2292" s="24">
        <v>96.36</v>
      </c>
      <c r="S2292" s="21">
        <f t="shared" si="107"/>
        <v>7.1857619577308046E-2</v>
      </c>
    </row>
    <row r="2293" spans="2:19" ht="11.4" customHeight="1" x14ac:dyDescent="0.2">
      <c r="B2293" s="24"/>
      <c r="C2293" s="7">
        <v>39270</v>
      </c>
      <c r="D2293" s="18" t="s">
        <v>2388</v>
      </c>
      <c r="E2293" s="18" t="s">
        <v>2302</v>
      </c>
      <c r="F2293" s="17">
        <v>12</v>
      </c>
      <c r="G2293" s="18" t="s">
        <v>23</v>
      </c>
      <c r="H2293" s="17">
        <v>105.9</v>
      </c>
      <c r="I2293" s="8">
        <v>119.9</v>
      </c>
      <c r="J2293" s="21">
        <f t="shared" si="105"/>
        <v>0.13220018885741264</v>
      </c>
      <c r="K2293" s="1">
        <v>2</v>
      </c>
      <c r="L2293" s="24">
        <v>8.3000000000000007</v>
      </c>
      <c r="M2293" s="24">
        <v>111.50700000000001</v>
      </c>
      <c r="N2293" s="21">
        <f t="shared" si="106"/>
        <v>5.2946175637393761E-2</v>
      </c>
      <c r="P2293" s="1">
        <v>4</v>
      </c>
      <c r="Q2293" s="24">
        <v>14.388000000000005</v>
      </c>
      <c r="R2293" s="24">
        <v>105.512</v>
      </c>
      <c r="S2293" s="21">
        <f t="shared" si="107"/>
        <v>-3.6638338054769144E-3</v>
      </c>
    </row>
    <row r="2294" spans="2:19" ht="11.4" customHeight="1" x14ac:dyDescent="0.2">
      <c r="B2294" s="24"/>
      <c r="C2294" s="7">
        <v>37643</v>
      </c>
      <c r="D2294" s="18" t="s">
        <v>2389</v>
      </c>
      <c r="E2294" s="18" t="s">
        <v>2302</v>
      </c>
      <c r="F2294" s="17">
        <v>12</v>
      </c>
      <c r="G2294" s="18" t="s">
        <v>23</v>
      </c>
      <c r="H2294" s="17">
        <v>79.900000000000006</v>
      </c>
      <c r="I2294" s="8">
        <v>75.900000000000006</v>
      </c>
      <c r="J2294" s="21">
        <f t="shared" si="105"/>
        <v>-5.0062578222778473E-2</v>
      </c>
      <c r="K2294" s="1">
        <v>2</v>
      </c>
      <c r="L2294" s="24">
        <v>5.3</v>
      </c>
      <c r="M2294" s="24">
        <v>70.587000000000003</v>
      </c>
      <c r="N2294" s="21">
        <f t="shared" si="106"/>
        <v>-0.116558197747184</v>
      </c>
      <c r="P2294" s="1">
        <v>4</v>
      </c>
      <c r="Q2294" s="24">
        <v>9.1080000000000041</v>
      </c>
      <c r="R2294" s="24">
        <v>66.792000000000002</v>
      </c>
      <c r="S2294" s="21">
        <f t="shared" si="107"/>
        <v>-0.16405506883604509</v>
      </c>
    </row>
    <row r="2295" spans="2:19" ht="11.4" customHeight="1" x14ac:dyDescent="0.2">
      <c r="B2295" s="24"/>
      <c r="C2295" s="7">
        <v>39271</v>
      </c>
      <c r="D2295" s="18" t="s">
        <v>2390</v>
      </c>
      <c r="E2295" s="18" t="s">
        <v>2302</v>
      </c>
      <c r="F2295" s="17">
        <v>12</v>
      </c>
      <c r="G2295" s="18" t="s">
        <v>23</v>
      </c>
      <c r="H2295" s="17">
        <v>89.9</v>
      </c>
      <c r="I2295" s="8">
        <v>99.9</v>
      </c>
      <c r="J2295" s="21">
        <f t="shared" si="105"/>
        <v>0.11123470522803114</v>
      </c>
      <c r="K2295" s="1">
        <v>2</v>
      </c>
      <c r="L2295" s="24">
        <v>6.9</v>
      </c>
      <c r="M2295" s="24">
        <v>92.907000000000011</v>
      </c>
      <c r="N2295" s="21">
        <f t="shared" si="106"/>
        <v>3.344827586206902E-2</v>
      </c>
      <c r="P2295" s="1">
        <v>4</v>
      </c>
      <c r="Q2295" s="24">
        <v>11.988</v>
      </c>
      <c r="R2295" s="24">
        <v>87.912000000000006</v>
      </c>
      <c r="S2295" s="21">
        <f t="shared" si="107"/>
        <v>-2.2113459399332586E-2</v>
      </c>
    </row>
    <row r="2296" spans="2:19" ht="11.4" customHeight="1" x14ac:dyDescent="0.2">
      <c r="B2296" s="24"/>
      <c r="C2296" s="7">
        <v>8515</v>
      </c>
      <c r="D2296" s="18" t="s">
        <v>2391</v>
      </c>
      <c r="E2296" s="18" t="s">
        <v>2302</v>
      </c>
      <c r="F2296" s="18"/>
      <c r="G2296" s="18" t="s">
        <v>23</v>
      </c>
      <c r="H2296" s="17">
        <v>70.7</v>
      </c>
      <c r="I2296" s="8">
        <v>91.9</v>
      </c>
      <c r="J2296" s="21">
        <f t="shared" si="105"/>
        <v>0.29985855728429989</v>
      </c>
      <c r="K2296" s="1">
        <v>2</v>
      </c>
      <c r="L2296" s="24">
        <v>6.4</v>
      </c>
      <c r="M2296" s="24">
        <v>85.467000000000013</v>
      </c>
      <c r="N2296" s="21">
        <f t="shared" si="106"/>
        <v>0.20886845827439901</v>
      </c>
      <c r="P2296" s="1">
        <v>4</v>
      </c>
      <c r="Q2296" s="24">
        <v>11.028000000000006</v>
      </c>
      <c r="R2296" s="24">
        <v>80.872</v>
      </c>
      <c r="S2296" s="21">
        <f t="shared" si="107"/>
        <v>0.14387553041018383</v>
      </c>
    </row>
    <row r="2297" spans="2:19" ht="11.4" customHeight="1" x14ac:dyDescent="0.2">
      <c r="B2297" s="24"/>
      <c r="C2297" s="7">
        <v>44304</v>
      </c>
      <c r="D2297" s="18" t="s">
        <v>2392</v>
      </c>
      <c r="E2297" s="18" t="s">
        <v>2302</v>
      </c>
      <c r="F2297" s="17">
        <v>12</v>
      </c>
      <c r="G2297" s="18" t="s">
        <v>23</v>
      </c>
      <c r="H2297" s="17">
        <v>57</v>
      </c>
      <c r="I2297" s="8">
        <v>89.5</v>
      </c>
      <c r="J2297" s="21">
        <f t="shared" si="105"/>
        <v>0.57017543859649122</v>
      </c>
      <c r="K2297" s="1">
        <v>2</v>
      </c>
      <c r="L2297" s="24">
        <v>6.2</v>
      </c>
      <c r="M2297" s="24">
        <v>83.234999999999999</v>
      </c>
      <c r="N2297" s="21">
        <f t="shared" si="106"/>
        <v>0.46026315789473682</v>
      </c>
      <c r="P2297" s="1">
        <v>4</v>
      </c>
      <c r="Q2297" s="24">
        <v>10.739999999999995</v>
      </c>
      <c r="R2297" s="24">
        <v>78.760000000000005</v>
      </c>
      <c r="S2297" s="21">
        <f t="shared" si="107"/>
        <v>0.38175438596491235</v>
      </c>
    </row>
    <row r="2298" spans="2:19" ht="11.4" customHeight="1" x14ac:dyDescent="0.2">
      <c r="B2298" s="24"/>
      <c r="C2298" s="7">
        <v>16179</v>
      </c>
      <c r="D2298" s="18" t="s">
        <v>2393</v>
      </c>
      <c r="E2298" s="18" t="s">
        <v>2302</v>
      </c>
      <c r="F2298" s="17">
        <v>8</v>
      </c>
      <c r="G2298" s="18" t="s">
        <v>23</v>
      </c>
      <c r="H2298" s="17">
        <v>79.3</v>
      </c>
      <c r="I2298" s="8">
        <v>98.5</v>
      </c>
      <c r="J2298" s="21">
        <f t="shared" si="105"/>
        <v>0.24211853720050447</v>
      </c>
      <c r="K2298" s="1">
        <v>2</v>
      </c>
      <c r="L2298" s="24">
        <v>6.8</v>
      </c>
      <c r="M2298" s="24">
        <v>91.605000000000004</v>
      </c>
      <c r="N2298" s="21">
        <f t="shared" si="106"/>
        <v>0.15517023959646919</v>
      </c>
      <c r="P2298" s="1">
        <v>4</v>
      </c>
      <c r="Q2298" s="24">
        <v>11.819999999999993</v>
      </c>
      <c r="R2298" s="24">
        <v>86.68</v>
      </c>
      <c r="S2298" s="21">
        <f t="shared" si="107"/>
        <v>9.3064312736444013E-2</v>
      </c>
    </row>
    <row r="2299" spans="2:19" ht="11.4" customHeight="1" x14ac:dyDescent="0.2">
      <c r="B2299" s="24"/>
      <c r="C2299" s="7">
        <v>19003</v>
      </c>
      <c r="D2299" s="18" t="s">
        <v>2394</v>
      </c>
      <c r="E2299" s="18" t="s">
        <v>2302</v>
      </c>
      <c r="F2299" s="17">
        <v>12</v>
      </c>
      <c r="G2299" s="18" t="s">
        <v>23</v>
      </c>
      <c r="H2299" s="17">
        <v>60.4</v>
      </c>
      <c r="I2299" s="8">
        <v>78.3</v>
      </c>
      <c r="J2299" s="21">
        <f t="shared" si="105"/>
        <v>0.29635761589403969</v>
      </c>
      <c r="K2299" s="1">
        <v>2</v>
      </c>
      <c r="L2299" s="24">
        <v>5.4</v>
      </c>
      <c r="M2299" s="24">
        <v>72.819000000000003</v>
      </c>
      <c r="N2299" s="21">
        <f t="shared" si="106"/>
        <v>0.20561258278145703</v>
      </c>
      <c r="P2299" s="1">
        <v>4</v>
      </c>
      <c r="Q2299" s="24">
        <v>9.3960000000000008</v>
      </c>
      <c r="R2299" s="24">
        <v>68.903999999999996</v>
      </c>
      <c r="S2299" s="21">
        <f t="shared" si="107"/>
        <v>0.14079470198675492</v>
      </c>
    </row>
    <row r="2300" spans="2:19" ht="11.4" customHeight="1" x14ac:dyDescent="0.2">
      <c r="B2300" s="24"/>
      <c r="C2300" s="7">
        <v>35036</v>
      </c>
      <c r="D2300" s="18" t="s">
        <v>2395</v>
      </c>
      <c r="E2300" s="18" t="s">
        <v>2302</v>
      </c>
      <c r="F2300" s="17">
        <v>12</v>
      </c>
      <c r="G2300" s="18" t="s">
        <v>23</v>
      </c>
      <c r="H2300" s="17">
        <v>64.3</v>
      </c>
      <c r="I2300" s="8">
        <v>75.3</v>
      </c>
      <c r="J2300" s="21">
        <f t="shared" si="105"/>
        <v>0.17107309486780717</v>
      </c>
      <c r="K2300" s="1">
        <v>2</v>
      </c>
      <c r="L2300" s="24">
        <v>5.2</v>
      </c>
      <c r="M2300" s="24">
        <v>70.028999999999996</v>
      </c>
      <c r="N2300" s="21">
        <f t="shared" si="106"/>
        <v>8.9097978227060642E-2</v>
      </c>
      <c r="P2300" s="1">
        <v>4</v>
      </c>
      <c r="Q2300" s="24">
        <v>9.0360000000000014</v>
      </c>
      <c r="R2300" s="24">
        <v>66.263999999999996</v>
      </c>
      <c r="S2300" s="21">
        <f t="shared" si="107"/>
        <v>3.0544323483670276E-2</v>
      </c>
    </row>
    <row r="2301" spans="2:19" ht="11.4" customHeight="1" x14ac:dyDescent="0.2">
      <c r="B2301" s="24"/>
      <c r="C2301" s="7">
        <v>39259</v>
      </c>
      <c r="D2301" s="18" t="s">
        <v>2396</v>
      </c>
      <c r="E2301" s="18" t="s">
        <v>2302</v>
      </c>
      <c r="F2301" s="17">
        <v>12</v>
      </c>
      <c r="G2301" s="18" t="s">
        <v>23</v>
      </c>
      <c r="H2301" s="17">
        <v>57.9</v>
      </c>
      <c r="I2301" s="8">
        <v>79.900000000000006</v>
      </c>
      <c r="J2301" s="21">
        <f t="shared" si="105"/>
        <v>0.37996545768566509</v>
      </c>
      <c r="K2301" s="1">
        <v>2</v>
      </c>
      <c r="L2301" s="24">
        <v>5.5</v>
      </c>
      <c r="M2301" s="24">
        <v>74.307000000000002</v>
      </c>
      <c r="N2301" s="21">
        <f t="shared" si="106"/>
        <v>0.28336787564766847</v>
      </c>
      <c r="P2301" s="1">
        <v>4</v>
      </c>
      <c r="Q2301" s="24">
        <v>9.5879999999999939</v>
      </c>
      <c r="R2301" s="24">
        <v>70.312000000000012</v>
      </c>
      <c r="S2301" s="21">
        <f t="shared" si="107"/>
        <v>0.21436960276338538</v>
      </c>
    </row>
    <row r="2302" spans="2:19" ht="11.4" customHeight="1" x14ac:dyDescent="0.2">
      <c r="B2302" s="24"/>
      <c r="C2302" s="7">
        <v>38030</v>
      </c>
      <c r="D2302" s="18" t="s">
        <v>2397</v>
      </c>
      <c r="E2302" s="18" t="s">
        <v>2302</v>
      </c>
      <c r="F2302" s="17">
        <v>8</v>
      </c>
      <c r="G2302" s="18" t="s">
        <v>23</v>
      </c>
      <c r="H2302" s="17">
        <v>109.9</v>
      </c>
      <c r="I2302" s="8">
        <v>109.9</v>
      </c>
      <c r="J2302" s="21">
        <f t="shared" si="105"/>
        <v>0</v>
      </c>
      <c r="K2302" s="1">
        <v>2</v>
      </c>
      <c r="L2302" s="24">
        <v>7.6</v>
      </c>
      <c r="M2302" s="24">
        <v>102.20700000000001</v>
      </c>
      <c r="N2302" s="21">
        <f t="shared" si="106"/>
        <v>-6.9999999999999979E-2</v>
      </c>
      <c r="P2302" s="1">
        <v>4</v>
      </c>
      <c r="Q2302" s="24">
        <v>13.188000000000002</v>
      </c>
      <c r="R2302" s="24">
        <v>96.712000000000003</v>
      </c>
      <c r="S2302" s="21">
        <f t="shared" si="107"/>
        <v>-0.12000000000000001</v>
      </c>
    </row>
    <row r="2303" spans="2:19" ht="11.4" customHeight="1" x14ac:dyDescent="0.2">
      <c r="B2303" s="24"/>
      <c r="C2303" s="7">
        <v>35038</v>
      </c>
      <c r="D2303" s="18" t="s">
        <v>2398</v>
      </c>
      <c r="E2303" s="18" t="s">
        <v>2302</v>
      </c>
      <c r="F2303" s="17">
        <v>12</v>
      </c>
      <c r="G2303" s="18" t="s">
        <v>23</v>
      </c>
      <c r="H2303" s="17">
        <v>74</v>
      </c>
      <c r="I2303" s="8">
        <v>71.5</v>
      </c>
      <c r="J2303" s="21">
        <f t="shared" si="105"/>
        <v>-3.3783783783783786E-2</v>
      </c>
      <c r="K2303" s="1">
        <v>2</v>
      </c>
      <c r="L2303" s="24">
        <v>5</v>
      </c>
      <c r="M2303" s="24">
        <v>66.495000000000005</v>
      </c>
      <c r="N2303" s="21">
        <f t="shared" si="106"/>
        <v>-0.10141891891891885</v>
      </c>
      <c r="P2303" s="1">
        <v>4</v>
      </c>
      <c r="Q2303" s="24">
        <v>8.5799999999999983</v>
      </c>
      <c r="R2303" s="24">
        <v>62.92</v>
      </c>
      <c r="S2303" s="21">
        <f t="shared" si="107"/>
        <v>-0.1497297297297297</v>
      </c>
    </row>
    <row r="2304" spans="2:19" ht="11.4" customHeight="1" x14ac:dyDescent="0.2">
      <c r="B2304" s="24"/>
      <c r="C2304" s="7">
        <v>39272</v>
      </c>
      <c r="D2304" s="18" t="s">
        <v>2399</v>
      </c>
      <c r="E2304" s="18" t="s">
        <v>2302</v>
      </c>
      <c r="F2304" s="17">
        <v>12</v>
      </c>
      <c r="G2304" s="18" t="s">
        <v>23</v>
      </c>
      <c r="H2304" s="17">
        <v>89.9</v>
      </c>
      <c r="I2304" s="8">
        <v>99.9</v>
      </c>
      <c r="J2304" s="21">
        <f t="shared" si="105"/>
        <v>0.11123470522803114</v>
      </c>
      <c r="K2304" s="1">
        <v>2</v>
      </c>
      <c r="L2304" s="24">
        <v>6.9</v>
      </c>
      <c r="M2304" s="24">
        <v>92.907000000000011</v>
      </c>
      <c r="N2304" s="21">
        <f t="shared" si="106"/>
        <v>3.344827586206902E-2</v>
      </c>
      <c r="P2304" s="1">
        <v>4</v>
      </c>
      <c r="Q2304" s="24">
        <v>11.988</v>
      </c>
      <c r="R2304" s="24">
        <v>87.912000000000006</v>
      </c>
      <c r="S2304" s="21">
        <f t="shared" si="107"/>
        <v>-2.2113459399332586E-2</v>
      </c>
    </row>
    <row r="2305" spans="2:19" ht="11.4" customHeight="1" x14ac:dyDescent="0.2">
      <c r="B2305" s="24"/>
      <c r="C2305" s="7">
        <v>42692</v>
      </c>
      <c r="D2305" s="18" t="s">
        <v>2400</v>
      </c>
      <c r="E2305" s="18" t="s">
        <v>2302</v>
      </c>
      <c r="F2305" s="17">
        <v>12</v>
      </c>
      <c r="G2305" s="18" t="s">
        <v>23</v>
      </c>
      <c r="H2305" s="17">
        <v>64.56</v>
      </c>
      <c r="I2305" s="8">
        <v>94.5</v>
      </c>
      <c r="J2305" s="21">
        <f t="shared" si="105"/>
        <v>0.46375464684014867</v>
      </c>
      <c r="K2305" s="1">
        <v>2</v>
      </c>
      <c r="L2305" s="24">
        <v>6.6</v>
      </c>
      <c r="M2305" s="24">
        <v>87.885000000000005</v>
      </c>
      <c r="N2305" s="21">
        <f t="shared" si="106"/>
        <v>0.36129182156133832</v>
      </c>
      <c r="P2305" s="1">
        <v>4</v>
      </c>
      <c r="Q2305" s="24">
        <v>11.340000000000003</v>
      </c>
      <c r="R2305" s="24">
        <v>83.16</v>
      </c>
      <c r="S2305" s="21">
        <f t="shared" si="107"/>
        <v>0.28810408921933078</v>
      </c>
    </row>
    <row r="2306" spans="2:19" ht="11.4" customHeight="1" x14ac:dyDescent="0.2">
      <c r="B2306" s="24"/>
      <c r="C2306" s="7">
        <v>42693</v>
      </c>
      <c r="D2306" s="18" t="s">
        <v>2401</v>
      </c>
      <c r="E2306" s="18" t="s">
        <v>2302</v>
      </c>
      <c r="F2306" s="17">
        <v>12</v>
      </c>
      <c r="G2306" s="18" t="s">
        <v>23</v>
      </c>
      <c r="H2306" s="17">
        <v>72</v>
      </c>
      <c r="I2306" s="8">
        <v>99.9</v>
      </c>
      <c r="J2306" s="21">
        <f t="shared" si="105"/>
        <v>0.38750000000000007</v>
      </c>
      <c r="K2306" s="1">
        <v>2</v>
      </c>
      <c r="L2306" s="24">
        <v>6.9</v>
      </c>
      <c r="M2306" s="24">
        <v>92.907000000000011</v>
      </c>
      <c r="N2306" s="21">
        <f t="shared" si="106"/>
        <v>0.29037500000000016</v>
      </c>
      <c r="P2306" s="1">
        <v>4</v>
      </c>
      <c r="Q2306" s="24">
        <v>11.988</v>
      </c>
      <c r="R2306" s="24">
        <v>87.912000000000006</v>
      </c>
      <c r="S2306" s="21">
        <f t="shared" si="107"/>
        <v>0.22100000000000009</v>
      </c>
    </row>
    <row r="2307" spans="2:19" ht="11.4" customHeight="1" x14ac:dyDescent="0.2">
      <c r="B2307" s="24"/>
      <c r="C2307" s="7">
        <v>42695</v>
      </c>
      <c r="D2307" s="18" t="s">
        <v>2402</v>
      </c>
      <c r="E2307" s="18" t="s">
        <v>2302</v>
      </c>
      <c r="F2307" s="17">
        <v>12</v>
      </c>
      <c r="G2307" s="18" t="s">
        <v>23</v>
      </c>
      <c r="H2307" s="17">
        <v>64.56</v>
      </c>
      <c r="I2307" s="8">
        <v>94.5</v>
      </c>
      <c r="J2307" s="21">
        <f t="shared" ref="J2307:J2370" si="108">(I2307-H2307)/H2307</f>
        <v>0.46375464684014867</v>
      </c>
      <c r="K2307" s="1">
        <v>2</v>
      </c>
      <c r="L2307" s="24">
        <v>6.6</v>
      </c>
      <c r="M2307" s="24">
        <v>87.885000000000005</v>
      </c>
      <c r="N2307" s="21">
        <f t="shared" ref="N2307:N2370" si="109">(M2307-H2307)/H2307</f>
        <v>0.36129182156133832</v>
      </c>
      <c r="P2307" s="1">
        <v>4</v>
      </c>
      <c r="Q2307" s="24">
        <v>11.340000000000003</v>
      </c>
      <c r="R2307" s="24">
        <v>83.16</v>
      </c>
      <c r="S2307" s="21">
        <f t="shared" ref="S2307:S2370" si="110">(R2307-H2307)/H2307</f>
        <v>0.28810408921933078</v>
      </c>
    </row>
    <row r="2308" spans="2:19" ht="11.4" customHeight="1" x14ac:dyDescent="0.2">
      <c r="B2308" s="24"/>
      <c r="C2308" s="7">
        <v>4855</v>
      </c>
      <c r="D2308" s="18" t="s">
        <v>2403</v>
      </c>
      <c r="E2308" s="18" t="s">
        <v>2302</v>
      </c>
      <c r="F2308" s="17">
        <v>12</v>
      </c>
      <c r="G2308" s="18" t="s">
        <v>23</v>
      </c>
      <c r="H2308" s="17">
        <v>39</v>
      </c>
      <c r="I2308" s="8">
        <v>55.9</v>
      </c>
      <c r="J2308" s="21">
        <f t="shared" si="108"/>
        <v>0.43333333333333329</v>
      </c>
      <c r="K2308" s="1">
        <v>2</v>
      </c>
      <c r="L2308" s="24">
        <v>3.9</v>
      </c>
      <c r="M2308" s="24">
        <v>51.987000000000002</v>
      </c>
      <c r="N2308" s="21">
        <f t="shared" si="109"/>
        <v>0.33300000000000007</v>
      </c>
      <c r="P2308" s="1">
        <v>4</v>
      </c>
      <c r="Q2308" s="24">
        <v>6.7079999999999984</v>
      </c>
      <c r="R2308" s="24">
        <v>49.192</v>
      </c>
      <c r="S2308" s="21">
        <f t="shared" si="110"/>
        <v>0.26133333333333336</v>
      </c>
    </row>
    <row r="2309" spans="2:19" ht="11.4" customHeight="1" x14ac:dyDescent="0.2">
      <c r="B2309" s="24"/>
      <c r="C2309" s="7">
        <v>39299</v>
      </c>
      <c r="D2309" s="18" t="s">
        <v>2404</v>
      </c>
      <c r="E2309" s="18" t="s">
        <v>2302</v>
      </c>
      <c r="F2309" s="17">
        <v>12</v>
      </c>
      <c r="G2309" s="18" t="s">
        <v>23</v>
      </c>
      <c r="H2309" s="17">
        <v>292.02</v>
      </c>
      <c r="I2309" s="8">
        <v>399</v>
      </c>
      <c r="J2309" s="21">
        <f t="shared" si="108"/>
        <v>0.3663447709061024</v>
      </c>
      <c r="K2309" s="1">
        <v>2</v>
      </c>
      <c r="L2309" s="24">
        <v>27.9</v>
      </c>
      <c r="M2309" s="24">
        <v>371.07</v>
      </c>
      <c r="N2309" s="21">
        <f t="shared" si="109"/>
        <v>0.27070063694267521</v>
      </c>
      <c r="P2309" s="1">
        <v>4</v>
      </c>
      <c r="Q2309" s="24">
        <v>47.879999999999995</v>
      </c>
      <c r="R2309" s="24">
        <v>351.12</v>
      </c>
      <c r="S2309" s="21">
        <f t="shared" si="110"/>
        <v>0.20238339839737013</v>
      </c>
    </row>
    <row r="2310" spans="2:19" ht="11.4" customHeight="1" x14ac:dyDescent="0.2">
      <c r="B2310" s="24"/>
      <c r="C2310" s="7">
        <v>42689</v>
      </c>
      <c r="D2310" s="18" t="s">
        <v>2405</v>
      </c>
      <c r="E2310" s="18" t="s">
        <v>2302</v>
      </c>
      <c r="F2310" s="17">
        <v>16</v>
      </c>
      <c r="G2310" s="18" t="s">
        <v>23</v>
      </c>
      <c r="H2310" s="17">
        <v>84.9</v>
      </c>
      <c r="I2310" s="8">
        <v>145.9</v>
      </c>
      <c r="J2310" s="21">
        <f t="shared" si="108"/>
        <v>0.71849234393404005</v>
      </c>
      <c r="K2310" s="1">
        <v>2</v>
      </c>
      <c r="L2310" s="24">
        <v>10.199999999999999</v>
      </c>
      <c r="M2310" s="24">
        <v>135.68700000000001</v>
      </c>
      <c r="N2310" s="21">
        <f t="shared" si="109"/>
        <v>0.59819787985865724</v>
      </c>
      <c r="P2310" s="1">
        <v>4</v>
      </c>
      <c r="Q2310" s="24">
        <v>17.50800000000001</v>
      </c>
      <c r="R2310" s="24">
        <v>128.392</v>
      </c>
      <c r="S2310" s="21">
        <f t="shared" si="110"/>
        <v>0.51227326266195505</v>
      </c>
    </row>
    <row r="2311" spans="2:19" ht="11.4" customHeight="1" x14ac:dyDescent="0.2">
      <c r="B2311" s="24"/>
      <c r="C2311" s="7">
        <v>38927</v>
      </c>
      <c r="D2311" s="18" t="s">
        <v>2406</v>
      </c>
      <c r="E2311" s="18" t="s">
        <v>2302</v>
      </c>
      <c r="F2311" s="17">
        <v>12</v>
      </c>
      <c r="G2311" s="18" t="s">
        <v>23</v>
      </c>
      <c r="H2311" s="17">
        <v>139.9</v>
      </c>
      <c r="I2311" s="8">
        <v>185.5</v>
      </c>
      <c r="J2311" s="21">
        <f t="shared" si="108"/>
        <v>0.32594710507505353</v>
      </c>
      <c r="K2311" s="1">
        <v>2</v>
      </c>
      <c r="L2311" s="24">
        <v>12.9</v>
      </c>
      <c r="M2311" s="24">
        <v>172.51500000000001</v>
      </c>
      <c r="N2311" s="21">
        <f t="shared" si="109"/>
        <v>0.23313080771979991</v>
      </c>
      <c r="P2311" s="1">
        <v>4</v>
      </c>
      <c r="Q2311" s="24">
        <v>22.259999999999991</v>
      </c>
      <c r="R2311" s="24">
        <v>163.24</v>
      </c>
      <c r="S2311" s="21">
        <f t="shared" si="110"/>
        <v>0.16683345246604719</v>
      </c>
    </row>
    <row r="2312" spans="2:19" ht="11.4" customHeight="1" x14ac:dyDescent="0.2">
      <c r="B2312" s="24"/>
      <c r="C2312" s="7">
        <v>44623</v>
      </c>
      <c r="D2312" s="18" t="s">
        <v>2407</v>
      </c>
      <c r="E2312" s="18" t="s">
        <v>2302</v>
      </c>
      <c r="F2312" s="17">
        <v>8</v>
      </c>
      <c r="G2312" s="18" t="s">
        <v>23</v>
      </c>
      <c r="H2312" s="17">
        <v>104.75</v>
      </c>
      <c r="I2312" s="8">
        <v>159</v>
      </c>
      <c r="J2312" s="21">
        <f t="shared" si="108"/>
        <v>0.5178997613365155</v>
      </c>
      <c r="K2312" s="1">
        <v>2</v>
      </c>
      <c r="L2312" s="24">
        <v>11.1</v>
      </c>
      <c r="M2312" s="24">
        <v>147.87</v>
      </c>
      <c r="N2312" s="21">
        <f t="shared" si="109"/>
        <v>0.41164677804295946</v>
      </c>
      <c r="P2312" s="1">
        <v>4</v>
      </c>
      <c r="Q2312" s="24">
        <v>19.080000000000013</v>
      </c>
      <c r="R2312" s="24">
        <v>139.91999999999999</v>
      </c>
      <c r="S2312" s="21">
        <f t="shared" si="110"/>
        <v>0.33575178997613353</v>
      </c>
    </row>
    <row r="2313" spans="2:19" ht="11.4" customHeight="1" x14ac:dyDescent="0.2">
      <c r="B2313" s="24"/>
      <c r="C2313" s="7">
        <v>44305</v>
      </c>
      <c r="D2313" s="18" t="s">
        <v>2408</v>
      </c>
      <c r="E2313" s="18" t="s">
        <v>2302</v>
      </c>
      <c r="F2313" s="17">
        <v>12</v>
      </c>
      <c r="G2313" s="18" t="s">
        <v>23</v>
      </c>
      <c r="H2313" s="17">
        <v>51</v>
      </c>
      <c r="I2313" s="8">
        <v>83.5</v>
      </c>
      <c r="J2313" s="21">
        <f t="shared" si="108"/>
        <v>0.63725490196078427</v>
      </c>
      <c r="K2313" s="1">
        <v>2</v>
      </c>
      <c r="L2313" s="24">
        <v>5.8</v>
      </c>
      <c r="M2313" s="24">
        <v>77.655000000000001</v>
      </c>
      <c r="N2313" s="21">
        <f t="shared" si="109"/>
        <v>0.52264705882352946</v>
      </c>
      <c r="P2313" s="1">
        <v>4</v>
      </c>
      <c r="Q2313" s="24">
        <v>10.019999999999996</v>
      </c>
      <c r="R2313" s="24">
        <v>73.48</v>
      </c>
      <c r="S2313" s="21">
        <f t="shared" si="110"/>
        <v>0.44078431372549026</v>
      </c>
    </row>
    <row r="2314" spans="2:19" ht="11.4" customHeight="1" x14ac:dyDescent="0.2">
      <c r="B2314" s="24"/>
      <c r="C2314" s="7">
        <v>38032</v>
      </c>
      <c r="D2314" s="18" t="s">
        <v>2409</v>
      </c>
      <c r="E2314" s="18" t="s">
        <v>2302</v>
      </c>
      <c r="F2314" s="17">
        <v>6</v>
      </c>
      <c r="G2314" s="18" t="s">
        <v>23</v>
      </c>
      <c r="H2314" s="17">
        <v>129.9</v>
      </c>
      <c r="I2314" s="8">
        <v>129.9</v>
      </c>
      <c r="J2314" s="21">
        <f t="shared" si="108"/>
        <v>0</v>
      </c>
      <c r="K2314" s="1">
        <v>2</v>
      </c>
      <c r="L2314" s="24">
        <v>9</v>
      </c>
      <c r="M2314" s="24">
        <v>120.80700000000002</v>
      </c>
      <c r="N2314" s="21">
        <f t="shared" si="109"/>
        <v>-6.999999999999991E-2</v>
      </c>
      <c r="P2314" s="1">
        <v>4</v>
      </c>
      <c r="Q2314" s="24">
        <v>15.587999999999994</v>
      </c>
      <c r="R2314" s="24">
        <v>114.31200000000001</v>
      </c>
      <c r="S2314" s="21">
        <f t="shared" si="110"/>
        <v>-0.11999999999999995</v>
      </c>
    </row>
    <row r="2315" spans="2:19" ht="11.4" customHeight="1" x14ac:dyDescent="0.2">
      <c r="B2315" s="24"/>
      <c r="C2315" s="7">
        <v>37645</v>
      </c>
      <c r="D2315" s="18" t="s">
        <v>2410</v>
      </c>
      <c r="E2315" s="18" t="s">
        <v>2302</v>
      </c>
      <c r="F2315" s="17">
        <v>8</v>
      </c>
      <c r="G2315" s="18" t="s">
        <v>23</v>
      </c>
      <c r="H2315" s="17">
        <v>95.5</v>
      </c>
      <c r="I2315" s="8">
        <v>95.5</v>
      </c>
      <c r="J2315" s="21">
        <f t="shared" si="108"/>
        <v>0</v>
      </c>
      <c r="K2315" s="1">
        <v>2</v>
      </c>
      <c r="L2315" s="24">
        <v>6.6</v>
      </c>
      <c r="M2315" s="24">
        <v>88.814999999999998</v>
      </c>
      <c r="N2315" s="21">
        <f t="shared" si="109"/>
        <v>-7.0000000000000021E-2</v>
      </c>
      <c r="P2315" s="1">
        <v>4</v>
      </c>
      <c r="Q2315" s="24">
        <v>11.459999999999994</v>
      </c>
      <c r="R2315" s="24">
        <v>84.04</v>
      </c>
      <c r="S2315" s="21">
        <f t="shared" si="110"/>
        <v>-0.11999999999999994</v>
      </c>
    </row>
    <row r="2316" spans="2:19" ht="11.4" customHeight="1" x14ac:dyDescent="0.2">
      <c r="B2316" s="24"/>
      <c r="C2316" s="7">
        <v>42686</v>
      </c>
      <c r="D2316" s="18" t="s">
        <v>2411</v>
      </c>
      <c r="E2316" s="18" t="s">
        <v>2302</v>
      </c>
      <c r="F2316" s="17">
        <v>8</v>
      </c>
      <c r="G2316" s="18" t="s">
        <v>23</v>
      </c>
      <c r="H2316" s="17">
        <v>71.16</v>
      </c>
      <c r="I2316" s="8">
        <v>103.5</v>
      </c>
      <c r="J2316" s="21">
        <f t="shared" si="108"/>
        <v>0.4544688026981451</v>
      </c>
      <c r="K2316" s="1">
        <v>2</v>
      </c>
      <c r="L2316" s="24">
        <v>7.2</v>
      </c>
      <c r="M2316" s="24">
        <v>96.25500000000001</v>
      </c>
      <c r="N2316" s="21">
        <f t="shared" si="109"/>
        <v>0.3526559865092751</v>
      </c>
      <c r="P2316" s="1">
        <v>4</v>
      </c>
      <c r="Q2316" s="24">
        <v>12.420000000000002</v>
      </c>
      <c r="R2316" s="24">
        <v>91.08</v>
      </c>
      <c r="S2316" s="21">
        <f t="shared" si="110"/>
        <v>0.27993254637436765</v>
      </c>
    </row>
    <row r="2317" spans="2:19" ht="11.4" customHeight="1" x14ac:dyDescent="0.2">
      <c r="B2317" s="24"/>
      <c r="C2317" s="7">
        <v>42685</v>
      </c>
      <c r="D2317" s="18" t="s">
        <v>2412</v>
      </c>
      <c r="E2317" s="18" t="s">
        <v>2302</v>
      </c>
      <c r="F2317" s="17">
        <v>8</v>
      </c>
      <c r="G2317" s="18" t="s">
        <v>23</v>
      </c>
      <c r="H2317" s="17">
        <v>55.32</v>
      </c>
      <c r="I2317" s="8">
        <v>79.900000000000006</v>
      </c>
      <c r="J2317" s="21">
        <f t="shared" si="108"/>
        <v>0.44432393347794658</v>
      </c>
      <c r="K2317" s="1">
        <v>2</v>
      </c>
      <c r="L2317" s="24">
        <v>5.5</v>
      </c>
      <c r="M2317" s="24">
        <v>74.307000000000002</v>
      </c>
      <c r="N2317" s="21">
        <f t="shared" si="109"/>
        <v>0.34322125813449028</v>
      </c>
      <c r="P2317" s="1">
        <v>4</v>
      </c>
      <c r="Q2317" s="24">
        <v>9.5879999999999939</v>
      </c>
      <c r="R2317" s="24">
        <v>70.312000000000012</v>
      </c>
      <c r="S2317" s="21">
        <f t="shared" si="110"/>
        <v>0.27100506146059311</v>
      </c>
    </row>
    <row r="2318" spans="2:19" ht="11.4" customHeight="1" x14ac:dyDescent="0.2">
      <c r="B2318" s="24"/>
      <c r="C2318" s="7">
        <v>10190</v>
      </c>
      <c r="D2318" s="18" t="s">
        <v>2413</v>
      </c>
      <c r="E2318" s="18" t="s">
        <v>2302</v>
      </c>
      <c r="F2318" s="18"/>
      <c r="G2318" s="18" t="s">
        <v>23</v>
      </c>
      <c r="H2318" s="17">
        <v>59.8</v>
      </c>
      <c r="I2318" s="8">
        <v>75.900000000000006</v>
      </c>
      <c r="J2318" s="21">
        <f t="shared" si="108"/>
        <v>0.26923076923076938</v>
      </c>
      <c r="K2318" s="1">
        <v>2</v>
      </c>
      <c r="L2318" s="24">
        <v>5.3</v>
      </c>
      <c r="M2318" s="24">
        <v>70.587000000000003</v>
      </c>
      <c r="N2318" s="21">
        <f t="shared" si="109"/>
        <v>0.1803846153846155</v>
      </c>
      <c r="P2318" s="1">
        <v>4</v>
      </c>
      <c r="Q2318" s="24">
        <v>9.1080000000000041</v>
      </c>
      <c r="R2318" s="24">
        <v>66.792000000000002</v>
      </c>
      <c r="S2318" s="21">
        <f t="shared" si="110"/>
        <v>0.116923076923077</v>
      </c>
    </row>
    <row r="2319" spans="2:19" ht="11.4" customHeight="1" x14ac:dyDescent="0.2">
      <c r="B2319" s="24"/>
      <c r="C2319" s="7">
        <v>42687</v>
      </c>
      <c r="D2319" s="18" t="s">
        <v>2414</v>
      </c>
      <c r="E2319" s="18" t="s">
        <v>2302</v>
      </c>
      <c r="F2319" s="17">
        <v>12</v>
      </c>
      <c r="G2319" s="18" t="s">
        <v>23</v>
      </c>
      <c r="H2319" s="17">
        <v>43.2</v>
      </c>
      <c r="I2319" s="8">
        <v>70.900000000000006</v>
      </c>
      <c r="J2319" s="21">
        <f t="shared" si="108"/>
        <v>0.64120370370370372</v>
      </c>
      <c r="K2319" s="1">
        <v>2</v>
      </c>
      <c r="L2319" s="24">
        <v>4.9000000000000004</v>
      </c>
      <c r="M2319" s="24">
        <v>65.937000000000012</v>
      </c>
      <c r="N2319" s="21">
        <f t="shared" si="109"/>
        <v>0.52631944444444467</v>
      </c>
      <c r="P2319" s="1">
        <v>4</v>
      </c>
      <c r="Q2319" s="24">
        <v>8.5080000000000027</v>
      </c>
      <c r="R2319" s="24">
        <v>62.392000000000003</v>
      </c>
      <c r="S2319" s="21">
        <f t="shared" si="110"/>
        <v>0.44425925925925924</v>
      </c>
    </row>
    <row r="2320" spans="2:19" ht="11.4" customHeight="1" x14ac:dyDescent="0.2">
      <c r="B2320" s="24"/>
      <c r="C2320" s="7">
        <v>43640</v>
      </c>
      <c r="D2320" s="18" t="s">
        <v>2415</v>
      </c>
      <c r="E2320" s="18" t="s">
        <v>2302</v>
      </c>
      <c r="F2320" s="17">
        <v>12</v>
      </c>
      <c r="G2320" s="18" t="s">
        <v>23</v>
      </c>
      <c r="H2320" s="17">
        <v>43.02</v>
      </c>
      <c r="I2320" s="8">
        <v>64.599999999999994</v>
      </c>
      <c r="J2320" s="21">
        <f t="shared" si="108"/>
        <v>0.50162715016271475</v>
      </c>
      <c r="K2320" s="1">
        <v>2</v>
      </c>
      <c r="L2320" s="24">
        <v>4.5</v>
      </c>
      <c r="M2320" s="24">
        <v>60.077999999999996</v>
      </c>
      <c r="N2320" s="21">
        <f t="shared" si="109"/>
        <v>0.39651324965132478</v>
      </c>
      <c r="P2320" s="1">
        <v>4</v>
      </c>
      <c r="Q2320" s="24">
        <v>7.7520000000000024</v>
      </c>
      <c r="R2320" s="24">
        <v>56.847999999999992</v>
      </c>
      <c r="S2320" s="21">
        <f t="shared" si="110"/>
        <v>0.3214318921431889</v>
      </c>
    </row>
    <row r="2321" spans="2:19" ht="11.4" customHeight="1" x14ac:dyDescent="0.2">
      <c r="B2321" s="24"/>
      <c r="C2321" s="7">
        <v>41055</v>
      </c>
      <c r="D2321" s="18" t="s">
        <v>2416</v>
      </c>
      <c r="E2321" s="18" t="s">
        <v>2302</v>
      </c>
      <c r="F2321" s="17">
        <v>12</v>
      </c>
      <c r="G2321" s="18" t="s">
        <v>23</v>
      </c>
      <c r="H2321" s="17">
        <v>38.75</v>
      </c>
      <c r="I2321" s="8">
        <v>80.5</v>
      </c>
      <c r="J2321" s="21">
        <f t="shared" si="108"/>
        <v>1.0774193548387097</v>
      </c>
      <c r="K2321" s="1">
        <v>2</v>
      </c>
      <c r="L2321" s="24">
        <v>5.6</v>
      </c>
      <c r="M2321" s="24">
        <v>74.865000000000009</v>
      </c>
      <c r="N2321" s="21">
        <f t="shared" si="109"/>
        <v>0.93200000000000027</v>
      </c>
      <c r="P2321" s="1">
        <v>4</v>
      </c>
      <c r="Q2321" s="24">
        <v>9.6599999999999966</v>
      </c>
      <c r="R2321" s="24">
        <v>70.84</v>
      </c>
      <c r="S2321" s="21">
        <f t="shared" si="110"/>
        <v>0.82812903225806456</v>
      </c>
    </row>
    <row r="2322" spans="2:19" ht="11.4" customHeight="1" x14ac:dyDescent="0.2">
      <c r="B2322" s="24"/>
      <c r="C2322" s="7">
        <v>41056</v>
      </c>
      <c r="D2322" s="18" t="s">
        <v>2417</v>
      </c>
      <c r="E2322" s="18" t="s">
        <v>2302</v>
      </c>
      <c r="F2322" s="17">
        <v>12</v>
      </c>
      <c r="G2322" s="18" t="s">
        <v>23</v>
      </c>
      <c r="H2322" s="17">
        <v>38.75</v>
      </c>
      <c r="I2322" s="8">
        <v>80.5</v>
      </c>
      <c r="J2322" s="21">
        <f t="shared" si="108"/>
        <v>1.0774193548387097</v>
      </c>
      <c r="K2322" s="1">
        <v>2</v>
      </c>
      <c r="L2322" s="24">
        <v>5.6</v>
      </c>
      <c r="M2322" s="24">
        <v>74.865000000000009</v>
      </c>
      <c r="N2322" s="21">
        <f t="shared" si="109"/>
        <v>0.93200000000000027</v>
      </c>
      <c r="P2322" s="1">
        <v>4</v>
      </c>
      <c r="Q2322" s="24">
        <v>9.6599999999999966</v>
      </c>
      <c r="R2322" s="24">
        <v>70.84</v>
      </c>
      <c r="S2322" s="21">
        <f t="shared" si="110"/>
        <v>0.82812903225806456</v>
      </c>
    </row>
    <row r="2323" spans="2:19" ht="11.4" customHeight="1" x14ac:dyDescent="0.2">
      <c r="B2323" s="24"/>
      <c r="C2323" s="7">
        <v>38928</v>
      </c>
      <c r="D2323" s="18" t="s">
        <v>2418</v>
      </c>
      <c r="E2323" s="18" t="s">
        <v>2302</v>
      </c>
      <c r="F2323" s="17">
        <v>24</v>
      </c>
      <c r="G2323" s="18" t="s">
        <v>23</v>
      </c>
      <c r="H2323" s="17">
        <v>52.9</v>
      </c>
      <c r="I2323" s="8">
        <v>66</v>
      </c>
      <c r="J2323" s="21">
        <f t="shared" si="108"/>
        <v>0.24763705103969758</v>
      </c>
      <c r="K2323" s="1">
        <v>2</v>
      </c>
      <c r="L2323" s="24">
        <v>4.5999999999999996</v>
      </c>
      <c r="M2323" s="24">
        <v>61.38</v>
      </c>
      <c r="N2323" s="21">
        <f t="shared" si="109"/>
        <v>0.16030245746691879</v>
      </c>
      <c r="P2323" s="1">
        <v>4</v>
      </c>
      <c r="Q2323" s="24">
        <v>7.9200000000000017</v>
      </c>
      <c r="R2323" s="24">
        <v>58.08</v>
      </c>
      <c r="S2323" s="21">
        <f t="shared" si="110"/>
        <v>9.7920604914933831E-2</v>
      </c>
    </row>
    <row r="2324" spans="2:19" ht="11.4" customHeight="1" x14ac:dyDescent="0.2">
      <c r="B2324" s="24"/>
      <c r="C2324" s="7">
        <v>38929</v>
      </c>
      <c r="D2324" s="18" t="s">
        <v>2419</v>
      </c>
      <c r="E2324" s="18" t="s">
        <v>2302</v>
      </c>
      <c r="F2324" s="17">
        <v>24</v>
      </c>
      <c r="G2324" s="18" t="s">
        <v>23</v>
      </c>
      <c r="H2324" s="17">
        <v>52.9</v>
      </c>
      <c r="I2324" s="8">
        <v>66</v>
      </c>
      <c r="J2324" s="21">
        <f t="shared" si="108"/>
        <v>0.24763705103969758</v>
      </c>
      <c r="K2324" s="1">
        <v>2</v>
      </c>
      <c r="L2324" s="24">
        <v>4.5999999999999996</v>
      </c>
      <c r="M2324" s="24">
        <v>61.38</v>
      </c>
      <c r="N2324" s="21">
        <f t="shared" si="109"/>
        <v>0.16030245746691879</v>
      </c>
      <c r="P2324" s="1">
        <v>4</v>
      </c>
      <c r="Q2324" s="24">
        <v>7.9200000000000017</v>
      </c>
      <c r="R2324" s="24">
        <v>58.08</v>
      </c>
      <c r="S2324" s="21">
        <f t="shared" si="110"/>
        <v>9.7920604914933831E-2</v>
      </c>
    </row>
    <row r="2325" spans="2:19" ht="11.4" customHeight="1" x14ac:dyDescent="0.2">
      <c r="B2325" s="24"/>
      <c r="C2325" s="7">
        <v>44282</v>
      </c>
      <c r="D2325" s="18" t="s">
        <v>2420</v>
      </c>
      <c r="E2325" s="18" t="s">
        <v>2302</v>
      </c>
      <c r="F2325" s="17">
        <v>24</v>
      </c>
      <c r="G2325" s="18" t="s">
        <v>23</v>
      </c>
      <c r="H2325" s="17">
        <v>33.36</v>
      </c>
      <c r="I2325" s="8">
        <v>52.4</v>
      </c>
      <c r="J2325" s="21">
        <f t="shared" si="108"/>
        <v>0.57074340527577938</v>
      </c>
      <c r="K2325" s="1">
        <v>2</v>
      </c>
      <c r="L2325" s="24">
        <v>3.6</v>
      </c>
      <c r="M2325" s="24">
        <v>48.731999999999999</v>
      </c>
      <c r="N2325" s="21">
        <f t="shared" si="109"/>
        <v>0.46079136690647482</v>
      </c>
      <c r="P2325" s="1">
        <v>4</v>
      </c>
      <c r="Q2325" s="24">
        <v>6.2879999999999967</v>
      </c>
      <c r="R2325" s="24">
        <v>46.112000000000002</v>
      </c>
      <c r="S2325" s="21">
        <f t="shared" si="110"/>
        <v>0.38225419664268595</v>
      </c>
    </row>
    <row r="2326" spans="2:19" ht="11.4" customHeight="1" x14ac:dyDescent="0.2">
      <c r="B2326" s="24"/>
      <c r="C2326" s="7">
        <v>2926</v>
      </c>
      <c r="D2326" s="18" t="s">
        <v>2421</v>
      </c>
      <c r="E2326" s="18" t="s">
        <v>2302</v>
      </c>
      <c r="F2326" s="17">
        <v>12</v>
      </c>
      <c r="G2326" s="18" t="s">
        <v>23</v>
      </c>
      <c r="H2326" s="17">
        <v>95.3</v>
      </c>
      <c r="I2326" s="8">
        <v>99.9</v>
      </c>
      <c r="J2326" s="21">
        <f t="shared" si="108"/>
        <v>4.8268625393494323E-2</v>
      </c>
      <c r="K2326" s="1">
        <v>2</v>
      </c>
      <c r="L2326" s="24">
        <v>6.9</v>
      </c>
      <c r="M2326" s="24">
        <v>92.907000000000011</v>
      </c>
      <c r="N2326" s="21">
        <f t="shared" si="109"/>
        <v>-2.5110178384050226E-2</v>
      </c>
      <c r="P2326" s="1">
        <v>4</v>
      </c>
      <c r="Q2326" s="24">
        <v>11.988</v>
      </c>
      <c r="R2326" s="24">
        <v>87.912000000000006</v>
      </c>
      <c r="S2326" s="21">
        <f t="shared" si="110"/>
        <v>-7.7523609653724984E-2</v>
      </c>
    </row>
    <row r="2327" spans="2:19" ht="11.4" customHeight="1" x14ac:dyDescent="0.2">
      <c r="B2327" s="24"/>
      <c r="C2327" s="7">
        <v>8516</v>
      </c>
      <c r="D2327" s="18" t="s">
        <v>2422</v>
      </c>
      <c r="E2327" s="18" t="s">
        <v>2302</v>
      </c>
      <c r="F2327" s="18"/>
      <c r="G2327" s="18" t="s">
        <v>23</v>
      </c>
      <c r="H2327" s="17">
        <v>59.8</v>
      </c>
      <c r="I2327" s="8">
        <v>75.900000000000006</v>
      </c>
      <c r="J2327" s="21">
        <f t="shared" si="108"/>
        <v>0.26923076923076938</v>
      </c>
      <c r="K2327" s="1">
        <v>2</v>
      </c>
      <c r="L2327" s="24">
        <v>5.3</v>
      </c>
      <c r="M2327" s="24">
        <v>70.587000000000003</v>
      </c>
      <c r="N2327" s="21">
        <f t="shared" si="109"/>
        <v>0.1803846153846155</v>
      </c>
      <c r="P2327" s="1">
        <v>4</v>
      </c>
      <c r="Q2327" s="24">
        <v>9.1080000000000041</v>
      </c>
      <c r="R2327" s="24">
        <v>66.792000000000002</v>
      </c>
      <c r="S2327" s="21">
        <f t="shared" si="110"/>
        <v>0.116923076923077</v>
      </c>
    </row>
    <row r="2328" spans="2:19" ht="11.4" customHeight="1" x14ac:dyDescent="0.2">
      <c r="B2328" s="24"/>
      <c r="C2328" s="7">
        <v>19213</v>
      </c>
      <c r="D2328" s="18" t="s">
        <v>2423</v>
      </c>
      <c r="E2328" s="18" t="s">
        <v>2302</v>
      </c>
      <c r="F2328" s="17">
        <v>8</v>
      </c>
      <c r="G2328" s="18" t="s">
        <v>23</v>
      </c>
      <c r="H2328" s="17">
        <v>69.7</v>
      </c>
      <c r="I2328" s="8">
        <v>66.900000000000006</v>
      </c>
      <c r="J2328" s="21">
        <f t="shared" si="108"/>
        <v>-4.0172166427546584E-2</v>
      </c>
      <c r="K2328" s="1">
        <v>2</v>
      </c>
      <c r="L2328" s="24">
        <v>4.5999999999999996</v>
      </c>
      <c r="M2328" s="24">
        <v>62.217000000000006</v>
      </c>
      <c r="N2328" s="21">
        <f t="shared" si="109"/>
        <v>-0.10736011477761832</v>
      </c>
      <c r="P2328" s="1">
        <v>4</v>
      </c>
      <c r="Q2328" s="24">
        <v>8.0279999999999987</v>
      </c>
      <c r="R2328" s="24">
        <v>58.872000000000007</v>
      </c>
      <c r="S2328" s="21">
        <f t="shared" si="110"/>
        <v>-0.15535150645624096</v>
      </c>
    </row>
    <row r="2329" spans="2:19" ht="11.4" customHeight="1" x14ac:dyDescent="0.2">
      <c r="B2329" s="24"/>
      <c r="C2329" s="7">
        <v>38930</v>
      </c>
      <c r="D2329" s="18" t="s">
        <v>2424</v>
      </c>
      <c r="E2329" s="18" t="s">
        <v>2302</v>
      </c>
      <c r="F2329" s="17">
        <v>12</v>
      </c>
      <c r="G2329" s="18" t="s">
        <v>23</v>
      </c>
      <c r="H2329" s="17">
        <v>93.5</v>
      </c>
      <c r="I2329" s="8">
        <v>117</v>
      </c>
      <c r="J2329" s="21">
        <f t="shared" si="108"/>
        <v>0.25133689839572193</v>
      </c>
      <c r="K2329" s="1">
        <v>2</v>
      </c>
      <c r="L2329" s="24">
        <v>8.1</v>
      </c>
      <c r="M2329" s="24">
        <v>108.81</v>
      </c>
      <c r="N2329" s="21">
        <f t="shared" si="109"/>
        <v>0.1637433155080214</v>
      </c>
      <c r="P2329" s="1">
        <v>4</v>
      </c>
      <c r="Q2329" s="24">
        <v>14.040000000000006</v>
      </c>
      <c r="R2329" s="24">
        <v>102.96</v>
      </c>
      <c r="S2329" s="21">
        <f t="shared" si="110"/>
        <v>0.10117647058823523</v>
      </c>
    </row>
    <row r="2330" spans="2:19" ht="11.4" customHeight="1" x14ac:dyDescent="0.2">
      <c r="B2330" s="24"/>
      <c r="C2330" s="7">
        <v>44283</v>
      </c>
      <c r="D2330" s="18" t="s">
        <v>2425</v>
      </c>
      <c r="E2330" s="18" t="s">
        <v>2302</v>
      </c>
      <c r="F2330" s="17">
        <v>12</v>
      </c>
      <c r="G2330" s="18" t="s">
        <v>23</v>
      </c>
      <c r="H2330" s="17">
        <v>63.12</v>
      </c>
      <c r="I2330" s="8">
        <v>94.7</v>
      </c>
      <c r="J2330" s="21">
        <f t="shared" si="108"/>
        <v>0.50031685678073523</v>
      </c>
      <c r="K2330" s="1">
        <v>2</v>
      </c>
      <c r="L2330" s="24">
        <v>6.6</v>
      </c>
      <c r="M2330" s="24">
        <v>88.071000000000012</v>
      </c>
      <c r="N2330" s="21">
        <f t="shared" si="109"/>
        <v>0.39529467680608388</v>
      </c>
      <c r="P2330" s="1">
        <v>4</v>
      </c>
      <c r="Q2330" s="24">
        <v>11.364000000000004</v>
      </c>
      <c r="R2330" s="24">
        <v>83.335999999999999</v>
      </c>
      <c r="S2330" s="21">
        <f t="shared" si="110"/>
        <v>0.32027883396704693</v>
      </c>
    </row>
    <row r="2331" spans="2:19" ht="11.4" customHeight="1" x14ac:dyDescent="0.2">
      <c r="B2331" s="24"/>
      <c r="C2331" s="7">
        <v>44618</v>
      </c>
      <c r="D2331" s="18" t="s">
        <v>2426</v>
      </c>
      <c r="E2331" s="18" t="s">
        <v>2302</v>
      </c>
      <c r="F2331" s="17">
        <v>12</v>
      </c>
      <c r="G2331" s="18" t="s">
        <v>23</v>
      </c>
      <c r="H2331" s="17">
        <v>38.39</v>
      </c>
      <c r="I2331" s="8">
        <v>61.4</v>
      </c>
      <c r="J2331" s="21">
        <f t="shared" si="108"/>
        <v>0.59937483719718676</v>
      </c>
      <c r="K2331" s="1">
        <v>2</v>
      </c>
      <c r="L2331" s="24">
        <v>4.2</v>
      </c>
      <c r="M2331" s="24">
        <v>57.102000000000004</v>
      </c>
      <c r="N2331" s="21">
        <f t="shared" si="109"/>
        <v>0.48741859859338377</v>
      </c>
      <c r="P2331" s="1">
        <v>4</v>
      </c>
      <c r="Q2331" s="24">
        <v>7.3680000000000021</v>
      </c>
      <c r="R2331" s="24">
        <v>54.031999999999996</v>
      </c>
      <c r="S2331" s="21">
        <f t="shared" si="110"/>
        <v>0.40744985673352424</v>
      </c>
    </row>
    <row r="2332" spans="2:19" ht="11.4" customHeight="1" x14ac:dyDescent="0.2">
      <c r="B2332" s="24"/>
      <c r="C2332" s="7">
        <v>37388</v>
      </c>
      <c r="D2332" s="18" t="s">
        <v>2427</v>
      </c>
      <c r="E2332" s="18" t="s">
        <v>2333</v>
      </c>
      <c r="F2332" s="18"/>
      <c r="G2332" s="18" t="s">
        <v>23</v>
      </c>
      <c r="H2332" s="17">
        <v>74.900000000000006</v>
      </c>
      <c r="I2332" s="8">
        <v>74.900000000000006</v>
      </c>
      <c r="J2332" s="21">
        <f t="shared" si="108"/>
        <v>0</v>
      </c>
      <c r="K2332" s="1">
        <v>2</v>
      </c>
      <c r="L2332" s="24">
        <v>5.2</v>
      </c>
      <c r="M2332" s="24">
        <v>69.657000000000011</v>
      </c>
      <c r="N2332" s="21">
        <f t="shared" si="109"/>
        <v>-6.9999999999999923E-2</v>
      </c>
      <c r="P2332" s="1">
        <v>4</v>
      </c>
      <c r="Q2332" s="24">
        <v>8.9879999999999995</v>
      </c>
      <c r="R2332" s="24">
        <v>65.912000000000006</v>
      </c>
      <c r="S2332" s="21">
        <f t="shared" si="110"/>
        <v>-0.11999999999999998</v>
      </c>
    </row>
    <row r="2333" spans="2:19" ht="11.4" customHeight="1" x14ac:dyDescent="0.2">
      <c r="B2333" s="24"/>
      <c r="C2333" s="7">
        <v>25649</v>
      </c>
      <c r="D2333" s="18" t="s">
        <v>2428</v>
      </c>
      <c r="E2333" s="18" t="s">
        <v>2333</v>
      </c>
      <c r="F2333" s="17">
        <v>6</v>
      </c>
      <c r="G2333" s="18" t="s">
        <v>23</v>
      </c>
      <c r="H2333" s="17">
        <v>72.900000000000006</v>
      </c>
      <c r="I2333" s="8">
        <v>72.900000000000006</v>
      </c>
      <c r="J2333" s="21">
        <f t="shared" si="108"/>
        <v>0</v>
      </c>
      <c r="K2333" s="1">
        <v>2</v>
      </c>
      <c r="L2333" s="24">
        <v>5.0999999999999996</v>
      </c>
      <c r="M2333" s="24">
        <v>67.797000000000011</v>
      </c>
      <c r="N2333" s="21">
        <f t="shared" si="109"/>
        <v>-6.9999999999999923E-2</v>
      </c>
      <c r="P2333" s="1">
        <v>4</v>
      </c>
      <c r="Q2333" s="24">
        <v>8.7480000000000047</v>
      </c>
      <c r="R2333" s="24">
        <v>64.152000000000001</v>
      </c>
      <c r="S2333" s="21">
        <f t="shared" si="110"/>
        <v>-0.12000000000000005</v>
      </c>
    </row>
    <row r="2334" spans="2:19" ht="11.4" customHeight="1" x14ac:dyDescent="0.2">
      <c r="B2334" s="24"/>
      <c r="C2334" s="7">
        <v>25652</v>
      </c>
      <c r="D2334" s="18" t="s">
        <v>2429</v>
      </c>
      <c r="E2334" s="18" t="s">
        <v>2333</v>
      </c>
      <c r="F2334" s="17">
        <v>12</v>
      </c>
      <c r="G2334" s="18" t="s">
        <v>23</v>
      </c>
      <c r="H2334" s="17">
        <v>75.900000000000006</v>
      </c>
      <c r="I2334" s="8">
        <v>75.900000000000006</v>
      </c>
      <c r="J2334" s="21">
        <f t="shared" si="108"/>
        <v>0</v>
      </c>
      <c r="K2334" s="1">
        <v>2</v>
      </c>
      <c r="L2334" s="24">
        <v>5.3</v>
      </c>
      <c r="M2334" s="24">
        <v>70.587000000000003</v>
      </c>
      <c r="N2334" s="21">
        <f t="shared" si="109"/>
        <v>-7.0000000000000021E-2</v>
      </c>
      <c r="P2334" s="1">
        <v>4</v>
      </c>
      <c r="Q2334" s="24">
        <v>9.1080000000000041</v>
      </c>
      <c r="R2334" s="24">
        <v>66.792000000000002</v>
      </c>
      <c r="S2334" s="21">
        <f t="shared" si="110"/>
        <v>-0.12000000000000005</v>
      </c>
    </row>
    <row r="2335" spans="2:19" ht="11.4" customHeight="1" x14ac:dyDescent="0.2">
      <c r="B2335" s="24"/>
      <c r="C2335" s="7">
        <v>37375</v>
      </c>
      <c r="D2335" s="18" t="s">
        <v>2430</v>
      </c>
      <c r="E2335" s="18" t="s">
        <v>2333</v>
      </c>
      <c r="F2335" s="18"/>
      <c r="G2335" s="18" t="s">
        <v>23</v>
      </c>
      <c r="H2335" s="17">
        <v>67.900000000000006</v>
      </c>
      <c r="I2335" s="8">
        <v>67.900000000000006</v>
      </c>
      <c r="J2335" s="21">
        <f t="shared" si="108"/>
        <v>0</v>
      </c>
      <c r="K2335" s="1">
        <v>2</v>
      </c>
      <c r="L2335" s="24">
        <v>4.7</v>
      </c>
      <c r="M2335" s="24">
        <v>63.147000000000006</v>
      </c>
      <c r="N2335" s="21">
        <f t="shared" si="109"/>
        <v>-6.9999999999999993E-2</v>
      </c>
      <c r="P2335" s="1">
        <v>4</v>
      </c>
      <c r="Q2335" s="24">
        <v>8.1480000000000032</v>
      </c>
      <c r="R2335" s="24">
        <v>59.752000000000002</v>
      </c>
      <c r="S2335" s="21">
        <f t="shared" si="110"/>
        <v>-0.12000000000000004</v>
      </c>
    </row>
    <row r="2336" spans="2:19" ht="11.4" customHeight="1" x14ac:dyDescent="0.2">
      <c r="B2336" s="24"/>
      <c r="C2336" s="7">
        <v>37376</v>
      </c>
      <c r="D2336" s="18" t="s">
        <v>2431</v>
      </c>
      <c r="E2336" s="18" t="s">
        <v>2333</v>
      </c>
      <c r="F2336" s="18"/>
      <c r="G2336" s="18" t="s">
        <v>23</v>
      </c>
      <c r="H2336" s="17">
        <v>71.900000000000006</v>
      </c>
      <c r="I2336" s="8">
        <v>71.900000000000006</v>
      </c>
      <c r="J2336" s="21">
        <f t="shared" si="108"/>
        <v>0</v>
      </c>
      <c r="K2336" s="1">
        <v>2</v>
      </c>
      <c r="L2336" s="24">
        <v>5</v>
      </c>
      <c r="M2336" s="24">
        <v>66.867000000000004</v>
      </c>
      <c r="N2336" s="21">
        <f t="shared" si="109"/>
        <v>-7.0000000000000007E-2</v>
      </c>
      <c r="P2336" s="1">
        <v>4</v>
      </c>
      <c r="Q2336" s="24">
        <v>8.6280000000000001</v>
      </c>
      <c r="R2336" s="24">
        <v>63.272000000000006</v>
      </c>
      <c r="S2336" s="21">
        <f t="shared" si="110"/>
        <v>-0.12</v>
      </c>
    </row>
    <row r="2337" spans="2:19" ht="11.4" customHeight="1" x14ac:dyDescent="0.2">
      <c r="B2337" s="24"/>
      <c r="C2337" s="7">
        <v>37377</v>
      </c>
      <c r="D2337" s="18" t="s">
        <v>2432</v>
      </c>
      <c r="E2337" s="18" t="s">
        <v>2333</v>
      </c>
      <c r="F2337" s="18"/>
      <c r="G2337" s="18" t="s">
        <v>23</v>
      </c>
      <c r="H2337" s="17">
        <v>70.900000000000006</v>
      </c>
      <c r="I2337" s="8">
        <v>70.900000000000006</v>
      </c>
      <c r="J2337" s="21">
        <f t="shared" si="108"/>
        <v>0</v>
      </c>
      <c r="K2337" s="1">
        <v>2</v>
      </c>
      <c r="L2337" s="24">
        <v>4.9000000000000004</v>
      </c>
      <c r="M2337" s="24">
        <v>65.937000000000012</v>
      </c>
      <c r="N2337" s="21">
        <f t="shared" si="109"/>
        <v>-6.999999999999991E-2</v>
      </c>
      <c r="P2337" s="1">
        <v>4</v>
      </c>
      <c r="Q2337" s="24">
        <v>8.5080000000000027</v>
      </c>
      <c r="R2337" s="24">
        <v>62.392000000000003</v>
      </c>
      <c r="S2337" s="21">
        <f t="shared" si="110"/>
        <v>-0.12000000000000002</v>
      </c>
    </row>
    <row r="2338" spans="2:19" ht="11.4" customHeight="1" x14ac:dyDescent="0.2">
      <c r="B2338" s="24"/>
      <c r="C2338" s="7">
        <v>37378</v>
      </c>
      <c r="D2338" s="18" t="s">
        <v>2433</v>
      </c>
      <c r="E2338" s="18" t="s">
        <v>2333</v>
      </c>
      <c r="F2338" s="18"/>
      <c r="G2338" s="18" t="s">
        <v>23</v>
      </c>
      <c r="H2338" s="17">
        <v>68.900000000000006</v>
      </c>
      <c r="I2338" s="8">
        <v>68.900000000000006</v>
      </c>
      <c r="J2338" s="21">
        <f t="shared" si="108"/>
        <v>0</v>
      </c>
      <c r="K2338" s="1">
        <v>2</v>
      </c>
      <c r="L2338" s="24">
        <v>4.8</v>
      </c>
      <c r="M2338" s="24">
        <v>64.077000000000012</v>
      </c>
      <c r="N2338" s="21">
        <f t="shared" si="109"/>
        <v>-6.9999999999999896E-2</v>
      </c>
      <c r="P2338" s="1">
        <v>4</v>
      </c>
      <c r="Q2338" s="24">
        <v>8.2680000000000007</v>
      </c>
      <c r="R2338" s="24">
        <v>60.632000000000005</v>
      </c>
      <c r="S2338" s="21">
        <f t="shared" si="110"/>
        <v>-0.12</v>
      </c>
    </row>
    <row r="2339" spans="2:19" ht="11.4" customHeight="1" x14ac:dyDescent="0.2">
      <c r="B2339" s="24"/>
      <c r="C2339" s="7">
        <v>37379</v>
      </c>
      <c r="D2339" s="18" t="s">
        <v>2434</v>
      </c>
      <c r="E2339" s="18" t="s">
        <v>2333</v>
      </c>
      <c r="F2339" s="18"/>
      <c r="G2339" s="18" t="s">
        <v>23</v>
      </c>
      <c r="H2339" s="17">
        <v>71.900000000000006</v>
      </c>
      <c r="I2339" s="8">
        <v>71.900000000000006</v>
      </c>
      <c r="J2339" s="21">
        <f t="shared" si="108"/>
        <v>0</v>
      </c>
      <c r="K2339" s="1">
        <v>2</v>
      </c>
      <c r="L2339" s="24">
        <v>5</v>
      </c>
      <c r="M2339" s="24">
        <v>66.867000000000004</v>
      </c>
      <c r="N2339" s="21">
        <f t="shared" si="109"/>
        <v>-7.0000000000000007E-2</v>
      </c>
      <c r="P2339" s="1">
        <v>4</v>
      </c>
      <c r="Q2339" s="24">
        <v>8.6280000000000001</v>
      </c>
      <c r="R2339" s="24">
        <v>63.272000000000006</v>
      </c>
      <c r="S2339" s="21">
        <f t="shared" si="110"/>
        <v>-0.12</v>
      </c>
    </row>
    <row r="2340" spans="2:19" ht="11.4" customHeight="1" x14ac:dyDescent="0.2">
      <c r="B2340" s="24"/>
      <c r="C2340" s="7">
        <v>37380</v>
      </c>
      <c r="D2340" s="18" t="s">
        <v>2435</v>
      </c>
      <c r="E2340" s="18" t="s">
        <v>2333</v>
      </c>
      <c r="F2340" s="18"/>
      <c r="G2340" s="18" t="s">
        <v>23</v>
      </c>
      <c r="H2340" s="17">
        <v>68.900000000000006</v>
      </c>
      <c r="I2340" s="8">
        <v>68.900000000000006</v>
      </c>
      <c r="J2340" s="21">
        <f t="shared" si="108"/>
        <v>0</v>
      </c>
      <c r="K2340" s="1">
        <v>2</v>
      </c>
      <c r="L2340" s="24">
        <v>4.8</v>
      </c>
      <c r="M2340" s="24">
        <v>64.077000000000012</v>
      </c>
      <c r="N2340" s="21">
        <f t="shared" si="109"/>
        <v>-6.9999999999999896E-2</v>
      </c>
      <c r="P2340" s="1">
        <v>4</v>
      </c>
      <c r="Q2340" s="24">
        <v>8.2680000000000007</v>
      </c>
      <c r="R2340" s="24">
        <v>60.632000000000005</v>
      </c>
      <c r="S2340" s="21">
        <f t="shared" si="110"/>
        <v>-0.12</v>
      </c>
    </row>
    <row r="2341" spans="2:19" ht="11.4" customHeight="1" x14ac:dyDescent="0.2">
      <c r="B2341" s="24"/>
      <c r="C2341" s="7">
        <v>37381</v>
      </c>
      <c r="D2341" s="18" t="s">
        <v>2436</v>
      </c>
      <c r="E2341" s="18" t="s">
        <v>2333</v>
      </c>
      <c r="F2341" s="18"/>
      <c r="G2341" s="18" t="s">
        <v>23</v>
      </c>
      <c r="H2341" s="17">
        <v>78.900000000000006</v>
      </c>
      <c r="I2341" s="8">
        <v>78.900000000000006</v>
      </c>
      <c r="J2341" s="21">
        <f t="shared" si="108"/>
        <v>0</v>
      </c>
      <c r="K2341" s="1">
        <v>2</v>
      </c>
      <c r="L2341" s="24">
        <v>5.5</v>
      </c>
      <c r="M2341" s="24">
        <v>73.37700000000001</v>
      </c>
      <c r="N2341" s="21">
        <f t="shared" si="109"/>
        <v>-6.9999999999999951E-2</v>
      </c>
      <c r="P2341" s="1">
        <v>4</v>
      </c>
      <c r="Q2341" s="24">
        <v>9.4680000000000035</v>
      </c>
      <c r="R2341" s="24">
        <v>69.432000000000002</v>
      </c>
      <c r="S2341" s="21">
        <f t="shared" si="110"/>
        <v>-0.12000000000000004</v>
      </c>
    </row>
    <row r="2342" spans="2:19" ht="11.4" customHeight="1" x14ac:dyDescent="0.2">
      <c r="B2342" s="24"/>
      <c r="C2342" s="7">
        <v>25651</v>
      </c>
      <c r="D2342" s="18" t="s">
        <v>2437</v>
      </c>
      <c r="E2342" s="18" t="s">
        <v>2333</v>
      </c>
      <c r="F2342" s="17">
        <v>6</v>
      </c>
      <c r="G2342" s="18" t="s">
        <v>23</v>
      </c>
      <c r="H2342" s="17">
        <v>72.900000000000006</v>
      </c>
      <c r="I2342" s="8">
        <v>72.900000000000006</v>
      </c>
      <c r="J2342" s="21">
        <f t="shared" si="108"/>
        <v>0</v>
      </c>
      <c r="K2342" s="1">
        <v>2</v>
      </c>
      <c r="L2342" s="24">
        <v>5.0999999999999996</v>
      </c>
      <c r="M2342" s="24">
        <v>67.797000000000011</v>
      </c>
      <c r="N2342" s="21">
        <f t="shared" si="109"/>
        <v>-6.9999999999999923E-2</v>
      </c>
      <c r="P2342" s="1">
        <v>4</v>
      </c>
      <c r="Q2342" s="24">
        <v>8.7480000000000047</v>
      </c>
      <c r="R2342" s="24">
        <v>64.152000000000001</v>
      </c>
      <c r="S2342" s="21">
        <f t="shared" si="110"/>
        <v>-0.12000000000000005</v>
      </c>
    </row>
    <row r="2343" spans="2:19" ht="11.4" customHeight="1" x14ac:dyDescent="0.2">
      <c r="B2343" s="24"/>
      <c r="C2343" s="7">
        <v>25653</v>
      </c>
      <c r="D2343" s="18" t="s">
        <v>2438</v>
      </c>
      <c r="E2343" s="18" t="s">
        <v>2333</v>
      </c>
      <c r="F2343" s="17">
        <v>6</v>
      </c>
      <c r="G2343" s="18" t="s">
        <v>23</v>
      </c>
      <c r="H2343" s="17">
        <v>74.900000000000006</v>
      </c>
      <c r="I2343" s="8">
        <v>74.900000000000006</v>
      </c>
      <c r="J2343" s="21">
        <f t="shared" si="108"/>
        <v>0</v>
      </c>
      <c r="K2343" s="1">
        <v>2</v>
      </c>
      <c r="L2343" s="24">
        <v>5.2</v>
      </c>
      <c r="M2343" s="24">
        <v>69.657000000000011</v>
      </c>
      <c r="N2343" s="21">
        <f t="shared" si="109"/>
        <v>-6.9999999999999923E-2</v>
      </c>
      <c r="P2343" s="1">
        <v>4</v>
      </c>
      <c r="Q2343" s="24">
        <v>8.9879999999999995</v>
      </c>
      <c r="R2343" s="24">
        <v>65.912000000000006</v>
      </c>
      <c r="S2343" s="21">
        <f t="shared" si="110"/>
        <v>-0.11999999999999998</v>
      </c>
    </row>
    <row r="2344" spans="2:19" ht="11.4" customHeight="1" x14ac:dyDescent="0.2">
      <c r="B2344" s="24"/>
      <c r="C2344" s="7">
        <v>39064</v>
      </c>
      <c r="D2344" s="18" t="s">
        <v>2439</v>
      </c>
      <c r="E2344" s="18" t="s">
        <v>2302</v>
      </c>
      <c r="F2344" s="17">
        <v>10</v>
      </c>
      <c r="G2344" s="18" t="s">
        <v>23</v>
      </c>
      <c r="H2344" s="17">
        <v>89.5</v>
      </c>
      <c r="I2344" s="8">
        <v>110.2</v>
      </c>
      <c r="J2344" s="21">
        <f t="shared" si="108"/>
        <v>0.23128491620111735</v>
      </c>
      <c r="K2344" s="1">
        <v>2</v>
      </c>
      <c r="L2344" s="24">
        <v>7.7</v>
      </c>
      <c r="M2344" s="24">
        <v>102.486</v>
      </c>
      <c r="N2344" s="21">
        <f t="shared" si="109"/>
        <v>0.14509497206703914</v>
      </c>
      <c r="P2344" s="1">
        <v>4</v>
      </c>
      <c r="Q2344" s="24">
        <v>13.224000000000004</v>
      </c>
      <c r="R2344" s="24">
        <v>96.975999999999999</v>
      </c>
      <c r="S2344" s="21">
        <f t="shared" si="110"/>
        <v>8.3530726256983226E-2</v>
      </c>
    </row>
    <row r="2345" spans="2:19" ht="11.4" customHeight="1" x14ac:dyDescent="0.2">
      <c r="B2345" s="24"/>
      <c r="C2345" s="7">
        <v>39260</v>
      </c>
      <c r="D2345" s="18" t="s">
        <v>2440</v>
      </c>
      <c r="E2345" s="18" t="s">
        <v>2302</v>
      </c>
      <c r="F2345" s="17">
        <v>12</v>
      </c>
      <c r="G2345" s="18" t="s">
        <v>23</v>
      </c>
      <c r="H2345" s="17">
        <v>61.9</v>
      </c>
      <c r="I2345" s="8">
        <v>85.9</v>
      </c>
      <c r="J2345" s="21">
        <f t="shared" si="108"/>
        <v>0.38772213247172871</v>
      </c>
      <c r="K2345" s="1">
        <v>2</v>
      </c>
      <c r="L2345" s="24">
        <v>6</v>
      </c>
      <c r="M2345" s="24">
        <v>79.887000000000015</v>
      </c>
      <c r="N2345" s="21">
        <f t="shared" si="109"/>
        <v>0.29058158319870786</v>
      </c>
      <c r="P2345" s="1">
        <v>4</v>
      </c>
      <c r="Q2345" s="24">
        <v>10.308000000000007</v>
      </c>
      <c r="R2345" s="24">
        <v>75.591999999999999</v>
      </c>
      <c r="S2345" s="21">
        <f t="shared" si="110"/>
        <v>0.22119547657512117</v>
      </c>
    </row>
    <row r="2346" spans="2:19" ht="11.4" customHeight="1" x14ac:dyDescent="0.2">
      <c r="B2346" s="24"/>
      <c r="C2346" s="7">
        <v>8630</v>
      </c>
      <c r="D2346" s="18" t="s">
        <v>2441</v>
      </c>
      <c r="E2346" s="18" t="s">
        <v>1361</v>
      </c>
      <c r="F2346" s="17">
        <v>24</v>
      </c>
      <c r="G2346" s="18" t="s">
        <v>23</v>
      </c>
      <c r="H2346" s="17">
        <v>59.52</v>
      </c>
      <c r="I2346" s="8">
        <v>129</v>
      </c>
      <c r="J2346" s="21">
        <f t="shared" si="108"/>
        <v>1.167338709677419</v>
      </c>
      <c r="K2346" s="1">
        <v>2</v>
      </c>
      <c r="L2346" s="24">
        <v>9</v>
      </c>
      <c r="M2346" s="24">
        <v>119.97000000000001</v>
      </c>
      <c r="N2346" s="21">
        <f t="shared" si="109"/>
        <v>1.0156250000000002</v>
      </c>
      <c r="P2346" s="1">
        <v>4</v>
      </c>
      <c r="Q2346" s="24">
        <v>15.480000000000004</v>
      </c>
      <c r="R2346" s="24">
        <v>113.52</v>
      </c>
      <c r="S2346" s="21">
        <f t="shared" si="110"/>
        <v>0.90725806451612889</v>
      </c>
    </row>
    <row r="2347" spans="2:19" ht="11.4" customHeight="1" x14ac:dyDescent="0.2">
      <c r="B2347" s="24"/>
      <c r="C2347" s="7">
        <v>39265</v>
      </c>
      <c r="D2347" s="18" t="s">
        <v>2442</v>
      </c>
      <c r="E2347" s="18" t="s">
        <v>1361</v>
      </c>
      <c r="F2347" s="17">
        <v>24</v>
      </c>
      <c r="G2347" s="18" t="s">
        <v>23</v>
      </c>
      <c r="H2347" s="17">
        <v>95.9</v>
      </c>
      <c r="I2347" s="8">
        <v>139.5</v>
      </c>
      <c r="J2347" s="21">
        <f t="shared" si="108"/>
        <v>0.45464025026068811</v>
      </c>
      <c r="K2347" s="1">
        <v>2</v>
      </c>
      <c r="L2347" s="24">
        <v>9.6999999999999993</v>
      </c>
      <c r="M2347" s="24">
        <v>129.73500000000001</v>
      </c>
      <c r="N2347" s="21">
        <f t="shared" si="109"/>
        <v>0.35281543274244009</v>
      </c>
      <c r="P2347" s="1">
        <v>4</v>
      </c>
      <c r="Q2347" s="24">
        <v>16.739999999999995</v>
      </c>
      <c r="R2347" s="24">
        <v>122.76</v>
      </c>
      <c r="S2347" s="21">
        <f t="shared" si="110"/>
        <v>0.28008342022940563</v>
      </c>
    </row>
    <row r="2348" spans="2:19" ht="11.4" customHeight="1" x14ac:dyDescent="0.2">
      <c r="B2348" s="24"/>
      <c r="C2348" s="7">
        <v>2090</v>
      </c>
      <c r="D2348" s="18" t="s">
        <v>2443</v>
      </c>
      <c r="E2348" s="18" t="s">
        <v>1361</v>
      </c>
      <c r="F2348" s="17">
        <v>24</v>
      </c>
      <c r="G2348" s="18" t="s">
        <v>23</v>
      </c>
      <c r="H2348" s="17">
        <v>98.9</v>
      </c>
      <c r="I2348" s="8">
        <v>106.9</v>
      </c>
      <c r="J2348" s="21">
        <f t="shared" si="108"/>
        <v>8.0889787664307378E-2</v>
      </c>
      <c r="K2348" s="1">
        <v>2</v>
      </c>
      <c r="L2348" s="24">
        <v>7.4</v>
      </c>
      <c r="M2348" s="24">
        <v>99.417000000000016</v>
      </c>
      <c r="N2348" s="21">
        <f t="shared" si="109"/>
        <v>5.2275025278059667E-3</v>
      </c>
      <c r="P2348" s="1">
        <v>4</v>
      </c>
      <c r="Q2348" s="24">
        <v>12.828000000000003</v>
      </c>
      <c r="R2348" s="24">
        <v>94.072000000000003</v>
      </c>
      <c r="S2348" s="21">
        <f t="shared" si="110"/>
        <v>-4.8816986855409535E-2</v>
      </c>
    </row>
    <row r="2349" spans="2:19" ht="11.4" customHeight="1" x14ac:dyDescent="0.2">
      <c r="B2349" s="24"/>
      <c r="C2349" s="7">
        <v>43255</v>
      </c>
      <c r="D2349" s="18" t="s">
        <v>2444</v>
      </c>
      <c r="E2349" s="18" t="s">
        <v>1361</v>
      </c>
      <c r="F2349" s="17">
        <v>24</v>
      </c>
      <c r="G2349" s="18" t="s">
        <v>23</v>
      </c>
      <c r="H2349" s="17">
        <v>54</v>
      </c>
      <c r="I2349" s="8">
        <v>109</v>
      </c>
      <c r="J2349" s="21">
        <f t="shared" si="108"/>
        <v>1.0185185185185186</v>
      </c>
      <c r="K2349" s="1">
        <v>2</v>
      </c>
      <c r="L2349" s="24">
        <v>7.6</v>
      </c>
      <c r="M2349" s="24">
        <v>101.37</v>
      </c>
      <c r="N2349" s="21">
        <f t="shared" si="109"/>
        <v>0.87722222222222235</v>
      </c>
      <c r="P2349" s="1">
        <v>4</v>
      </c>
      <c r="Q2349" s="24">
        <v>13.079999999999998</v>
      </c>
      <c r="R2349" s="24">
        <v>95.92</v>
      </c>
      <c r="S2349" s="21">
        <f t="shared" si="110"/>
        <v>0.77629629629629637</v>
      </c>
    </row>
    <row r="2350" spans="2:19" ht="11.4" customHeight="1" x14ac:dyDescent="0.2">
      <c r="B2350" s="24"/>
      <c r="C2350" s="7">
        <v>8631</v>
      </c>
      <c r="D2350" s="18" t="s">
        <v>2445</v>
      </c>
      <c r="E2350" s="18" t="s">
        <v>1361</v>
      </c>
      <c r="F2350" s="17">
        <v>24</v>
      </c>
      <c r="G2350" s="18" t="s">
        <v>23</v>
      </c>
      <c r="H2350" s="17">
        <v>49.56</v>
      </c>
      <c r="I2350" s="8">
        <v>119</v>
      </c>
      <c r="J2350" s="21">
        <f t="shared" si="108"/>
        <v>1.4011299435028248</v>
      </c>
      <c r="K2350" s="1">
        <v>2</v>
      </c>
      <c r="L2350" s="24">
        <v>8.3000000000000007</v>
      </c>
      <c r="M2350" s="24">
        <v>110.67</v>
      </c>
      <c r="N2350" s="21">
        <f t="shared" si="109"/>
        <v>1.2330508474576269</v>
      </c>
      <c r="P2350" s="1">
        <v>4</v>
      </c>
      <c r="Q2350" s="24">
        <v>14.280000000000001</v>
      </c>
      <c r="R2350" s="24">
        <v>104.72</v>
      </c>
      <c r="S2350" s="21">
        <f t="shared" si="110"/>
        <v>1.1129943502824857</v>
      </c>
    </row>
    <row r="2351" spans="2:19" ht="11.4" customHeight="1" x14ac:dyDescent="0.2">
      <c r="B2351" s="24"/>
      <c r="C2351" s="7">
        <v>39264</v>
      </c>
      <c r="D2351" s="18" t="s">
        <v>2446</v>
      </c>
      <c r="E2351" s="18" t="s">
        <v>1361</v>
      </c>
      <c r="F2351" s="17">
        <v>24</v>
      </c>
      <c r="G2351" s="18" t="s">
        <v>23</v>
      </c>
      <c r="H2351" s="17">
        <v>89.9</v>
      </c>
      <c r="I2351" s="8">
        <v>119.5</v>
      </c>
      <c r="J2351" s="21">
        <f t="shared" si="108"/>
        <v>0.32925472747497209</v>
      </c>
      <c r="K2351" s="1">
        <v>2</v>
      </c>
      <c r="L2351" s="24">
        <v>8.3000000000000007</v>
      </c>
      <c r="M2351" s="24">
        <v>111.13500000000001</v>
      </c>
      <c r="N2351" s="21">
        <f t="shared" si="109"/>
        <v>0.23620689655172411</v>
      </c>
      <c r="P2351" s="1">
        <v>4</v>
      </c>
      <c r="Q2351" s="24">
        <v>14.340000000000003</v>
      </c>
      <c r="R2351" s="24">
        <v>105.16</v>
      </c>
      <c r="S2351" s="21">
        <f t="shared" si="110"/>
        <v>0.16974416017797542</v>
      </c>
    </row>
    <row r="2352" spans="2:19" ht="11.4" customHeight="1" x14ac:dyDescent="0.2">
      <c r="B2352" s="24"/>
      <c r="C2352" s="7">
        <v>18549</v>
      </c>
      <c r="D2352" s="18" t="s">
        <v>2447</v>
      </c>
      <c r="E2352" s="18" t="s">
        <v>1361</v>
      </c>
      <c r="F2352" s="17">
        <v>24</v>
      </c>
      <c r="G2352" s="18" t="s">
        <v>23</v>
      </c>
      <c r="H2352" s="17">
        <v>93.5</v>
      </c>
      <c r="I2352" s="8">
        <v>89.9</v>
      </c>
      <c r="J2352" s="21">
        <f t="shared" si="108"/>
        <v>-3.8502673796791384E-2</v>
      </c>
      <c r="K2352" s="1">
        <v>2</v>
      </c>
      <c r="L2352" s="24">
        <v>6.2</v>
      </c>
      <c r="M2352" s="24">
        <v>83.607000000000014</v>
      </c>
      <c r="N2352" s="21">
        <f t="shared" si="109"/>
        <v>-0.1058074866310159</v>
      </c>
      <c r="P2352" s="1">
        <v>4</v>
      </c>
      <c r="Q2352" s="24">
        <v>10.787999999999997</v>
      </c>
      <c r="R2352" s="24">
        <v>79.112000000000009</v>
      </c>
      <c r="S2352" s="21">
        <f t="shared" si="110"/>
        <v>-0.15388235294117639</v>
      </c>
    </row>
    <row r="2353" spans="2:19" ht="11.4" customHeight="1" x14ac:dyDescent="0.2">
      <c r="B2353" s="24"/>
      <c r="C2353" s="7">
        <v>44611</v>
      </c>
      <c r="D2353" s="18" t="s">
        <v>2448</v>
      </c>
      <c r="E2353" s="18" t="s">
        <v>1361</v>
      </c>
      <c r="F2353" s="17">
        <v>24</v>
      </c>
      <c r="G2353" s="18" t="s">
        <v>23</v>
      </c>
      <c r="H2353" s="17">
        <v>72.87</v>
      </c>
      <c r="I2353" s="8">
        <v>115.9</v>
      </c>
      <c r="J2353" s="21">
        <f t="shared" si="108"/>
        <v>0.59050363661314664</v>
      </c>
      <c r="K2353" s="1">
        <v>2</v>
      </c>
      <c r="L2353" s="24">
        <v>8.1</v>
      </c>
      <c r="M2353" s="24">
        <v>107.78700000000001</v>
      </c>
      <c r="N2353" s="21">
        <f t="shared" si="109"/>
        <v>0.47916838205022644</v>
      </c>
      <c r="P2353" s="1">
        <v>4</v>
      </c>
      <c r="Q2353" s="24">
        <v>13.908000000000001</v>
      </c>
      <c r="R2353" s="24">
        <v>101.992</v>
      </c>
      <c r="S2353" s="21">
        <f t="shared" si="110"/>
        <v>0.39964320021956906</v>
      </c>
    </row>
    <row r="2354" spans="2:19" ht="11.4" customHeight="1" x14ac:dyDescent="0.2">
      <c r="B2354" s="24"/>
      <c r="C2354" s="7">
        <v>38424</v>
      </c>
      <c r="D2354" s="18" t="s">
        <v>2449</v>
      </c>
      <c r="E2354" s="18" t="s">
        <v>1361</v>
      </c>
      <c r="F2354" s="17">
        <v>24</v>
      </c>
      <c r="G2354" s="18" t="s">
        <v>23</v>
      </c>
      <c r="H2354" s="17">
        <v>99.5</v>
      </c>
      <c r="I2354" s="8">
        <v>99.5</v>
      </c>
      <c r="J2354" s="21">
        <f t="shared" si="108"/>
        <v>0</v>
      </c>
      <c r="K2354" s="1">
        <v>2</v>
      </c>
      <c r="L2354" s="24">
        <v>6.9</v>
      </c>
      <c r="M2354" s="24">
        <v>92.535000000000011</v>
      </c>
      <c r="N2354" s="21">
        <f t="shared" si="109"/>
        <v>-6.9999999999999896E-2</v>
      </c>
      <c r="P2354" s="1">
        <v>4</v>
      </c>
      <c r="Q2354" s="24">
        <v>11.939999999999998</v>
      </c>
      <c r="R2354" s="24">
        <v>87.56</v>
      </c>
      <c r="S2354" s="21">
        <f t="shared" si="110"/>
        <v>-0.11999999999999998</v>
      </c>
    </row>
    <row r="2355" spans="2:19" ht="11.4" customHeight="1" x14ac:dyDescent="0.2">
      <c r="B2355" s="24"/>
      <c r="C2355" s="7">
        <v>38973</v>
      </c>
      <c r="D2355" s="18" t="s">
        <v>2450</v>
      </c>
      <c r="E2355" s="18" t="s">
        <v>1361</v>
      </c>
      <c r="F2355" s="17">
        <v>15</v>
      </c>
      <c r="G2355" s="18" t="s">
        <v>23</v>
      </c>
      <c r="H2355" s="17">
        <v>89.5</v>
      </c>
      <c r="I2355" s="8">
        <v>89.5</v>
      </c>
      <c r="J2355" s="21">
        <f t="shared" si="108"/>
        <v>0</v>
      </c>
      <c r="K2355" s="1">
        <v>2</v>
      </c>
      <c r="L2355" s="24">
        <v>6.2</v>
      </c>
      <c r="M2355" s="24">
        <v>83.234999999999999</v>
      </c>
      <c r="N2355" s="21">
        <f t="shared" si="109"/>
        <v>-7.0000000000000007E-2</v>
      </c>
      <c r="P2355" s="1">
        <v>4</v>
      </c>
      <c r="Q2355" s="24">
        <v>10.739999999999995</v>
      </c>
      <c r="R2355" s="24">
        <v>78.760000000000005</v>
      </c>
      <c r="S2355" s="21">
        <f t="shared" si="110"/>
        <v>-0.11999999999999994</v>
      </c>
    </row>
    <row r="2356" spans="2:19" ht="11.4" customHeight="1" x14ac:dyDescent="0.2">
      <c r="B2356" s="24"/>
      <c r="C2356" s="7">
        <v>38972</v>
      </c>
      <c r="D2356" s="18" t="s">
        <v>2451</v>
      </c>
      <c r="E2356" s="18" t="s">
        <v>1361</v>
      </c>
      <c r="F2356" s="17">
        <v>15</v>
      </c>
      <c r="G2356" s="18" t="s">
        <v>23</v>
      </c>
      <c r="H2356" s="17">
        <v>89.5</v>
      </c>
      <c r="I2356" s="8">
        <v>89.5</v>
      </c>
      <c r="J2356" s="21">
        <f t="shared" si="108"/>
        <v>0</v>
      </c>
      <c r="K2356" s="1">
        <v>2</v>
      </c>
      <c r="L2356" s="24">
        <v>6.2</v>
      </c>
      <c r="M2356" s="24">
        <v>83.234999999999999</v>
      </c>
      <c r="N2356" s="21">
        <f t="shared" si="109"/>
        <v>-7.0000000000000007E-2</v>
      </c>
      <c r="P2356" s="1">
        <v>4</v>
      </c>
      <c r="Q2356" s="24">
        <v>10.739999999999995</v>
      </c>
      <c r="R2356" s="24">
        <v>78.760000000000005</v>
      </c>
      <c r="S2356" s="21">
        <f t="shared" si="110"/>
        <v>-0.11999999999999994</v>
      </c>
    </row>
    <row r="2357" spans="2:19" ht="11.4" customHeight="1" x14ac:dyDescent="0.2">
      <c r="B2357" s="24"/>
      <c r="C2357" s="7">
        <v>40396</v>
      </c>
      <c r="D2357" s="18" t="s">
        <v>2452</v>
      </c>
      <c r="E2357" s="18" t="s">
        <v>1361</v>
      </c>
      <c r="F2357" s="17">
        <v>20</v>
      </c>
      <c r="G2357" s="18" t="s">
        <v>23</v>
      </c>
      <c r="H2357" s="17">
        <v>70.62</v>
      </c>
      <c r="I2357" s="8">
        <v>91.9</v>
      </c>
      <c r="J2357" s="21">
        <f t="shared" si="108"/>
        <v>0.30133106768620788</v>
      </c>
      <c r="K2357" s="1">
        <v>2</v>
      </c>
      <c r="L2357" s="24">
        <v>6.4</v>
      </c>
      <c r="M2357" s="24">
        <v>85.467000000000013</v>
      </c>
      <c r="N2357" s="21">
        <f t="shared" si="109"/>
        <v>0.21023789294817344</v>
      </c>
      <c r="P2357" s="1">
        <v>4</v>
      </c>
      <c r="Q2357" s="24">
        <v>11.028000000000006</v>
      </c>
      <c r="R2357" s="24">
        <v>80.872</v>
      </c>
      <c r="S2357" s="21">
        <f t="shared" si="110"/>
        <v>0.14517133956386286</v>
      </c>
    </row>
    <row r="2358" spans="2:19" ht="11.4" customHeight="1" x14ac:dyDescent="0.2">
      <c r="B2358" s="24"/>
      <c r="C2358" s="7">
        <v>40398</v>
      </c>
      <c r="D2358" s="18" t="s">
        <v>2453</v>
      </c>
      <c r="E2358" s="18" t="s">
        <v>1361</v>
      </c>
      <c r="F2358" s="17">
        <v>20</v>
      </c>
      <c r="G2358" s="18" t="s">
        <v>23</v>
      </c>
      <c r="H2358" s="17">
        <v>70.62</v>
      </c>
      <c r="I2358" s="8">
        <v>91.9</v>
      </c>
      <c r="J2358" s="21">
        <f t="shared" si="108"/>
        <v>0.30133106768620788</v>
      </c>
      <c r="K2358" s="1">
        <v>2</v>
      </c>
      <c r="L2358" s="24">
        <v>6.4</v>
      </c>
      <c r="M2358" s="24">
        <v>85.467000000000013</v>
      </c>
      <c r="N2358" s="21">
        <f t="shared" si="109"/>
        <v>0.21023789294817344</v>
      </c>
      <c r="P2358" s="1">
        <v>4</v>
      </c>
      <c r="Q2358" s="24">
        <v>11.028000000000006</v>
      </c>
      <c r="R2358" s="24">
        <v>80.872</v>
      </c>
      <c r="S2358" s="21">
        <f t="shared" si="110"/>
        <v>0.14517133956386286</v>
      </c>
    </row>
    <row r="2359" spans="2:19" ht="11.4" customHeight="1" x14ac:dyDescent="0.2">
      <c r="B2359" s="24"/>
      <c r="C2359" s="7">
        <v>39302</v>
      </c>
      <c r="D2359" s="18" t="s">
        <v>2454</v>
      </c>
      <c r="E2359" s="18" t="s">
        <v>1361</v>
      </c>
      <c r="F2359" s="17">
        <v>6</v>
      </c>
      <c r="G2359" s="18" t="s">
        <v>23</v>
      </c>
      <c r="H2359" s="17">
        <v>159.9</v>
      </c>
      <c r="I2359" s="8">
        <v>178</v>
      </c>
      <c r="J2359" s="21">
        <f t="shared" si="108"/>
        <v>0.11319574734208876</v>
      </c>
      <c r="K2359" s="1">
        <v>2</v>
      </c>
      <c r="L2359" s="24">
        <v>12.4</v>
      </c>
      <c r="M2359" s="24">
        <v>165.54000000000002</v>
      </c>
      <c r="N2359" s="21">
        <f t="shared" si="109"/>
        <v>3.5272045028142678E-2</v>
      </c>
      <c r="P2359" s="1">
        <v>4</v>
      </c>
      <c r="Q2359" s="24">
        <v>21.359999999999985</v>
      </c>
      <c r="R2359" s="24">
        <v>156.64000000000001</v>
      </c>
      <c r="S2359" s="21">
        <f t="shared" si="110"/>
        <v>-2.0387742338961793E-2</v>
      </c>
    </row>
    <row r="2360" spans="2:19" ht="11.4" customHeight="1" x14ac:dyDescent="0.2">
      <c r="B2360" s="24"/>
      <c r="C2360" s="7">
        <v>40397</v>
      </c>
      <c r="D2360" s="18" t="s">
        <v>2455</v>
      </c>
      <c r="E2360" s="18" t="s">
        <v>1361</v>
      </c>
      <c r="F2360" s="17">
        <v>20</v>
      </c>
      <c r="G2360" s="18" t="s">
        <v>23</v>
      </c>
      <c r="H2360" s="17">
        <v>70.62</v>
      </c>
      <c r="I2360" s="8">
        <v>91.9</v>
      </c>
      <c r="J2360" s="21">
        <f t="shared" si="108"/>
        <v>0.30133106768620788</v>
      </c>
      <c r="K2360" s="1">
        <v>2</v>
      </c>
      <c r="L2360" s="24">
        <v>6.4</v>
      </c>
      <c r="M2360" s="24">
        <v>85.467000000000013</v>
      </c>
      <c r="N2360" s="21">
        <f t="shared" si="109"/>
        <v>0.21023789294817344</v>
      </c>
      <c r="P2360" s="1">
        <v>4</v>
      </c>
      <c r="Q2360" s="24">
        <v>11.028000000000006</v>
      </c>
      <c r="R2360" s="24">
        <v>80.872</v>
      </c>
      <c r="S2360" s="21">
        <f t="shared" si="110"/>
        <v>0.14517133956386286</v>
      </c>
    </row>
    <row r="2361" spans="2:19" ht="11.4" customHeight="1" x14ac:dyDescent="0.2">
      <c r="B2361" s="24"/>
      <c r="C2361" s="7">
        <v>39331</v>
      </c>
      <c r="D2361" s="18" t="s">
        <v>2456</v>
      </c>
      <c r="E2361" s="18" t="s">
        <v>1361</v>
      </c>
      <c r="F2361" s="17">
        <v>6</v>
      </c>
      <c r="G2361" s="18" t="s">
        <v>23</v>
      </c>
      <c r="H2361" s="17">
        <v>105.9</v>
      </c>
      <c r="I2361" s="8">
        <v>115</v>
      </c>
      <c r="J2361" s="21">
        <f t="shared" si="108"/>
        <v>8.5930122757318164E-2</v>
      </c>
      <c r="K2361" s="1">
        <v>2</v>
      </c>
      <c r="L2361" s="24">
        <v>8</v>
      </c>
      <c r="M2361" s="24">
        <v>106.95</v>
      </c>
      <c r="N2361" s="21">
        <f t="shared" si="109"/>
        <v>9.9150141643059211E-3</v>
      </c>
      <c r="P2361" s="1">
        <v>4</v>
      </c>
      <c r="Q2361" s="24">
        <v>13.799999999999997</v>
      </c>
      <c r="R2361" s="24">
        <v>101.2</v>
      </c>
      <c r="S2361" s="21">
        <f t="shared" si="110"/>
        <v>-4.4381491973559985E-2</v>
      </c>
    </row>
    <row r="2362" spans="2:19" ht="11.4" customHeight="1" x14ac:dyDescent="0.2">
      <c r="B2362" s="24"/>
      <c r="C2362" s="7">
        <v>38414</v>
      </c>
      <c r="D2362" s="18" t="s">
        <v>2457</v>
      </c>
      <c r="E2362" s="18" t="s">
        <v>1361</v>
      </c>
      <c r="F2362" s="17">
        <v>24</v>
      </c>
      <c r="G2362" s="18" t="s">
        <v>23</v>
      </c>
      <c r="H2362" s="17">
        <v>106.9</v>
      </c>
      <c r="I2362" s="8">
        <v>107.9</v>
      </c>
      <c r="J2362" s="21">
        <f t="shared" si="108"/>
        <v>9.3545369504209538E-3</v>
      </c>
      <c r="K2362" s="1">
        <v>2</v>
      </c>
      <c r="L2362" s="24">
        <v>7.5</v>
      </c>
      <c r="M2362" s="24">
        <v>100.34700000000001</v>
      </c>
      <c r="N2362" s="21">
        <f t="shared" si="109"/>
        <v>-6.1300280636108484E-2</v>
      </c>
      <c r="P2362" s="1">
        <v>4</v>
      </c>
      <c r="Q2362" s="24">
        <v>12.947999999999993</v>
      </c>
      <c r="R2362" s="24">
        <v>94.952000000000012</v>
      </c>
      <c r="S2362" s="21">
        <f t="shared" si="110"/>
        <v>-0.11176800748362949</v>
      </c>
    </row>
    <row r="2363" spans="2:19" ht="11.4" customHeight="1" x14ac:dyDescent="0.2">
      <c r="B2363" s="24"/>
      <c r="C2363" s="7">
        <v>28908</v>
      </c>
      <c r="D2363" s="18" t="s">
        <v>2458</v>
      </c>
      <c r="E2363" s="18" t="s">
        <v>1361</v>
      </c>
      <c r="F2363" s="17">
        <v>12</v>
      </c>
      <c r="G2363" s="18" t="s">
        <v>23</v>
      </c>
      <c r="H2363" s="17">
        <v>127.9</v>
      </c>
      <c r="I2363" s="8">
        <v>131.6</v>
      </c>
      <c r="J2363" s="21">
        <f t="shared" si="108"/>
        <v>2.8928850664581614E-2</v>
      </c>
      <c r="K2363" s="1">
        <v>2</v>
      </c>
      <c r="L2363" s="24">
        <v>9.1999999999999993</v>
      </c>
      <c r="M2363" s="24">
        <v>122.38800000000001</v>
      </c>
      <c r="N2363" s="21">
        <f t="shared" si="109"/>
        <v>-4.3096168881939019E-2</v>
      </c>
      <c r="P2363" s="1">
        <v>4</v>
      </c>
      <c r="Q2363" s="24">
        <v>15.792000000000002</v>
      </c>
      <c r="R2363" s="24">
        <v>115.80799999999999</v>
      </c>
      <c r="S2363" s="21">
        <f t="shared" si="110"/>
        <v>-9.4542611415168204E-2</v>
      </c>
    </row>
    <row r="2364" spans="2:19" ht="11.4" customHeight="1" x14ac:dyDescent="0.2">
      <c r="B2364" s="24"/>
      <c r="C2364" s="7">
        <v>41029</v>
      </c>
      <c r="D2364" s="18" t="s">
        <v>2459</v>
      </c>
      <c r="E2364" s="18" t="s">
        <v>1361</v>
      </c>
      <c r="F2364" s="17">
        <v>9</v>
      </c>
      <c r="G2364" s="18" t="s">
        <v>23</v>
      </c>
      <c r="H2364" s="17">
        <v>93.36</v>
      </c>
      <c r="I2364" s="8">
        <v>135</v>
      </c>
      <c r="J2364" s="21">
        <f t="shared" si="108"/>
        <v>0.44601542416452444</v>
      </c>
      <c r="K2364" s="1">
        <v>2</v>
      </c>
      <c r="L2364" s="24">
        <v>9.4</v>
      </c>
      <c r="M2364" s="24">
        <v>125.55000000000001</v>
      </c>
      <c r="N2364" s="21">
        <f t="shared" si="109"/>
        <v>0.34479434447300783</v>
      </c>
      <c r="P2364" s="1">
        <v>4</v>
      </c>
      <c r="Q2364" s="24">
        <v>16.200000000000003</v>
      </c>
      <c r="R2364" s="24">
        <v>118.8</v>
      </c>
      <c r="S2364" s="21">
        <f t="shared" si="110"/>
        <v>0.27249357326478146</v>
      </c>
    </row>
    <row r="2365" spans="2:19" ht="11.4" customHeight="1" x14ac:dyDescent="0.2">
      <c r="B2365" s="24"/>
      <c r="C2365" s="7">
        <v>41030</v>
      </c>
      <c r="D2365" s="18" t="s">
        <v>2460</v>
      </c>
      <c r="E2365" s="18" t="s">
        <v>1361</v>
      </c>
      <c r="F2365" s="17">
        <v>9</v>
      </c>
      <c r="G2365" s="18" t="s">
        <v>23</v>
      </c>
      <c r="H2365" s="17">
        <v>93.36</v>
      </c>
      <c r="I2365" s="8">
        <v>135</v>
      </c>
      <c r="J2365" s="21">
        <f t="shared" si="108"/>
        <v>0.44601542416452444</v>
      </c>
      <c r="K2365" s="1">
        <v>2</v>
      </c>
      <c r="L2365" s="24">
        <v>9.4</v>
      </c>
      <c r="M2365" s="24">
        <v>125.55000000000001</v>
      </c>
      <c r="N2365" s="21">
        <f t="shared" si="109"/>
        <v>0.34479434447300783</v>
      </c>
      <c r="P2365" s="1">
        <v>4</v>
      </c>
      <c r="Q2365" s="24">
        <v>16.200000000000003</v>
      </c>
      <c r="R2365" s="24">
        <v>118.8</v>
      </c>
      <c r="S2365" s="21">
        <f t="shared" si="110"/>
        <v>0.27249357326478146</v>
      </c>
    </row>
    <row r="2366" spans="2:19" ht="11.4" customHeight="1" x14ac:dyDescent="0.2">
      <c r="B2366" s="24"/>
      <c r="C2366" s="7">
        <v>41031</v>
      </c>
      <c r="D2366" s="18" t="s">
        <v>2461</v>
      </c>
      <c r="E2366" s="18" t="s">
        <v>1361</v>
      </c>
      <c r="F2366" s="17">
        <v>9</v>
      </c>
      <c r="G2366" s="18" t="s">
        <v>23</v>
      </c>
      <c r="H2366" s="17">
        <v>93.36</v>
      </c>
      <c r="I2366" s="8">
        <v>135</v>
      </c>
      <c r="J2366" s="21">
        <f t="shared" si="108"/>
        <v>0.44601542416452444</v>
      </c>
      <c r="K2366" s="1">
        <v>2</v>
      </c>
      <c r="L2366" s="24">
        <v>9.4</v>
      </c>
      <c r="M2366" s="24">
        <v>125.55000000000001</v>
      </c>
      <c r="N2366" s="21">
        <f t="shared" si="109"/>
        <v>0.34479434447300783</v>
      </c>
      <c r="P2366" s="1">
        <v>4</v>
      </c>
      <c r="Q2366" s="24">
        <v>16.200000000000003</v>
      </c>
      <c r="R2366" s="24">
        <v>118.8</v>
      </c>
      <c r="S2366" s="21">
        <f t="shared" si="110"/>
        <v>0.27249357326478146</v>
      </c>
    </row>
    <row r="2367" spans="2:19" ht="11.4" customHeight="1" x14ac:dyDescent="0.2">
      <c r="B2367" s="24"/>
      <c r="C2367" s="7">
        <v>41032</v>
      </c>
      <c r="D2367" s="18" t="s">
        <v>2462</v>
      </c>
      <c r="E2367" s="18" t="s">
        <v>1361</v>
      </c>
      <c r="F2367" s="17">
        <v>9</v>
      </c>
      <c r="G2367" s="18" t="s">
        <v>23</v>
      </c>
      <c r="H2367" s="17">
        <v>93.36</v>
      </c>
      <c r="I2367" s="8">
        <v>135</v>
      </c>
      <c r="J2367" s="21">
        <f t="shared" si="108"/>
        <v>0.44601542416452444</v>
      </c>
      <c r="K2367" s="1">
        <v>2</v>
      </c>
      <c r="L2367" s="24">
        <v>9.4</v>
      </c>
      <c r="M2367" s="24">
        <v>125.55000000000001</v>
      </c>
      <c r="N2367" s="21">
        <f t="shared" si="109"/>
        <v>0.34479434447300783</v>
      </c>
      <c r="P2367" s="1">
        <v>4</v>
      </c>
      <c r="Q2367" s="24">
        <v>16.200000000000003</v>
      </c>
      <c r="R2367" s="24">
        <v>118.8</v>
      </c>
      <c r="S2367" s="21">
        <f t="shared" si="110"/>
        <v>0.27249357326478146</v>
      </c>
    </row>
    <row r="2368" spans="2:19" ht="11.4" customHeight="1" x14ac:dyDescent="0.2">
      <c r="B2368" s="24"/>
      <c r="C2368" s="7">
        <v>41033</v>
      </c>
      <c r="D2368" s="18" t="s">
        <v>2463</v>
      </c>
      <c r="E2368" s="18" t="s">
        <v>1361</v>
      </c>
      <c r="F2368" s="17">
        <v>9</v>
      </c>
      <c r="G2368" s="18" t="s">
        <v>23</v>
      </c>
      <c r="H2368" s="17">
        <v>93.36</v>
      </c>
      <c r="I2368" s="8">
        <v>135</v>
      </c>
      <c r="J2368" s="21">
        <f t="shared" si="108"/>
        <v>0.44601542416452444</v>
      </c>
      <c r="K2368" s="1">
        <v>2</v>
      </c>
      <c r="L2368" s="24">
        <v>9.4</v>
      </c>
      <c r="M2368" s="24">
        <v>125.55000000000001</v>
      </c>
      <c r="N2368" s="21">
        <f t="shared" si="109"/>
        <v>0.34479434447300783</v>
      </c>
      <c r="P2368" s="1">
        <v>4</v>
      </c>
      <c r="Q2368" s="24">
        <v>16.200000000000003</v>
      </c>
      <c r="R2368" s="24">
        <v>118.8</v>
      </c>
      <c r="S2368" s="21">
        <f t="shared" si="110"/>
        <v>0.27249357326478146</v>
      </c>
    </row>
    <row r="2369" spans="2:19" ht="11.4" customHeight="1" x14ac:dyDescent="0.2">
      <c r="B2369" s="24"/>
      <c r="C2369" s="7">
        <v>41034</v>
      </c>
      <c r="D2369" s="18" t="s">
        <v>2464</v>
      </c>
      <c r="E2369" s="18" t="s">
        <v>1361</v>
      </c>
      <c r="F2369" s="17">
        <v>9</v>
      </c>
      <c r="G2369" s="18" t="s">
        <v>23</v>
      </c>
      <c r="H2369" s="17">
        <v>93.36</v>
      </c>
      <c r="I2369" s="8">
        <v>135</v>
      </c>
      <c r="J2369" s="21">
        <f t="shared" si="108"/>
        <v>0.44601542416452444</v>
      </c>
      <c r="K2369" s="1">
        <v>2</v>
      </c>
      <c r="L2369" s="24">
        <v>9.4</v>
      </c>
      <c r="M2369" s="24">
        <v>125.55000000000001</v>
      </c>
      <c r="N2369" s="21">
        <f t="shared" si="109"/>
        <v>0.34479434447300783</v>
      </c>
      <c r="P2369" s="1">
        <v>4</v>
      </c>
      <c r="Q2369" s="24">
        <v>16.200000000000003</v>
      </c>
      <c r="R2369" s="24">
        <v>118.8</v>
      </c>
      <c r="S2369" s="21">
        <f t="shared" si="110"/>
        <v>0.27249357326478146</v>
      </c>
    </row>
    <row r="2370" spans="2:19" ht="11.4" customHeight="1" x14ac:dyDescent="0.2">
      <c r="B2370" s="24"/>
      <c r="C2370" s="7">
        <v>41035</v>
      </c>
      <c r="D2370" s="18" t="s">
        <v>2465</v>
      </c>
      <c r="E2370" s="18" t="s">
        <v>1361</v>
      </c>
      <c r="F2370" s="17">
        <v>9</v>
      </c>
      <c r="G2370" s="18" t="s">
        <v>23</v>
      </c>
      <c r="H2370" s="17">
        <v>93.36</v>
      </c>
      <c r="I2370" s="8">
        <v>135</v>
      </c>
      <c r="J2370" s="21">
        <f t="shared" si="108"/>
        <v>0.44601542416452444</v>
      </c>
      <c r="K2370" s="1">
        <v>2</v>
      </c>
      <c r="L2370" s="24">
        <v>9.4</v>
      </c>
      <c r="M2370" s="24">
        <v>125.55000000000001</v>
      </c>
      <c r="N2370" s="21">
        <f t="shared" si="109"/>
        <v>0.34479434447300783</v>
      </c>
      <c r="P2370" s="1">
        <v>4</v>
      </c>
      <c r="Q2370" s="24">
        <v>16.200000000000003</v>
      </c>
      <c r="R2370" s="24">
        <v>118.8</v>
      </c>
      <c r="S2370" s="21">
        <f t="shared" si="110"/>
        <v>0.27249357326478146</v>
      </c>
    </row>
    <row r="2371" spans="2:19" ht="11.4" customHeight="1" x14ac:dyDescent="0.2">
      <c r="B2371" s="24"/>
      <c r="C2371" s="7">
        <v>41036</v>
      </c>
      <c r="D2371" s="18" t="s">
        <v>2466</v>
      </c>
      <c r="E2371" s="18" t="s">
        <v>1361</v>
      </c>
      <c r="F2371" s="17">
        <v>9</v>
      </c>
      <c r="G2371" s="18" t="s">
        <v>23</v>
      </c>
      <c r="H2371" s="17">
        <v>93.36</v>
      </c>
      <c r="I2371" s="8">
        <v>135</v>
      </c>
      <c r="J2371" s="21">
        <f t="shared" ref="J2371:J2434" si="111">(I2371-H2371)/H2371</f>
        <v>0.44601542416452444</v>
      </c>
      <c r="K2371" s="1">
        <v>2</v>
      </c>
      <c r="L2371" s="24">
        <v>9.4</v>
      </c>
      <c r="M2371" s="24">
        <v>125.55000000000001</v>
      </c>
      <c r="N2371" s="21">
        <f t="shared" ref="N2371:N2434" si="112">(M2371-H2371)/H2371</f>
        <v>0.34479434447300783</v>
      </c>
      <c r="P2371" s="1">
        <v>4</v>
      </c>
      <c r="Q2371" s="24">
        <v>16.200000000000003</v>
      </c>
      <c r="R2371" s="24">
        <v>118.8</v>
      </c>
      <c r="S2371" s="21">
        <f t="shared" ref="S2371:S2434" si="113">(R2371-H2371)/H2371</f>
        <v>0.27249357326478146</v>
      </c>
    </row>
    <row r="2372" spans="2:19" ht="11.4" customHeight="1" x14ac:dyDescent="0.2">
      <c r="B2372" s="24"/>
      <c r="C2372" s="7">
        <v>41037</v>
      </c>
      <c r="D2372" s="18" t="s">
        <v>2467</v>
      </c>
      <c r="E2372" s="18" t="s">
        <v>1361</v>
      </c>
      <c r="F2372" s="17">
        <v>9</v>
      </c>
      <c r="G2372" s="18" t="s">
        <v>23</v>
      </c>
      <c r="H2372" s="17">
        <v>93.36</v>
      </c>
      <c r="I2372" s="8">
        <v>135</v>
      </c>
      <c r="J2372" s="21">
        <f t="shared" si="111"/>
        <v>0.44601542416452444</v>
      </c>
      <c r="K2372" s="1">
        <v>2</v>
      </c>
      <c r="L2372" s="24">
        <v>9.4</v>
      </c>
      <c r="M2372" s="24">
        <v>125.55000000000001</v>
      </c>
      <c r="N2372" s="21">
        <f t="shared" si="112"/>
        <v>0.34479434447300783</v>
      </c>
      <c r="P2372" s="1">
        <v>4</v>
      </c>
      <c r="Q2372" s="24">
        <v>16.200000000000003</v>
      </c>
      <c r="R2372" s="24">
        <v>118.8</v>
      </c>
      <c r="S2372" s="21">
        <f t="shared" si="113"/>
        <v>0.27249357326478146</v>
      </c>
    </row>
    <row r="2373" spans="2:19" ht="11.4" customHeight="1" x14ac:dyDescent="0.2">
      <c r="B2373" s="24"/>
      <c r="C2373" s="7">
        <v>41038</v>
      </c>
      <c r="D2373" s="18" t="s">
        <v>2468</v>
      </c>
      <c r="E2373" s="18" t="s">
        <v>1361</v>
      </c>
      <c r="F2373" s="17">
        <v>9</v>
      </c>
      <c r="G2373" s="18" t="s">
        <v>23</v>
      </c>
      <c r="H2373" s="17">
        <v>93.36</v>
      </c>
      <c r="I2373" s="8">
        <v>135</v>
      </c>
      <c r="J2373" s="21">
        <f t="shared" si="111"/>
        <v>0.44601542416452444</v>
      </c>
      <c r="K2373" s="1">
        <v>2</v>
      </c>
      <c r="L2373" s="24">
        <v>9.4</v>
      </c>
      <c r="M2373" s="24">
        <v>125.55000000000001</v>
      </c>
      <c r="N2373" s="21">
        <f t="shared" si="112"/>
        <v>0.34479434447300783</v>
      </c>
      <c r="P2373" s="1">
        <v>4</v>
      </c>
      <c r="Q2373" s="24">
        <v>16.200000000000003</v>
      </c>
      <c r="R2373" s="24">
        <v>118.8</v>
      </c>
      <c r="S2373" s="21">
        <f t="shared" si="113"/>
        <v>0.27249357326478146</v>
      </c>
    </row>
    <row r="2374" spans="2:19" ht="11.4" customHeight="1" x14ac:dyDescent="0.2">
      <c r="B2374" s="24"/>
      <c r="C2374" s="7">
        <v>38971</v>
      </c>
      <c r="D2374" s="18" t="s">
        <v>2469</v>
      </c>
      <c r="E2374" s="18" t="s">
        <v>1361</v>
      </c>
      <c r="F2374" s="17">
        <v>12</v>
      </c>
      <c r="G2374" s="18" t="s">
        <v>23</v>
      </c>
      <c r="H2374" s="17">
        <v>59.9</v>
      </c>
      <c r="I2374" s="8">
        <v>59.9</v>
      </c>
      <c r="J2374" s="21">
        <f t="shared" si="111"/>
        <v>0</v>
      </c>
      <c r="K2374" s="1">
        <v>2</v>
      </c>
      <c r="L2374" s="24">
        <v>4.0999999999999996</v>
      </c>
      <c r="M2374" s="24">
        <v>55.707000000000001</v>
      </c>
      <c r="N2374" s="21">
        <f t="shared" si="112"/>
        <v>-6.9999999999999965E-2</v>
      </c>
      <c r="P2374" s="1">
        <v>4</v>
      </c>
      <c r="Q2374" s="24">
        <v>7.1880000000000024</v>
      </c>
      <c r="R2374" s="24">
        <v>52.711999999999996</v>
      </c>
      <c r="S2374" s="21">
        <f t="shared" si="113"/>
        <v>-0.12000000000000004</v>
      </c>
    </row>
    <row r="2375" spans="2:19" ht="11.4" customHeight="1" x14ac:dyDescent="0.2">
      <c r="B2375" s="24"/>
      <c r="C2375" s="7">
        <v>41039</v>
      </c>
      <c r="D2375" s="18" t="s">
        <v>2470</v>
      </c>
      <c r="E2375" s="18" t="s">
        <v>1361</v>
      </c>
      <c r="F2375" s="17">
        <v>9</v>
      </c>
      <c r="G2375" s="18" t="s">
        <v>23</v>
      </c>
      <c r="H2375" s="17">
        <v>93.36</v>
      </c>
      <c r="I2375" s="8">
        <v>135</v>
      </c>
      <c r="J2375" s="21">
        <f t="shared" si="111"/>
        <v>0.44601542416452444</v>
      </c>
      <c r="K2375" s="1">
        <v>2</v>
      </c>
      <c r="L2375" s="24">
        <v>9.4</v>
      </c>
      <c r="M2375" s="24">
        <v>125.55000000000001</v>
      </c>
      <c r="N2375" s="21">
        <f t="shared" si="112"/>
        <v>0.34479434447300783</v>
      </c>
      <c r="P2375" s="1">
        <v>4</v>
      </c>
      <c r="Q2375" s="24">
        <v>16.200000000000003</v>
      </c>
      <c r="R2375" s="24">
        <v>118.8</v>
      </c>
      <c r="S2375" s="21">
        <f t="shared" si="113"/>
        <v>0.27249357326478146</v>
      </c>
    </row>
    <row r="2376" spans="2:19" ht="11.4" customHeight="1" x14ac:dyDescent="0.2">
      <c r="B2376" s="24"/>
      <c r="C2376" s="7">
        <v>41040</v>
      </c>
      <c r="D2376" s="18" t="s">
        <v>2471</v>
      </c>
      <c r="E2376" s="18" t="s">
        <v>1361</v>
      </c>
      <c r="F2376" s="17">
        <v>9</v>
      </c>
      <c r="G2376" s="18" t="s">
        <v>23</v>
      </c>
      <c r="H2376" s="17">
        <v>93.36</v>
      </c>
      <c r="I2376" s="8">
        <v>135</v>
      </c>
      <c r="J2376" s="21">
        <f t="shared" si="111"/>
        <v>0.44601542416452444</v>
      </c>
      <c r="K2376" s="1">
        <v>2</v>
      </c>
      <c r="L2376" s="24">
        <v>9.4</v>
      </c>
      <c r="M2376" s="24">
        <v>125.55000000000001</v>
      </c>
      <c r="N2376" s="21">
        <f t="shared" si="112"/>
        <v>0.34479434447300783</v>
      </c>
      <c r="P2376" s="1">
        <v>4</v>
      </c>
      <c r="Q2376" s="24">
        <v>16.200000000000003</v>
      </c>
      <c r="R2376" s="24">
        <v>118.8</v>
      </c>
      <c r="S2376" s="21">
        <f t="shared" si="113"/>
        <v>0.27249357326478146</v>
      </c>
    </row>
    <row r="2377" spans="2:19" ht="11.4" customHeight="1" x14ac:dyDescent="0.2">
      <c r="B2377" s="24"/>
      <c r="C2377" s="7">
        <v>41042</v>
      </c>
      <c r="D2377" s="18" t="s">
        <v>2472</v>
      </c>
      <c r="E2377" s="18" t="s">
        <v>1361</v>
      </c>
      <c r="F2377" s="17">
        <v>9</v>
      </c>
      <c r="G2377" s="18" t="s">
        <v>23</v>
      </c>
      <c r="H2377" s="17">
        <v>93.36</v>
      </c>
      <c r="I2377" s="8">
        <v>135</v>
      </c>
      <c r="J2377" s="21">
        <f t="shared" si="111"/>
        <v>0.44601542416452444</v>
      </c>
      <c r="K2377" s="1">
        <v>2</v>
      </c>
      <c r="L2377" s="24">
        <v>9.4</v>
      </c>
      <c r="M2377" s="24">
        <v>125.55000000000001</v>
      </c>
      <c r="N2377" s="21">
        <f t="shared" si="112"/>
        <v>0.34479434447300783</v>
      </c>
      <c r="P2377" s="1">
        <v>4</v>
      </c>
      <c r="Q2377" s="24">
        <v>16.200000000000003</v>
      </c>
      <c r="R2377" s="24">
        <v>118.8</v>
      </c>
      <c r="S2377" s="21">
        <f t="shared" si="113"/>
        <v>0.27249357326478146</v>
      </c>
    </row>
    <row r="2378" spans="2:19" ht="11.4" customHeight="1" x14ac:dyDescent="0.2">
      <c r="B2378" s="24"/>
      <c r="C2378" s="7">
        <v>41041</v>
      </c>
      <c r="D2378" s="18" t="s">
        <v>2473</v>
      </c>
      <c r="E2378" s="18" t="s">
        <v>1361</v>
      </c>
      <c r="F2378" s="17">
        <v>9</v>
      </c>
      <c r="G2378" s="18" t="s">
        <v>23</v>
      </c>
      <c r="H2378" s="17">
        <v>93.36</v>
      </c>
      <c r="I2378" s="8">
        <v>135</v>
      </c>
      <c r="J2378" s="21">
        <f t="shared" si="111"/>
        <v>0.44601542416452444</v>
      </c>
      <c r="K2378" s="1">
        <v>2</v>
      </c>
      <c r="L2378" s="24">
        <v>9.4</v>
      </c>
      <c r="M2378" s="24">
        <v>125.55000000000001</v>
      </c>
      <c r="N2378" s="21">
        <f t="shared" si="112"/>
        <v>0.34479434447300783</v>
      </c>
      <c r="P2378" s="1">
        <v>4</v>
      </c>
      <c r="Q2378" s="24">
        <v>16.200000000000003</v>
      </c>
      <c r="R2378" s="24">
        <v>118.8</v>
      </c>
      <c r="S2378" s="21">
        <f t="shared" si="113"/>
        <v>0.27249357326478146</v>
      </c>
    </row>
    <row r="2379" spans="2:19" ht="11.4" customHeight="1" x14ac:dyDescent="0.2">
      <c r="B2379" s="24"/>
      <c r="C2379" s="7">
        <v>41043</v>
      </c>
      <c r="D2379" s="18" t="s">
        <v>2474</v>
      </c>
      <c r="E2379" s="18" t="s">
        <v>1361</v>
      </c>
      <c r="F2379" s="17">
        <v>12</v>
      </c>
      <c r="G2379" s="18" t="s">
        <v>23</v>
      </c>
      <c r="H2379" s="17">
        <v>44.88</v>
      </c>
      <c r="I2379" s="8">
        <v>65</v>
      </c>
      <c r="J2379" s="21">
        <f t="shared" si="111"/>
        <v>0.44830659536541884</v>
      </c>
      <c r="K2379" s="1">
        <v>2</v>
      </c>
      <c r="L2379" s="24">
        <v>4.5</v>
      </c>
      <c r="M2379" s="24">
        <v>60.45</v>
      </c>
      <c r="N2379" s="21">
        <f t="shared" si="112"/>
        <v>0.34692513368983957</v>
      </c>
      <c r="P2379" s="1">
        <v>4</v>
      </c>
      <c r="Q2379" s="24">
        <v>7.7999999999999972</v>
      </c>
      <c r="R2379" s="24">
        <v>57.2</v>
      </c>
      <c r="S2379" s="21">
        <f t="shared" si="113"/>
        <v>0.2745098039215686</v>
      </c>
    </row>
    <row r="2380" spans="2:19" ht="11.4" customHeight="1" x14ac:dyDescent="0.2">
      <c r="B2380" s="24"/>
      <c r="C2380" s="7">
        <v>41044</v>
      </c>
      <c r="D2380" s="18" t="s">
        <v>2475</v>
      </c>
      <c r="E2380" s="18" t="s">
        <v>1361</v>
      </c>
      <c r="F2380" s="17">
        <v>12</v>
      </c>
      <c r="G2380" s="18" t="s">
        <v>23</v>
      </c>
      <c r="H2380" s="17">
        <v>41.7</v>
      </c>
      <c r="I2380" s="8">
        <v>60</v>
      </c>
      <c r="J2380" s="21">
        <f t="shared" si="111"/>
        <v>0.43884892086330923</v>
      </c>
      <c r="K2380" s="1">
        <v>2</v>
      </c>
      <c r="L2380" s="24">
        <v>4.2</v>
      </c>
      <c r="M2380" s="24">
        <v>55.800000000000004</v>
      </c>
      <c r="N2380" s="21">
        <f t="shared" si="112"/>
        <v>0.33812949640287771</v>
      </c>
      <c r="P2380" s="1">
        <v>4</v>
      </c>
      <c r="Q2380" s="24">
        <v>7.2000000000000028</v>
      </c>
      <c r="R2380" s="24">
        <v>52.8</v>
      </c>
      <c r="S2380" s="21">
        <f t="shared" si="113"/>
        <v>0.26618705035971207</v>
      </c>
    </row>
    <row r="2381" spans="2:19" ht="11.4" customHeight="1" x14ac:dyDescent="0.2">
      <c r="B2381" s="24"/>
      <c r="C2381" s="7">
        <v>41045</v>
      </c>
      <c r="D2381" s="18" t="s">
        <v>2476</v>
      </c>
      <c r="E2381" s="18" t="s">
        <v>1361</v>
      </c>
      <c r="F2381" s="17">
        <v>12</v>
      </c>
      <c r="G2381" s="18" t="s">
        <v>23</v>
      </c>
      <c r="H2381" s="17">
        <v>44.88</v>
      </c>
      <c r="I2381" s="8">
        <v>65</v>
      </c>
      <c r="J2381" s="21">
        <f t="shared" si="111"/>
        <v>0.44830659536541884</v>
      </c>
      <c r="K2381" s="1">
        <v>2</v>
      </c>
      <c r="L2381" s="24">
        <v>4.5</v>
      </c>
      <c r="M2381" s="24">
        <v>60.45</v>
      </c>
      <c r="N2381" s="21">
        <f t="shared" si="112"/>
        <v>0.34692513368983957</v>
      </c>
      <c r="P2381" s="1">
        <v>4</v>
      </c>
      <c r="Q2381" s="24">
        <v>7.7999999999999972</v>
      </c>
      <c r="R2381" s="24">
        <v>57.2</v>
      </c>
      <c r="S2381" s="21">
        <f t="shared" si="113"/>
        <v>0.2745098039215686</v>
      </c>
    </row>
    <row r="2382" spans="2:19" ht="11.4" customHeight="1" x14ac:dyDescent="0.2">
      <c r="B2382" s="24"/>
      <c r="C2382" s="7">
        <v>41046</v>
      </c>
      <c r="D2382" s="18" t="s">
        <v>2477</v>
      </c>
      <c r="E2382" s="18" t="s">
        <v>1361</v>
      </c>
      <c r="F2382" s="17">
        <v>12</v>
      </c>
      <c r="G2382" s="18" t="s">
        <v>23</v>
      </c>
      <c r="H2382" s="17">
        <v>41.7</v>
      </c>
      <c r="I2382" s="8">
        <v>60</v>
      </c>
      <c r="J2382" s="21">
        <f t="shared" si="111"/>
        <v>0.43884892086330923</v>
      </c>
      <c r="K2382" s="1">
        <v>2</v>
      </c>
      <c r="L2382" s="24">
        <v>4.2</v>
      </c>
      <c r="M2382" s="24">
        <v>55.800000000000004</v>
      </c>
      <c r="N2382" s="21">
        <f t="shared" si="112"/>
        <v>0.33812949640287771</v>
      </c>
      <c r="P2382" s="1">
        <v>4</v>
      </c>
      <c r="Q2382" s="24">
        <v>7.2000000000000028</v>
      </c>
      <c r="R2382" s="24">
        <v>52.8</v>
      </c>
      <c r="S2382" s="21">
        <f t="shared" si="113"/>
        <v>0.26618705035971207</v>
      </c>
    </row>
    <row r="2383" spans="2:19" ht="11.4" customHeight="1" x14ac:dyDescent="0.2">
      <c r="B2383" s="24"/>
      <c r="C2383" s="7">
        <v>41047</v>
      </c>
      <c r="D2383" s="18" t="s">
        <v>2478</v>
      </c>
      <c r="E2383" s="18" t="s">
        <v>1361</v>
      </c>
      <c r="F2383" s="17">
        <v>12</v>
      </c>
      <c r="G2383" s="18" t="s">
        <v>23</v>
      </c>
      <c r="H2383" s="17">
        <v>41.7</v>
      </c>
      <c r="I2383" s="8">
        <v>60</v>
      </c>
      <c r="J2383" s="21">
        <f t="shared" si="111"/>
        <v>0.43884892086330923</v>
      </c>
      <c r="K2383" s="1">
        <v>2</v>
      </c>
      <c r="L2383" s="24">
        <v>4.2</v>
      </c>
      <c r="M2383" s="24">
        <v>55.800000000000004</v>
      </c>
      <c r="N2383" s="21">
        <f t="shared" si="112"/>
        <v>0.33812949640287771</v>
      </c>
      <c r="P2383" s="1">
        <v>4</v>
      </c>
      <c r="Q2383" s="24">
        <v>7.2000000000000028</v>
      </c>
      <c r="R2383" s="24">
        <v>52.8</v>
      </c>
      <c r="S2383" s="21">
        <f t="shared" si="113"/>
        <v>0.26618705035971207</v>
      </c>
    </row>
    <row r="2384" spans="2:19" ht="11.4" customHeight="1" x14ac:dyDescent="0.2">
      <c r="B2384" s="24"/>
      <c r="C2384" s="7">
        <v>41048</v>
      </c>
      <c r="D2384" s="18" t="s">
        <v>2479</v>
      </c>
      <c r="E2384" s="18" t="s">
        <v>1361</v>
      </c>
      <c r="F2384" s="17">
        <v>12</v>
      </c>
      <c r="G2384" s="18" t="s">
        <v>23</v>
      </c>
      <c r="H2384" s="17">
        <v>48.36</v>
      </c>
      <c r="I2384" s="8">
        <v>70</v>
      </c>
      <c r="J2384" s="21">
        <f t="shared" si="111"/>
        <v>0.44747725392886684</v>
      </c>
      <c r="K2384" s="1">
        <v>2</v>
      </c>
      <c r="L2384" s="24">
        <v>4.8</v>
      </c>
      <c r="M2384" s="24">
        <v>65.100000000000009</v>
      </c>
      <c r="N2384" s="21">
        <f t="shared" si="112"/>
        <v>0.34615384615384637</v>
      </c>
      <c r="P2384" s="1">
        <v>4</v>
      </c>
      <c r="Q2384" s="24">
        <v>8.3999999999999986</v>
      </c>
      <c r="R2384" s="24">
        <v>61.6</v>
      </c>
      <c r="S2384" s="21">
        <f t="shared" si="113"/>
        <v>0.27377998345740284</v>
      </c>
    </row>
    <row r="2385" spans="2:19" ht="11.4" customHeight="1" x14ac:dyDescent="0.2">
      <c r="B2385" s="24"/>
      <c r="C2385" s="7">
        <v>25638</v>
      </c>
      <c r="D2385" s="18" t="s">
        <v>2480</v>
      </c>
      <c r="E2385" s="18" t="s">
        <v>2302</v>
      </c>
      <c r="F2385" s="17">
        <v>12</v>
      </c>
      <c r="G2385" s="18" t="s">
        <v>23</v>
      </c>
      <c r="H2385" s="17">
        <v>61.9</v>
      </c>
      <c r="I2385" s="8">
        <v>79.900000000000006</v>
      </c>
      <c r="J2385" s="21">
        <f t="shared" si="111"/>
        <v>0.29079159935379656</v>
      </c>
      <c r="K2385" s="1">
        <v>2</v>
      </c>
      <c r="L2385" s="24">
        <v>5.5</v>
      </c>
      <c r="M2385" s="24">
        <v>74.307000000000002</v>
      </c>
      <c r="N2385" s="21">
        <f t="shared" si="112"/>
        <v>0.20043618739903077</v>
      </c>
      <c r="P2385" s="1">
        <v>4</v>
      </c>
      <c r="Q2385" s="24">
        <v>9.5879999999999939</v>
      </c>
      <c r="R2385" s="24">
        <v>70.312000000000012</v>
      </c>
      <c r="S2385" s="21">
        <f t="shared" si="113"/>
        <v>0.13589660743134108</v>
      </c>
    </row>
    <row r="2386" spans="2:19" ht="11.4" customHeight="1" x14ac:dyDescent="0.2">
      <c r="B2386" s="24"/>
      <c r="C2386" s="7">
        <v>36768</v>
      </c>
      <c r="D2386" s="18" t="s">
        <v>2481</v>
      </c>
      <c r="E2386" s="18" t="s">
        <v>2302</v>
      </c>
      <c r="F2386" s="17">
        <v>12</v>
      </c>
      <c r="G2386" s="18" t="s">
        <v>23</v>
      </c>
      <c r="H2386" s="17">
        <v>56.3</v>
      </c>
      <c r="I2386" s="8">
        <v>73.5</v>
      </c>
      <c r="J2386" s="21">
        <f t="shared" si="111"/>
        <v>0.30550621669627004</v>
      </c>
      <c r="K2386" s="1">
        <v>2</v>
      </c>
      <c r="L2386" s="24">
        <v>5.0999999999999996</v>
      </c>
      <c r="M2386" s="24">
        <v>68.355000000000004</v>
      </c>
      <c r="N2386" s="21">
        <f t="shared" si="112"/>
        <v>0.21412078152753122</v>
      </c>
      <c r="P2386" s="1">
        <v>4</v>
      </c>
      <c r="Q2386" s="24">
        <v>8.8199999999999932</v>
      </c>
      <c r="R2386" s="24">
        <v>64.680000000000007</v>
      </c>
      <c r="S2386" s="21">
        <f t="shared" si="113"/>
        <v>0.14884547069271775</v>
      </c>
    </row>
    <row r="2387" spans="2:19" ht="11.4" customHeight="1" x14ac:dyDescent="0.2">
      <c r="B2387" s="24"/>
      <c r="C2387" s="7">
        <v>38410</v>
      </c>
      <c r="D2387" s="18" t="s">
        <v>2482</v>
      </c>
      <c r="E2387" s="18" t="s">
        <v>2302</v>
      </c>
      <c r="F2387" s="17">
        <v>12</v>
      </c>
      <c r="G2387" s="18" t="s">
        <v>23</v>
      </c>
      <c r="H2387" s="17">
        <v>47.9</v>
      </c>
      <c r="I2387" s="8">
        <v>61.9</v>
      </c>
      <c r="J2387" s="21">
        <f t="shared" si="111"/>
        <v>0.29227557411273486</v>
      </c>
      <c r="K2387" s="1">
        <v>2</v>
      </c>
      <c r="L2387" s="24">
        <v>4.3</v>
      </c>
      <c r="M2387" s="24">
        <v>57.567</v>
      </c>
      <c r="N2387" s="21">
        <f t="shared" si="112"/>
        <v>0.20181628392484346</v>
      </c>
      <c r="P2387" s="1">
        <v>4</v>
      </c>
      <c r="Q2387" s="24">
        <v>7.4279999999999973</v>
      </c>
      <c r="R2387" s="24">
        <v>54.472000000000001</v>
      </c>
      <c r="S2387" s="21">
        <f t="shared" si="113"/>
        <v>0.13720250521920674</v>
      </c>
    </row>
    <row r="2388" spans="2:19" ht="11.4" customHeight="1" x14ac:dyDescent="0.2">
      <c r="B2388" s="24"/>
      <c r="C2388" s="7">
        <v>13052</v>
      </c>
      <c r="D2388" s="18" t="s">
        <v>2483</v>
      </c>
      <c r="E2388" s="18" t="s">
        <v>2302</v>
      </c>
      <c r="F2388" s="17">
        <v>12</v>
      </c>
      <c r="G2388" s="18" t="s">
        <v>23</v>
      </c>
      <c r="H2388" s="17">
        <v>59.5</v>
      </c>
      <c r="I2388" s="8">
        <v>79.900000000000006</v>
      </c>
      <c r="J2388" s="21">
        <f t="shared" si="111"/>
        <v>0.34285714285714297</v>
      </c>
      <c r="K2388" s="1">
        <v>2</v>
      </c>
      <c r="L2388" s="24">
        <v>5.5</v>
      </c>
      <c r="M2388" s="24">
        <v>74.307000000000002</v>
      </c>
      <c r="N2388" s="21">
        <f t="shared" si="112"/>
        <v>0.24885714285714289</v>
      </c>
      <c r="P2388" s="1">
        <v>4</v>
      </c>
      <c r="Q2388" s="24">
        <v>9.5879999999999939</v>
      </c>
      <c r="R2388" s="24">
        <v>70.312000000000012</v>
      </c>
      <c r="S2388" s="21">
        <f t="shared" si="113"/>
        <v>0.18171428571428591</v>
      </c>
    </row>
    <row r="2389" spans="2:19" ht="11.4" customHeight="1" x14ac:dyDescent="0.2">
      <c r="B2389" s="24"/>
      <c r="C2389" s="7">
        <v>39253</v>
      </c>
      <c r="D2389" s="18" t="s">
        <v>2484</v>
      </c>
      <c r="E2389" s="18" t="s">
        <v>2302</v>
      </c>
      <c r="F2389" s="17">
        <v>12</v>
      </c>
      <c r="G2389" s="18" t="s">
        <v>23</v>
      </c>
      <c r="H2389" s="17">
        <v>49.9</v>
      </c>
      <c r="I2389" s="8">
        <v>58.9</v>
      </c>
      <c r="J2389" s="21">
        <f t="shared" si="111"/>
        <v>0.18036072144288579</v>
      </c>
      <c r="K2389" s="1">
        <v>2</v>
      </c>
      <c r="L2389" s="24">
        <v>4.0999999999999996</v>
      </c>
      <c r="M2389" s="24">
        <v>54.777000000000001</v>
      </c>
      <c r="N2389" s="21">
        <f t="shared" si="112"/>
        <v>9.7735470941883826E-2</v>
      </c>
      <c r="P2389" s="1">
        <v>4</v>
      </c>
      <c r="Q2389" s="24">
        <v>7.0679999999999978</v>
      </c>
      <c r="R2389" s="24">
        <v>51.832000000000001</v>
      </c>
      <c r="S2389" s="21">
        <f t="shared" si="113"/>
        <v>3.8717434869739525E-2</v>
      </c>
    </row>
    <row r="2390" spans="2:19" ht="11.4" customHeight="1" x14ac:dyDescent="0.2">
      <c r="B2390" s="24"/>
      <c r="C2390" s="7">
        <v>1896</v>
      </c>
      <c r="D2390" s="18" t="s">
        <v>2485</v>
      </c>
      <c r="E2390" s="18" t="s">
        <v>2302</v>
      </c>
      <c r="F2390" s="17">
        <v>12</v>
      </c>
      <c r="G2390" s="18" t="s">
        <v>23</v>
      </c>
      <c r="H2390" s="17">
        <v>95.9</v>
      </c>
      <c r="I2390" s="8">
        <v>135.5</v>
      </c>
      <c r="J2390" s="21">
        <f t="shared" si="111"/>
        <v>0.41293013555787272</v>
      </c>
      <c r="K2390" s="1">
        <v>2</v>
      </c>
      <c r="L2390" s="24">
        <v>9.4</v>
      </c>
      <c r="M2390" s="24">
        <v>126.015</v>
      </c>
      <c r="N2390" s="21">
        <f t="shared" si="112"/>
        <v>0.3140250260688216</v>
      </c>
      <c r="P2390" s="1">
        <v>4</v>
      </c>
      <c r="Q2390" s="24">
        <v>16.260000000000005</v>
      </c>
      <c r="R2390" s="24">
        <v>119.24</v>
      </c>
      <c r="S2390" s="21">
        <f t="shared" si="113"/>
        <v>0.24337851929092794</v>
      </c>
    </row>
    <row r="2391" spans="2:19" ht="11.4" customHeight="1" x14ac:dyDescent="0.2">
      <c r="B2391" s="24"/>
      <c r="C2391" s="7">
        <v>17302</v>
      </c>
      <c r="D2391" s="18" t="s">
        <v>2486</v>
      </c>
      <c r="E2391" s="18" t="s">
        <v>2302</v>
      </c>
      <c r="F2391" s="17">
        <v>12</v>
      </c>
      <c r="G2391" s="18" t="s">
        <v>23</v>
      </c>
      <c r="H2391" s="17">
        <v>47.29</v>
      </c>
      <c r="I2391" s="8">
        <v>68.599999999999994</v>
      </c>
      <c r="J2391" s="21">
        <f t="shared" si="111"/>
        <v>0.4506238105307675</v>
      </c>
      <c r="K2391" s="1">
        <v>2</v>
      </c>
      <c r="L2391" s="24">
        <v>4.8</v>
      </c>
      <c r="M2391" s="24">
        <v>63.797999999999995</v>
      </c>
      <c r="N2391" s="21">
        <f t="shared" si="112"/>
        <v>0.3490801437936138</v>
      </c>
      <c r="P2391" s="1">
        <v>4</v>
      </c>
      <c r="Q2391" s="24">
        <v>8.2319999999999993</v>
      </c>
      <c r="R2391" s="24">
        <v>60.367999999999995</v>
      </c>
      <c r="S2391" s="21">
        <f t="shared" si="113"/>
        <v>0.2765489532670754</v>
      </c>
    </row>
    <row r="2392" spans="2:19" ht="11.4" customHeight="1" x14ac:dyDescent="0.2">
      <c r="B2392" s="24"/>
      <c r="C2392" s="7">
        <v>9888</v>
      </c>
      <c r="D2392" s="18" t="s">
        <v>2487</v>
      </c>
      <c r="E2392" s="18" t="s">
        <v>2302</v>
      </c>
      <c r="F2392" s="17">
        <v>12</v>
      </c>
      <c r="G2392" s="18" t="s">
        <v>23</v>
      </c>
      <c r="H2392" s="17">
        <v>45.2</v>
      </c>
      <c r="I2392" s="8">
        <v>52.7</v>
      </c>
      <c r="J2392" s="21">
        <f t="shared" si="111"/>
        <v>0.16592920353982299</v>
      </c>
      <c r="K2392" s="1">
        <v>2</v>
      </c>
      <c r="L2392" s="24">
        <v>3.6</v>
      </c>
      <c r="M2392" s="24">
        <v>49.011000000000003</v>
      </c>
      <c r="N2392" s="21">
        <f t="shared" si="112"/>
        <v>8.4314159292035395E-2</v>
      </c>
      <c r="P2392" s="1">
        <v>4</v>
      </c>
      <c r="Q2392" s="24">
        <v>6.3239999999999981</v>
      </c>
      <c r="R2392" s="24">
        <v>46.376000000000005</v>
      </c>
      <c r="S2392" s="21">
        <f t="shared" si="113"/>
        <v>2.6017699115044288E-2</v>
      </c>
    </row>
    <row r="2393" spans="2:19" ht="11.4" customHeight="1" x14ac:dyDescent="0.2">
      <c r="B2393" s="24"/>
      <c r="C2393" s="7">
        <v>5279</v>
      </c>
      <c r="D2393" s="18" t="s">
        <v>2488</v>
      </c>
      <c r="E2393" s="18" t="s">
        <v>2302</v>
      </c>
      <c r="F2393" s="17">
        <v>12</v>
      </c>
      <c r="G2393" s="18" t="s">
        <v>23</v>
      </c>
      <c r="H2393" s="17">
        <v>54.9</v>
      </c>
      <c r="I2393" s="8">
        <v>75</v>
      </c>
      <c r="J2393" s="21">
        <f t="shared" si="111"/>
        <v>0.36612021857923499</v>
      </c>
      <c r="K2393" s="1">
        <v>2</v>
      </c>
      <c r="L2393" s="24">
        <v>5.2</v>
      </c>
      <c r="M2393" s="24">
        <v>69.75</v>
      </c>
      <c r="N2393" s="21">
        <f t="shared" si="112"/>
        <v>0.27049180327868855</v>
      </c>
      <c r="P2393" s="1">
        <v>4</v>
      </c>
      <c r="Q2393" s="24">
        <v>9</v>
      </c>
      <c r="R2393" s="24">
        <v>66</v>
      </c>
      <c r="S2393" s="21">
        <f t="shared" si="113"/>
        <v>0.20218579234972681</v>
      </c>
    </row>
    <row r="2394" spans="2:19" ht="11.4" customHeight="1" x14ac:dyDescent="0.2">
      <c r="B2394" s="24"/>
      <c r="C2394" s="7">
        <v>41057</v>
      </c>
      <c r="D2394" s="18" t="s">
        <v>2489</v>
      </c>
      <c r="E2394" s="18" t="s">
        <v>2302</v>
      </c>
      <c r="F2394" s="18"/>
      <c r="G2394" s="18" t="s">
        <v>23</v>
      </c>
      <c r="H2394" s="17">
        <v>40</v>
      </c>
      <c r="I2394" s="8">
        <v>76.5</v>
      </c>
      <c r="J2394" s="21">
        <f t="shared" si="111"/>
        <v>0.91249999999999998</v>
      </c>
      <c r="K2394" s="1">
        <v>2</v>
      </c>
      <c r="L2394" s="24">
        <v>5.3</v>
      </c>
      <c r="M2394" s="24">
        <v>71.14500000000001</v>
      </c>
      <c r="N2394" s="21">
        <f t="shared" si="112"/>
        <v>0.77862500000000023</v>
      </c>
      <c r="P2394" s="1">
        <v>4</v>
      </c>
      <c r="Q2394" s="24">
        <v>9.1799999999999926</v>
      </c>
      <c r="R2394" s="24">
        <v>67.320000000000007</v>
      </c>
      <c r="S2394" s="21">
        <f t="shared" si="113"/>
        <v>0.68300000000000016</v>
      </c>
    </row>
    <row r="2395" spans="2:19" ht="11.4" customHeight="1" x14ac:dyDescent="0.2">
      <c r="B2395" s="24"/>
      <c r="C2395" s="7">
        <v>21913</v>
      </c>
      <c r="D2395" s="18" t="s">
        <v>2490</v>
      </c>
      <c r="E2395" s="18" t="s">
        <v>2302</v>
      </c>
      <c r="F2395" s="17">
        <v>24</v>
      </c>
      <c r="G2395" s="18" t="s">
        <v>23</v>
      </c>
      <c r="H2395" s="17">
        <v>47.9</v>
      </c>
      <c r="I2395" s="8">
        <v>66.900000000000006</v>
      </c>
      <c r="J2395" s="21">
        <f t="shared" si="111"/>
        <v>0.39665970772442605</v>
      </c>
      <c r="K2395" s="1">
        <v>2</v>
      </c>
      <c r="L2395" s="24">
        <v>4.5999999999999996</v>
      </c>
      <c r="M2395" s="24">
        <v>62.217000000000006</v>
      </c>
      <c r="N2395" s="21">
        <f t="shared" si="112"/>
        <v>0.29889352818371623</v>
      </c>
      <c r="P2395" s="1">
        <v>4</v>
      </c>
      <c r="Q2395" s="24">
        <v>8.0279999999999987</v>
      </c>
      <c r="R2395" s="24">
        <v>58.872000000000007</v>
      </c>
      <c r="S2395" s="21">
        <f t="shared" si="113"/>
        <v>0.22906054279749496</v>
      </c>
    </row>
    <row r="2396" spans="2:19" ht="11.4" customHeight="1" x14ac:dyDescent="0.2">
      <c r="B2396" s="24"/>
      <c r="C2396" s="7">
        <v>24345</v>
      </c>
      <c r="D2396" s="18" t="s">
        <v>2491</v>
      </c>
      <c r="E2396" s="18" t="s">
        <v>2302</v>
      </c>
      <c r="F2396" s="17">
        <v>12</v>
      </c>
      <c r="G2396" s="18" t="s">
        <v>23</v>
      </c>
      <c r="H2396" s="17">
        <v>52.9</v>
      </c>
      <c r="I2396" s="8">
        <v>72.5</v>
      </c>
      <c r="J2396" s="21">
        <f t="shared" si="111"/>
        <v>0.37051039697542537</v>
      </c>
      <c r="K2396" s="1">
        <v>2</v>
      </c>
      <c r="L2396" s="24">
        <v>5</v>
      </c>
      <c r="M2396" s="24">
        <v>67.424999999999997</v>
      </c>
      <c r="N2396" s="21">
        <f t="shared" si="112"/>
        <v>0.27457466918714551</v>
      </c>
      <c r="P2396" s="1">
        <v>4</v>
      </c>
      <c r="Q2396" s="24">
        <v>8.7000000000000028</v>
      </c>
      <c r="R2396" s="24">
        <v>63.8</v>
      </c>
      <c r="S2396" s="21">
        <f t="shared" si="113"/>
        <v>0.20604914933837426</v>
      </c>
    </row>
    <row r="2397" spans="2:19" ht="11.4" customHeight="1" x14ac:dyDescent="0.2">
      <c r="B2397" s="24"/>
      <c r="C2397" s="7">
        <v>643</v>
      </c>
      <c r="D2397" s="18" t="s">
        <v>2492</v>
      </c>
      <c r="E2397" s="18" t="s">
        <v>2302</v>
      </c>
      <c r="F2397" s="17">
        <v>12</v>
      </c>
      <c r="G2397" s="18" t="s">
        <v>23</v>
      </c>
      <c r="H2397" s="17">
        <v>95.9</v>
      </c>
      <c r="I2397" s="8">
        <v>135.9</v>
      </c>
      <c r="J2397" s="21">
        <f t="shared" si="111"/>
        <v>0.41710114702815432</v>
      </c>
      <c r="K2397" s="1">
        <v>2</v>
      </c>
      <c r="L2397" s="24">
        <v>9.5</v>
      </c>
      <c r="M2397" s="24">
        <v>126.38700000000001</v>
      </c>
      <c r="N2397" s="21">
        <f t="shared" si="112"/>
        <v>0.3179040667361836</v>
      </c>
      <c r="P2397" s="1">
        <v>4</v>
      </c>
      <c r="Q2397" s="24">
        <v>16.308000000000007</v>
      </c>
      <c r="R2397" s="24">
        <v>119.592</v>
      </c>
      <c r="S2397" s="21">
        <f t="shared" si="113"/>
        <v>0.24704900938477573</v>
      </c>
    </row>
    <row r="2398" spans="2:19" ht="11.4" customHeight="1" x14ac:dyDescent="0.2">
      <c r="B2398" s="24"/>
      <c r="C2398" s="7">
        <v>40237</v>
      </c>
      <c r="D2398" s="18" t="s">
        <v>2493</v>
      </c>
      <c r="E2398" s="18" t="s">
        <v>2302</v>
      </c>
      <c r="F2398" s="18"/>
      <c r="G2398" s="18" t="s">
        <v>902</v>
      </c>
      <c r="H2398" s="17">
        <v>269</v>
      </c>
      <c r="I2398" s="8">
        <v>339.9</v>
      </c>
      <c r="J2398" s="21">
        <f t="shared" si="111"/>
        <v>0.26356877323420064</v>
      </c>
      <c r="K2398" s="1">
        <v>1</v>
      </c>
      <c r="L2398" s="24">
        <v>16.899999999999999</v>
      </c>
      <c r="M2398" s="24">
        <v>322.90499999999997</v>
      </c>
      <c r="N2398" s="21">
        <f t="shared" si="112"/>
        <v>0.20039033457249061</v>
      </c>
      <c r="P2398" s="1">
        <v>4</v>
      </c>
      <c r="Q2398" s="24">
        <v>33.990000000000009</v>
      </c>
      <c r="R2398" s="24">
        <v>305.90999999999997</v>
      </c>
      <c r="S2398" s="21">
        <f t="shared" si="113"/>
        <v>0.13721189591078056</v>
      </c>
    </row>
    <row r="2399" spans="2:19" ht="11.4" customHeight="1" x14ac:dyDescent="0.2">
      <c r="B2399" s="24"/>
      <c r="C2399" s="7">
        <v>44322</v>
      </c>
      <c r="D2399" s="18" t="s">
        <v>2494</v>
      </c>
      <c r="E2399" s="18" t="s">
        <v>2302</v>
      </c>
      <c r="F2399" s="17">
        <v>12</v>
      </c>
      <c r="G2399" s="18" t="s">
        <v>23</v>
      </c>
      <c r="H2399" s="17">
        <v>43.99</v>
      </c>
      <c r="I2399" s="8">
        <v>68.599999999999994</v>
      </c>
      <c r="J2399" s="21">
        <f t="shared" si="111"/>
        <v>0.55944532848374606</v>
      </c>
      <c r="K2399" s="1">
        <v>2</v>
      </c>
      <c r="L2399" s="24">
        <v>4.8</v>
      </c>
      <c r="M2399" s="24">
        <v>63.797999999999995</v>
      </c>
      <c r="N2399" s="21">
        <f t="shared" si="112"/>
        <v>0.45028415548988387</v>
      </c>
      <c r="P2399" s="1">
        <v>4</v>
      </c>
      <c r="Q2399" s="24">
        <v>8.2319999999999993</v>
      </c>
      <c r="R2399" s="24">
        <v>60.367999999999995</v>
      </c>
      <c r="S2399" s="21">
        <f t="shared" si="113"/>
        <v>0.37231188906569657</v>
      </c>
    </row>
    <row r="2400" spans="2:19" ht="11.4" customHeight="1" x14ac:dyDescent="0.2">
      <c r="B2400" s="24"/>
      <c r="C2400" s="7">
        <v>44325</v>
      </c>
      <c r="D2400" s="18" t="s">
        <v>2495</v>
      </c>
      <c r="E2400" s="18" t="s">
        <v>2302</v>
      </c>
      <c r="F2400" s="17">
        <v>12</v>
      </c>
      <c r="G2400" s="18" t="s">
        <v>23</v>
      </c>
      <c r="H2400" s="17">
        <v>54.46</v>
      </c>
      <c r="I2400" s="8">
        <v>79</v>
      </c>
      <c r="J2400" s="21">
        <f t="shared" si="111"/>
        <v>0.45060594932060227</v>
      </c>
      <c r="K2400" s="1">
        <v>2</v>
      </c>
      <c r="L2400" s="24">
        <v>5.5</v>
      </c>
      <c r="M2400" s="24">
        <v>73.47</v>
      </c>
      <c r="N2400" s="21">
        <f t="shared" si="112"/>
        <v>0.34906353286816005</v>
      </c>
      <c r="P2400" s="1">
        <v>4</v>
      </c>
      <c r="Q2400" s="24">
        <v>9.480000000000004</v>
      </c>
      <c r="R2400" s="24">
        <v>69.52</v>
      </c>
      <c r="S2400" s="21">
        <f t="shared" si="113"/>
        <v>0.27653323540212993</v>
      </c>
    </row>
    <row r="2401" spans="2:19" ht="11.4" customHeight="1" x14ac:dyDescent="0.2">
      <c r="B2401" s="24"/>
      <c r="C2401" s="7">
        <v>43629</v>
      </c>
      <c r="D2401" s="18" t="s">
        <v>2496</v>
      </c>
      <c r="E2401" s="18" t="s">
        <v>2302</v>
      </c>
      <c r="F2401" s="18"/>
      <c r="G2401" s="18" t="s">
        <v>23</v>
      </c>
      <c r="H2401" s="17">
        <v>200.5</v>
      </c>
      <c r="I2401" s="8">
        <v>249.9</v>
      </c>
      <c r="J2401" s="21">
        <f t="shared" si="111"/>
        <v>0.2463840399002494</v>
      </c>
      <c r="K2401" s="1">
        <v>2</v>
      </c>
      <c r="L2401" s="24">
        <v>17.399999999999999</v>
      </c>
      <c r="M2401" s="24">
        <v>232.40700000000001</v>
      </c>
      <c r="N2401" s="21">
        <f t="shared" si="112"/>
        <v>0.15913715710723197</v>
      </c>
      <c r="P2401" s="1">
        <v>4</v>
      </c>
      <c r="Q2401" s="24">
        <v>29.988</v>
      </c>
      <c r="R2401" s="24">
        <v>219.91200000000001</v>
      </c>
      <c r="S2401" s="21">
        <f t="shared" si="113"/>
        <v>9.6817955112219481E-2</v>
      </c>
    </row>
    <row r="2402" spans="2:19" ht="11.4" customHeight="1" x14ac:dyDescent="0.2">
      <c r="B2402" s="24"/>
      <c r="C2402" s="7">
        <v>31880</v>
      </c>
      <c r="D2402" s="18" t="s">
        <v>2497</v>
      </c>
      <c r="E2402" s="18" t="s">
        <v>2302</v>
      </c>
      <c r="F2402" s="17">
        <v>12</v>
      </c>
      <c r="G2402" s="18" t="s">
        <v>23</v>
      </c>
      <c r="H2402" s="17">
        <v>47.9</v>
      </c>
      <c r="I2402" s="8">
        <v>61.9</v>
      </c>
      <c r="J2402" s="21">
        <f t="shared" si="111"/>
        <v>0.29227557411273486</v>
      </c>
      <c r="K2402" s="1">
        <v>2</v>
      </c>
      <c r="L2402" s="24">
        <v>4.3</v>
      </c>
      <c r="M2402" s="24">
        <v>57.567</v>
      </c>
      <c r="N2402" s="21">
        <f t="shared" si="112"/>
        <v>0.20181628392484346</v>
      </c>
      <c r="P2402" s="1">
        <v>4</v>
      </c>
      <c r="Q2402" s="24">
        <v>7.4279999999999973</v>
      </c>
      <c r="R2402" s="24">
        <v>54.472000000000001</v>
      </c>
      <c r="S2402" s="21">
        <f t="shared" si="113"/>
        <v>0.13720250521920674</v>
      </c>
    </row>
    <row r="2403" spans="2:19" ht="11.4" customHeight="1" x14ac:dyDescent="0.2">
      <c r="B2403" s="24"/>
      <c r="C2403" s="7">
        <v>13050</v>
      </c>
      <c r="D2403" s="18" t="s">
        <v>2498</v>
      </c>
      <c r="E2403" s="18" t="s">
        <v>2302</v>
      </c>
      <c r="F2403" s="17">
        <v>12</v>
      </c>
      <c r="G2403" s="18" t="s">
        <v>23</v>
      </c>
      <c r="H2403" s="17">
        <v>45.9</v>
      </c>
      <c r="I2403" s="8">
        <v>62.9</v>
      </c>
      <c r="J2403" s="21">
        <f t="shared" si="111"/>
        <v>0.37037037037037041</v>
      </c>
      <c r="K2403" s="1">
        <v>2</v>
      </c>
      <c r="L2403" s="24">
        <v>4.4000000000000004</v>
      </c>
      <c r="M2403" s="24">
        <v>58.497</v>
      </c>
      <c r="N2403" s="21">
        <f t="shared" si="112"/>
        <v>0.27444444444444449</v>
      </c>
      <c r="P2403" s="1">
        <v>4</v>
      </c>
      <c r="Q2403" s="24">
        <v>7.5480000000000018</v>
      </c>
      <c r="R2403" s="24">
        <v>55.351999999999997</v>
      </c>
      <c r="S2403" s="21">
        <f t="shared" si="113"/>
        <v>0.2059259259259259</v>
      </c>
    </row>
    <row r="2404" spans="2:19" ht="11.4" customHeight="1" x14ac:dyDescent="0.2">
      <c r="B2404" s="24"/>
      <c r="C2404" s="7">
        <v>13051</v>
      </c>
      <c r="D2404" s="18" t="s">
        <v>2499</v>
      </c>
      <c r="E2404" s="18" t="s">
        <v>2302</v>
      </c>
      <c r="F2404" s="17">
        <v>12</v>
      </c>
      <c r="G2404" s="18" t="s">
        <v>23</v>
      </c>
      <c r="H2404" s="17">
        <v>57.5</v>
      </c>
      <c r="I2404" s="8">
        <v>85.9</v>
      </c>
      <c r="J2404" s="21">
        <f t="shared" si="111"/>
        <v>0.49391304347826098</v>
      </c>
      <c r="K2404" s="1">
        <v>2</v>
      </c>
      <c r="L2404" s="24">
        <v>6</v>
      </c>
      <c r="M2404" s="24">
        <v>79.887000000000015</v>
      </c>
      <c r="N2404" s="21">
        <f t="shared" si="112"/>
        <v>0.38933913043478285</v>
      </c>
      <c r="P2404" s="1">
        <v>4</v>
      </c>
      <c r="Q2404" s="24">
        <v>10.308000000000007</v>
      </c>
      <c r="R2404" s="24">
        <v>75.591999999999999</v>
      </c>
      <c r="S2404" s="21">
        <f t="shared" si="113"/>
        <v>0.31464347826086952</v>
      </c>
    </row>
    <row r="2405" spans="2:19" ht="11.4" customHeight="1" x14ac:dyDescent="0.2">
      <c r="B2405" s="24"/>
      <c r="C2405" s="7">
        <v>4778</v>
      </c>
      <c r="D2405" s="18" t="s">
        <v>2500</v>
      </c>
      <c r="E2405" s="18" t="s">
        <v>2302</v>
      </c>
      <c r="F2405" s="17">
        <v>12</v>
      </c>
      <c r="G2405" s="18" t="s">
        <v>23</v>
      </c>
      <c r="H2405" s="17">
        <v>40.700000000000003</v>
      </c>
      <c r="I2405" s="8">
        <v>54.5</v>
      </c>
      <c r="J2405" s="21">
        <f t="shared" si="111"/>
        <v>0.33906633906633898</v>
      </c>
      <c r="K2405" s="1">
        <v>2</v>
      </c>
      <c r="L2405" s="24">
        <v>3.8</v>
      </c>
      <c r="M2405" s="24">
        <v>50.685000000000002</v>
      </c>
      <c r="N2405" s="21">
        <f t="shared" si="112"/>
        <v>0.2453316953316953</v>
      </c>
      <c r="P2405" s="1">
        <v>4</v>
      </c>
      <c r="Q2405" s="24">
        <v>6.5399999999999991</v>
      </c>
      <c r="R2405" s="24">
        <v>47.96</v>
      </c>
      <c r="S2405" s="21">
        <f t="shared" si="113"/>
        <v>0.17837837837837831</v>
      </c>
    </row>
    <row r="2406" spans="2:19" ht="11.4" customHeight="1" x14ac:dyDescent="0.2">
      <c r="B2406" s="24"/>
      <c r="C2406" s="7">
        <v>6103</v>
      </c>
      <c r="D2406" s="18" t="s">
        <v>2501</v>
      </c>
      <c r="E2406" s="18" t="s">
        <v>2302</v>
      </c>
      <c r="F2406" s="17">
        <v>12</v>
      </c>
      <c r="G2406" s="18" t="s">
        <v>23</v>
      </c>
      <c r="H2406" s="17">
        <v>57.8</v>
      </c>
      <c r="I2406" s="8">
        <v>71.400000000000006</v>
      </c>
      <c r="J2406" s="21">
        <f t="shared" si="111"/>
        <v>0.23529411764705899</v>
      </c>
      <c r="K2406" s="1">
        <v>2</v>
      </c>
      <c r="L2406" s="24">
        <v>4.9000000000000004</v>
      </c>
      <c r="M2406" s="24">
        <v>66.402000000000015</v>
      </c>
      <c r="N2406" s="21">
        <f t="shared" si="112"/>
        <v>0.14882352941176502</v>
      </c>
      <c r="P2406" s="1">
        <v>4</v>
      </c>
      <c r="Q2406" s="24">
        <v>8.5679999999999978</v>
      </c>
      <c r="R2406" s="24">
        <v>62.832000000000008</v>
      </c>
      <c r="S2406" s="21">
        <f t="shared" si="113"/>
        <v>8.7058823529411952E-2</v>
      </c>
    </row>
    <row r="2407" spans="2:19" ht="11.4" customHeight="1" x14ac:dyDescent="0.2">
      <c r="B2407" s="24"/>
      <c r="C2407" s="7">
        <v>22470</v>
      </c>
      <c r="D2407" s="18" t="s">
        <v>2502</v>
      </c>
      <c r="E2407" s="18" t="s">
        <v>2302</v>
      </c>
      <c r="F2407" s="17">
        <v>24</v>
      </c>
      <c r="G2407" s="18" t="s">
        <v>23</v>
      </c>
      <c r="H2407" s="17">
        <v>49.9</v>
      </c>
      <c r="I2407" s="8">
        <v>71.5</v>
      </c>
      <c r="J2407" s="21">
        <f t="shared" si="111"/>
        <v>0.4328657314629259</v>
      </c>
      <c r="K2407" s="1">
        <v>2</v>
      </c>
      <c r="L2407" s="24">
        <v>5</v>
      </c>
      <c r="M2407" s="24">
        <v>66.495000000000005</v>
      </c>
      <c r="N2407" s="21">
        <f t="shared" si="112"/>
        <v>0.33256513026052115</v>
      </c>
      <c r="P2407" s="1">
        <v>4</v>
      </c>
      <c r="Q2407" s="24">
        <v>8.5799999999999983</v>
      </c>
      <c r="R2407" s="24">
        <v>62.92</v>
      </c>
      <c r="S2407" s="21">
        <f t="shared" si="113"/>
        <v>0.26092184368737481</v>
      </c>
    </row>
    <row r="2408" spans="2:19" ht="11.4" customHeight="1" x14ac:dyDescent="0.2">
      <c r="B2408" s="24"/>
      <c r="C2408" s="7">
        <v>33429</v>
      </c>
      <c r="D2408" s="18" t="s">
        <v>2503</v>
      </c>
      <c r="E2408" s="18" t="s">
        <v>2302</v>
      </c>
      <c r="F2408" s="18"/>
      <c r="G2408" s="18" t="s">
        <v>23</v>
      </c>
      <c r="H2408" s="17">
        <v>68.31</v>
      </c>
      <c r="I2408" s="8">
        <v>109.5</v>
      </c>
      <c r="J2408" s="21">
        <f t="shared" si="111"/>
        <v>0.60298638559508122</v>
      </c>
      <c r="K2408" s="1">
        <v>2</v>
      </c>
      <c r="L2408" s="24">
        <v>7.6</v>
      </c>
      <c r="M2408" s="24">
        <v>101.83500000000001</v>
      </c>
      <c r="N2408" s="21">
        <f t="shared" si="112"/>
        <v>0.49077733860342565</v>
      </c>
      <c r="P2408" s="1">
        <v>4</v>
      </c>
      <c r="Q2408" s="24">
        <v>13.14</v>
      </c>
      <c r="R2408" s="24">
        <v>96.36</v>
      </c>
      <c r="S2408" s="21">
        <f t="shared" si="113"/>
        <v>0.41062801932367143</v>
      </c>
    </row>
    <row r="2409" spans="2:19" ht="11.4" customHeight="1" x14ac:dyDescent="0.2">
      <c r="B2409" s="24"/>
      <c r="C2409" s="7">
        <v>34580</v>
      </c>
      <c r="D2409" s="18" t="s">
        <v>2504</v>
      </c>
      <c r="E2409" s="18" t="s">
        <v>2302</v>
      </c>
      <c r="F2409" s="17">
        <v>12</v>
      </c>
      <c r="G2409" s="18" t="s">
        <v>23</v>
      </c>
      <c r="H2409" s="17">
        <v>59.8</v>
      </c>
      <c r="I2409" s="8">
        <v>81.900000000000006</v>
      </c>
      <c r="J2409" s="21">
        <f t="shared" si="111"/>
        <v>0.36956521739130449</v>
      </c>
      <c r="K2409" s="1">
        <v>2</v>
      </c>
      <c r="L2409" s="24">
        <v>5.7</v>
      </c>
      <c r="M2409" s="24">
        <v>76.167000000000016</v>
      </c>
      <c r="N2409" s="21">
        <f t="shared" si="112"/>
        <v>0.2736956521739134</v>
      </c>
      <c r="P2409" s="1">
        <v>4</v>
      </c>
      <c r="Q2409" s="24">
        <v>9.828000000000003</v>
      </c>
      <c r="R2409" s="24">
        <v>72.072000000000003</v>
      </c>
      <c r="S2409" s="21">
        <f t="shared" si="113"/>
        <v>0.20521739130434793</v>
      </c>
    </row>
    <row r="2410" spans="2:19" ht="11.4" customHeight="1" x14ac:dyDescent="0.2">
      <c r="B2410" s="24"/>
      <c r="C2410" s="7">
        <v>34195</v>
      </c>
      <c r="D2410" s="18" t="s">
        <v>2505</v>
      </c>
      <c r="E2410" s="18" t="s">
        <v>2302</v>
      </c>
      <c r="F2410" s="18"/>
      <c r="G2410" s="18" t="s">
        <v>23</v>
      </c>
      <c r="H2410" s="17">
        <v>53.35</v>
      </c>
      <c r="I2410" s="8">
        <v>84.5</v>
      </c>
      <c r="J2410" s="21">
        <f t="shared" si="111"/>
        <v>0.58388003748828488</v>
      </c>
      <c r="K2410" s="1">
        <v>2</v>
      </c>
      <c r="L2410" s="24">
        <v>5.9</v>
      </c>
      <c r="M2410" s="24">
        <v>78.585000000000008</v>
      </c>
      <c r="N2410" s="21">
        <f t="shared" si="112"/>
        <v>0.4730084348641051</v>
      </c>
      <c r="P2410" s="1">
        <v>4</v>
      </c>
      <c r="Q2410" s="24">
        <v>10.14</v>
      </c>
      <c r="R2410" s="24">
        <v>74.36</v>
      </c>
      <c r="S2410" s="21">
        <f t="shared" si="113"/>
        <v>0.39381443298969065</v>
      </c>
    </row>
    <row r="2411" spans="2:19" ht="11.4" customHeight="1" x14ac:dyDescent="0.2">
      <c r="B2411" s="24"/>
      <c r="C2411" s="7">
        <v>39258</v>
      </c>
      <c r="D2411" s="18" t="s">
        <v>2506</v>
      </c>
      <c r="E2411" s="18" t="s">
        <v>2302</v>
      </c>
      <c r="F2411" s="17">
        <v>12</v>
      </c>
      <c r="G2411" s="18" t="s">
        <v>23</v>
      </c>
      <c r="H2411" s="17">
        <v>59.9</v>
      </c>
      <c r="I2411" s="8">
        <v>99.9</v>
      </c>
      <c r="J2411" s="21">
        <f t="shared" si="111"/>
        <v>0.66777963272120211</v>
      </c>
      <c r="K2411" s="1">
        <v>2</v>
      </c>
      <c r="L2411" s="24">
        <v>6.9</v>
      </c>
      <c r="M2411" s="24">
        <v>92.907000000000011</v>
      </c>
      <c r="N2411" s="21">
        <f t="shared" si="112"/>
        <v>0.55103505843071809</v>
      </c>
      <c r="P2411" s="1">
        <v>4</v>
      </c>
      <c r="Q2411" s="24">
        <v>11.988</v>
      </c>
      <c r="R2411" s="24">
        <v>87.912000000000006</v>
      </c>
      <c r="S2411" s="21">
        <f t="shared" si="113"/>
        <v>0.46764607679465792</v>
      </c>
    </row>
    <row r="2412" spans="2:19" ht="11.4" customHeight="1" x14ac:dyDescent="0.2">
      <c r="B2412" s="24"/>
      <c r="C2412" s="7">
        <v>39257</v>
      </c>
      <c r="D2412" s="18" t="s">
        <v>2507</v>
      </c>
      <c r="E2412" s="18" t="s">
        <v>2302</v>
      </c>
      <c r="F2412" s="17">
        <v>12</v>
      </c>
      <c r="G2412" s="18" t="s">
        <v>23</v>
      </c>
      <c r="H2412" s="17">
        <v>65.900000000000006</v>
      </c>
      <c r="I2412" s="8">
        <v>104.5</v>
      </c>
      <c r="J2412" s="21">
        <f t="shared" si="111"/>
        <v>0.58573596358118352</v>
      </c>
      <c r="K2412" s="1">
        <v>2</v>
      </c>
      <c r="L2412" s="24">
        <v>7.3</v>
      </c>
      <c r="M2412" s="24">
        <v>97.185000000000002</v>
      </c>
      <c r="N2412" s="21">
        <f t="shared" si="112"/>
        <v>0.47473444613050064</v>
      </c>
      <c r="P2412" s="1">
        <v>4</v>
      </c>
      <c r="Q2412" s="24">
        <v>12.540000000000006</v>
      </c>
      <c r="R2412" s="24">
        <v>91.96</v>
      </c>
      <c r="S2412" s="21">
        <f t="shared" si="113"/>
        <v>0.39544764795144138</v>
      </c>
    </row>
    <row r="2413" spans="2:19" ht="11.4" customHeight="1" x14ac:dyDescent="0.2">
      <c r="B2413" s="24"/>
      <c r="C2413" s="7">
        <v>44603</v>
      </c>
      <c r="D2413" s="18" t="s">
        <v>2508</v>
      </c>
      <c r="E2413" s="18" t="s">
        <v>2302</v>
      </c>
      <c r="F2413" s="17">
        <v>12</v>
      </c>
      <c r="G2413" s="18" t="s">
        <v>23</v>
      </c>
      <c r="H2413" s="17">
        <v>87.18</v>
      </c>
      <c r="I2413" s="8">
        <v>129.9</v>
      </c>
      <c r="J2413" s="21">
        <f t="shared" si="111"/>
        <v>0.49002064693737091</v>
      </c>
      <c r="K2413" s="1">
        <v>2</v>
      </c>
      <c r="L2413" s="24">
        <v>9</v>
      </c>
      <c r="M2413" s="24">
        <v>120.80700000000002</v>
      </c>
      <c r="N2413" s="21">
        <f t="shared" si="112"/>
        <v>0.38571920165175505</v>
      </c>
      <c r="P2413" s="1">
        <v>4</v>
      </c>
      <c r="Q2413" s="24">
        <v>15.587999999999994</v>
      </c>
      <c r="R2413" s="24">
        <v>114.31200000000001</v>
      </c>
      <c r="S2413" s="21">
        <f t="shared" si="113"/>
        <v>0.31121816930488649</v>
      </c>
    </row>
    <row r="2414" spans="2:19" ht="11.4" customHeight="1" x14ac:dyDescent="0.2">
      <c r="B2414" s="24"/>
      <c r="C2414" s="7">
        <v>8634</v>
      </c>
      <c r="D2414" s="18" t="s">
        <v>2509</v>
      </c>
      <c r="E2414" s="18" t="s">
        <v>2302</v>
      </c>
      <c r="F2414" s="17">
        <v>12</v>
      </c>
      <c r="G2414" s="18" t="s">
        <v>23</v>
      </c>
      <c r="H2414" s="17">
        <v>43.8</v>
      </c>
      <c r="I2414" s="8">
        <v>69.900000000000006</v>
      </c>
      <c r="J2414" s="21">
        <f t="shared" si="111"/>
        <v>0.59589041095890438</v>
      </c>
      <c r="K2414" s="1">
        <v>2</v>
      </c>
      <c r="L2414" s="24">
        <v>4.8</v>
      </c>
      <c r="M2414" s="24">
        <v>65.007000000000005</v>
      </c>
      <c r="N2414" s="21">
        <f t="shared" si="112"/>
        <v>0.48417808219178105</v>
      </c>
      <c r="P2414" s="1">
        <v>4</v>
      </c>
      <c r="Q2414" s="24">
        <v>8.3879999999999981</v>
      </c>
      <c r="R2414" s="24">
        <v>61.512000000000008</v>
      </c>
      <c r="S2414" s="21">
        <f t="shared" si="113"/>
        <v>0.40438356164383588</v>
      </c>
    </row>
    <row r="2415" spans="2:19" ht="11.4" customHeight="1" x14ac:dyDescent="0.2">
      <c r="B2415" s="24"/>
      <c r="C2415" s="7">
        <v>42672</v>
      </c>
      <c r="D2415" s="18" t="s">
        <v>2510</v>
      </c>
      <c r="E2415" s="18" t="s">
        <v>2302</v>
      </c>
      <c r="F2415" s="18"/>
      <c r="G2415" s="18" t="s">
        <v>23</v>
      </c>
      <c r="H2415" s="17">
        <v>205</v>
      </c>
      <c r="I2415" s="8">
        <v>266.5</v>
      </c>
      <c r="J2415" s="21">
        <f t="shared" si="111"/>
        <v>0.3</v>
      </c>
      <c r="K2415" s="1">
        <v>2</v>
      </c>
      <c r="L2415" s="24">
        <v>18.600000000000001</v>
      </c>
      <c r="M2415" s="24">
        <v>247.845</v>
      </c>
      <c r="N2415" s="21">
        <f t="shared" si="112"/>
        <v>0.20899999999999999</v>
      </c>
      <c r="P2415" s="1">
        <v>4</v>
      </c>
      <c r="Q2415" s="24">
        <v>31.97999999999999</v>
      </c>
      <c r="R2415" s="24">
        <v>234.52</v>
      </c>
      <c r="S2415" s="21">
        <f t="shared" si="113"/>
        <v>0.14400000000000004</v>
      </c>
    </row>
    <row r="2416" spans="2:19" ht="11.4" customHeight="1" x14ac:dyDescent="0.2">
      <c r="B2416" s="24"/>
      <c r="C2416" s="7">
        <v>24351</v>
      </c>
      <c r="D2416" s="18" t="s">
        <v>2511</v>
      </c>
      <c r="E2416" s="18" t="s">
        <v>2302</v>
      </c>
      <c r="F2416" s="17">
        <v>12</v>
      </c>
      <c r="G2416" s="18" t="s">
        <v>23</v>
      </c>
      <c r="H2416" s="17">
        <v>60.5</v>
      </c>
      <c r="I2416" s="8">
        <v>74.5</v>
      </c>
      <c r="J2416" s="21">
        <f t="shared" si="111"/>
        <v>0.23140495867768596</v>
      </c>
      <c r="K2416" s="1">
        <v>2</v>
      </c>
      <c r="L2416" s="24">
        <v>5.2</v>
      </c>
      <c r="M2416" s="24">
        <v>69.284999999999997</v>
      </c>
      <c r="N2416" s="21">
        <f t="shared" si="112"/>
        <v>0.14520661157024789</v>
      </c>
      <c r="P2416" s="1">
        <v>4</v>
      </c>
      <c r="Q2416" s="24">
        <v>8.9399999999999977</v>
      </c>
      <c r="R2416" s="24">
        <v>65.56</v>
      </c>
      <c r="S2416" s="21">
        <f t="shared" si="113"/>
        <v>8.3636363636363675E-2</v>
      </c>
    </row>
    <row r="2417" spans="2:19" ht="11.4" customHeight="1" x14ac:dyDescent="0.2">
      <c r="B2417" s="24"/>
      <c r="C2417" s="7">
        <v>34581</v>
      </c>
      <c r="D2417" s="18" t="s">
        <v>2512</v>
      </c>
      <c r="E2417" s="18" t="s">
        <v>2302</v>
      </c>
      <c r="F2417" s="17">
        <v>12</v>
      </c>
      <c r="G2417" s="18" t="s">
        <v>23</v>
      </c>
      <c r="H2417" s="17">
        <v>59.8</v>
      </c>
      <c r="I2417" s="8">
        <v>81.900000000000006</v>
      </c>
      <c r="J2417" s="21">
        <f t="shared" si="111"/>
        <v>0.36956521739130449</v>
      </c>
      <c r="K2417" s="1">
        <v>2</v>
      </c>
      <c r="L2417" s="24">
        <v>5.7</v>
      </c>
      <c r="M2417" s="24">
        <v>76.167000000000016</v>
      </c>
      <c r="N2417" s="21">
        <f t="shared" si="112"/>
        <v>0.2736956521739134</v>
      </c>
      <c r="P2417" s="1">
        <v>4</v>
      </c>
      <c r="Q2417" s="24">
        <v>9.828000000000003</v>
      </c>
      <c r="R2417" s="24">
        <v>72.072000000000003</v>
      </c>
      <c r="S2417" s="21">
        <f t="shared" si="113"/>
        <v>0.20521739130434793</v>
      </c>
    </row>
    <row r="2418" spans="2:19" ht="11.4" customHeight="1" x14ac:dyDescent="0.2">
      <c r="B2418" s="24"/>
      <c r="C2418" s="7">
        <v>40836</v>
      </c>
      <c r="D2418" s="18" t="s">
        <v>2513</v>
      </c>
      <c r="E2418" s="18" t="s">
        <v>2302</v>
      </c>
      <c r="F2418" s="18"/>
      <c r="G2418" s="18" t="s">
        <v>23</v>
      </c>
      <c r="H2418" s="17">
        <v>53.35</v>
      </c>
      <c r="I2418" s="8">
        <v>84.5</v>
      </c>
      <c r="J2418" s="21">
        <f t="shared" si="111"/>
        <v>0.58388003748828488</v>
      </c>
      <c r="K2418" s="1">
        <v>2</v>
      </c>
      <c r="L2418" s="24">
        <v>5.9</v>
      </c>
      <c r="M2418" s="24">
        <v>78.585000000000008</v>
      </c>
      <c r="N2418" s="21">
        <f t="shared" si="112"/>
        <v>0.4730084348641051</v>
      </c>
      <c r="P2418" s="1">
        <v>4</v>
      </c>
      <c r="Q2418" s="24">
        <v>10.14</v>
      </c>
      <c r="R2418" s="24">
        <v>74.36</v>
      </c>
      <c r="S2418" s="21">
        <f t="shared" si="113"/>
        <v>0.39381443298969065</v>
      </c>
    </row>
    <row r="2419" spans="2:19" ht="11.4" customHeight="1" x14ac:dyDescent="0.2">
      <c r="B2419" s="24"/>
      <c r="C2419" s="7">
        <v>34196</v>
      </c>
      <c r="D2419" s="18" t="s">
        <v>2514</v>
      </c>
      <c r="E2419" s="18" t="s">
        <v>2302</v>
      </c>
      <c r="F2419" s="18"/>
      <c r="G2419" s="18" t="s">
        <v>23</v>
      </c>
      <c r="H2419" s="17">
        <v>53.35</v>
      </c>
      <c r="I2419" s="8">
        <v>84.5</v>
      </c>
      <c r="J2419" s="21">
        <f t="shared" si="111"/>
        <v>0.58388003748828488</v>
      </c>
      <c r="K2419" s="1">
        <v>2</v>
      </c>
      <c r="L2419" s="24">
        <v>5.9</v>
      </c>
      <c r="M2419" s="24">
        <v>78.585000000000008</v>
      </c>
      <c r="N2419" s="21">
        <f t="shared" si="112"/>
        <v>0.4730084348641051</v>
      </c>
      <c r="P2419" s="1">
        <v>4</v>
      </c>
      <c r="Q2419" s="24">
        <v>10.14</v>
      </c>
      <c r="R2419" s="24">
        <v>74.36</v>
      </c>
      <c r="S2419" s="21">
        <f t="shared" si="113"/>
        <v>0.39381443298969065</v>
      </c>
    </row>
    <row r="2420" spans="2:19" ht="11.4" customHeight="1" x14ac:dyDescent="0.2">
      <c r="B2420" s="24"/>
      <c r="C2420" s="7">
        <v>40835</v>
      </c>
      <c r="D2420" s="18" t="s">
        <v>2515</v>
      </c>
      <c r="E2420" s="18" t="s">
        <v>2302</v>
      </c>
      <c r="F2420" s="18"/>
      <c r="G2420" s="18" t="s">
        <v>23</v>
      </c>
      <c r="H2420" s="17">
        <v>52.7</v>
      </c>
      <c r="I2420" s="8">
        <v>84.5</v>
      </c>
      <c r="J2420" s="21">
        <f t="shared" si="111"/>
        <v>0.60341555977229588</v>
      </c>
      <c r="K2420" s="1">
        <v>2</v>
      </c>
      <c r="L2420" s="24">
        <v>5.9</v>
      </c>
      <c r="M2420" s="24">
        <v>78.585000000000008</v>
      </c>
      <c r="N2420" s="21">
        <f t="shared" si="112"/>
        <v>0.49117647058823538</v>
      </c>
      <c r="P2420" s="1">
        <v>4</v>
      </c>
      <c r="Q2420" s="24">
        <v>10.14</v>
      </c>
      <c r="R2420" s="24">
        <v>74.36</v>
      </c>
      <c r="S2420" s="21">
        <f t="shared" si="113"/>
        <v>0.41100569259962039</v>
      </c>
    </row>
    <row r="2421" spans="2:19" ht="11.4" customHeight="1" x14ac:dyDescent="0.2">
      <c r="B2421" s="24"/>
      <c r="C2421" s="7">
        <v>24353</v>
      </c>
      <c r="D2421" s="18" t="s">
        <v>2516</v>
      </c>
      <c r="E2421" s="18" t="s">
        <v>2302</v>
      </c>
      <c r="F2421" s="18"/>
      <c r="G2421" s="18" t="s">
        <v>23</v>
      </c>
      <c r="H2421" s="17">
        <v>49.02</v>
      </c>
      <c r="I2421" s="8">
        <v>76.900000000000006</v>
      </c>
      <c r="J2421" s="21">
        <f t="shared" si="111"/>
        <v>0.56874745002039984</v>
      </c>
      <c r="K2421" s="1">
        <v>2</v>
      </c>
      <c r="L2421" s="24">
        <v>5.3</v>
      </c>
      <c r="M2421" s="24">
        <v>71.51700000000001</v>
      </c>
      <c r="N2421" s="21">
        <f t="shared" si="112"/>
        <v>0.45893512851897195</v>
      </c>
      <c r="P2421" s="1">
        <v>4</v>
      </c>
      <c r="Q2421" s="24">
        <v>9.2279999999999944</v>
      </c>
      <c r="R2421" s="24">
        <v>67.672000000000011</v>
      </c>
      <c r="S2421" s="21">
        <f t="shared" si="113"/>
        <v>0.38049775601795199</v>
      </c>
    </row>
    <row r="2422" spans="2:19" ht="11.4" customHeight="1" x14ac:dyDescent="0.2">
      <c r="B2422" s="24"/>
      <c r="C2422" s="7">
        <v>24493</v>
      </c>
      <c r="D2422" s="18" t="s">
        <v>2517</v>
      </c>
      <c r="E2422" s="18" t="s">
        <v>2302</v>
      </c>
      <c r="F2422" s="17">
        <v>12</v>
      </c>
      <c r="G2422" s="18" t="s">
        <v>23</v>
      </c>
      <c r="H2422" s="17">
        <v>66.099999999999994</v>
      </c>
      <c r="I2422" s="8">
        <v>91</v>
      </c>
      <c r="J2422" s="21">
        <f t="shared" si="111"/>
        <v>0.37670196671709544</v>
      </c>
      <c r="K2422" s="1">
        <v>2</v>
      </c>
      <c r="L2422" s="24">
        <v>6.3</v>
      </c>
      <c r="M2422" s="24">
        <v>84.63000000000001</v>
      </c>
      <c r="N2422" s="21">
        <f t="shared" si="112"/>
        <v>0.28033282904689888</v>
      </c>
      <c r="P2422" s="1">
        <v>4</v>
      </c>
      <c r="Q2422" s="24">
        <v>10.920000000000002</v>
      </c>
      <c r="R2422" s="24">
        <v>80.08</v>
      </c>
      <c r="S2422" s="21">
        <f t="shared" si="113"/>
        <v>0.21149773071104394</v>
      </c>
    </row>
    <row r="2423" spans="2:19" ht="11.4" customHeight="1" x14ac:dyDescent="0.2">
      <c r="B2423" s="24"/>
      <c r="C2423" s="7">
        <v>24350</v>
      </c>
      <c r="D2423" s="18" t="s">
        <v>2518</v>
      </c>
      <c r="E2423" s="18" t="s">
        <v>2302</v>
      </c>
      <c r="F2423" s="17">
        <v>12</v>
      </c>
      <c r="G2423" s="18" t="s">
        <v>23</v>
      </c>
      <c r="H2423" s="17">
        <v>59.5</v>
      </c>
      <c r="I2423" s="8">
        <v>76.510000000000005</v>
      </c>
      <c r="J2423" s="21">
        <f t="shared" si="111"/>
        <v>0.28588235294117653</v>
      </c>
      <c r="K2423" s="1">
        <v>2</v>
      </c>
      <c r="L2423" s="24">
        <v>5.3</v>
      </c>
      <c r="M2423" s="24">
        <v>71.154300000000006</v>
      </c>
      <c r="N2423" s="21">
        <f t="shared" si="112"/>
        <v>0.19587058823529421</v>
      </c>
      <c r="P2423" s="1">
        <v>4</v>
      </c>
      <c r="Q2423" s="24">
        <v>9.181200000000004</v>
      </c>
      <c r="R2423" s="24">
        <v>67.328800000000001</v>
      </c>
      <c r="S2423" s="21">
        <f t="shared" si="113"/>
        <v>0.13157647058823532</v>
      </c>
    </row>
    <row r="2424" spans="2:19" ht="11.4" customHeight="1" x14ac:dyDescent="0.2">
      <c r="B2424" s="24"/>
      <c r="C2424" s="7">
        <v>44324</v>
      </c>
      <c r="D2424" s="18" t="s">
        <v>2519</v>
      </c>
      <c r="E2424" s="18" t="s">
        <v>2302</v>
      </c>
      <c r="F2424" s="17">
        <v>12</v>
      </c>
      <c r="G2424" s="18" t="s">
        <v>23</v>
      </c>
      <c r="H2424" s="18"/>
      <c r="I2424" s="8">
        <v>68.599999999999994</v>
      </c>
      <c r="J2424" s="21" t="e">
        <f t="shared" si="111"/>
        <v>#DIV/0!</v>
      </c>
      <c r="K2424" s="1">
        <v>2</v>
      </c>
      <c r="L2424" s="24">
        <v>4.8</v>
      </c>
      <c r="M2424" s="24">
        <v>63.797999999999995</v>
      </c>
      <c r="N2424" s="21" t="e">
        <f t="shared" si="112"/>
        <v>#DIV/0!</v>
      </c>
      <c r="P2424" s="1">
        <v>4</v>
      </c>
      <c r="Q2424" s="24">
        <v>8.2319999999999993</v>
      </c>
      <c r="R2424" s="24">
        <v>60.367999999999995</v>
      </c>
      <c r="S2424" s="21" t="e">
        <f t="shared" si="113"/>
        <v>#DIV/0!</v>
      </c>
    </row>
    <row r="2425" spans="2:19" ht="11.4" customHeight="1" x14ac:dyDescent="0.2">
      <c r="B2425" s="24"/>
      <c r="C2425" s="7">
        <v>44783</v>
      </c>
      <c r="D2425" s="18" t="s">
        <v>2520</v>
      </c>
      <c r="E2425" s="18" t="s">
        <v>2302</v>
      </c>
      <c r="F2425" s="17">
        <v>10</v>
      </c>
      <c r="G2425" s="18" t="s">
        <v>23</v>
      </c>
      <c r="H2425" s="17">
        <v>140.52000000000001</v>
      </c>
      <c r="I2425" s="8">
        <v>189.9</v>
      </c>
      <c r="J2425" s="21">
        <f t="shared" si="111"/>
        <v>0.35140905209222878</v>
      </c>
      <c r="K2425" s="1">
        <v>2</v>
      </c>
      <c r="L2425" s="24">
        <v>13.2</v>
      </c>
      <c r="M2425" s="24">
        <v>176.60700000000003</v>
      </c>
      <c r="N2425" s="21">
        <f t="shared" si="112"/>
        <v>0.25681041844577296</v>
      </c>
      <c r="P2425" s="1">
        <v>4</v>
      </c>
      <c r="Q2425" s="24">
        <v>22.788000000000011</v>
      </c>
      <c r="R2425" s="24">
        <v>167.11199999999999</v>
      </c>
      <c r="S2425" s="21">
        <f t="shared" si="113"/>
        <v>0.18923996584116129</v>
      </c>
    </row>
    <row r="2426" spans="2:19" ht="11.4" customHeight="1" x14ac:dyDescent="0.2">
      <c r="B2426" s="24"/>
      <c r="C2426" s="7">
        <v>44326</v>
      </c>
      <c r="D2426" s="18" t="s">
        <v>2521</v>
      </c>
      <c r="E2426" s="18" t="s">
        <v>2302</v>
      </c>
      <c r="F2426" s="17">
        <v>12</v>
      </c>
      <c r="G2426" s="18" t="s">
        <v>23</v>
      </c>
      <c r="H2426" s="17">
        <v>47.32</v>
      </c>
      <c r="I2426" s="8">
        <v>68.599999999999994</v>
      </c>
      <c r="J2426" s="21">
        <f t="shared" si="111"/>
        <v>0.44970414201183417</v>
      </c>
      <c r="K2426" s="1">
        <v>2</v>
      </c>
      <c r="L2426" s="24">
        <v>4.8</v>
      </c>
      <c r="M2426" s="24">
        <v>63.797999999999995</v>
      </c>
      <c r="N2426" s="21">
        <f t="shared" si="112"/>
        <v>0.34822485207100579</v>
      </c>
      <c r="P2426" s="1">
        <v>4</v>
      </c>
      <c r="Q2426" s="24">
        <v>8.2319999999999993</v>
      </c>
      <c r="R2426" s="24">
        <v>60.367999999999995</v>
      </c>
      <c r="S2426" s="21">
        <f t="shared" si="113"/>
        <v>0.27573964497041409</v>
      </c>
    </row>
    <row r="2427" spans="2:19" ht="11.4" customHeight="1" x14ac:dyDescent="0.2">
      <c r="B2427" s="24"/>
      <c r="C2427" s="7">
        <v>44598</v>
      </c>
      <c r="D2427" s="18" t="s">
        <v>2522</v>
      </c>
      <c r="E2427" s="18" t="s">
        <v>2302</v>
      </c>
      <c r="F2427" s="17">
        <v>12</v>
      </c>
      <c r="G2427" s="18" t="s">
        <v>23</v>
      </c>
      <c r="H2427" s="17">
        <v>53.35</v>
      </c>
      <c r="I2427" s="8">
        <v>84.5</v>
      </c>
      <c r="J2427" s="21">
        <f t="shared" si="111"/>
        <v>0.58388003748828488</v>
      </c>
      <c r="K2427" s="1">
        <v>2</v>
      </c>
      <c r="L2427" s="24">
        <v>5.9</v>
      </c>
      <c r="M2427" s="24">
        <v>78.585000000000008</v>
      </c>
      <c r="N2427" s="21">
        <f t="shared" si="112"/>
        <v>0.4730084348641051</v>
      </c>
      <c r="P2427" s="1">
        <v>4</v>
      </c>
      <c r="Q2427" s="24">
        <v>10.14</v>
      </c>
      <c r="R2427" s="24">
        <v>74.36</v>
      </c>
      <c r="S2427" s="21">
        <f t="shared" si="113"/>
        <v>0.39381443298969065</v>
      </c>
    </row>
    <row r="2428" spans="2:19" ht="11.4" customHeight="1" x14ac:dyDescent="0.2">
      <c r="B2428" s="24"/>
      <c r="C2428" s="7">
        <v>40236</v>
      </c>
      <c r="D2428" s="18" t="s">
        <v>2523</v>
      </c>
      <c r="E2428" s="18" t="s">
        <v>2302</v>
      </c>
      <c r="F2428" s="18"/>
      <c r="G2428" s="18" t="s">
        <v>902</v>
      </c>
      <c r="H2428" s="17">
        <v>280</v>
      </c>
      <c r="I2428" s="8">
        <v>349.9</v>
      </c>
      <c r="J2428" s="21">
        <f t="shared" si="111"/>
        <v>0.24964285714285706</v>
      </c>
      <c r="K2428" s="1">
        <v>1</v>
      </c>
      <c r="L2428" s="24">
        <v>17.399999999999999</v>
      </c>
      <c r="M2428" s="24">
        <v>332.40499999999997</v>
      </c>
      <c r="N2428" s="21">
        <f t="shared" si="112"/>
        <v>0.18716071428571418</v>
      </c>
      <c r="P2428" s="1">
        <v>4</v>
      </c>
      <c r="Q2428" s="24">
        <v>34.990000000000009</v>
      </c>
      <c r="R2428" s="24">
        <v>314.90999999999997</v>
      </c>
      <c r="S2428" s="21">
        <f t="shared" si="113"/>
        <v>0.12467857142857132</v>
      </c>
    </row>
    <row r="2429" spans="2:19" ht="11.4" customHeight="1" x14ac:dyDescent="0.2">
      <c r="B2429" s="24"/>
      <c r="C2429" s="7">
        <v>40837</v>
      </c>
      <c r="D2429" s="18" t="s">
        <v>2524</v>
      </c>
      <c r="E2429" s="18" t="s">
        <v>2302</v>
      </c>
      <c r="F2429" s="18"/>
      <c r="G2429" s="18" t="s">
        <v>23</v>
      </c>
      <c r="H2429" s="17">
        <v>150</v>
      </c>
      <c r="I2429" s="8">
        <v>199.9</v>
      </c>
      <c r="J2429" s="21">
        <f t="shared" si="111"/>
        <v>0.33266666666666672</v>
      </c>
      <c r="K2429" s="1">
        <v>2</v>
      </c>
      <c r="L2429" s="24">
        <v>13.9</v>
      </c>
      <c r="M2429" s="24">
        <v>185.90700000000001</v>
      </c>
      <c r="N2429" s="21">
        <f t="shared" si="112"/>
        <v>0.23938000000000006</v>
      </c>
      <c r="P2429" s="1">
        <v>4</v>
      </c>
      <c r="Q2429" s="24">
        <v>23.988</v>
      </c>
      <c r="R2429" s="24">
        <v>175.91200000000001</v>
      </c>
      <c r="S2429" s="21">
        <f t="shared" si="113"/>
        <v>0.17274666666666671</v>
      </c>
    </row>
    <row r="2430" spans="2:19" ht="11.4" customHeight="1" x14ac:dyDescent="0.2">
      <c r="B2430" s="24"/>
      <c r="C2430" s="7">
        <v>42673</v>
      </c>
      <c r="D2430" s="18" t="s">
        <v>2525</v>
      </c>
      <c r="E2430" s="18" t="s">
        <v>2302</v>
      </c>
      <c r="F2430" s="18"/>
      <c r="G2430" s="18" t="s">
        <v>23</v>
      </c>
      <c r="H2430" s="17">
        <v>250</v>
      </c>
      <c r="I2430" s="8">
        <v>329.9</v>
      </c>
      <c r="J2430" s="21">
        <f t="shared" si="111"/>
        <v>0.31959999999999988</v>
      </c>
      <c r="K2430" s="1">
        <v>2</v>
      </c>
      <c r="L2430" s="24">
        <v>23</v>
      </c>
      <c r="M2430" s="24">
        <v>306.80700000000002</v>
      </c>
      <c r="N2430" s="21">
        <f t="shared" si="112"/>
        <v>0.22722800000000007</v>
      </c>
      <c r="P2430" s="1">
        <v>4</v>
      </c>
      <c r="Q2430" s="24">
        <v>39.588000000000022</v>
      </c>
      <c r="R2430" s="24">
        <v>290.31199999999995</v>
      </c>
      <c r="S2430" s="21">
        <f t="shared" si="113"/>
        <v>0.16124799999999981</v>
      </c>
    </row>
    <row r="2431" spans="2:19" ht="11.4" customHeight="1" x14ac:dyDescent="0.2">
      <c r="B2431" s="24"/>
      <c r="C2431" s="7">
        <v>39254</v>
      </c>
      <c r="D2431" s="18" t="s">
        <v>2526</v>
      </c>
      <c r="E2431" s="18" t="s">
        <v>2302</v>
      </c>
      <c r="F2431" s="17">
        <v>12</v>
      </c>
      <c r="G2431" s="18" t="s">
        <v>23</v>
      </c>
      <c r="H2431" s="17">
        <v>59.9</v>
      </c>
      <c r="I2431" s="8">
        <v>85.9</v>
      </c>
      <c r="J2431" s="21">
        <f t="shared" si="111"/>
        <v>0.43405676126878145</v>
      </c>
      <c r="K2431" s="1">
        <v>2</v>
      </c>
      <c r="L2431" s="24">
        <v>6</v>
      </c>
      <c r="M2431" s="24">
        <v>79.887000000000015</v>
      </c>
      <c r="N2431" s="21">
        <f t="shared" si="112"/>
        <v>0.33367278797996691</v>
      </c>
      <c r="P2431" s="1">
        <v>4</v>
      </c>
      <c r="Q2431" s="24">
        <v>10.308000000000007</v>
      </c>
      <c r="R2431" s="24">
        <v>75.591999999999999</v>
      </c>
      <c r="S2431" s="21">
        <f t="shared" si="113"/>
        <v>0.26196994991652756</v>
      </c>
    </row>
    <row r="2432" spans="2:19" ht="11.4" customHeight="1" x14ac:dyDescent="0.2">
      <c r="B2432" s="24"/>
      <c r="C2432" s="7">
        <v>39255</v>
      </c>
      <c r="D2432" s="18" t="s">
        <v>2527</v>
      </c>
      <c r="E2432" s="18" t="s">
        <v>2302</v>
      </c>
      <c r="F2432" s="17">
        <v>12</v>
      </c>
      <c r="G2432" s="18" t="s">
        <v>23</v>
      </c>
      <c r="H2432" s="17">
        <v>59.9</v>
      </c>
      <c r="I2432" s="8">
        <v>71.5</v>
      </c>
      <c r="J2432" s="21">
        <f t="shared" si="111"/>
        <v>0.19365609348914861</v>
      </c>
      <c r="K2432" s="1">
        <v>2</v>
      </c>
      <c r="L2432" s="24">
        <v>5</v>
      </c>
      <c r="M2432" s="24">
        <v>66.495000000000005</v>
      </c>
      <c r="N2432" s="21">
        <f t="shared" si="112"/>
        <v>0.11010016694490828</v>
      </c>
      <c r="P2432" s="1">
        <v>4</v>
      </c>
      <c r="Q2432" s="24">
        <v>8.5799999999999983</v>
      </c>
      <c r="R2432" s="24">
        <v>62.92</v>
      </c>
      <c r="S2432" s="21">
        <f t="shared" si="113"/>
        <v>5.0417362270450808E-2</v>
      </c>
    </row>
    <row r="2433" spans="2:19" ht="11.4" customHeight="1" x14ac:dyDescent="0.2">
      <c r="B2433" s="24"/>
      <c r="C2433" s="7">
        <v>39256</v>
      </c>
      <c r="D2433" s="18" t="s">
        <v>2528</v>
      </c>
      <c r="E2433" s="18" t="s">
        <v>2302</v>
      </c>
      <c r="F2433" s="17">
        <v>12</v>
      </c>
      <c r="G2433" s="18" t="s">
        <v>23</v>
      </c>
      <c r="H2433" s="17">
        <v>59.9</v>
      </c>
      <c r="I2433" s="8">
        <v>86.9</v>
      </c>
      <c r="J2433" s="21">
        <f t="shared" si="111"/>
        <v>0.45075125208681149</v>
      </c>
      <c r="K2433" s="1">
        <v>2</v>
      </c>
      <c r="L2433" s="24">
        <v>6</v>
      </c>
      <c r="M2433" s="24">
        <v>80.817000000000007</v>
      </c>
      <c r="N2433" s="21">
        <f t="shared" si="112"/>
        <v>0.34919866444073472</v>
      </c>
      <c r="P2433" s="1">
        <v>4</v>
      </c>
      <c r="Q2433" s="24">
        <v>10.427999999999997</v>
      </c>
      <c r="R2433" s="24">
        <v>76.472000000000008</v>
      </c>
      <c r="S2433" s="21">
        <f t="shared" si="113"/>
        <v>0.27666110183639414</v>
      </c>
    </row>
    <row r="2434" spans="2:19" ht="11.4" customHeight="1" x14ac:dyDescent="0.2">
      <c r="B2434" s="24"/>
      <c r="C2434" s="7">
        <v>44606</v>
      </c>
      <c r="D2434" s="18" t="s">
        <v>2529</v>
      </c>
      <c r="E2434" s="18" t="s">
        <v>2302</v>
      </c>
      <c r="F2434" s="17">
        <v>12</v>
      </c>
      <c r="G2434" s="18" t="s">
        <v>23</v>
      </c>
      <c r="H2434" s="17">
        <v>126.87</v>
      </c>
      <c r="I2434" s="8">
        <v>199</v>
      </c>
      <c r="J2434" s="21">
        <f t="shared" si="111"/>
        <v>0.56853472058012133</v>
      </c>
      <c r="K2434" s="1">
        <v>2</v>
      </c>
      <c r="L2434" s="24">
        <v>13.9</v>
      </c>
      <c r="M2434" s="24">
        <v>185.07000000000002</v>
      </c>
      <c r="N2434" s="21">
        <f t="shared" si="112"/>
        <v>0.45873729013951303</v>
      </c>
      <c r="P2434" s="1">
        <v>4</v>
      </c>
      <c r="Q2434" s="24">
        <v>23.879999999999995</v>
      </c>
      <c r="R2434" s="24">
        <v>175.12</v>
      </c>
      <c r="S2434" s="21">
        <f t="shared" si="113"/>
        <v>0.38031055411050679</v>
      </c>
    </row>
    <row r="2435" spans="2:19" ht="11.4" customHeight="1" x14ac:dyDescent="0.2">
      <c r="B2435" s="24"/>
      <c r="C2435" s="7">
        <v>44602</v>
      </c>
      <c r="D2435" s="18" t="s">
        <v>2530</v>
      </c>
      <c r="E2435" s="18" t="s">
        <v>2302</v>
      </c>
      <c r="F2435" s="17">
        <v>20</v>
      </c>
      <c r="G2435" s="18" t="s">
        <v>23</v>
      </c>
      <c r="H2435" s="17">
        <v>29.93</v>
      </c>
      <c r="I2435" s="8">
        <v>47.9</v>
      </c>
      <c r="J2435" s="21">
        <f t="shared" ref="J2435:J2498" si="114">(I2435-H2435)/H2435</f>
        <v>0.60040093551620444</v>
      </c>
      <c r="K2435" s="1">
        <v>2</v>
      </c>
      <c r="L2435" s="24">
        <v>3.3</v>
      </c>
      <c r="M2435" s="24">
        <v>44.547000000000004</v>
      </c>
      <c r="N2435" s="21">
        <f t="shared" ref="N2435:N2498" si="115">(M2435-H2435)/H2435</f>
        <v>0.48837287003007029</v>
      </c>
      <c r="P2435" s="1">
        <v>4</v>
      </c>
      <c r="Q2435" s="24">
        <v>5.7479999999999976</v>
      </c>
      <c r="R2435" s="24">
        <v>42.152000000000001</v>
      </c>
      <c r="S2435" s="21">
        <f t="shared" ref="S2435:S2498" si="116">(R2435-H2435)/H2435</f>
        <v>0.40835282325425998</v>
      </c>
    </row>
    <row r="2436" spans="2:19" ht="11.4" customHeight="1" x14ac:dyDescent="0.2">
      <c r="B2436" s="24"/>
      <c r="C2436" s="7">
        <v>44784</v>
      </c>
      <c r="D2436" s="18" t="s">
        <v>2531</v>
      </c>
      <c r="E2436" s="18" t="s">
        <v>2302</v>
      </c>
      <c r="F2436" s="17">
        <v>10</v>
      </c>
      <c r="G2436" s="18" t="s">
        <v>23</v>
      </c>
      <c r="H2436" s="17">
        <v>159.84</v>
      </c>
      <c r="I2436" s="8">
        <v>215.9</v>
      </c>
      <c r="J2436" s="21">
        <f t="shared" si="114"/>
        <v>0.35072572572572575</v>
      </c>
      <c r="K2436" s="1">
        <v>2</v>
      </c>
      <c r="L2436" s="24">
        <v>21.5</v>
      </c>
      <c r="M2436" s="24">
        <v>194.31</v>
      </c>
      <c r="N2436" s="21">
        <f t="shared" si="115"/>
        <v>0.21565315315315314</v>
      </c>
      <c r="P2436" s="1">
        <v>4</v>
      </c>
      <c r="Q2436" s="24">
        <v>25.907999999999987</v>
      </c>
      <c r="R2436" s="24">
        <v>189.99200000000002</v>
      </c>
      <c r="S2436" s="21">
        <f t="shared" si="116"/>
        <v>0.18863863863863872</v>
      </c>
    </row>
    <row r="2437" spans="2:19" ht="11.4" customHeight="1" x14ac:dyDescent="0.2">
      <c r="B2437" s="24"/>
      <c r="C2437" s="7">
        <v>6038</v>
      </c>
      <c r="D2437" s="18" t="s">
        <v>2532</v>
      </c>
      <c r="E2437" s="18" t="s">
        <v>2263</v>
      </c>
      <c r="F2437" s="17">
        <v>48</v>
      </c>
      <c r="G2437" s="18" t="s">
        <v>23</v>
      </c>
      <c r="H2437" s="17">
        <v>46.5</v>
      </c>
      <c r="I2437" s="8">
        <v>68.2</v>
      </c>
      <c r="J2437" s="21">
        <f t="shared" si="114"/>
        <v>0.46666666666666673</v>
      </c>
      <c r="K2437" s="1">
        <v>2</v>
      </c>
      <c r="L2437" s="24">
        <v>6.8</v>
      </c>
      <c r="M2437" s="24">
        <v>61.38</v>
      </c>
      <c r="N2437" s="21">
        <f t="shared" si="115"/>
        <v>0.32000000000000006</v>
      </c>
      <c r="P2437" s="1">
        <v>4</v>
      </c>
      <c r="Q2437" s="24">
        <v>8.1839999999999975</v>
      </c>
      <c r="R2437" s="24">
        <v>60.016000000000005</v>
      </c>
      <c r="S2437" s="21">
        <f t="shared" si="116"/>
        <v>0.2906666666666668</v>
      </c>
    </row>
    <row r="2438" spans="2:19" ht="11.4" customHeight="1" x14ac:dyDescent="0.2">
      <c r="B2438" s="24"/>
      <c r="C2438" s="7">
        <v>6040</v>
      </c>
      <c r="D2438" s="18" t="s">
        <v>2533</v>
      </c>
      <c r="E2438" s="18" t="s">
        <v>2263</v>
      </c>
      <c r="F2438" s="17">
        <v>48</v>
      </c>
      <c r="G2438" s="18" t="s">
        <v>23</v>
      </c>
      <c r="H2438" s="17">
        <v>46.5</v>
      </c>
      <c r="I2438" s="8">
        <v>68.2</v>
      </c>
      <c r="J2438" s="21">
        <f t="shared" si="114"/>
        <v>0.46666666666666673</v>
      </c>
      <c r="K2438" s="1">
        <v>2</v>
      </c>
      <c r="L2438" s="24">
        <v>6.8</v>
      </c>
      <c r="M2438" s="24">
        <v>61.38</v>
      </c>
      <c r="N2438" s="21">
        <f t="shared" si="115"/>
        <v>0.32000000000000006</v>
      </c>
      <c r="P2438" s="1">
        <v>4</v>
      </c>
      <c r="Q2438" s="24">
        <v>8.1839999999999975</v>
      </c>
      <c r="R2438" s="24">
        <v>60.016000000000005</v>
      </c>
      <c r="S2438" s="21">
        <f t="shared" si="116"/>
        <v>0.2906666666666668</v>
      </c>
    </row>
    <row r="2439" spans="2:19" ht="11.4" customHeight="1" x14ac:dyDescent="0.2">
      <c r="B2439" s="24"/>
      <c r="C2439" s="7">
        <v>28157</v>
      </c>
      <c r="D2439" s="18" t="s">
        <v>2534</v>
      </c>
      <c r="E2439" s="18" t="s">
        <v>2263</v>
      </c>
      <c r="F2439" s="17">
        <v>15</v>
      </c>
      <c r="G2439" s="18" t="s">
        <v>23</v>
      </c>
      <c r="H2439" s="17">
        <v>21.9</v>
      </c>
      <c r="I2439" s="8">
        <v>30.5</v>
      </c>
      <c r="J2439" s="21">
        <f t="shared" si="114"/>
        <v>0.39269406392694073</v>
      </c>
      <c r="K2439" s="1">
        <v>2</v>
      </c>
      <c r="L2439" s="24">
        <v>3</v>
      </c>
      <c r="M2439" s="24">
        <v>27.45</v>
      </c>
      <c r="N2439" s="21">
        <f t="shared" si="115"/>
        <v>0.25342465753424664</v>
      </c>
      <c r="P2439" s="1">
        <v>4</v>
      </c>
      <c r="Q2439" s="24">
        <v>3.66</v>
      </c>
      <c r="R2439" s="24">
        <v>26.84</v>
      </c>
      <c r="S2439" s="21">
        <f t="shared" si="116"/>
        <v>0.22557077625570784</v>
      </c>
    </row>
    <row r="2440" spans="2:19" ht="11.4" customHeight="1" x14ac:dyDescent="0.2">
      <c r="B2440" s="24"/>
      <c r="C2440" s="7">
        <v>28156</v>
      </c>
      <c r="D2440" s="18" t="s">
        <v>2535</v>
      </c>
      <c r="E2440" s="18" t="s">
        <v>2263</v>
      </c>
      <c r="F2440" s="17">
        <v>15</v>
      </c>
      <c r="G2440" s="18" t="s">
        <v>23</v>
      </c>
      <c r="H2440" s="17">
        <v>21.9</v>
      </c>
      <c r="I2440" s="8">
        <v>30.5</v>
      </c>
      <c r="J2440" s="21">
        <f t="shared" si="114"/>
        <v>0.39269406392694073</v>
      </c>
      <c r="K2440" s="1">
        <v>2</v>
      </c>
      <c r="L2440" s="24">
        <v>3</v>
      </c>
      <c r="M2440" s="24">
        <v>27.45</v>
      </c>
      <c r="N2440" s="21">
        <f t="shared" si="115"/>
        <v>0.25342465753424664</v>
      </c>
      <c r="P2440" s="1">
        <v>4</v>
      </c>
      <c r="Q2440" s="24">
        <v>3.66</v>
      </c>
      <c r="R2440" s="24">
        <v>26.84</v>
      </c>
      <c r="S2440" s="21">
        <f t="shared" si="116"/>
        <v>0.22557077625570784</v>
      </c>
    </row>
    <row r="2441" spans="2:19" ht="11.4" customHeight="1" x14ac:dyDescent="0.2">
      <c r="B2441" s="24"/>
      <c r="C2441" s="7">
        <v>25670</v>
      </c>
      <c r="D2441" s="18" t="s">
        <v>2536</v>
      </c>
      <c r="E2441" s="18" t="s">
        <v>2263</v>
      </c>
      <c r="F2441" s="17">
        <v>6</v>
      </c>
      <c r="G2441" s="18" t="s">
        <v>23</v>
      </c>
      <c r="H2441" s="17">
        <v>57.5</v>
      </c>
      <c r="I2441" s="8">
        <v>57.5</v>
      </c>
      <c r="J2441" s="21">
        <f t="shared" si="114"/>
        <v>0</v>
      </c>
      <c r="K2441" s="1">
        <v>2</v>
      </c>
      <c r="L2441" s="24">
        <v>5.7</v>
      </c>
      <c r="M2441" s="24">
        <v>51.75</v>
      </c>
      <c r="N2441" s="21">
        <f t="shared" si="115"/>
        <v>-0.1</v>
      </c>
      <c r="P2441" s="1">
        <v>4</v>
      </c>
      <c r="Q2441" s="24">
        <v>6.8999999999999986</v>
      </c>
      <c r="R2441" s="24">
        <v>50.6</v>
      </c>
      <c r="S2441" s="21">
        <f t="shared" si="116"/>
        <v>-0.11999999999999998</v>
      </c>
    </row>
    <row r="2442" spans="2:19" ht="11.4" customHeight="1" x14ac:dyDescent="0.2">
      <c r="B2442" s="24"/>
      <c r="C2442" s="7">
        <v>25671</v>
      </c>
      <c r="D2442" s="18" t="s">
        <v>2537</v>
      </c>
      <c r="E2442" s="18" t="s">
        <v>2263</v>
      </c>
      <c r="F2442" s="17">
        <v>6</v>
      </c>
      <c r="G2442" s="18" t="s">
        <v>23</v>
      </c>
      <c r="H2442" s="17">
        <v>57.5</v>
      </c>
      <c r="I2442" s="8">
        <v>57.5</v>
      </c>
      <c r="J2442" s="21">
        <f t="shared" si="114"/>
        <v>0</v>
      </c>
      <c r="K2442" s="1">
        <v>2</v>
      </c>
      <c r="L2442" s="24">
        <v>5.7</v>
      </c>
      <c r="M2442" s="24">
        <v>51.75</v>
      </c>
      <c r="N2442" s="21">
        <f t="shared" si="115"/>
        <v>-0.1</v>
      </c>
      <c r="P2442" s="1">
        <v>4</v>
      </c>
      <c r="Q2442" s="24">
        <v>6.8999999999999986</v>
      </c>
      <c r="R2442" s="24">
        <v>50.6</v>
      </c>
      <c r="S2442" s="21">
        <f t="shared" si="116"/>
        <v>-0.11999999999999998</v>
      </c>
    </row>
    <row r="2443" spans="2:19" ht="11.4" customHeight="1" x14ac:dyDescent="0.2">
      <c r="B2443" s="24"/>
      <c r="C2443" s="7">
        <v>25672</v>
      </c>
      <c r="D2443" s="18" t="s">
        <v>2538</v>
      </c>
      <c r="E2443" s="18" t="s">
        <v>2263</v>
      </c>
      <c r="F2443" s="17">
        <v>6</v>
      </c>
      <c r="G2443" s="18" t="s">
        <v>23</v>
      </c>
      <c r="H2443" s="17">
        <v>57.5</v>
      </c>
      <c r="I2443" s="8">
        <v>57.5</v>
      </c>
      <c r="J2443" s="21">
        <f t="shared" si="114"/>
        <v>0</v>
      </c>
      <c r="K2443" s="1">
        <v>2</v>
      </c>
      <c r="L2443" s="24">
        <v>5.7</v>
      </c>
      <c r="M2443" s="24">
        <v>51.75</v>
      </c>
      <c r="N2443" s="21">
        <f t="shared" si="115"/>
        <v>-0.1</v>
      </c>
      <c r="P2443" s="1">
        <v>4</v>
      </c>
      <c r="Q2443" s="24">
        <v>6.8999999999999986</v>
      </c>
      <c r="R2443" s="24">
        <v>50.6</v>
      </c>
      <c r="S2443" s="21">
        <f t="shared" si="116"/>
        <v>-0.11999999999999998</v>
      </c>
    </row>
    <row r="2444" spans="2:19" ht="11.4" customHeight="1" x14ac:dyDescent="0.2">
      <c r="B2444" s="24"/>
      <c r="C2444" s="7">
        <v>29788</v>
      </c>
      <c r="D2444" s="18" t="s">
        <v>2539</v>
      </c>
      <c r="E2444" s="18" t="s">
        <v>2263</v>
      </c>
      <c r="F2444" s="17">
        <v>6</v>
      </c>
      <c r="G2444" s="18" t="s">
        <v>23</v>
      </c>
      <c r="H2444" s="17">
        <v>89.5</v>
      </c>
      <c r="I2444" s="8">
        <v>89.5</v>
      </c>
      <c r="J2444" s="21">
        <f t="shared" si="114"/>
        <v>0</v>
      </c>
      <c r="K2444" s="1">
        <v>2</v>
      </c>
      <c r="L2444" s="24">
        <v>8.9</v>
      </c>
      <c r="M2444" s="24">
        <v>80.55</v>
      </c>
      <c r="N2444" s="21">
        <f t="shared" si="115"/>
        <v>-0.10000000000000003</v>
      </c>
      <c r="P2444" s="1">
        <v>4</v>
      </c>
      <c r="Q2444" s="24">
        <v>10.739999999999995</v>
      </c>
      <c r="R2444" s="24">
        <v>78.760000000000005</v>
      </c>
      <c r="S2444" s="21">
        <f t="shared" si="116"/>
        <v>-0.11999999999999994</v>
      </c>
    </row>
    <row r="2445" spans="2:19" ht="11.4" customHeight="1" x14ac:dyDescent="0.2">
      <c r="B2445" s="24"/>
      <c r="C2445" s="7">
        <v>9261</v>
      </c>
      <c r="D2445" s="18" t="s">
        <v>2540</v>
      </c>
      <c r="E2445" s="18" t="s">
        <v>2263</v>
      </c>
      <c r="F2445" s="17">
        <v>48</v>
      </c>
      <c r="G2445" s="18" t="s">
        <v>23</v>
      </c>
      <c r="H2445" s="17">
        <v>43.4</v>
      </c>
      <c r="I2445" s="8">
        <v>58.2</v>
      </c>
      <c r="J2445" s="21">
        <f t="shared" si="114"/>
        <v>0.34101382488479276</v>
      </c>
      <c r="K2445" s="1">
        <v>2</v>
      </c>
      <c r="L2445" s="24">
        <v>5.8</v>
      </c>
      <c r="M2445" s="24">
        <v>52.38</v>
      </c>
      <c r="N2445" s="21">
        <f t="shared" si="115"/>
        <v>0.20691244239631346</v>
      </c>
      <c r="P2445" s="1">
        <v>4</v>
      </c>
      <c r="Q2445" s="24">
        <v>6.9840000000000018</v>
      </c>
      <c r="R2445" s="24">
        <v>51.216000000000001</v>
      </c>
      <c r="S2445" s="21">
        <f t="shared" si="116"/>
        <v>0.18009216589861757</v>
      </c>
    </row>
    <row r="2446" spans="2:19" ht="11.4" customHeight="1" x14ac:dyDescent="0.2">
      <c r="B2446" s="24"/>
      <c r="C2446" s="7">
        <v>44478</v>
      </c>
      <c r="D2446" s="18" t="s">
        <v>2541</v>
      </c>
      <c r="E2446" s="18" t="s">
        <v>2263</v>
      </c>
      <c r="F2446" s="17">
        <v>12</v>
      </c>
      <c r="G2446" s="18" t="s">
        <v>23</v>
      </c>
      <c r="H2446" s="17">
        <v>55.08</v>
      </c>
      <c r="I2446" s="8">
        <v>76.900000000000006</v>
      </c>
      <c r="J2446" s="21">
        <f t="shared" si="114"/>
        <v>0.39615105301379827</v>
      </c>
      <c r="K2446" s="1">
        <v>2</v>
      </c>
      <c r="L2446" s="24">
        <v>7.6</v>
      </c>
      <c r="M2446" s="24">
        <v>69.210000000000008</v>
      </c>
      <c r="N2446" s="21">
        <f t="shared" si="115"/>
        <v>0.2565359477124185</v>
      </c>
      <c r="P2446" s="1">
        <v>4</v>
      </c>
      <c r="Q2446" s="24">
        <v>9.2279999999999944</v>
      </c>
      <c r="R2446" s="24">
        <v>67.672000000000011</v>
      </c>
      <c r="S2446" s="21">
        <f t="shared" si="116"/>
        <v>0.22861292665214258</v>
      </c>
    </row>
    <row r="2447" spans="2:19" ht="11.4" customHeight="1" x14ac:dyDescent="0.2">
      <c r="B2447" s="24"/>
      <c r="C2447" s="7">
        <v>43391</v>
      </c>
      <c r="D2447" s="18" t="s">
        <v>2542</v>
      </c>
      <c r="E2447" s="18" t="s">
        <v>2263</v>
      </c>
      <c r="F2447" s="17">
        <v>12</v>
      </c>
      <c r="G2447" s="18" t="s">
        <v>23</v>
      </c>
      <c r="H2447" s="17">
        <v>60</v>
      </c>
      <c r="I2447" s="8">
        <v>91</v>
      </c>
      <c r="J2447" s="21">
        <f t="shared" si="114"/>
        <v>0.51666666666666672</v>
      </c>
      <c r="K2447" s="1">
        <v>2</v>
      </c>
      <c r="L2447" s="24">
        <v>9</v>
      </c>
      <c r="M2447" s="24">
        <v>81.900000000000006</v>
      </c>
      <c r="N2447" s="21">
        <f t="shared" si="115"/>
        <v>0.3650000000000001</v>
      </c>
      <c r="P2447" s="1">
        <v>4</v>
      </c>
      <c r="Q2447" s="24">
        <v>10.920000000000002</v>
      </c>
      <c r="R2447" s="24">
        <v>80.08</v>
      </c>
      <c r="S2447" s="21">
        <f t="shared" si="116"/>
        <v>0.33466666666666661</v>
      </c>
    </row>
    <row r="2448" spans="2:19" ht="11.4" customHeight="1" x14ac:dyDescent="0.2">
      <c r="B2448" s="24"/>
      <c r="C2448" s="7">
        <v>12297</v>
      </c>
      <c r="D2448" s="18" t="s">
        <v>2543</v>
      </c>
      <c r="E2448" s="18" t="s">
        <v>2333</v>
      </c>
      <c r="F2448" s="17">
        <v>12</v>
      </c>
      <c r="G2448" s="18" t="s">
        <v>23</v>
      </c>
      <c r="H2448" s="17">
        <v>23.16</v>
      </c>
      <c r="I2448" s="8">
        <v>27.9</v>
      </c>
      <c r="J2448" s="21">
        <f t="shared" si="114"/>
        <v>0.20466321243523308</v>
      </c>
      <c r="K2448" s="1">
        <v>2</v>
      </c>
      <c r="L2448" s="24">
        <v>2.7</v>
      </c>
      <c r="M2448" s="24">
        <v>25.11</v>
      </c>
      <c r="N2448" s="21">
        <f t="shared" si="115"/>
        <v>8.4196891191709811E-2</v>
      </c>
      <c r="P2448" s="1">
        <v>4</v>
      </c>
      <c r="Q2448" s="24">
        <v>3.347999999999999</v>
      </c>
      <c r="R2448" s="24">
        <v>24.552</v>
      </c>
      <c r="S2448" s="21">
        <f t="shared" si="116"/>
        <v>6.010362694300516E-2</v>
      </c>
    </row>
    <row r="2449" spans="2:19" ht="11.4" customHeight="1" x14ac:dyDescent="0.2">
      <c r="B2449" s="24"/>
      <c r="C2449" s="7">
        <v>8652</v>
      </c>
      <c r="D2449" s="18" t="s">
        <v>2544</v>
      </c>
      <c r="E2449" s="18" t="s">
        <v>2333</v>
      </c>
      <c r="F2449" s="17">
        <v>12</v>
      </c>
      <c r="G2449" s="18" t="s">
        <v>23</v>
      </c>
      <c r="H2449" s="17">
        <v>20.5</v>
      </c>
      <c r="I2449" s="8">
        <v>17.5</v>
      </c>
      <c r="J2449" s="21">
        <f t="shared" si="114"/>
        <v>-0.14634146341463414</v>
      </c>
      <c r="K2449" s="1">
        <v>2</v>
      </c>
      <c r="L2449" s="24">
        <v>1.7</v>
      </c>
      <c r="M2449" s="24">
        <v>15.75</v>
      </c>
      <c r="N2449" s="21">
        <f t="shared" si="115"/>
        <v>-0.23170731707317074</v>
      </c>
      <c r="P2449" s="1">
        <v>4</v>
      </c>
      <c r="Q2449" s="24">
        <v>2.0999999999999996</v>
      </c>
      <c r="R2449" s="24">
        <v>15.4</v>
      </c>
      <c r="S2449" s="21">
        <f t="shared" si="116"/>
        <v>-0.24878048780487802</v>
      </c>
    </row>
    <row r="2450" spans="2:19" ht="11.4" customHeight="1" x14ac:dyDescent="0.2">
      <c r="B2450" s="24"/>
      <c r="C2450" s="7">
        <v>1913</v>
      </c>
      <c r="D2450" s="18" t="s">
        <v>2545</v>
      </c>
      <c r="E2450" s="18" t="s">
        <v>2333</v>
      </c>
      <c r="F2450" s="17">
        <v>12</v>
      </c>
      <c r="G2450" s="18" t="s">
        <v>23</v>
      </c>
      <c r="H2450" s="17">
        <v>23.16</v>
      </c>
      <c r="I2450" s="8">
        <v>27.9</v>
      </c>
      <c r="J2450" s="21">
        <f t="shared" si="114"/>
        <v>0.20466321243523308</v>
      </c>
      <c r="K2450" s="1">
        <v>2</v>
      </c>
      <c r="L2450" s="24">
        <v>2.7</v>
      </c>
      <c r="M2450" s="24">
        <v>25.11</v>
      </c>
      <c r="N2450" s="21">
        <f t="shared" si="115"/>
        <v>8.4196891191709811E-2</v>
      </c>
      <c r="P2450" s="1">
        <v>4</v>
      </c>
      <c r="Q2450" s="24">
        <v>3.347999999999999</v>
      </c>
      <c r="R2450" s="24">
        <v>24.552</v>
      </c>
      <c r="S2450" s="21">
        <f t="shared" si="116"/>
        <v>6.010362694300516E-2</v>
      </c>
    </row>
    <row r="2451" spans="2:19" ht="11.4" customHeight="1" x14ac:dyDescent="0.2">
      <c r="B2451" s="24"/>
      <c r="C2451" s="7">
        <v>8653</v>
      </c>
      <c r="D2451" s="18" t="s">
        <v>2546</v>
      </c>
      <c r="E2451" s="18" t="s">
        <v>2333</v>
      </c>
      <c r="F2451" s="17">
        <v>12</v>
      </c>
      <c r="G2451" s="18" t="s">
        <v>23</v>
      </c>
      <c r="H2451" s="17">
        <v>20.5</v>
      </c>
      <c r="I2451" s="8">
        <v>17.5</v>
      </c>
      <c r="J2451" s="21">
        <f t="shared" si="114"/>
        <v>-0.14634146341463414</v>
      </c>
      <c r="K2451" s="1">
        <v>2</v>
      </c>
      <c r="L2451" s="24">
        <v>1.7</v>
      </c>
      <c r="M2451" s="24">
        <v>15.75</v>
      </c>
      <c r="N2451" s="21">
        <f t="shared" si="115"/>
        <v>-0.23170731707317074</v>
      </c>
      <c r="P2451" s="1">
        <v>4</v>
      </c>
      <c r="Q2451" s="24">
        <v>2.0999999999999996</v>
      </c>
      <c r="R2451" s="24">
        <v>15.4</v>
      </c>
      <c r="S2451" s="21">
        <f t="shared" si="116"/>
        <v>-0.24878048780487802</v>
      </c>
    </row>
    <row r="2452" spans="2:19" ht="11.4" customHeight="1" x14ac:dyDescent="0.2">
      <c r="B2452" s="24"/>
      <c r="C2452" s="7">
        <v>9177</v>
      </c>
      <c r="D2452" s="18" t="s">
        <v>2547</v>
      </c>
      <c r="E2452" s="18" t="s">
        <v>2333</v>
      </c>
      <c r="F2452" s="17">
        <v>12</v>
      </c>
      <c r="G2452" s="18" t="s">
        <v>23</v>
      </c>
      <c r="H2452" s="17">
        <v>20.5</v>
      </c>
      <c r="I2452" s="8">
        <v>17.5</v>
      </c>
      <c r="J2452" s="21">
        <f t="shared" si="114"/>
        <v>-0.14634146341463414</v>
      </c>
      <c r="K2452" s="1">
        <v>2</v>
      </c>
      <c r="L2452" s="24">
        <v>1.7</v>
      </c>
      <c r="M2452" s="24">
        <v>15.75</v>
      </c>
      <c r="N2452" s="21">
        <f t="shared" si="115"/>
        <v>-0.23170731707317074</v>
      </c>
      <c r="P2452" s="1">
        <v>4</v>
      </c>
      <c r="Q2452" s="24">
        <v>2.0999999999999996</v>
      </c>
      <c r="R2452" s="24">
        <v>15.4</v>
      </c>
      <c r="S2452" s="21">
        <f t="shared" si="116"/>
        <v>-0.24878048780487802</v>
      </c>
    </row>
    <row r="2453" spans="2:19" ht="11.4" customHeight="1" x14ac:dyDescent="0.2">
      <c r="B2453" s="24"/>
      <c r="C2453" s="7">
        <v>12385</v>
      </c>
      <c r="D2453" s="18" t="s">
        <v>2548</v>
      </c>
      <c r="E2453" s="18" t="s">
        <v>2333</v>
      </c>
      <c r="F2453" s="17">
        <v>12</v>
      </c>
      <c r="G2453" s="18" t="s">
        <v>23</v>
      </c>
      <c r="H2453" s="17">
        <v>23.16</v>
      </c>
      <c r="I2453" s="8">
        <v>27.9</v>
      </c>
      <c r="J2453" s="21">
        <f t="shared" si="114"/>
        <v>0.20466321243523308</v>
      </c>
      <c r="K2453" s="1">
        <v>2</v>
      </c>
      <c r="L2453" s="24">
        <v>2.7</v>
      </c>
      <c r="M2453" s="24">
        <v>25.11</v>
      </c>
      <c r="N2453" s="21">
        <f t="shared" si="115"/>
        <v>8.4196891191709811E-2</v>
      </c>
      <c r="P2453" s="1">
        <v>4</v>
      </c>
      <c r="Q2453" s="24">
        <v>3.347999999999999</v>
      </c>
      <c r="R2453" s="24">
        <v>24.552</v>
      </c>
      <c r="S2453" s="21">
        <f t="shared" si="116"/>
        <v>6.010362694300516E-2</v>
      </c>
    </row>
    <row r="2454" spans="2:19" ht="11.4" customHeight="1" x14ac:dyDescent="0.2">
      <c r="B2454" s="24"/>
      <c r="C2454" s="7">
        <v>25654</v>
      </c>
      <c r="D2454" s="18" t="s">
        <v>2549</v>
      </c>
      <c r="E2454" s="18" t="s">
        <v>2333</v>
      </c>
      <c r="F2454" s="17">
        <v>6</v>
      </c>
      <c r="G2454" s="18" t="s">
        <v>23</v>
      </c>
      <c r="H2454" s="17">
        <v>77.5</v>
      </c>
      <c r="I2454" s="8">
        <v>89.9</v>
      </c>
      <c r="J2454" s="21">
        <f t="shared" si="114"/>
        <v>0.16000000000000009</v>
      </c>
      <c r="K2454" s="1">
        <v>2</v>
      </c>
      <c r="L2454" s="24">
        <v>8.9</v>
      </c>
      <c r="M2454" s="24">
        <v>80.910000000000011</v>
      </c>
      <c r="N2454" s="21">
        <f t="shared" si="115"/>
        <v>4.4000000000000136E-2</v>
      </c>
      <c r="P2454" s="1">
        <v>4</v>
      </c>
      <c r="Q2454" s="24">
        <v>10.787999999999997</v>
      </c>
      <c r="R2454" s="24">
        <v>79.112000000000009</v>
      </c>
      <c r="S2454" s="21">
        <f t="shared" si="116"/>
        <v>2.0800000000000117E-2</v>
      </c>
    </row>
    <row r="2455" spans="2:19" ht="11.4" customHeight="1" x14ac:dyDescent="0.2">
      <c r="B2455" s="24"/>
      <c r="C2455" s="7">
        <v>25650</v>
      </c>
      <c r="D2455" s="18" t="s">
        <v>2550</v>
      </c>
      <c r="E2455" s="18" t="s">
        <v>2333</v>
      </c>
      <c r="F2455" s="17">
        <v>6</v>
      </c>
      <c r="G2455" s="18" t="s">
        <v>23</v>
      </c>
      <c r="H2455" s="17">
        <v>75.5</v>
      </c>
      <c r="I2455" s="8">
        <v>79.900000000000006</v>
      </c>
      <c r="J2455" s="21">
        <f t="shared" si="114"/>
        <v>5.8278145695364311E-2</v>
      </c>
      <c r="K2455" s="1">
        <v>2</v>
      </c>
      <c r="L2455" s="24">
        <v>7.9</v>
      </c>
      <c r="M2455" s="24">
        <v>71.910000000000011</v>
      </c>
      <c r="N2455" s="21">
        <f t="shared" si="115"/>
        <v>-4.7549668874172044E-2</v>
      </c>
      <c r="P2455" s="1">
        <v>4</v>
      </c>
      <c r="Q2455" s="24">
        <v>9.5879999999999939</v>
      </c>
      <c r="R2455" s="24">
        <v>70.312000000000012</v>
      </c>
      <c r="S2455" s="21">
        <f t="shared" si="116"/>
        <v>-6.8715231788079312E-2</v>
      </c>
    </row>
    <row r="2456" spans="2:19" ht="11.4" customHeight="1" x14ac:dyDescent="0.2">
      <c r="B2456" s="24"/>
      <c r="C2456" s="7">
        <v>39285</v>
      </c>
      <c r="D2456" s="18" t="s">
        <v>2551</v>
      </c>
      <c r="E2456" s="18" t="s">
        <v>2333</v>
      </c>
      <c r="F2456" s="17">
        <v>6</v>
      </c>
      <c r="G2456" s="18" t="s">
        <v>23</v>
      </c>
      <c r="H2456" s="17">
        <v>77.5</v>
      </c>
      <c r="I2456" s="8">
        <v>89.9</v>
      </c>
      <c r="J2456" s="21">
        <f t="shared" si="114"/>
        <v>0.16000000000000009</v>
      </c>
      <c r="K2456" s="1">
        <v>2</v>
      </c>
      <c r="L2456" s="24">
        <v>8.9</v>
      </c>
      <c r="M2456" s="24">
        <v>80.910000000000011</v>
      </c>
      <c r="N2456" s="21">
        <f t="shared" si="115"/>
        <v>4.4000000000000136E-2</v>
      </c>
      <c r="P2456" s="1">
        <v>4</v>
      </c>
      <c r="Q2456" s="24">
        <v>10.787999999999997</v>
      </c>
      <c r="R2456" s="24">
        <v>79.112000000000009</v>
      </c>
      <c r="S2456" s="21">
        <f t="shared" si="116"/>
        <v>2.0800000000000117E-2</v>
      </c>
    </row>
    <row r="2457" spans="2:19" ht="11.4" customHeight="1" x14ac:dyDescent="0.2">
      <c r="B2457" s="24"/>
      <c r="C2457" s="7">
        <v>40806</v>
      </c>
      <c r="D2457" s="18" t="s">
        <v>2552</v>
      </c>
      <c r="E2457" s="18" t="s">
        <v>1538</v>
      </c>
      <c r="F2457" s="18"/>
      <c r="G2457" s="18" t="s">
        <v>902</v>
      </c>
      <c r="H2457" s="18"/>
      <c r="I2457" s="8">
        <v>27.9</v>
      </c>
      <c r="J2457" s="21" t="e">
        <f t="shared" si="114"/>
        <v>#DIV/0!</v>
      </c>
      <c r="K2457" s="1">
        <v>1</v>
      </c>
      <c r="L2457" s="24">
        <v>1.3</v>
      </c>
      <c r="M2457" s="24">
        <v>26.504999999999999</v>
      </c>
      <c r="N2457" s="21" t="e">
        <f t="shared" si="115"/>
        <v>#DIV/0!</v>
      </c>
      <c r="P2457" s="1">
        <v>4</v>
      </c>
      <c r="Q2457" s="24">
        <v>2.7899999999999991</v>
      </c>
      <c r="R2457" s="24">
        <v>25.11</v>
      </c>
      <c r="S2457" s="21" t="e">
        <f t="shared" si="116"/>
        <v>#DIV/0!</v>
      </c>
    </row>
    <row r="2458" spans="2:19" ht="11.4" customHeight="1" x14ac:dyDescent="0.2">
      <c r="B2458" s="24"/>
      <c r="C2458" s="10">
        <v>40644</v>
      </c>
      <c r="D2458" s="18" t="s">
        <v>2553</v>
      </c>
      <c r="E2458" s="18" t="s">
        <v>2554</v>
      </c>
      <c r="F2458" s="18"/>
      <c r="G2458" s="18" t="s">
        <v>23</v>
      </c>
      <c r="H2458" s="17">
        <v>381.36</v>
      </c>
      <c r="I2458" s="11">
        <v>514.5</v>
      </c>
      <c r="J2458" s="21">
        <f t="shared" si="114"/>
        <v>0.34911894273127747</v>
      </c>
      <c r="K2458" s="1">
        <v>2</v>
      </c>
      <c r="L2458" s="24">
        <v>51.4</v>
      </c>
      <c r="M2458" s="24">
        <v>463.05</v>
      </c>
      <c r="N2458" s="21">
        <f t="shared" si="115"/>
        <v>0.21420704845814978</v>
      </c>
      <c r="P2458" s="1">
        <v>4</v>
      </c>
      <c r="Q2458" s="24">
        <v>61.740000000000009</v>
      </c>
      <c r="R2458" s="24">
        <v>452.76</v>
      </c>
      <c r="S2458" s="21">
        <f t="shared" si="116"/>
        <v>0.18722466960352416</v>
      </c>
    </row>
    <row r="2459" spans="2:19" ht="11.4" customHeight="1" x14ac:dyDescent="0.2">
      <c r="B2459" s="24"/>
      <c r="C2459" s="10">
        <v>40645</v>
      </c>
      <c r="D2459" s="18" t="s">
        <v>2555</v>
      </c>
      <c r="E2459" s="18" t="s">
        <v>2554</v>
      </c>
      <c r="F2459" s="18"/>
      <c r="G2459" s="18" t="s">
        <v>23</v>
      </c>
      <c r="H2459" s="17">
        <v>424.74</v>
      </c>
      <c r="I2459" s="11">
        <v>573.4</v>
      </c>
      <c r="J2459" s="21">
        <f t="shared" si="114"/>
        <v>0.3500023543815039</v>
      </c>
      <c r="K2459" s="1">
        <v>2</v>
      </c>
      <c r="L2459" s="24">
        <v>57.3</v>
      </c>
      <c r="M2459" s="24">
        <v>516.05999999999995</v>
      </c>
      <c r="N2459" s="21">
        <f t="shared" si="115"/>
        <v>0.21500211894335342</v>
      </c>
      <c r="P2459" s="1">
        <v>4</v>
      </c>
      <c r="Q2459" s="24">
        <v>68.807999999999993</v>
      </c>
      <c r="R2459" s="24">
        <v>504.59199999999998</v>
      </c>
      <c r="S2459" s="21">
        <f t="shared" si="116"/>
        <v>0.18800207185572343</v>
      </c>
    </row>
    <row r="2460" spans="2:19" ht="11.4" customHeight="1" x14ac:dyDescent="0.2">
      <c r="B2460" s="24"/>
      <c r="C2460" s="10">
        <v>46127</v>
      </c>
      <c r="D2460" s="18" t="s">
        <v>2556</v>
      </c>
      <c r="E2460" s="18" t="s">
        <v>2554</v>
      </c>
      <c r="F2460" s="17">
        <v>6</v>
      </c>
      <c r="G2460" s="18" t="s">
        <v>23</v>
      </c>
      <c r="H2460" s="17">
        <v>257.08</v>
      </c>
      <c r="I2460" s="11">
        <v>439</v>
      </c>
      <c r="J2460" s="21">
        <f t="shared" si="114"/>
        <v>0.70763964524661593</v>
      </c>
      <c r="K2460" s="1">
        <v>2</v>
      </c>
      <c r="L2460" s="24">
        <v>43.9</v>
      </c>
      <c r="M2460" s="24">
        <v>395.1</v>
      </c>
      <c r="N2460" s="21">
        <f t="shared" si="115"/>
        <v>0.53687568072195446</v>
      </c>
      <c r="P2460" s="1">
        <v>4</v>
      </c>
      <c r="Q2460" s="24">
        <v>52.680000000000007</v>
      </c>
      <c r="R2460" s="24">
        <v>386.32</v>
      </c>
      <c r="S2460" s="21">
        <f t="shared" si="116"/>
        <v>0.50272288781702201</v>
      </c>
    </row>
    <row r="2461" spans="2:19" ht="11.4" customHeight="1" x14ac:dyDescent="0.2">
      <c r="B2461" s="24"/>
      <c r="C2461" s="10">
        <v>34614</v>
      </c>
      <c r="D2461" s="18" t="s">
        <v>2557</v>
      </c>
      <c r="E2461" s="18" t="s">
        <v>2558</v>
      </c>
      <c r="F2461" s="17">
        <v>4</v>
      </c>
      <c r="G2461" s="18" t="s">
        <v>23</v>
      </c>
      <c r="H2461" s="17">
        <v>32.520000000000003</v>
      </c>
      <c r="I2461" s="11">
        <v>35.9</v>
      </c>
      <c r="J2461" s="21">
        <f t="shared" si="114"/>
        <v>0.10393603936039346</v>
      </c>
      <c r="K2461" s="1">
        <v>2</v>
      </c>
      <c r="L2461" s="24">
        <v>3.5</v>
      </c>
      <c r="M2461" s="24">
        <v>32.31</v>
      </c>
      <c r="N2461" s="21">
        <f t="shared" si="115"/>
        <v>-6.4575645756457817E-3</v>
      </c>
      <c r="P2461" s="1">
        <v>4</v>
      </c>
      <c r="Q2461" s="24">
        <v>4.3079999999999998</v>
      </c>
      <c r="R2461" s="24">
        <v>31.591999999999999</v>
      </c>
      <c r="S2461" s="21">
        <f t="shared" si="116"/>
        <v>-2.8536285362853759E-2</v>
      </c>
    </row>
    <row r="2462" spans="2:19" ht="11.4" customHeight="1" x14ac:dyDescent="0.2">
      <c r="B2462" s="24"/>
      <c r="C2462" s="10">
        <v>33087</v>
      </c>
      <c r="D2462" s="18" t="s">
        <v>2559</v>
      </c>
      <c r="E2462" s="18" t="s">
        <v>2558</v>
      </c>
      <c r="F2462" s="17">
        <v>12</v>
      </c>
      <c r="G2462" s="18" t="s">
        <v>23</v>
      </c>
      <c r="H2462" s="17">
        <v>38.6</v>
      </c>
      <c r="I2462" s="11">
        <v>42.4</v>
      </c>
      <c r="J2462" s="21">
        <f t="shared" si="114"/>
        <v>9.8445595854922199E-2</v>
      </c>
      <c r="K2462" s="1">
        <v>2</v>
      </c>
      <c r="L2462" s="24">
        <v>4.2</v>
      </c>
      <c r="M2462" s="24">
        <v>38.159999999999997</v>
      </c>
      <c r="N2462" s="21">
        <f t="shared" si="115"/>
        <v>-1.1398963730570073E-2</v>
      </c>
      <c r="P2462" s="1">
        <v>4</v>
      </c>
      <c r="Q2462" s="24">
        <v>5.088000000000001</v>
      </c>
      <c r="R2462" s="24">
        <v>37.311999999999998</v>
      </c>
      <c r="S2462" s="21">
        <f t="shared" si="116"/>
        <v>-3.3367875647668493E-2</v>
      </c>
    </row>
    <row r="2463" spans="2:19" ht="11.4" customHeight="1" x14ac:dyDescent="0.2">
      <c r="B2463" s="24"/>
      <c r="C2463" s="10">
        <v>35709</v>
      </c>
      <c r="D2463" s="18" t="s">
        <v>2560</v>
      </c>
      <c r="E2463" s="18" t="s">
        <v>2558</v>
      </c>
      <c r="F2463" s="17">
        <v>12</v>
      </c>
      <c r="G2463" s="18" t="s">
        <v>23</v>
      </c>
      <c r="H2463" s="17">
        <v>38.6</v>
      </c>
      <c r="I2463" s="11">
        <v>44.5</v>
      </c>
      <c r="J2463" s="21">
        <f t="shared" si="114"/>
        <v>0.15284974093264245</v>
      </c>
      <c r="K2463" s="1">
        <v>2</v>
      </c>
      <c r="L2463" s="24">
        <v>4.4000000000000004</v>
      </c>
      <c r="M2463" s="24">
        <v>40.050000000000004</v>
      </c>
      <c r="N2463" s="21">
        <f t="shared" si="115"/>
        <v>3.7564766839378309E-2</v>
      </c>
      <c r="P2463" s="1">
        <v>4</v>
      </c>
      <c r="Q2463" s="24">
        <v>5.3399999999999963</v>
      </c>
      <c r="R2463" s="24">
        <v>39.160000000000004</v>
      </c>
      <c r="S2463" s="21">
        <f t="shared" si="116"/>
        <v>1.4507772020725448E-2</v>
      </c>
    </row>
    <row r="2464" spans="2:19" ht="11.4" customHeight="1" x14ac:dyDescent="0.2">
      <c r="B2464" s="24"/>
      <c r="C2464" s="10">
        <v>36399</v>
      </c>
      <c r="D2464" s="18" t="s">
        <v>2561</v>
      </c>
      <c r="E2464" s="18" t="s">
        <v>2558</v>
      </c>
      <c r="F2464" s="17">
        <v>3</v>
      </c>
      <c r="G2464" s="18" t="s">
        <v>23</v>
      </c>
      <c r="H2464" s="17">
        <v>29.5</v>
      </c>
      <c r="I2464" s="11">
        <v>33.200000000000003</v>
      </c>
      <c r="J2464" s="21">
        <f t="shared" si="114"/>
        <v>0.12542372881355943</v>
      </c>
      <c r="K2464" s="1">
        <v>2</v>
      </c>
      <c r="L2464" s="24">
        <v>3.3</v>
      </c>
      <c r="M2464" s="24">
        <v>29.880000000000003</v>
      </c>
      <c r="N2464" s="21">
        <f t="shared" si="115"/>
        <v>1.2881355932203476E-2</v>
      </c>
      <c r="P2464" s="1">
        <v>4</v>
      </c>
      <c r="Q2464" s="24">
        <v>3.9840000000000018</v>
      </c>
      <c r="R2464" s="24">
        <v>29.216000000000001</v>
      </c>
      <c r="S2464" s="21">
        <f t="shared" si="116"/>
        <v>-9.6271186440677597E-3</v>
      </c>
    </row>
    <row r="2465" spans="2:19" ht="11.4" customHeight="1" x14ac:dyDescent="0.2">
      <c r="B2465" s="24"/>
      <c r="C2465" s="10">
        <v>14462</v>
      </c>
      <c r="D2465" s="18" t="s">
        <v>2562</v>
      </c>
      <c r="E2465" s="18" t="s">
        <v>2558</v>
      </c>
      <c r="F2465" s="17">
        <v>5</v>
      </c>
      <c r="G2465" s="18" t="s">
        <v>23</v>
      </c>
      <c r="H2465" s="17">
        <v>32.9</v>
      </c>
      <c r="I2465" s="11">
        <v>35.6</v>
      </c>
      <c r="J2465" s="21">
        <f t="shared" si="114"/>
        <v>8.2066869300911949E-2</v>
      </c>
      <c r="K2465" s="1">
        <v>2</v>
      </c>
      <c r="L2465" s="24">
        <v>3.5</v>
      </c>
      <c r="M2465" s="24">
        <v>32.04</v>
      </c>
      <c r="N2465" s="21">
        <f t="shared" si="115"/>
        <v>-2.6139817629179316E-2</v>
      </c>
      <c r="P2465" s="1">
        <v>4</v>
      </c>
      <c r="Q2465" s="24">
        <v>4.2719999999999985</v>
      </c>
      <c r="R2465" s="24">
        <v>31.328000000000003</v>
      </c>
      <c r="S2465" s="21">
        <f t="shared" si="116"/>
        <v>-4.7781155015197439E-2</v>
      </c>
    </row>
    <row r="2466" spans="2:19" ht="11.4" customHeight="1" x14ac:dyDescent="0.2">
      <c r="B2466" s="24"/>
      <c r="C2466" s="10">
        <v>14613</v>
      </c>
      <c r="D2466" s="18" t="s">
        <v>2563</v>
      </c>
      <c r="E2466" s="18" t="s">
        <v>2558</v>
      </c>
      <c r="F2466" s="17">
        <v>5</v>
      </c>
      <c r="G2466" s="18" t="s">
        <v>23</v>
      </c>
      <c r="H2466" s="17">
        <v>28.32</v>
      </c>
      <c r="I2466" s="11">
        <v>36.9</v>
      </c>
      <c r="J2466" s="21">
        <f t="shared" si="114"/>
        <v>0.30296610169491517</v>
      </c>
      <c r="K2466" s="1">
        <v>2</v>
      </c>
      <c r="L2466" s="24">
        <v>3.6</v>
      </c>
      <c r="M2466" s="24">
        <v>33.21</v>
      </c>
      <c r="N2466" s="21">
        <f t="shared" si="115"/>
        <v>0.17266949152542374</v>
      </c>
      <c r="P2466" s="1">
        <v>4</v>
      </c>
      <c r="Q2466" s="24">
        <v>4.4279999999999973</v>
      </c>
      <c r="R2466" s="24">
        <v>32.472000000000001</v>
      </c>
      <c r="S2466" s="21">
        <f t="shared" si="116"/>
        <v>0.14661016949152547</v>
      </c>
    </row>
    <row r="2467" spans="2:19" ht="11.4" customHeight="1" x14ac:dyDescent="0.2">
      <c r="B2467" s="24"/>
      <c r="C2467" s="10">
        <v>45468</v>
      </c>
      <c r="D2467" s="18" t="s">
        <v>2564</v>
      </c>
      <c r="E2467" s="18" t="s">
        <v>2558</v>
      </c>
      <c r="F2467" s="17">
        <v>24</v>
      </c>
      <c r="G2467" s="18" t="s">
        <v>23</v>
      </c>
      <c r="H2467" s="17">
        <v>47.88</v>
      </c>
      <c r="I2467" s="11">
        <v>67.5</v>
      </c>
      <c r="J2467" s="21">
        <f t="shared" si="114"/>
        <v>0.40977443609022551</v>
      </c>
      <c r="K2467" s="1">
        <v>2</v>
      </c>
      <c r="L2467" s="24">
        <v>6.7</v>
      </c>
      <c r="M2467" s="24">
        <v>60.75</v>
      </c>
      <c r="N2467" s="21">
        <f t="shared" si="115"/>
        <v>0.26879699248120292</v>
      </c>
      <c r="P2467" s="1">
        <v>4</v>
      </c>
      <c r="Q2467" s="24">
        <v>8.1000000000000014</v>
      </c>
      <c r="R2467" s="24">
        <v>59.4</v>
      </c>
      <c r="S2467" s="21">
        <f t="shared" si="116"/>
        <v>0.2406015037593984</v>
      </c>
    </row>
    <row r="2468" spans="2:19" ht="11.4" customHeight="1" x14ac:dyDescent="0.2">
      <c r="B2468" s="24"/>
      <c r="C2468" s="10">
        <v>47782</v>
      </c>
      <c r="D2468" s="18" t="s">
        <v>2565</v>
      </c>
      <c r="E2468" s="18" t="s">
        <v>2558</v>
      </c>
      <c r="F2468" s="17">
        <v>24</v>
      </c>
      <c r="G2468" s="18" t="s">
        <v>23</v>
      </c>
      <c r="H2468" s="18"/>
      <c r="I2468" s="11">
        <v>57.6</v>
      </c>
      <c r="J2468" s="21" t="e">
        <f t="shared" si="114"/>
        <v>#DIV/0!</v>
      </c>
      <c r="K2468" s="1">
        <v>2</v>
      </c>
      <c r="L2468" s="24">
        <v>5.7</v>
      </c>
      <c r="M2468" s="24">
        <v>51.84</v>
      </c>
      <c r="N2468" s="21" t="e">
        <f t="shared" si="115"/>
        <v>#DIV/0!</v>
      </c>
      <c r="P2468" s="1">
        <v>4</v>
      </c>
      <c r="Q2468" s="24">
        <v>6.911999999999999</v>
      </c>
      <c r="R2468" s="24">
        <v>50.688000000000002</v>
      </c>
      <c r="S2468" s="21" t="e">
        <f t="shared" si="116"/>
        <v>#DIV/0!</v>
      </c>
    </row>
    <row r="2469" spans="2:19" ht="11.4" customHeight="1" x14ac:dyDescent="0.2">
      <c r="B2469" s="24"/>
      <c r="C2469" s="10">
        <v>31686</v>
      </c>
      <c r="D2469" s="18" t="s">
        <v>2566</v>
      </c>
      <c r="E2469" s="18" t="s">
        <v>2558</v>
      </c>
      <c r="F2469" s="17">
        <v>10</v>
      </c>
      <c r="G2469" s="18" t="s">
        <v>23</v>
      </c>
      <c r="H2469" s="17">
        <v>36</v>
      </c>
      <c r="I2469" s="11">
        <v>43.1</v>
      </c>
      <c r="J2469" s="21">
        <f t="shared" si="114"/>
        <v>0.19722222222222227</v>
      </c>
      <c r="K2469" s="1">
        <v>2</v>
      </c>
      <c r="L2469" s="24">
        <v>4.3</v>
      </c>
      <c r="M2469" s="24">
        <v>38.79</v>
      </c>
      <c r="N2469" s="21">
        <f t="shared" si="115"/>
        <v>7.7499999999999972E-2</v>
      </c>
      <c r="P2469" s="1">
        <v>4</v>
      </c>
      <c r="Q2469" s="24">
        <v>5.171999999999997</v>
      </c>
      <c r="R2469" s="24">
        <v>37.928000000000004</v>
      </c>
      <c r="S2469" s="21">
        <f t="shared" si="116"/>
        <v>5.3555555555555676E-2</v>
      </c>
    </row>
    <row r="2470" spans="2:19" ht="11.4" customHeight="1" x14ac:dyDescent="0.2">
      <c r="B2470" s="24"/>
      <c r="C2470" s="10">
        <v>46348</v>
      </c>
      <c r="D2470" s="18" t="s">
        <v>2567</v>
      </c>
      <c r="E2470" s="18" t="s">
        <v>2558</v>
      </c>
      <c r="F2470" s="17">
        <v>24</v>
      </c>
      <c r="G2470" s="18" t="s">
        <v>23</v>
      </c>
      <c r="H2470" s="17">
        <v>26.64</v>
      </c>
      <c r="I2470" s="11">
        <v>34</v>
      </c>
      <c r="J2470" s="21">
        <f t="shared" si="114"/>
        <v>0.27627627627627627</v>
      </c>
      <c r="K2470" s="1">
        <v>2</v>
      </c>
      <c r="L2470" s="24">
        <v>3.4</v>
      </c>
      <c r="M2470" s="24">
        <v>30.6</v>
      </c>
      <c r="N2470" s="21">
        <f t="shared" si="115"/>
        <v>0.14864864864864868</v>
      </c>
      <c r="P2470" s="1">
        <v>4</v>
      </c>
      <c r="Q2470" s="24">
        <v>4.0799999999999983</v>
      </c>
      <c r="R2470" s="24">
        <v>29.92</v>
      </c>
      <c r="S2470" s="21">
        <f t="shared" si="116"/>
        <v>0.12312312312312317</v>
      </c>
    </row>
    <row r="2471" spans="2:19" ht="11.4" customHeight="1" x14ac:dyDescent="0.2">
      <c r="B2471" s="24"/>
      <c r="C2471" s="10">
        <v>40621</v>
      </c>
      <c r="D2471" s="18" t="s">
        <v>2568</v>
      </c>
      <c r="E2471" s="18" t="s">
        <v>2558</v>
      </c>
      <c r="F2471" s="17">
        <v>24</v>
      </c>
      <c r="G2471" s="18" t="s">
        <v>23</v>
      </c>
      <c r="H2471" s="17">
        <v>31.92</v>
      </c>
      <c r="I2471" s="11">
        <v>45.7</v>
      </c>
      <c r="J2471" s="21">
        <f t="shared" si="114"/>
        <v>0.43170426065162909</v>
      </c>
      <c r="K2471" s="1">
        <v>2</v>
      </c>
      <c r="L2471" s="24">
        <v>4.5</v>
      </c>
      <c r="M2471" s="24">
        <v>41.13</v>
      </c>
      <c r="N2471" s="21">
        <f t="shared" si="115"/>
        <v>0.2885338345864662</v>
      </c>
      <c r="P2471" s="1">
        <v>4</v>
      </c>
      <c r="Q2471" s="24">
        <v>5.4840000000000018</v>
      </c>
      <c r="R2471" s="24">
        <v>40.216000000000001</v>
      </c>
      <c r="S2471" s="21">
        <f t="shared" si="116"/>
        <v>0.25989974937343358</v>
      </c>
    </row>
    <row r="2472" spans="2:19" ht="11.4" customHeight="1" x14ac:dyDescent="0.2">
      <c r="B2472" s="24"/>
      <c r="C2472" s="10">
        <v>43837</v>
      </c>
      <c r="D2472" s="18" t="s">
        <v>2569</v>
      </c>
      <c r="E2472" s="18" t="s">
        <v>2558</v>
      </c>
      <c r="F2472" s="17">
        <v>20</v>
      </c>
      <c r="G2472" s="18" t="s">
        <v>23</v>
      </c>
      <c r="H2472" s="17">
        <v>35.11</v>
      </c>
      <c r="I2472" s="11">
        <v>45.6</v>
      </c>
      <c r="J2472" s="21">
        <f t="shared" si="114"/>
        <v>0.29877527769866141</v>
      </c>
      <c r="K2472" s="1">
        <v>2</v>
      </c>
      <c r="L2472" s="24">
        <v>4.5</v>
      </c>
      <c r="M2472" s="24">
        <v>41.04</v>
      </c>
      <c r="N2472" s="21">
        <f t="shared" si="115"/>
        <v>0.16889774992879522</v>
      </c>
      <c r="P2472" s="1">
        <v>4</v>
      </c>
      <c r="Q2472" s="24">
        <v>5.4720000000000013</v>
      </c>
      <c r="R2472" s="24">
        <v>40.128</v>
      </c>
      <c r="S2472" s="21">
        <f t="shared" si="116"/>
        <v>0.14292224437482201</v>
      </c>
    </row>
    <row r="2473" spans="2:19" ht="11.4" customHeight="1" x14ac:dyDescent="0.2">
      <c r="B2473" s="24"/>
      <c r="C2473" s="10">
        <v>46433</v>
      </c>
      <c r="D2473" s="18" t="s">
        <v>2570</v>
      </c>
      <c r="E2473" s="18" t="s">
        <v>2558</v>
      </c>
      <c r="F2473" s="17">
        <v>24</v>
      </c>
      <c r="G2473" s="18" t="s">
        <v>23</v>
      </c>
      <c r="H2473" s="17">
        <v>53.76</v>
      </c>
      <c r="I2473" s="11">
        <v>75.5</v>
      </c>
      <c r="J2473" s="21">
        <f t="shared" si="114"/>
        <v>0.40438988095238099</v>
      </c>
      <c r="K2473" s="1">
        <v>2</v>
      </c>
      <c r="L2473" s="24">
        <v>7.5</v>
      </c>
      <c r="M2473" s="24">
        <v>67.95</v>
      </c>
      <c r="N2473" s="21">
        <f t="shared" si="115"/>
        <v>0.26395089285714296</v>
      </c>
      <c r="P2473" s="1">
        <v>4</v>
      </c>
      <c r="Q2473" s="24">
        <v>9.0600000000000023</v>
      </c>
      <c r="R2473" s="24">
        <v>66.44</v>
      </c>
      <c r="S2473" s="21">
        <f t="shared" si="116"/>
        <v>0.23586309523809523</v>
      </c>
    </row>
    <row r="2474" spans="2:19" ht="11.4" customHeight="1" x14ac:dyDescent="0.2">
      <c r="B2474" s="24"/>
      <c r="C2474" s="10">
        <v>39386</v>
      </c>
      <c r="D2474" s="18" t="s">
        <v>2571</v>
      </c>
      <c r="E2474" s="18" t="s">
        <v>2558</v>
      </c>
      <c r="F2474" s="17">
        <v>12</v>
      </c>
      <c r="G2474" s="18" t="s">
        <v>23</v>
      </c>
      <c r="H2474" s="17">
        <v>27.2</v>
      </c>
      <c r="I2474" s="11">
        <v>33</v>
      </c>
      <c r="J2474" s="21">
        <f t="shared" si="114"/>
        <v>0.21323529411764708</v>
      </c>
      <c r="K2474" s="1">
        <v>2</v>
      </c>
      <c r="L2474" s="24">
        <v>3.3</v>
      </c>
      <c r="M2474" s="24">
        <v>29.7</v>
      </c>
      <c r="N2474" s="21">
        <f t="shared" si="115"/>
        <v>9.1911764705882359E-2</v>
      </c>
      <c r="P2474" s="1">
        <v>4</v>
      </c>
      <c r="Q2474" s="24">
        <v>3.9600000000000009</v>
      </c>
      <c r="R2474" s="24">
        <v>29.04</v>
      </c>
      <c r="S2474" s="21">
        <f t="shared" si="116"/>
        <v>6.7647058823529407E-2</v>
      </c>
    </row>
    <row r="2475" spans="2:19" ht="11.4" customHeight="1" x14ac:dyDescent="0.2">
      <c r="B2475" s="24"/>
      <c r="C2475" s="10">
        <v>37932</v>
      </c>
      <c r="D2475" s="18" t="s">
        <v>2572</v>
      </c>
      <c r="E2475" s="18" t="s">
        <v>2558</v>
      </c>
      <c r="F2475" s="17">
        <v>4</v>
      </c>
      <c r="G2475" s="18" t="s">
        <v>23</v>
      </c>
      <c r="H2475" s="17">
        <v>33.6</v>
      </c>
      <c r="I2475" s="11">
        <v>35.6</v>
      </c>
      <c r="J2475" s="21">
        <f t="shared" si="114"/>
        <v>5.9523809523809521E-2</v>
      </c>
      <c r="K2475" s="1">
        <v>2</v>
      </c>
      <c r="L2475" s="24">
        <v>3.5</v>
      </c>
      <c r="M2475" s="24">
        <v>32.04</v>
      </c>
      <c r="N2475" s="21">
        <f t="shared" si="115"/>
        <v>-4.6428571428571493E-2</v>
      </c>
      <c r="P2475" s="1">
        <v>4</v>
      </c>
      <c r="Q2475" s="24">
        <v>4.2719999999999985</v>
      </c>
      <c r="R2475" s="24">
        <v>31.328000000000003</v>
      </c>
      <c r="S2475" s="21">
        <f t="shared" si="116"/>
        <v>-6.7619047619047565E-2</v>
      </c>
    </row>
    <row r="2476" spans="2:19" ht="11.4" customHeight="1" x14ac:dyDescent="0.2">
      <c r="B2476" s="24"/>
      <c r="C2476" s="10">
        <v>35881</v>
      </c>
      <c r="D2476" s="18" t="s">
        <v>2573</v>
      </c>
      <c r="E2476" s="18" t="s">
        <v>2558</v>
      </c>
      <c r="F2476" s="17">
        <v>6</v>
      </c>
      <c r="G2476" s="18" t="s">
        <v>23</v>
      </c>
      <c r="H2476" s="17">
        <v>30.7</v>
      </c>
      <c r="I2476" s="11">
        <v>37.5</v>
      </c>
      <c r="J2476" s="21">
        <f t="shared" si="114"/>
        <v>0.2214983713355049</v>
      </c>
      <c r="K2476" s="1">
        <v>2</v>
      </c>
      <c r="L2476" s="24">
        <v>3.7</v>
      </c>
      <c r="M2476" s="24">
        <v>33.75</v>
      </c>
      <c r="N2476" s="21">
        <f t="shared" si="115"/>
        <v>9.9348534201954428E-2</v>
      </c>
      <c r="P2476" s="1">
        <v>4</v>
      </c>
      <c r="Q2476" s="24">
        <v>4.5</v>
      </c>
      <c r="R2476" s="24">
        <v>33</v>
      </c>
      <c r="S2476" s="21">
        <f t="shared" si="116"/>
        <v>7.4918566775244319E-2</v>
      </c>
    </row>
    <row r="2477" spans="2:19" ht="11.4" customHeight="1" x14ac:dyDescent="0.2">
      <c r="B2477" s="24"/>
      <c r="C2477" s="10">
        <v>41482</v>
      </c>
      <c r="D2477" s="18" t="s">
        <v>2574</v>
      </c>
      <c r="E2477" s="18" t="s">
        <v>2558</v>
      </c>
      <c r="F2477" s="17">
        <v>6</v>
      </c>
      <c r="G2477" s="18" t="s">
        <v>23</v>
      </c>
      <c r="H2477" s="17">
        <v>27.54</v>
      </c>
      <c r="I2477" s="11">
        <v>35.9</v>
      </c>
      <c r="J2477" s="21">
        <f t="shared" si="114"/>
        <v>0.30355846042120549</v>
      </c>
      <c r="K2477" s="1">
        <v>2</v>
      </c>
      <c r="L2477" s="24">
        <v>3.5</v>
      </c>
      <c r="M2477" s="24">
        <v>32.31</v>
      </c>
      <c r="N2477" s="21">
        <f t="shared" si="115"/>
        <v>0.17320261437908507</v>
      </c>
      <c r="P2477" s="1">
        <v>4</v>
      </c>
      <c r="Q2477" s="24">
        <v>4.3079999999999998</v>
      </c>
      <c r="R2477" s="24">
        <v>31.591999999999999</v>
      </c>
      <c r="S2477" s="21">
        <f t="shared" si="116"/>
        <v>0.14713144517066085</v>
      </c>
    </row>
    <row r="2478" spans="2:19" ht="11.4" customHeight="1" x14ac:dyDescent="0.2">
      <c r="B2478" s="24"/>
      <c r="C2478" s="10">
        <v>46349</v>
      </c>
      <c r="D2478" s="18" t="s">
        <v>2575</v>
      </c>
      <c r="E2478" s="18" t="s">
        <v>2558</v>
      </c>
      <c r="F2478" s="17">
        <v>24</v>
      </c>
      <c r="G2478" s="18" t="s">
        <v>23</v>
      </c>
      <c r="H2478" s="17">
        <v>42.3</v>
      </c>
      <c r="I2478" s="11">
        <v>54.9</v>
      </c>
      <c r="J2478" s="21">
        <f t="shared" si="114"/>
        <v>0.29787234042553196</v>
      </c>
      <c r="K2478" s="1">
        <v>2</v>
      </c>
      <c r="L2478" s="24">
        <v>5.4</v>
      </c>
      <c r="M2478" s="24">
        <v>49.41</v>
      </c>
      <c r="N2478" s="21">
        <f t="shared" si="115"/>
        <v>0.16808510638297872</v>
      </c>
      <c r="P2478" s="1">
        <v>4</v>
      </c>
      <c r="Q2478" s="24">
        <v>6.588000000000001</v>
      </c>
      <c r="R2478" s="24">
        <v>48.311999999999998</v>
      </c>
      <c r="S2478" s="21">
        <f t="shared" si="116"/>
        <v>0.1421276595744681</v>
      </c>
    </row>
    <row r="2479" spans="2:19" ht="11.4" customHeight="1" x14ac:dyDescent="0.2">
      <c r="B2479" s="24"/>
      <c r="C2479" s="10">
        <v>45493</v>
      </c>
      <c r="D2479" s="18" t="s">
        <v>2576</v>
      </c>
      <c r="E2479" s="18" t="s">
        <v>2558</v>
      </c>
      <c r="F2479" s="17">
        <v>6</v>
      </c>
      <c r="G2479" s="18" t="s">
        <v>23</v>
      </c>
      <c r="H2479" s="17">
        <v>42.72</v>
      </c>
      <c r="I2479" s="11">
        <v>59.9</v>
      </c>
      <c r="J2479" s="21">
        <f t="shared" si="114"/>
        <v>0.40215355805243447</v>
      </c>
      <c r="K2479" s="1">
        <v>2</v>
      </c>
      <c r="L2479" s="24">
        <v>5.9</v>
      </c>
      <c r="M2479" s="24">
        <v>53.91</v>
      </c>
      <c r="N2479" s="21">
        <f t="shared" si="115"/>
        <v>0.26193820224719094</v>
      </c>
      <c r="P2479" s="1">
        <v>4</v>
      </c>
      <c r="Q2479" s="24">
        <v>7.1880000000000024</v>
      </c>
      <c r="R2479" s="24">
        <v>52.711999999999996</v>
      </c>
      <c r="S2479" s="21">
        <f t="shared" si="116"/>
        <v>0.23389513108614227</v>
      </c>
    </row>
    <row r="2480" spans="2:19" ht="11.4" customHeight="1" x14ac:dyDescent="0.2">
      <c r="B2480" s="24"/>
      <c r="C2480" s="10">
        <v>4881</v>
      </c>
      <c r="D2480" s="18" t="s">
        <v>2577</v>
      </c>
      <c r="E2480" s="18" t="s">
        <v>2578</v>
      </c>
      <c r="F2480" s="17">
        <v>12</v>
      </c>
      <c r="G2480" s="18" t="s">
        <v>23</v>
      </c>
      <c r="H2480" s="17">
        <v>14.9</v>
      </c>
      <c r="I2480" s="11">
        <v>18.899999999999999</v>
      </c>
      <c r="J2480" s="21">
        <f t="shared" si="114"/>
        <v>0.26845637583892606</v>
      </c>
      <c r="K2480" s="1">
        <v>2</v>
      </c>
      <c r="L2480" s="24">
        <v>1.8</v>
      </c>
      <c r="M2480" s="24">
        <v>17.009999999999998</v>
      </c>
      <c r="N2480" s="21">
        <f t="shared" si="115"/>
        <v>0.1416107382550334</v>
      </c>
      <c r="P2480" s="1">
        <v>4</v>
      </c>
      <c r="Q2480" s="24">
        <v>2.2680000000000007</v>
      </c>
      <c r="R2480" s="24">
        <v>16.631999999999998</v>
      </c>
      <c r="S2480" s="21">
        <f t="shared" si="116"/>
        <v>0.11624161073825487</v>
      </c>
    </row>
    <row r="2481" spans="2:19" ht="11.4" customHeight="1" x14ac:dyDescent="0.2">
      <c r="B2481" s="24"/>
      <c r="C2481" s="10">
        <v>4883</v>
      </c>
      <c r="D2481" s="18" t="s">
        <v>2579</v>
      </c>
      <c r="E2481" s="18" t="s">
        <v>2578</v>
      </c>
      <c r="F2481" s="17">
        <v>6</v>
      </c>
      <c r="G2481" s="18" t="s">
        <v>23</v>
      </c>
      <c r="H2481" s="17">
        <v>20.3</v>
      </c>
      <c r="I2481" s="11">
        <v>23.5</v>
      </c>
      <c r="J2481" s="21">
        <f t="shared" si="114"/>
        <v>0.15763546798029551</v>
      </c>
      <c r="K2481" s="1">
        <v>2</v>
      </c>
      <c r="L2481" s="24">
        <v>2.2999999999999998</v>
      </c>
      <c r="M2481" s="24">
        <v>21.150000000000002</v>
      </c>
      <c r="N2481" s="21">
        <f t="shared" si="115"/>
        <v>4.1871921182266077E-2</v>
      </c>
      <c r="P2481" s="1">
        <v>4</v>
      </c>
      <c r="Q2481" s="24">
        <v>2.8200000000000003</v>
      </c>
      <c r="R2481" s="24">
        <v>20.68</v>
      </c>
      <c r="S2481" s="21">
        <f t="shared" si="116"/>
        <v>1.8719211822660047E-2</v>
      </c>
    </row>
    <row r="2482" spans="2:19" ht="11.4" customHeight="1" x14ac:dyDescent="0.2">
      <c r="B2482" s="24"/>
      <c r="C2482" s="10">
        <v>1776</v>
      </c>
      <c r="D2482" s="18" t="s">
        <v>2580</v>
      </c>
      <c r="E2482" s="18" t="s">
        <v>2578</v>
      </c>
      <c r="F2482" s="17">
        <v>6</v>
      </c>
      <c r="G2482" s="18" t="s">
        <v>23</v>
      </c>
      <c r="H2482" s="17">
        <v>19.79</v>
      </c>
      <c r="I2482" s="11">
        <v>29.5</v>
      </c>
      <c r="J2482" s="21">
        <f t="shared" si="114"/>
        <v>0.49065184436584142</v>
      </c>
      <c r="K2482" s="1">
        <v>2</v>
      </c>
      <c r="L2482" s="24">
        <v>2.9</v>
      </c>
      <c r="M2482" s="24">
        <v>26.55</v>
      </c>
      <c r="N2482" s="21">
        <f t="shared" si="115"/>
        <v>0.3415866599292573</v>
      </c>
      <c r="P2482" s="1">
        <v>4</v>
      </c>
      <c r="Q2482" s="24">
        <v>3.5399999999999991</v>
      </c>
      <c r="R2482" s="24">
        <v>25.96</v>
      </c>
      <c r="S2482" s="21">
        <f t="shared" si="116"/>
        <v>0.31177362304194045</v>
      </c>
    </row>
    <row r="2483" spans="2:19" ht="11.4" customHeight="1" x14ac:dyDescent="0.2">
      <c r="B2483" s="24"/>
      <c r="C2483" s="10">
        <v>6293</v>
      </c>
      <c r="D2483" s="18" t="s">
        <v>2581</v>
      </c>
      <c r="E2483" s="18" t="s">
        <v>2582</v>
      </c>
      <c r="F2483" s="17">
        <v>6</v>
      </c>
      <c r="G2483" s="18" t="s">
        <v>23</v>
      </c>
      <c r="H2483" s="17">
        <v>20.100000000000001</v>
      </c>
      <c r="I2483" s="11">
        <v>22.6</v>
      </c>
      <c r="J2483" s="21">
        <f t="shared" si="114"/>
        <v>0.12437810945273631</v>
      </c>
      <c r="K2483" s="1">
        <v>2</v>
      </c>
      <c r="L2483" s="24">
        <v>2.2000000000000002</v>
      </c>
      <c r="M2483" s="24">
        <v>20.340000000000003</v>
      </c>
      <c r="N2483" s="21">
        <f t="shared" si="115"/>
        <v>1.1940298507462786E-2</v>
      </c>
      <c r="P2483" s="1">
        <v>4</v>
      </c>
      <c r="Q2483" s="24">
        <v>2.7119999999999997</v>
      </c>
      <c r="R2483" s="24">
        <v>19.888000000000002</v>
      </c>
      <c r="S2483" s="21">
        <f t="shared" si="116"/>
        <v>-1.0547263681592027E-2</v>
      </c>
    </row>
    <row r="2484" spans="2:19" ht="11.4" customHeight="1" x14ac:dyDescent="0.2">
      <c r="B2484" s="24"/>
      <c r="C2484" s="10">
        <v>23593</v>
      </c>
      <c r="D2484" s="18" t="s">
        <v>2583</v>
      </c>
      <c r="E2484" s="18" t="s">
        <v>2584</v>
      </c>
      <c r="F2484" s="17">
        <v>6</v>
      </c>
      <c r="G2484" s="18" t="s">
        <v>23</v>
      </c>
      <c r="H2484" s="17">
        <v>26.3</v>
      </c>
      <c r="I2484" s="11">
        <v>29.9</v>
      </c>
      <c r="J2484" s="21">
        <f t="shared" si="114"/>
        <v>0.13688212927756646</v>
      </c>
      <c r="K2484" s="1">
        <v>2</v>
      </c>
      <c r="L2484" s="24">
        <v>2.9</v>
      </c>
      <c r="M2484" s="24">
        <v>26.91</v>
      </c>
      <c r="N2484" s="21">
        <f t="shared" si="115"/>
        <v>2.3193916349809864E-2</v>
      </c>
      <c r="P2484" s="1">
        <v>4</v>
      </c>
      <c r="Q2484" s="24">
        <v>3.588000000000001</v>
      </c>
      <c r="R2484" s="24">
        <v>26.311999999999998</v>
      </c>
      <c r="S2484" s="21">
        <f t="shared" si="116"/>
        <v>4.5627376425843734E-4</v>
      </c>
    </row>
    <row r="2485" spans="2:19" ht="11.4" customHeight="1" x14ac:dyDescent="0.2">
      <c r="B2485" s="24"/>
      <c r="C2485" s="10">
        <v>14522</v>
      </c>
      <c r="D2485" s="18" t="s">
        <v>2585</v>
      </c>
      <c r="E2485" s="18" t="s">
        <v>2582</v>
      </c>
      <c r="F2485" s="17">
        <v>12</v>
      </c>
      <c r="G2485" s="18" t="s">
        <v>23</v>
      </c>
      <c r="H2485" s="17">
        <v>44.7</v>
      </c>
      <c r="I2485" s="11">
        <v>51.2</v>
      </c>
      <c r="J2485" s="21">
        <f t="shared" si="114"/>
        <v>0.14541387024608501</v>
      </c>
      <c r="K2485" s="1">
        <v>2</v>
      </c>
      <c r="L2485" s="24">
        <v>5.0999999999999996</v>
      </c>
      <c r="M2485" s="24">
        <v>46.080000000000005</v>
      </c>
      <c r="N2485" s="21">
        <f t="shared" si="115"/>
        <v>3.0872483221476565E-2</v>
      </c>
      <c r="P2485" s="1">
        <v>4</v>
      </c>
      <c r="Q2485" s="24">
        <v>6.1439999999999984</v>
      </c>
      <c r="R2485" s="24">
        <v>45.056000000000004</v>
      </c>
      <c r="S2485" s="21">
        <f t="shared" si="116"/>
        <v>7.9642058165548466E-3</v>
      </c>
    </row>
    <row r="2486" spans="2:19" ht="11.4" customHeight="1" x14ac:dyDescent="0.2">
      <c r="B2486" s="24"/>
      <c r="C2486" s="10">
        <v>5509</v>
      </c>
      <c r="D2486" s="18" t="s">
        <v>2586</v>
      </c>
      <c r="E2486" s="18" t="s">
        <v>2582</v>
      </c>
      <c r="F2486" s="17">
        <v>6</v>
      </c>
      <c r="G2486" s="18" t="s">
        <v>23</v>
      </c>
      <c r="H2486" s="17">
        <v>40.200000000000003</v>
      </c>
      <c r="I2486" s="11">
        <v>46.1</v>
      </c>
      <c r="J2486" s="21">
        <f t="shared" si="114"/>
        <v>0.1467661691542288</v>
      </c>
      <c r="K2486" s="1">
        <v>2</v>
      </c>
      <c r="L2486" s="24">
        <v>4.5999999999999996</v>
      </c>
      <c r="M2486" s="24">
        <v>41.49</v>
      </c>
      <c r="N2486" s="21">
        <f t="shared" si="115"/>
        <v>3.2089552238805948E-2</v>
      </c>
      <c r="P2486" s="1">
        <v>4</v>
      </c>
      <c r="Q2486" s="24">
        <v>5.5319999999999965</v>
      </c>
      <c r="R2486" s="24">
        <v>40.568000000000005</v>
      </c>
      <c r="S2486" s="21">
        <f t="shared" si="116"/>
        <v>9.1542288557214455E-3</v>
      </c>
    </row>
    <row r="2487" spans="2:19" ht="11.4" customHeight="1" x14ac:dyDescent="0.2">
      <c r="B2487" s="24"/>
      <c r="C2487" s="10">
        <v>28775</v>
      </c>
      <c r="D2487" s="18" t="s">
        <v>2587</v>
      </c>
      <c r="E2487" s="18" t="s">
        <v>2584</v>
      </c>
      <c r="F2487" s="17">
        <v>24</v>
      </c>
      <c r="G2487" s="18" t="s">
        <v>23</v>
      </c>
      <c r="H2487" s="17">
        <v>53.4</v>
      </c>
      <c r="I2487" s="11">
        <v>57.9</v>
      </c>
      <c r="J2487" s="21">
        <f t="shared" si="114"/>
        <v>8.4269662921348312E-2</v>
      </c>
      <c r="K2487" s="1">
        <v>2</v>
      </c>
      <c r="L2487" s="24">
        <v>5.7</v>
      </c>
      <c r="M2487" s="24">
        <v>52.11</v>
      </c>
      <c r="N2487" s="21">
        <f t="shared" si="115"/>
        <v>-2.41573033707865E-2</v>
      </c>
      <c r="P2487" s="1">
        <v>4</v>
      </c>
      <c r="Q2487" s="24">
        <v>6.9480000000000004</v>
      </c>
      <c r="R2487" s="24">
        <v>50.951999999999998</v>
      </c>
      <c r="S2487" s="21">
        <f t="shared" si="116"/>
        <v>-4.5842696629213489E-2</v>
      </c>
    </row>
    <row r="2488" spans="2:19" ht="11.4" customHeight="1" x14ac:dyDescent="0.2">
      <c r="B2488" s="24"/>
      <c r="C2488" s="10">
        <v>39189</v>
      </c>
      <c r="D2488" s="18" t="s">
        <v>2588</v>
      </c>
      <c r="E2488" s="18" t="s">
        <v>2584</v>
      </c>
      <c r="F2488" s="17">
        <v>24</v>
      </c>
      <c r="G2488" s="18" t="s">
        <v>23</v>
      </c>
      <c r="H2488" s="17">
        <v>90.8</v>
      </c>
      <c r="I2488" s="11">
        <v>89.9</v>
      </c>
      <c r="J2488" s="21">
        <f t="shared" si="114"/>
        <v>-9.9118942731276603E-3</v>
      </c>
      <c r="K2488" s="1">
        <v>2</v>
      </c>
      <c r="L2488" s="24">
        <v>8.9</v>
      </c>
      <c r="M2488" s="24">
        <v>80.910000000000011</v>
      </c>
      <c r="N2488" s="21">
        <f t="shared" si="115"/>
        <v>-0.10892070484581483</v>
      </c>
      <c r="P2488" s="1">
        <v>4</v>
      </c>
      <c r="Q2488" s="24">
        <v>10.787999999999997</v>
      </c>
      <c r="R2488" s="24">
        <v>79.112000000000009</v>
      </c>
      <c r="S2488" s="21">
        <f t="shared" si="116"/>
        <v>-0.12872246696035231</v>
      </c>
    </row>
    <row r="2489" spans="2:19" ht="11.4" customHeight="1" x14ac:dyDescent="0.2">
      <c r="B2489" s="24"/>
      <c r="C2489" s="10">
        <v>14629</v>
      </c>
      <c r="D2489" s="18" t="s">
        <v>2589</v>
      </c>
      <c r="E2489" s="18" t="s">
        <v>2578</v>
      </c>
      <c r="F2489" s="17">
        <v>10</v>
      </c>
      <c r="G2489" s="18" t="s">
        <v>23</v>
      </c>
      <c r="H2489" s="17">
        <v>8.2200000000000006</v>
      </c>
      <c r="I2489" s="11">
        <v>11.6</v>
      </c>
      <c r="J2489" s="21">
        <f t="shared" si="114"/>
        <v>0.41119221411192197</v>
      </c>
      <c r="K2489" s="1">
        <v>2</v>
      </c>
      <c r="L2489" s="24">
        <v>1.1000000000000001</v>
      </c>
      <c r="M2489" s="24">
        <v>10.44</v>
      </c>
      <c r="N2489" s="21">
        <f t="shared" si="115"/>
        <v>0.27007299270072976</v>
      </c>
      <c r="P2489" s="1">
        <v>4</v>
      </c>
      <c r="Q2489" s="24">
        <v>1.3919999999999995</v>
      </c>
      <c r="R2489" s="24">
        <v>10.208</v>
      </c>
      <c r="S2489" s="21">
        <f t="shared" si="116"/>
        <v>0.24184914841849142</v>
      </c>
    </row>
    <row r="2490" spans="2:19" ht="11.4" customHeight="1" x14ac:dyDescent="0.2">
      <c r="B2490" s="24"/>
      <c r="C2490" s="10">
        <v>14631</v>
      </c>
      <c r="D2490" s="18" t="s">
        <v>2590</v>
      </c>
      <c r="E2490" s="18" t="s">
        <v>2578</v>
      </c>
      <c r="F2490" s="17">
        <v>8</v>
      </c>
      <c r="G2490" s="18" t="s">
        <v>23</v>
      </c>
      <c r="H2490" s="17">
        <v>12.42</v>
      </c>
      <c r="I2490" s="11">
        <v>17.399999999999999</v>
      </c>
      <c r="J2490" s="21">
        <f t="shared" si="114"/>
        <v>0.40096618357487912</v>
      </c>
      <c r="K2490" s="1">
        <v>2</v>
      </c>
      <c r="L2490" s="24">
        <v>1.7</v>
      </c>
      <c r="M2490" s="24">
        <v>15.659999999999998</v>
      </c>
      <c r="N2490" s="21">
        <f t="shared" si="115"/>
        <v>0.26086956521739119</v>
      </c>
      <c r="P2490" s="1">
        <v>4</v>
      </c>
      <c r="Q2490" s="24">
        <v>2.0879999999999992</v>
      </c>
      <c r="R2490" s="24">
        <v>15.311999999999999</v>
      </c>
      <c r="S2490" s="21">
        <f t="shared" si="116"/>
        <v>0.23285024154589368</v>
      </c>
    </row>
    <row r="2491" spans="2:19" ht="11.4" customHeight="1" x14ac:dyDescent="0.2">
      <c r="B2491" s="24"/>
      <c r="C2491" s="10">
        <v>42548</v>
      </c>
      <c r="D2491" s="18" t="s">
        <v>2591</v>
      </c>
      <c r="E2491" s="18" t="s">
        <v>2578</v>
      </c>
      <c r="F2491" s="17">
        <v>4</v>
      </c>
      <c r="G2491" s="18" t="s">
        <v>23</v>
      </c>
      <c r="H2491" s="17">
        <v>21.12</v>
      </c>
      <c r="I2491" s="11">
        <v>29.6</v>
      </c>
      <c r="J2491" s="21">
        <f t="shared" si="114"/>
        <v>0.40151515151515149</v>
      </c>
      <c r="K2491" s="1">
        <v>2</v>
      </c>
      <c r="L2491" s="24">
        <v>2.9</v>
      </c>
      <c r="M2491" s="24">
        <v>26.64</v>
      </c>
      <c r="N2491" s="21">
        <f t="shared" si="115"/>
        <v>0.26136363636363635</v>
      </c>
      <c r="P2491" s="1">
        <v>4</v>
      </c>
      <c r="Q2491" s="24">
        <v>3.5519999999999996</v>
      </c>
      <c r="R2491" s="24">
        <v>26.048000000000002</v>
      </c>
      <c r="S2491" s="21">
        <f t="shared" si="116"/>
        <v>0.23333333333333336</v>
      </c>
    </row>
    <row r="2492" spans="2:19" ht="11.4" customHeight="1" x14ac:dyDescent="0.2">
      <c r="B2492" s="24"/>
      <c r="C2492" s="10">
        <v>28778</v>
      </c>
      <c r="D2492" s="18" t="s">
        <v>2592</v>
      </c>
      <c r="E2492" s="18" t="s">
        <v>2584</v>
      </c>
      <c r="F2492" s="17">
        <v>24</v>
      </c>
      <c r="G2492" s="18" t="s">
        <v>23</v>
      </c>
      <c r="H2492" s="17">
        <v>64</v>
      </c>
      <c r="I2492" s="11">
        <v>67.5</v>
      </c>
      <c r="J2492" s="21">
        <f t="shared" si="114"/>
        <v>5.46875E-2</v>
      </c>
      <c r="K2492" s="1">
        <v>2</v>
      </c>
      <c r="L2492" s="24">
        <v>6.7</v>
      </c>
      <c r="M2492" s="24">
        <v>60.75</v>
      </c>
      <c r="N2492" s="21">
        <f t="shared" si="115"/>
        <v>-5.078125E-2</v>
      </c>
      <c r="P2492" s="1">
        <v>4</v>
      </c>
      <c r="Q2492" s="24">
        <v>8.1000000000000014</v>
      </c>
      <c r="R2492" s="24">
        <v>59.4</v>
      </c>
      <c r="S2492" s="21">
        <f t="shared" si="116"/>
        <v>-7.1875000000000022E-2</v>
      </c>
    </row>
    <row r="2493" spans="2:19" ht="11.4" customHeight="1" x14ac:dyDescent="0.2">
      <c r="B2493" s="24"/>
      <c r="C2493" s="10">
        <v>4272</v>
      </c>
      <c r="D2493" s="18" t="s">
        <v>2593</v>
      </c>
      <c r="E2493" s="18" t="s">
        <v>2584</v>
      </c>
      <c r="F2493" s="17">
        <v>12</v>
      </c>
      <c r="G2493" s="18" t="s">
        <v>23</v>
      </c>
      <c r="H2493" s="17">
        <v>20.29</v>
      </c>
      <c r="I2493" s="11">
        <v>27.5</v>
      </c>
      <c r="J2493" s="21">
        <f t="shared" si="114"/>
        <v>0.3553474618038443</v>
      </c>
      <c r="K2493" s="1">
        <v>2</v>
      </c>
      <c r="L2493" s="24">
        <v>2.7</v>
      </c>
      <c r="M2493" s="24">
        <v>24.75</v>
      </c>
      <c r="N2493" s="21">
        <f t="shared" si="115"/>
        <v>0.21981271562345989</v>
      </c>
      <c r="P2493" s="1">
        <v>4</v>
      </c>
      <c r="Q2493" s="24">
        <v>3.3000000000000007</v>
      </c>
      <c r="R2493" s="24">
        <v>24.2</v>
      </c>
      <c r="S2493" s="21">
        <f t="shared" si="116"/>
        <v>0.19270576638738296</v>
      </c>
    </row>
    <row r="2494" spans="2:19" ht="11.4" customHeight="1" x14ac:dyDescent="0.2">
      <c r="B2494" s="24"/>
      <c r="C2494" s="10">
        <v>4273</v>
      </c>
      <c r="D2494" s="18" t="s">
        <v>2594</v>
      </c>
      <c r="E2494" s="18" t="s">
        <v>2584</v>
      </c>
      <c r="F2494" s="17">
        <v>6</v>
      </c>
      <c r="G2494" s="18" t="s">
        <v>23</v>
      </c>
      <c r="H2494" s="17">
        <v>28.44</v>
      </c>
      <c r="I2494" s="11">
        <v>38.5</v>
      </c>
      <c r="J2494" s="21">
        <f t="shared" si="114"/>
        <v>0.35372714486638529</v>
      </c>
      <c r="K2494" s="1">
        <v>2</v>
      </c>
      <c r="L2494" s="24">
        <v>3.8</v>
      </c>
      <c r="M2494" s="24">
        <v>34.65</v>
      </c>
      <c r="N2494" s="21">
        <f t="shared" si="115"/>
        <v>0.21835443037974672</v>
      </c>
      <c r="P2494" s="1">
        <v>4</v>
      </c>
      <c r="Q2494" s="24">
        <v>4.6199999999999974</v>
      </c>
      <c r="R2494" s="24">
        <v>33.880000000000003</v>
      </c>
      <c r="S2494" s="21">
        <f t="shared" si="116"/>
        <v>0.19127988748241917</v>
      </c>
    </row>
    <row r="2495" spans="2:19" ht="11.4" customHeight="1" x14ac:dyDescent="0.2">
      <c r="B2495" s="24"/>
      <c r="C2495" s="10">
        <v>2456</v>
      </c>
      <c r="D2495" s="18" t="s">
        <v>2595</v>
      </c>
      <c r="E2495" s="18" t="s">
        <v>2584</v>
      </c>
      <c r="F2495" s="17">
        <v>6</v>
      </c>
      <c r="G2495" s="18" t="s">
        <v>23</v>
      </c>
      <c r="H2495" s="17">
        <v>28.44</v>
      </c>
      <c r="I2495" s="11">
        <v>38.5</v>
      </c>
      <c r="J2495" s="21">
        <f t="shared" si="114"/>
        <v>0.35372714486638529</v>
      </c>
      <c r="K2495" s="1">
        <v>2</v>
      </c>
      <c r="L2495" s="24">
        <v>3.8</v>
      </c>
      <c r="M2495" s="24">
        <v>34.65</v>
      </c>
      <c r="N2495" s="21">
        <f t="shared" si="115"/>
        <v>0.21835443037974672</v>
      </c>
      <c r="P2495" s="1">
        <v>4</v>
      </c>
      <c r="Q2495" s="24">
        <v>4.6199999999999974</v>
      </c>
      <c r="R2495" s="24">
        <v>33.880000000000003</v>
      </c>
      <c r="S2495" s="21">
        <f t="shared" si="116"/>
        <v>0.19127988748241917</v>
      </c>
    </row>
    <row r="2496" spans="2:19" ht="11.4" customHeight="1" x14ac:dyDescent="0.2">
      <c r="B2496" s="24"/>
      <c r="C2496" s="10">
        <v>4405</v>
      </c>
      <c r="D2496" s="18" t="s">
        <v>2596</v>
      </c>
      <c r="E2496" s="18" t="s">
        <v>2584</v>
      </c>
      <c r="F2496" s="17">
        <v>12</v>
      </c>
      <c r="G2496" s="18" t="s">
        <v>23</v>
      </c>
      <c r="H2496" s="17">
        <v>17.899999999999999</v>
      </c>
      <c r="I2496" s="11">
        <v>21.1</v>
      </c>
      <c r="J2496" s="21">
        <f t="shared" si="114"/>
        <v>0.17877094972067056</v>
      </c>
      <c r="K2496" s="1">
        <v>2</v>
      </c>
      <c r="L2496" s="24">
        <v>2.1</v>
      </c>
      <c r="M2496" s="24">
        <v>18.990000000000002</v>
      </c>
      <c r="N2496" s="21">
        <f t="shared" si="115"/>
        <v>6.0893854748603544E-2</v>
      </c>
      <c r="P2496" s="1">
        <v>4</v>
      </c>
      <c r="Q2496" s="24">
        <v>2.532</v>
      </c>
      <c r="R2496" s="24">
        <v>18.568000000000001</v>
      </c>
      <c r="S2496" s="21">
        <f t="shared" si="116"/>
        <v>3.7318435754190103E-2</v>
      </c>
    </row>
    <row r="2497" spans="2:19" ht="11.4" customHeight="1" x14ac:dyDescent="0.2">
      <c r="B2497" s="24"/>
      <c r="C2497" s="10">
        <v>4275</v>
      </c>
      <c r="D2497" s="18" t="s">
        <v>2597</v>
      </c>
      <c r="E2497" s="18" t="s">
        <v>2584</v>
      </c>
      <c r="F2497" s="17">
        <v>12</v>
      </c>
      <c r="G2497" s="18" t="s">
        <v>23</v>
      </c>
      <c r="H2497" s="17">
        <v>23.2</v>
      </c>
      <c r="I2497" s="11">
        <v>23.7</v>
      </c>
      <c r="J2497" s="21">
        <f t="shared" si="114"/>
        <v>2.1551724137931036E-2</v>
      </c>
      <c r="K2497" s="1">
        <v>2</v>
      </c>
      <c r="L2497" s="24">
        <v>2.2999999999999998</v>
      </c>
      <c r="M2497" s="24">
        <v>21.33</v>
      </c>
      <c r="N2497" s="21">
        <f t="shared" si="115"/>
        <v>-8.0603448275862119E-2</v>
      </c>
      <c r="P2497" s="1">
        <v>4</v>
      </c>
      <c r="Q2497" s="24">
        <v>2.8440000000000012</v>
      </c>
      <c r="R2497" s="24">
        <v>20.855999999999998</v>
      </c>
      <c r="S2497" s="21">
        <f t="shared" si="116"/>
        <v>-0.10103448275862074</v>
      </c>
    </row>
    <row r="2498" spans="2:19" ht="11.4" customHeight="1" x14ac:dyDescent="0.2">
      <c r="B2498" s="24"/>
      <c r="C2498" s="10">
        <v>33951</v>
      </c>
      <c r="D2498" s="18" t="s">
        <v>2598</v>
      </c>
      <c r="E2498" s="18" t="s">
        <v>2582</v>
      </c>
      <c r="F2498" s="17">
        <v>12</v>
      </c>
      <c r="G2498" s="18" t="s">
        <v>23</v>
      </c>
      <c r="H2498" s="17">
        <v>39.9</v>
      </c>
      <c r="I2498" s="11">
        <v>44.9</v>
      </c>
      <c r="J2498" s="21">
        <f t="shared" si="114"/>
        <v>0.12531328320802004</v>
      </c>
      <c r="K2498" s="1">
        <v>2</v>
      </c>
      <c r="L2498" s="24">
        <v>4.4000000000000004</v>
      </c>
      <c r="M2498" s="24">
        <v>40.409999999999997</v>
      </c>
      <c r="N2498" s="21">
        <f t="shared" si="115"/>
        <v>1.2781954887217995E-2</v>
      </c>
      <c r="P2498" s="1">
        <v>4</v>
      </c>
      <c r="Q2498" s="24">
        <v>5.3879999999999981</v>
      </c>
      <c r="R2498" s="24">
        <v>39.512</v>
      </c>
      <c r="S2498" s="21">
        <f t="shared" si="116"/>
        <v>-9.724310776942309E-3</v>
      </c>
    </row>
    <row r="2499" spans="2:19" ht="11.4" customHeight="1" x14ac:dyDescent="0.2">
      <c r="B2499" s="24"/>
      <c r="C2499" s="10">
        <v>33950</v>
      </c>
      <c r="D2499" s="18" t="s">
        <v>2599</v>
      </c>
      <c r="E2499" s="18" t="s">
        <v>2582</v>
      </c>
      <c r="F2499" s="17">
        <v>6</v>
      </c>
      <c r="G2499" s="18" t="s">
        <v>23</v>
      </c>
      <c r="H2499" s="17">
        <v>49.9</v>
      </c>
      <c r="I2499" s="11">
        <v>55.9</v>
      </c>
      <c r="J2499" s="21">
        <f t="shared" ref="J2499:J2562" si="117">(I2499-H2499)/H2499</f>
        <v>0.12024048096192386</v>
      </c>
      <c r="K2499" s="1">
        <v>2</v>
      </c>
      <c r="L2499" s="24">
        <v>5.5</v>
      </c>
      <c r="M2499" s="24">
        <v>50.31</v>
      </c>
      <c r="N2499" s="21">
        <f t="shared" ref="N2499:N2562" si="118">(M2499-H2499)/H2499</f>
        <v>8.2164328657315377E-3</v>
      </c>
      <c r="P2499" s="1">
        <v>4</v>
      </c>
      <c r="Q2499" s="24">
        <v>6.7079999999999984</v>
      </c>
      <c r="R2499" s="24">
        <v>49.192</v>
      </c>
      <c r="S2499" s="21">
        <f t="shared" ref="S2499:S2562" si="119">(R2499-H2499)/H2499</f>
        <v>-1.4188376753506983E-2</v>
      </c>
    </row>
    <row r="2500" spans="2:19" ht="11.4" customHeight="1" x14ac:dyDescent="0.2">
      <c r="B2500" s="24"/>
      <c r="C2500" s="10">
        <v>33949</v>
      </c>
      <c r="D2500" s="18" t="s">
        <v>2600</v>
      </c>
      <c r="E2500" s="18" t="s">
        <v>2582</v>
      </c>
      <c r="F2500" s="17">
        <v>12</v>
      </c>
      <c r="G2500" s="18" t="s">
        <v>23</v>
      </c>
      <c r="H2500" s="17">
        <v>54.9</v>
      </c>
      <c r="I2500" s="11">
        <v>62.9</v>
      </c>
      <c r="J2500" s="21">
        <f t="shared" si="117"/>
        <v>0.14571948998178508</v>
      </c>
      <c r="K2500" s="1">
        <v>2</v>
      </c>
      <c r="L2500" s="24">
        <v>6.2</v>
      </c>
      <c r="M2500" s="24">
        <v>56.61</v>
      </c>
      <c r="N2500" s="21">
        <f t="shared" si="118"/>
        <v>3.1147540983606573E-2</v>
      </c>
      <c r="P2500" s="1">
        <v>4</v>
      </c>
      <c r="Q2500" s="24">
        <v>7.5480000000000018</v>
      </c>
      <c r="R2500" s="24">
        <v>55.351999999999997</v>
      </c>
      <c r="S2500" s="21">
        <f t="shared" si="119"/>
        <v>8.233151183970824E-3</v>
      </c>
    </row>
    <row r="2501" spans="2:19" ht="11.4" customHeight="1" x14ac:dyDescent="0.2">
      <c r="B2501" s="24"/>
      <c r="C2501" s="10">
        <v>4902</v>
      </c>
      <c r="D2501" s="18" t="s">
        <v>2601</v>
      </c>
      <c r="E2501" s="18" t="s">
        <v>2602</v>
      </c>
      <c r="F2501" s="17">
        <v>2</v>
      </c>
      <c r="G2501" s="18" t="s">
        <v>23</v>
      </c>
      <c r="H2501" s="17">
        <v>50.6</v>
      </c>
      <c r="I2501" s="11">
        <v>58.2</v>
      </c>
      <c r="J2501" s="21">
        <f t="shared" si="117"/>
        <v>0.15019762845849804</v>
      </c>
      <c r="K2501" s="1">
        <v>2</v>
      </c>
      <c r="L2501" s="24">
        <v>5.8</v>
      </c>
      <c r="M2501" s="24">
        <v>52.38</v>
      </c>
      <c r="N2501" s="21">
        <f t="shared" si="118"/>
        <v>3.517786561264824E-2</v>
      </c>
      <c r="P2501" s="1">
        <v>4</v>
      </c>
      <c r="Q2501" s="24">
        <v>6.9840000000000018</v>
      </c>
      <c r="R2501" s="24">
        <v>51.216000000000001</v>
      </c>
      <c r="S2501" s="21">
        <f t="shared" si="119"/>
        <v>1.2173913043478254E-2</v>
      </c>
    </row>
    <row r="2502" spans="2:19" ht="11.4" customHeight="1" x14ac:dyDescent="0.2">
      <c r="B2502" s="24"/>
      <c r="C2502" s="10">
        <v>3942</v>
      </c>
      <c r="D2502" s="18" t="s">
        <v>2603</v>
      </c>
      <c r="E2502" s="18" t="s">
        <v>2584</v>
      </c>
      <c r="F2502" s="17">
        <v>2</v>
      </c>
      <c r="G2502" s="18" t="s">
        <v>23</v>
      </c>
      <c r="H2502" s="17">
        <v>38.32</v>
      </c>
      <c r="I2502" s="11">
        <v>71.5</v>
      </c>
      <c r="J2502" s="21">
        <f t="shared" si="117"/>
        <v>0.865866388308977</v>
      </c>
      <c r="K2502" s="1">
        <v>2</v>
      </c>
      <c r="L2502" s="24">
        <v>7.1</v>
      </c>
      <c r="M2502" s="24">
        <v>64.350000000000009</v>
      </c>
      <c r="N2502" s="21">
        <f t="shared" si="118"/>
        <v>0.67927974947807956</v>
      </c>
      <c r="P2502" s="1">
        <v>4</v>
      </c>
      <c r="Q2502" s="24">
        <v>8.5799999999999983</v>
      </c>
      <c r="R2502" s="24">
        <v>62.92</v>
      </c>
      <c r="S2502" s="21">
        <f t="shared" si="119"/>
        <v>0.64196242171189988</v>
      </c>
    </row>
    <row r="2503" spans="2:19" ht="11.4" customHeight="1" x14ac:dyDescent="0.2">
      <c r="B2503" s="24"/>
      <c r="C2503" s="10">
        <v>4882</v>
      </c>
      <c r="D2503" s="18" t="s">
        <v>2604</v>
      </c>
      <c r="E2503" s="18" t="s">
        <v>2602</v>
      </c>
      <c r="F2503" s="17">
        <v>12</v>
      </c>
      <c r="G2503" s="18" t="s">
        <v>23</v>
      </c>
      <c r="H2503" s="17">
        <v>14.9</v>
      </c>
      <c r="I2503" s="11">
        <v>18.899999999999999</v>
      </c>
      <c r="J2503" s="21">
        <f t="shared" si="117"/>
        <v>0.26845637583892606</v>
      </c>
      <c r="K2503" s="1">
        <v>2</v>
      </c>
      <c r="L2503" s="24">
        <v>1.8</v>
      </c>
      <c r="M2503" s="24">
        <v>17.009999999999998</v>
      </c>
      <c r="N2503" s="21">
        <f t="shared" si="118"/>
        <v>0.1416107382550334</v>
      </c>
      <c r="P2503" s="1">
        <v>4</v>
      </c>
      <c r="Q2503" s="24">
        <v>2.2680000000000007</v>
      </c>
      <c r="R2503" s="24">
        <v>16.631999999999998</v>
      </c>
      <c r="S2503" s="21">
        <f t="shared" si="119"/>
        <v>0.11624161073825487</v>
      </c>
    </row>
    <row r="2504" spans="2:19" ht="11.4" customHeight="1" x14ac:dyDescent="0.2">
      <c r="B2504" s="24"/>
      <c r="C2504" s="10">
        <v>4884</v>
      </c>
      <c r="D2504" s="18" t="s">
        <v>2605</v>
      </c>
      <c r="E2504" s="18" t="s">
        <v>2602</v>
      </c>
      <c r="F2504" s="17">
        <v>6</v>
      </c>
      <c r="G2504" s="18" t="s">
        <v>23</v>
      </c>
      <c r="H2504" s="17">
        <v>20.3</v>
      </c>
      <c r="I2504" s="11">
        <v>23.5</v>
      </c>
      <c r="J2504" s="21">
        <f t="shared" si="117"/>
        <v>0.15763546798029551</v>
      </c>
      <c r="K2504" s="1">
        <v>2</v>
      </c>
      <c r="L2504" s="24">
        <v>2.2999999999999998</v>
      </c>
      <c r="M2504" s="24">
        <v>21.150000000000002</v>
      </c>
      <c r="N2504" s="21">
        <f t="shared" si="118"/>
        <v>4.1871921182266077E-2</v>
      </c>
      <c r="P2504" s="1">
        <v>4</v>
      </c>
      <c r="Q2504" s="24">
        <v>2.8200000000000003</v>
      </c>
      <c r="R2504" s="24">
        <v>20.68</v>
      </c>
      <c r="S2504" s="21">
        <f t="shared" si="119"/>
        <v>1.8719211822660047E-2</v>
      </c>
    </row>
    <row r="2505" spans="2:19" ht="11.4" customHeight="1" x14ac:dyDescent="0.2">
      <c r="B2505" s="24"/>
      <c r="C2505" s="10">
        <v>4885</v>
      </c>
      <c r="D2505" s="18" t="s">
        <v>2606</v>
      </c>
      <c r="E2505" s="18" t="s">
        <v>2602</v>
      </c>
      <c r="F2505" s="17">
        <v>6</v>
      </c>
      <c r="G2505" s="18" t="s">
        <v>23</v>
      </c>
      <c r="H2505" s="17">
        <v>20.9</v>
      </c>
      <c r="I2505" s="11">
        <v>29.5</v>
      </c>
      <c r="J2505" s="21">
        <f t="shared" si="117"/>
        <v>0.41148325358851684</v>
      </c>
      <c r="K2505" s="1">
        <v>2</v>
      </c>
      <c r="L2505" s="24">
        <v>2.9</v>
      </c>
      <c r="M2505" s="24">
        <v>26.55</v>
      </c>
      <c r="N2505" s="21">
        <f t="shared" si="118"/>
        <v>0.27033492822966521</v>
      </c>
      <c r="P2505" s="1">
        <v>4</v>
      </c>
      <c r="Q2505" s="24">
        <v>3.5399999999999991</v>
      </c>
      <c r="R2505" s="24">
        <v>25.96</v>
      </c>
      <c r="S2505" s="21">
        <f t="shared" si="119"/>
        <v>0.24210526315789485</v>
      </c>
    </row>
    <row r="2506" spans="2:19" ht="11.4" customHeight="1" x14ac:dyDescent="0.2">
      <c r="B2506" s="24"/>
      <c r="C2506" s="10">
        <v>11946</v>
      </c>
      <c r="D2506" s="18" t="s">
        <v>2607</v>
      </c>
      <c r="E2506" s="18" t="s">
        <v>2602</v>
      </c>
      <c r="F2506" s="17">
        <v>9</v>
      </c>
      <c r="G2506" s="18" t="s">
        <v>23</v>
      </c>
      <c r="H2506" s="17">
        <v>42</v>
      </c>
      <c r="I2506" s="11">
        <v>49.7</v>
      </c>
      <c r="J2506" s="21">
        <f t="shared" si="117"/>
        <v>0.1833333333333334</v>
      </c>
      <c r="K2506" s="1">
        <v>2</v>
      </c>
      <c r="L2506" s="24">
        <v>4.9000000000000004</v>
      </c>
      <c r="M2506" s="24">
        <v>44.730000000000004</v>
      </c>
      <c r="N2506" s="21">
        <f t="shared" si="118"/>
        <v>6.5000000000000099E-2</v>
      </c>
      <c r="P2506" s="1">
        <v>4</v>
      </c>
      <c r="Q2506" s="24">
        <v>5.9639999999999986</v>
      </c>
      <c r="R2506" s="24">
        <v>43.736000000000004</v>
      </c>
      <c r="S2506" s="21">
        <f t="shared" si="119"/>
        <v>4.133333333333343E-2</v>
      </c>
    </row>
    <row r="2507" spans="2:19" ht="11.4" customHeight="1" x14ac:dyDescent="0.2">
      <c r="B2507" s="24"/>
      <c r="C2507" s="10">
        <v>7808</v>
      </c>
      <c r="D2507" s="18" t="s">
        <v>2608</v>
      </c>
      <c r="E2507" s="18" t="s">
        <v>2602</v>
      </c>
      <c r="F2507" s="17">
        <v>9</v>
      </c>
      <c r="G2507" s="18" t="s">
        <v>23</v>
      </c>
      <c r="H2507" s="17">
        <v>13.6</v>
      </c>
      <c r="I2507" s="11">
        <v>15.5</v>
      </c>
      <c r="J2507" s="21">
        <f t="shared" si="117"/>
        <v>0.13970588235294121</v>
      </c>
      <c r="K2507" s="1">
        <v>2</v>
      </c>
      <c r="L2507" s="24">
        <v>1.5</v>
      </c>
      <c r="M2507" s="24">
        <v>13.950000000000001</v>
      </c>
      <c r="N2507" s="21">
        <f t="shared" si="118"/>
        <v>2.5735294117647165E-2</v>
      </c>
      <c r="P2507" s="1">
        <v>4</v>
      </c>
      <c r="Q2507" s="24">
        <v>1.8599999999999994</v>
      </c>
      <c r="R2507" s="24">
        <v>13.64</v>
      </c>
      <c r="S2507" s="21">
        <f t="shared" si="119"/>
        <v>2.9411764705883033E-3</v>
      </c>
    </row>
    <row r="2508" spans="2:19" ht="11.4" customHeight="1" x14ac:dyDescent="0.2">
      <c r="B2508" s="24"/>
      <c r="C2508" s="10">
        <v>7811</v>
      </c>
      <c r="D2508" s="18" t="s">
        <v>2609</v>
      </c>
      <c r="E2508" s="18" t="s">
        <v>2602</v>
      </c>
      <c r="F2508" s="17">
        <v>6</v>
      </c>
      <c r="G2508" s="18" t="s">
        <v>23</v>
      </c>
      <c r="H2508" s="17">
        <v>19.5</v>
      </c>
      <c r="I2508" s="11">
        <v>22.7</v>
      </c>
      <c r="J2508" s="21">
        <f t="shared" si="117"/>
        <v>0.16410256410256407</v>
      </c>
      <c r="K2508" s="1">
        <v>2</v>
      </c>
      <c r="L2508" s="24">
        <v>2.2000000000000002</v>
      </c>
      <c r="M2508" s="24">
        <v>20.43</v>
      </c>
      <c r="N2508" s="21">
        <f t="shared" si="118"/>
        <v>4.769230769230768E-2</v>
      </c>
      <c r="P2508" s="1">
        <v>4</v>
      </c>
      <c r="Q2508" s="24">
        <v>2.7240000000000002</v>
      </c>
      <c r="R2508" s="24">
        <v>19.975999999999999</v>
      </c>
      <c r="S2508" s="21">
        <f t="shared" si="119"/>
        <v>2.4410256410256365E-2</v>
      </c>
    </row>
    <row r="2509" spans="2:19" ht="11.4" customHeight="1" x14ac:dyDescent="0.2">
      <c r="B2509" s="24"/>
      <c r="C2509" s="10">
        <v>4357</v>
      </c>
      <c r="D2509" s="18" t="s">
        <v>2610</v>
      </c>
      <c r="E2509" s="18" t="s">
        <v>2582</v>
      </c>
      <c r="F2509" s="17">
        <v>6</v>
      </c>
      <c r="G2509" s="18" t="s">
        <v>23</v>
      </c>
      <c r="H2509" s="17">
        <v>20</v>
      </c>
      <c r="I2509" s="11">
        <v>21.9</v>
      </c>
      <c r="J2509" s="21">
        <f t="shared" si="117"/>
        <v>9.4999999999999932E-2</v>
      </c>
      <c r="K2509" s="1">
        <v>2</v>
      </c>
      <c r="L2509" s="24">
        <v>2.1</v>
      </c>
      <c r="M2509" s="24">
        <v>19.71</v>
      </c>
      <c r="N2509" s="21">
        <f t="shared" si="118"/>
        <v>-1.4499999999999957E-2</v>
      </c>
      <c r="P2509" s="1">
        <v>4</v>
      </c>
      <c r="Q2509" s="24">
        <v>2.6280000000000001</v>
      </c>
      <c r="R2509" s="24">
        <v>19.271999999999998</v>
      </c>
      <c r="S2509" s="21">
        <f t="shared" si="119"/>
        <v>-3.6400000000000078E-2</v>
      </c>
    </row>
    <row r="2510" spans="2:19" ht="11.4" customHeight="1" x14ac:dyDescent="0.2">
      <c r="B2510" s="24"/>
      <c r="C2510" s="10">
        <v>1786</v>
      </c>
      <c r="D2510" s="18" t="s">
        <v>2611</v>
      </c>
      <c r="E2510" s="18" t="s">
        <v>2584</v>
      </c>
      <c r="F2510" s="17">
        <v>12</v>
      </c>
      <c r="G2510" s="18" t="s">
        <v>23</v>
      </c>
      <c r="H2510" s="17">
        <v>17.7</v>
      </c>
      <c r="I2510" s="11">
        <v>19.7</v>
      </c>
      <c r="J2510" s="21">
        <f t="shared" si="117"/>
        <v>0.11299435028248588</v>
      </c>
      <c r="K2510" s="1">
        <v>2</v>
      </c>
      <c r="L2510" s="24">
        <v>1.9</v>
      </c>
      <c r="M2510" s="24">
        <v>17.73</v>
      </c>
      <c r="N2510" s="21">
        <f t="shared" si="118"/>
        <v>1.6949152542373525E-3</v>
      </c>
      <c r="P2510" s="1">
        <v>4</v>
      </c>
      <c r="Q2510" s="24">
        <v>2.3640000000000008</v>
      </c>
      <c r="R2510" s="24">
        <v>17.335999999999999</v>
      </c>
      <c r="S2510" s="21">
        <f t="shared" si="119"/>
        <v>-2.0564971751412475E-2</v>
      </c>
    </row>
    <row r="2511" spans="2:19" ht="11.4" customHeight="1" x14ac:dyDescent="0.2">
      <c r="B2511" s="24"/>
      <c r="C2511" s="10">
        <v>6606</v>
      </c>
      <c r="D2511" s="18" t="s">
        <v>2612</v>
      </c>
      <c r="E2511" s="18" t="s">
        <v>2584</v>
      </c>
      <c r="F2511" s="17">
        <v>12</v>
      </c>
      <c r="G2511" s="18" t="s">
        <v>23</v>
      </c>
      <c r="H2511" s="17">
        <v>19.100000000000001</v>
      </c>
      <c r="I2511" s="11">
        <v>21.9</v>
      </c>
      <c r="J2511" s="21">
        <f t="shared" si="117"/>
        <v>0.1465968586387433</v>
      </c>
      <c r="K2511" s="1">
        <v>2</v>
      </c>
      <c r="L2511" s="24">
        <v>2.1</v>
      </c>
      <c r="M2511" s="24">
        <v>19.71</v>
      </c>
      <c r="N2511" s="21">
        <f t="shared" si="118"/>
        <v>3.1937172774869078E-2</v>
      </c>
      <c r="P2511" s="1">
        <v>4</v>
      </c>
      <c r="Q2511" s="24">
        <v>2.6280000000000001</v>
      </c>
      <c r="R2511" s="24">
        <v>19.271999999999998</v>
      </c>
      <c r="S2511" s="21">
        <f t="shared" si="119"/>
        <v>9.005235602094085E-3</v>
      </c>
    </row>
    <row r="2512" spans="2:19" ht="11.4" customHeight="1" x14ac:dyDescent="0.2">
      <c r="B2512" s="24"/>
      <c r="C2512" s="10">
        <v>5428</v>
      </c>
      <c r="D2512" s="18" t="s">
        <v>2613</v>
      </c>
      <c r="E2512" s="18" t="s">
        <v>2584</v>
      </c>
      <c r="F2512" s="17">
        <v>2</v>
      </c>
      <c r="G2512" s="18" t="s">
        <v>23</v>
      </c>
      <c r="H2512" s="17">
        <v>76.599999999999994</v>
      </c>
      <c r="I2512" s="11">
        <v>89.3</v>
      </c>
      <c r="J2512" s="21">
        <f t="shared" si="117"/>
        <v>0.16579634464751963</v>
      </c>
      <c r="K2512" s="1">
        <v>2</v>
      </c>
      <c r="L2512" s="24">
        <v>8.9</v>
      </c>
      <c r="M2512" s="24">
        <v>80.37</v>
      </c>
      <c r="N2512" s="21">
        <f t="shared" si="118"/>
        <v>4.9216710182767763E-2</v>
      </c>
      <c r="P2512" s="1">
        <v>4</v>
      </c>
      <c r="Q2512" s="24">
        <v>10.715999999999994</v>
      </c>
      <c r="R2512" s="24">
        <v>78.584000000000003</v>
      </c>
      <c r="S2512" s="21">
        <f t="shared" si="119"/>
        <v>2.5900783289817351E-2</v>
      </c>
    </row>
    <row r="2513" spans="2:19" ht="11.4" customHeight="1" x14ac:dyDescent="0.2">
      <c r="B2513" s="24"/>
      <c r="C2513" s="10">
        <v>40516</v>
      </c>
      <c r="D2513" s="18" t="s">
        <v>2614</v>
      </c>
      <c r="E2513" s="18" t="s">
        <v>2584</v>
      </c>
      <c r="F2513" s="17">
        <v>24</v>
      </c>
      <c r="G2513" s="18" t="s">
        <v>23</v>
      </c>
      <c r="H2513" s="17">
        <v>50.16</v>
      </c>
      <c r="I2513" s="11">
        <v>62.9</v>
      </c>
      <c r="J2513" s="21">
        <f t="shared" si="117"/>
        <v>0.25398724082934615</v>
      </c>
      <c r="K2513" s="1">
        <v>2</v>
      </c>
      <c r="L2513" s="24">
        <v>6.2</v>
      </c>
      <c r="M2513" s="24">
        <v>56.61</v>
      </c>
      <c r="N2513" s="21">
        <f t="shared" si="118"/>
        <v>0.12858851674641156</v>
      </c>
      <c r="P2513" s="1">
        <v>4</v>
      </c>
      <c r="Q2513" s="24">
        <v>7.5480000000000018</v>
      </c>
      <c r="R2513" s="24">
        <v>55.351999999999997</v>
      </c>
      <c r="S2513" s="21">
        <f t="shared" si="119"/>
        <v>0.10350877192982458</v>
      </c>
    </row>
    <row r="2514" spans="2:19" ht="11.4" customHeight="1" x14ac:dyDescent="0.2">
      <c r="B2514" s="24"/>
      <c r="C2514" s="10">
        <v>4798</v>
      </c>
      <c r="D2514" s="18" t="s">
        <v>2615</v>
      </c>
      <c r="E2514" s="18" t="s">
        <v>2584</v>
      </c>
      <c r="F2514" s="17">
        <v>6</v>
      </c>
      <c r="G2514" s="18" t="s">
        <v>23</v>
      </c>
      <c r="H2514" s="17">
        <v>23.9</v>
      </c>
      <c r="I2514" s="11">
        <v>28.7</v>
      </c>
      <c r="J2514" s="21">
        <f t="shared" si="117"/>
        <v>0.20083682008368206</v>
      </c>
      <c r="K2514" s="1">
        <v>2</v>
      </c>
      <c r="L2514" s="24">
        <v>2.8</v>
      </c>
      <c r="M2514" s="24">
        <v>25.83</v>
      </c>
      <c r="N2514" s="21">
        <f t="shared" si="118"/>
        <v>8.0753138075313799E-2</v>
      </c>
      <c r="P2514" s="1">
        <v>4</v>
      </c>
      <c r="Q2514" s="24">
        <v>3.4439999999999991</v>
      </c>
      <c r="R2514" s="24">
        <v>25.256</v>
      </c>
      <c r="S2514" s="21">
        <f t="shared" si="119"/>
        <v>5.673640167364024E-2</v>
      </c>
    </row>
    <row r="2515" spans="2:19" ht="11.4" customHeight="1" x14ac:dyDescent="0.2">
      <c r="B2515" s="24"/>
      <c r="C2515" s="10">
        <v>2424</v>
      </c>
      <c r="D2515" s="18" t="s">
        <v>2616</v>
      </c>
      <c r="E2515" s="18" t="s">
        <v>2584</v>
      </c>
      <c r="F2515" s="17">
        <v>6</v>
      </c>
      <c r="G2515" s="18" t="s">
        <v>23</v>
      </c>
      <c r="H2515" s="17">
        <v>17.18</v>
      </c>
      <c r="I2515" s="11">
        <v>23.2</v>
      </c>
      <c r="J2515" s="21">
        <f t="shared" si="117"/>
        <v>0.35040745052386496</v>
      </c>
      <c r="K2515" s="1">
        <v>2</v>
      </c>
      <c r="L2515" s="24">
        <v>2.2999999999999998</v>
      </c>
      <c r="M2515" s="24">
        <v>20.88</v>
      </c>
      <c r="N2515" s="21">
        <f t="shared" si="118"/>
        <v>0.21536670547147843</v>
      </c>
      <c r="P2515" s="1">
        <v>4</v>
      </c>
      <c r="Q2515" s="24">
        <v>2.7839999999999989</v>
      </c>
      <c r="R2515" s="24">
        <v>20.416</v>
      </c>
      <c r="S2515" s="21">
        <f t="shared" si="119"/>
        <v>0.18835855646100119</v>
      </c>
    </row>
    <row r="2516" spans="2:19" ht="11.4" customHeight="1" x14ac:dyDescent="0.2">
      <c r="B2516" s="24"/>
      <c r="C2516" s="10">
        <v>14630</v>
      </c>
      <c r="D2516" s="18" t="s">
        <v>2617</v>
      </c>
      <c r="E2516" s="18" t="s">
        <v>2602</v>
      </c>
      <c r="F2516" s="17">
        <v>10</v>
      </c>
      <c r="G2516" s="18" t="s">
        <v>23</v>
      </c>
      <c r="H2516" s="17">
        <v>8.2200000000000006</v>
      </c>
      <c r="I2516" s="11">
        <v>11.6</v>
      </c>
      <c r="J2516" s="21">
        <f t="shared" si="117"/>
        <v>0.41119221411192197</v>
      </c>
      <c r="K2516" s="1">
        <v>2</v>
      </c>
      <c r="L2516" s="24">
        <v>1.1000000000000001</v>
      </c>
      <c r="M2516" s="24">
        <v>10.44</v>
      </c>
      <c r="N2516" s="21">
        <f t="shared" si="118"/>
        <v>0.27007299270072976</v>
      </c>
      <c r="P2516" s="1">
        <v>4</v>
      </c>
      <c r="Q2516" s="24">
        <v>1.3919999999999995</v>
      </c>
      <c r="R2516" s="24">
        <v>10.208</v>
      </c>
      <c r="S2516" s="21">
        <f t="shared" si="119"/>
        <v>0.24184914841849142</v>
      </c>
    </row>
    <row r="2517" spans="2:19" ht="11.4" customHeight="1" x14ac:dyDescent="0.2">
      <c r="B2517" s="24"/>
      <c r="C2517" s="10">
        <v>14632</v>
      </c>
      <c r="D2517" s="18" t="s">
        <v>2618</v>
      </c>
      <c r="E2517" s="18" t="s">
        <v>2602</v>
      </c>
      <c r="F2517" s="17">
        <v>8</v>
      </c>
      <c r="G2517" s="18" t="s">
        <v>23</v>
      </c>
      <c r="H2517" s="17">
        <v>12.42</v>
      </c>
      <c r="I2517" s="11">
        <v>17.399999999999999</v>
      </c>
      <c r="J2517" s="21">
        <f t="shared" si="117"/>
        <v>0.40096618357487912</v>
      </c>
      <c r="K2517" s="1">
        <v>2</v>
      </c>
      <c r="L2517" s="24">
        <v>1.7</v>
      </c>
      <c r="M2517" s="24">
        <v>15.659999999999998</v>
      </c>
      <c r="N2517" s="21">
        <f t="shared" si="118"/>
        <v>0.26086956521739119</v>
      </c>
      <c r="P2517" s="1">
        <v>4</v>
      </c>
      <c r="Q2517" s="24">
        <v>2.0879999999999992</v>
      </c>
      <c r="R2517" s="24">
        <v>15.311999999999999</v>
      </c>
      <c r="S2517" s="21">
        <f t="shared" si="119"/>
        <v>0.23285024154589368</v>
      </c>
    </row>
    <row r="2518" spans="2:19" ht="11.4" customHeight="1" x14ac:dyDescent="0.2">
      <c r="B2518" s="24"/>
      <c r="C2518" s="10">
        <v>14633</v>
      </c>
      <c r="D2518" s="18" t="s">
        <v>2619</v>
      </c>
      <c r="E2518" s="18" t="s">
        <v>2602</v>
      </c>
      <c r="F2518" s="17">
        <v>4</v>
      </c>
      <c r="G2518" s="18" t="s">
        <v>23</v>
      </c>
      <c r="H2518" s="17">
        <v>21.12</v>
      </c>
      <c r="I2518" s="11">
        <v>29.6</v>
      </c>
      <c r="J2518" s="21">
        <f t="shared" si="117"/>
        <v>0.40151515151515149</v>
      </c>
      <c r="K2518" s="1">
        <v>2</v>
      </c>
      <c r="L2518" s="24">
        <v>2.9</v>
      </c>
      <c r="M2518" s="24">
        <v>26.64</v>
      </c>
      <c r="N2518" s="21">
        <f t="shared" si="118"/>
        <v>0.26136363636363635</v>
      </c>
      <c r="P2518" s="1">
        <v>4</v>
      </c>
      <c r="Q2518" s="24">
        <v>3.5519999999999996</v>
      </c>
      <c r="R2518" s="24">
        <v>26.048000000000002</v>
      </c>
      <c r="S2518" s="21">
        <f t="shared" si="119"/>
        <v>0.23333333333333336</v>
      </c>
    </row>
    <row r="2519" spans="2:19" ht="11.4" customHeight="1" x14ac:dyDescent="0.2">
      <c r="B2519" s="24"/>
      <c r="C2519" s="10">
        <v>42549</v>
      </c>
      <c r="D2519" s="18" t="s">
        <v>2620</v>
      </c>
      <c r="E2519" s="18" t="s">
        <v>2602</v>
      </c>
      <c r="F2519" s="17">
        <v>2</v>
      </c>
      <c r="G2519" s="18" t="s">
        <v>23</v>
      </c>
      <c r="H2519" s="17">
        <v>34.020000000000003</v>
      </c>
      <c r="I2519" s="11">
        <v>47.7</v>
      </c>
      <c r="J2519" s="21">
        <f t="shared" si="117"/>
        <v>0.40211640211640209</v>
      </c>
      <c r="K2519" s="1">
        <v>2</v>
      </c>
      <c r="L2519" s="24">
        <v>4.7</v>
      </c>
      <c r="M2519" s="24">
        <v>42.930000000000007</v>
      </c>
      <c r="N2519" s="21">
        <f t="shared" si="118"/>
        <v>0.26190476190476197</v>
      </c>
      <c r="P2519" s="1">
        <v>4</v>
      </c>
      <c r="Q2519" s="24">
        <v>5.7239999999999966</v>
      </c>
      <c r="R2519" s="24">
        <v>41.976000000000006</v>
      </c>
      <c r="S2519" s="21">
        <f t="shared" si="119"/>
        <v>0.23386243386243394</v>
      </c>
    </row>
    <row r="2520" spans="2:19" ht="11.4" customHeight="1" x14ac:dyDescent="0.2">
      <c r="B2520" s="24"/>
      <c r="C2520" s="10">
        <v>11929</v>
      </c>
      <c r="D2520" s="18" t="s">
        <v>2621</v>
      </c>
      <c r="E2520" s="18" t="s">
        <v>2602</v>
      </c>
      <c r="F2520" s="17">
        <v>6</v>
      </c>
      <c r="G2520" s="18" t="s">
        <v>23</v>
      </c>
      <c r="H2520" s="17">
        <v>14.5</v>
      </c>
      <c r="I2520" s="11">
        <v>16.5</v>
      </c>
      <c r="J2520" s="21">
        <f t="shared" si="117"/>
        <v>0.13793103448275862</v>
      </c>
      <c r="K2520" s="1">
        <v>2</v>
      </c>
      <c r="L2520" s="24">
        <v>1.6</v>
      </c>
      <c r="M2520" s="24">
        <v>14.85</v>
      </c>
      <c r="N2520" s="21">
        <f t="shared" si="118"/>
        <v>2.4137931034482734E-2</v>
      </c>
      <c r="P2520" s="1">
        <v>4</v>
      </c>
      <c r="Q2520" s="24">
        <v>1.9800000000000004</v>
      </c>
      <c r="R2520" s="24">
        <v>14.52</v>
      </c>
      <c r="S2520" s="21">
        <f t="shared" si="119"/>
        <v>1.3793103448275568E-3</v>
      </c>
    </row>
    <row r="2521" spans="2:19" ht="11.4" customHeight="1" x14ac:dyDescent="0.2">
      <c r="B2521" s="24"/>
      <c r="C2521" s="10">
        <v>11837</v>
      </c>
      <c r="D2521" s="18" t="s">
        <v>2622</v>
      </c>
      <c r="E2521" s="18" t="s">
        <v>2584</v>
      </c>
      <c r="F2521" s="17">
        <v>12</v>
      </c>
      <c r="G2521" s="18" t="s">
        <v>23</v>
      </c>
      <c r="H2521" s="17">
        <v>20.100000000000001</v>
      </c>
      <c r="I2521" s="11">
        <v>22.5</v>
      </c>
      <c r="J2521" s="21">
        <f t="shared" si="117"/>
        <v>0.11940298507462678</v>
      </c>
      <c r="K2521" s="1">
        <v>2</v>
      </c>
      <c r="L2521" s="24">
        <v>2.2000000000000002</v>
      </c>
      <c r="M2521" s="24">
        <v>20.25</v>
      </c>
      <c r="N2521" s="21">
        <f t="shared" si="118"/>
        <v>7.4626865671641078E-3</v>
      </c>
      <c r="P2521" s="1">
        <v>4</v>
      </c>
      <c r="Q2521" s="24">
        <v>2.6999999999999993</v>
      </c>
      <c r="R2521" s="24">
        <v>19.8</v>
      </c>
      <c r="S2521" s="21">
        <f t="shared" si="119"/>
        <v>-1.4925373134328393E-2</v>
      </c>
    </row>
    <row r="2522" spans="2:19" ht="11.4" customHeight="1" x14ac:dyDescent="0.2">
      <c r="B2522" s="24"/>
      <c r="C2522" s="10">
        <v>7734</v>
      </c>
      <c r="D2522" s="18" t="s">
        <v>2623</v>
      </c>
      <c r="E2522" s="18" t="s">
        <v>2584</v>
      </c>
      <c r="F2522" s="17">
        <v>12</v>
      </c>
      <c r="G2522" s="18" t="s">
        <v>23</v>
      </c>
      <c r="H2522" s="17">
        <v>21.7</v>
      </c>
      <c r="I2522" s="11">
        <v>25.4</v>
      </c>
      <c r="J2522" s="21">
        <f t="shared" si="117"/>
        <v>0.1705069124423963</v>
      </c>
      <c r="K2522" s="1">
        <v>2</v>
      </c>
      <c r="L2522" s="24">
        <v>2.5</v>
      </c>
      <c r="M2522" s="24">
        <v>22.86</v>
      </c>
      <c r="N2522" s="21">
        <f t="shared" si="118"/>
        <v>5.3456221198156691E-2</v>
      </c>
      <c r="P2522" s="1">
        <v>4</v>
      </c>
      <c r="Q2522" s="24">
        <v>3.0479999999999983</v>
      </c>
      <c r="R2522" s="24">
        <v>22.352</v>
      </c>
      <c r="S2522" s="21">
        <f t="shared" si="119"/>
        <v>3.0046082949308803E-2</v>
      </c>
    </row>
    <row r="2523" spans="2:19" ht="11.4" customHeight="1" x14ac:dyDescent="0.2">
      <c r="B2523" s="24"/>
      <c r="C2523" s="10">
        <v>7938</v>
      </c>
      <c r="D2523" s="18" t="s">
        <v>2624</v>
      </c>
      <c r="E2523" s="18" t="s">
        <v>2584</v>
      </c>
      <c r="F2523" s="17">
        <v>6</v>
      </c>
      <c r="G2523" s="18" t="s">
        <v>23</v>
      </c>
      <c r="H2523" s="17">
        <v>17.2</v>
      </c>
      <c r="I2523" s="11">
        <v>18.899999999999999</v>
      </c>
      <c r="J2523" s="21">
        <f t="shared" si="117"/>
        <v>9.8837209302325549E-2</v>
      </c>
      <c r="K2523" s="1">
        <v>2</v>
      </c>
      <c r="L2523" s="24">
        <v>1.8</v>
      </c>
      <c r="M2523" s="24">
        <v>17.009999999999998</v>
      </c>
      <c r="N2523" s="21">
        <f t="shared" si="118"/>
        <v>-1.1046511627907051E-2</v>
      </c>
      <c r="P2523" s="1">
        <v>4</v>
      </c>
      <c r="Q2523" s="24">
        <v>2.2680000000000007</v>
      </c>
      <c r="R2523" s="24">
        <v>16.631999999999998</v>
      </c>
      <c r="S2523" s="21">
        <f t="shared" si="119"/>
        <v>-3.3023255813953573E-2</v>
      </c>
    </row>
    <row r="2524" spans="2:19" ht="11.4" customHeight="1" x14ac:dyDescent="0.2">
      <c r="B2524" s="24"/>
      <c r="C2524" s="10">
        <v>6292</v>
      </c>
      <c r="D2524" s="18" t="s">
        <v>2625</v>
      </c>
      <c r="E2524" s="18" t="s">
        <v>2582</v>
      </c>
      <c r="F2524" s="17">
        <v>6</v>
      </c>
      <c r="G2524" s="18" t="s">
        <v>23</v>
      </c>
      <c r="H2524" s="17">
        <v>20.04</v>
      </c>
      <c r="I2524" s="11">
        <v>24.1</v>
      </c>
      <c r="J2524" s="21">
        <f t="shared" si="117"/>
        <v>0.20259481037924165</v>
      </c>
      <c r="K2524" s="1">
        <v>2</v>
      </c>
      <c r="L2524" s="24">
        <v>2.4</v>
      </c>
      <c r="M2524" s="24">
        <v>21.69</v>
      </c>
      <c r="N2524" s="21">
        <f t="shared" si="118"/>
        <v>8.2335329341317473E-2</v>
      </c>
      <c r="P2524" s="1">
        <v>4</v>
      </c>
      <c r="Q2524" s="24">
        <v>2.8919999999999995</v>
      </c>
      <c r="R2524" s="24">
        <v>21.208000000000002</v>
      </c>
      <c r="S2524" s="21">
        <f t="shared" si="119"/>
        <v>5.828343313373268E-2</v>
      </c>
    </row>
    <row r="2525" spans="2:19" ht="11.4" customHeight="1" x14ac:dyDescent="0.2">
      <c r="B2525" s="24"/>
      <c r="C2525" s="10">
        <v>39564</v>
      </c>
      <c r="D2525" s="18" t="s">
        <v>2626</v>
      </c>
      <c r="E2525" s="18" t="s">
        <v>2584</v>
      </c>
      <c r="F2525" s="17">
        <v>24</v>
      </c>
      <c r="G2525" s="18" t="s">
        <v>23</v>
      </c>
      <c r="H2525" s="17">
        <v>88.3</v>
      </c>
      <c r="I2525" s="11">
        <v>95.9</v>
      </c>
      <c r="J2525" s="21">
        <f t="shared" si="117"/>
        <v>8.6070215175538034E-2</v>
      </c>
      <c r="K2525" s="1">
        <v>2</v>
      </c>
      <c r="L2525" s="24">
        <v>9.5</v>
      </c>
      <c r="M2525" s="24">
        <v>86.31</v>
      </c>
      <c r="N2525" s="21">
        <f t="shared" si="118"/>
        <v>-2.2536806342015797E-2</v>
      </c>
      <c r="P2525" s="1">
        <v>4</v>
      </c>
      <c r="Q2525" s="24">
        <v>11.507999999999996</v>
      </c>
      <c r="R2525" s="24">
        <v>84.39200000000001</v>
      </c>
      <c r="S2525" s="21">
        <f t="shared" si="119"/>
        <v>-4.4258210645526472E-2</v>
      </c>
    </row>
    <row r="2526" spans="2:19" ht="11.4" customHeight="1" x14ac:dyDescent="0.2">
      <c r="B2526" s="24"/>
      <c r="C2526" s="10">
        <v>9842</v>
      </c>
      <c r="D2526" s="18" t="s">
        <v>2627</v>
      </c>
      <c r="E2526" s="18" t="s">
        <v>2602</v>
      </c>
      <c r="F2526" s="17">
        <v>12</v>
      </c>
      <c r="G2526" s="18" t="s">
        <v>23</v>
      </c>
      <c r="H2526" s="17">
        <v>8.9</v>
      </c>
      <c r="I2526" s="11">
        <v>9.3000000000000007</v>
      </c>
      <c r="J2526" s="21">
        <f t="shared" si="117"/>
        <v>4.4943820224719142E-2</v>
      </c>
      <c r="K2526" s="1">
        <v>2</v>
      </c>
      <c r="L2526" s="24">
        <v>0.9</v>
      </c>
      <c r="M2526" s="24">
        <v>8.370000000000001</v>
      </c>
      <c r="N2526" s="21">
        <f t="shared" si="118"/>
        <v>-5.9550561797752734E-2</v>
      </c>
      <c r="P2526" s="1">
        <v>4</v>
      </c>
      <c r="Q2526" s="24">
        <v>1.1159999999999997</v>
      </c>
      <c r="R2526" s="24">
        <v>8.1840000000000011</v>
      </c>
      <c r="S2526" s="21">
        <f t="shared" si="119"/>
        <v>-8.0449438202247106E-2</v>
      </c>
    </row>
    <row r="2527" spans="2:19" ht="11.4" customHeight="1" x14ac:dyDescent="0.2">
      <c r="B2527" s="24"/>
      <c r="C2527" s="10">
        <v>1791</v>
      </c>
      <c r="D2527" s="18" t="s">
        <v>2628</v>
      </c>
      <c r="E2527" s="18" t="s">
        <v>2602</v>
      </c>
      <c r="F2527" s="18"/>
      <c r="G2527" s="18" t="s">
        <v>23</v>
      </c>
      <c r="H2527" s="17">
        <v>18.899999999999999</v>
      </c>
      <c r="I2527" s="11">
        <v>19.5</v>
      </c>
      <c r="J2527" s="21">
        <f t="shared" si="117"/>
        <v>3.1746031746031821E-2</v>
      </c>
      <c r="K2527" s="1">
        <v>2</v>
      </c>
      <c r="L2527" s="24">
        <v>1.9</v>
      </c>
      <c r="M2527" s="24">
        <v>17.55</v>
      </c>
      <c r="N2527" s="21">
        <f t="shared" si="118"/>
        <v>-7.1428571428571327E-2</v>
      </c>
      <c r="P2527" s="1">
        <v>4</v>
      </c>
      <c r="Q2527" s="24">
        <v>2.34</v>
      </c>
      <c r="R2527" s="24">
        <v>17.16</v>
      </c>
      <c r="S2527" s="21">
        <f t="shared" si="119"/>
        <v>-9.2063492063491986E-2</v>
      </c>
    </row>
    <row r="2528" spans="2:19" ht="11.4" customHeight="1" x14ac:dyDescent="0.2">
      <c r="B2528" s="24"/>
      <c r="C2528" s="10">
        <v>1793</v>
      </c>
      <c r="D2528" s="18" t="s">
        <v>2629</v>
      </c>
      <c r="E2528" s="18" t="s">
        <v>2602</v>
      </c>
      <c r="F2528" s="17">
        <v>2</v>
      </c>
      <c r="G2528" s="18" t="s">
        <v>23</v>
      </c>
      <c r="H2528" s="17">
        <v>32.5</v>
      </c>
      <c r="I2528" s="11">
        <v>45.5</v>
      </c>
      <c r="J2528" s="21">
        <f t="shared" si="117"/>
        <v>0.4</v>
      </c>
      <c r="K2528" s="1">
        <v>2</v>
      </c>
      <c r="L2528" s="24">
        <v>4.5</v>
      </c>
      <c r="M2528" s="24">
        <v>40.950000000000003</v>
      </c>
      <c r="N2528" s="21">
        <f t="shared" si="118"/>
        <v>0.26000000000000006</v>
      </c>
      <c r="P2528" s="1">
        <v>4</v>
      </c>
      <c r="Q2528" s="24">
        <v>5.4600000000000009</v>
      </c>
      <c r="R2528" s="24">
        <v>40.04</v>
      </c>
      <c r="S2528" s="21">
        <f t="shared" si="119"/>
        <v>0.23199999999999998</v>
      </c>
    </row>
    <row r="2529" spans="2:19" ht="11.4" customHeight="1" x14ac:dyDescent="0.2">
      <c r="B2529" s="24"/>
      <c r="C2529" s="10">
        <v>42132</v>
      </c>
      <c r="D2529" s="18" t="s">
        <v>2630</v>
      </c>
      <c r="E2529" s="18" t="s">
        <v>2578</v>
      </c>
      <c r="F2529" s="18"/>
      <c r="G2529" s="18" t="s">
        <v>23</v>
      </c>
      <c r="H2529" s="17">
        <v>55</v>
      </c>
      <c r="I2529" s="11">
        <v>60</v>
      </c>
      <c r="J2529" s="21">
        <f t="shared" si="117"/>
        <v>9.0909090909090912E-2</v>
      </c>
      <c r="K2529" s="1">
        <v>2</v>
      </c>
      <c r="L2529" s="24">
        <v>6</v>
      </c>
      <c r="M2529" s="24">
        <v>54</v>
      </c>
      <c r="N2529" s="21">
        <f t="shared" si="118"/>
        <v>-1.8181818181818181E-2</v>
      </c>
      <c r="P2529" s="1">
        <v>4</v>
      </c>
      <c r="Q2529" s="24">
        <v>7.2000000000000028</v>
      </c>
      <c r="R2529" s="24">
        <v>52.8</v>
      </c>
      <c r="S2529" s="21">
        <f t="shared" si="119"/>
        <v>-4.0000000000000049E-2</v>
      </c>
    </row>
    <row r="2530" spans="2:19" ht="11.4" customHeight="1" x14ac:dyDescent="0.2">
      <c r="B2530" s="24"/>
      <c r="C2530" s="10">
        <v>9474</v>
      </c>
      <c r="D2530" s="18" t="s">
        <v>2631</v>
      </c>
      <c r="E2530" s="18" t="s">
        <v>2582</v>
      </c>
      <c r="F2530" s="17">
        <v>6</v>
      </c>
      <c r="G2530" s="18" t="s">
        <v>23</v>
      </c>
      <c r="H2530" s="17">
        <v>20.5</v>
      </c>
      <c r="I2530" s="11">
        <v>23.6</v>
      </c>
      <c r="J2530" s="21">
        <f t="shared" si="117"/>
        <v>0.15121951219512203</v>
      </c>
      <c r="K2530" s="1">
        <v>2</v>
      </c>
      <c r="L2530" s="24">
        <v>2.2999999999999998</v>
      </c>
      <c r="M2530" s="24">
        <v>21.240000000000002</v>
      </c>
      <c r="N2530" s="21">
        <f t="shared" si="118"/>
        <v>3.6097560975609851E-2</v>
      </c>
      <c r="P2530" s="1">
        <v>4</v>
      </c>
      <c r="Q2530" s="24">
        <v>2.8320000000000007</v>
      </c>
      <c r="R2530" s="24">
        <v>20.768000000000001</v>
      </c>
      <c r="S2530" s="21">
        <f t="shared" si="119"/>
        <v>1.307317073170735E-2</v>
      </c>
    </row>
    <row r="2531" spans="2:19" ht="11.4" customHeight="1" x14ac:dyDescent="0.2">
      <c r="B2531" s="24"/>
      <c r="C2531" s="10">
        <v>7812</v>
      </c>
      <c r="D2531" s="18" t="s">
        <v>2632</v>
      </c>
      <c r="E2531" s="18" t="s">
        <v>2582</v>
      </c>
      <c r="F2531" s="17">
        <v>6</v>
      </c>
      <c r="G2531" s="18" t="s">
        <v>23</v>
      </c>
      <c r="H2531" s="17">
        <v>20.5</v>
      </c>
      <c r="I2531" s="11">
        <v>23.6</v>
      </c>
      <c r="J2531" s="21">
        <f t="shared" si="117"/>
        <v>0.15121951219512203</v>
      </c>
      <c r="K2531" s="1">
        <v>2</v>
      </c>
      <c r="L2531" s="24">
        <v>2.2999999999999998</v>
      </c>
      <c r="M2531" s="24">
        <v>21.240000000000002</v>
      </c>
      <c r="N2531" s="21">
        <f t="shared" si="118"/>
        <v>3.6097560975609851E-2</v>
      </c>
      <c r="P2531" s="1">
        <v>4</v>
      </c>
      <c r="Q2531" s="24">
        <v>2.8320000000000007</v>
      </c>
      <c r="R2531" s="24">
        <v>20.768000000000001</v>
      </c>
      <c r="S2531" s="21">
        <f t="shared" si="119"/>
        <v>1.307317073170735E-2</v>
      </c>
    </row>
    <row r="2532" spans="2:19" ht="11.4" customHeight="1" x14ac:dyDescent="0.2">
      <c r="B2532" s="24"/>
      <c r="C2532" s="10">
        <v>1784</v>
      </c>
      <c r="D2532" s="18" t="s">
        <v>2633</v>
      </c>
      <c r="E2532" s="18" t="s">
        <v>2582</v>
      </c>
      <c r="F2532" s="17">
        <v>12</v>
      </c>
      <c r="G2532" s="18" t="s">
        <v>23</v>
      </c>
      <c r="H2532" s="17">
        <v>15.7</v>
      </c>
      <c r="I2532" s="11">
        <v>17.5</v>
      </c>
      <c r="J2532" s="21">
        <f t="shared" si="117"/>
        <v>0.11464968152866246</v>
      </c>
      <c r="K2532" s="1">
        <v>2</v>
      </c>
      <c r="L2532" s="24">
        <v>1.7</v>
      </c>
      <c r="M2532" s="24">
        <v>15.75</v>
      </c>
      <c r="N2532" s="21">
        <f t="shared" si="118"/>
        <v>3.1847133757962236E-3</v>
      </c>
      <c r="P2532" s="1">
        <v>4</v>
      </c>
      <c r="Q2532" s="24">
        <v>2.0999999999999996</v>
      </c>
      <c r="R2532" s="24">
        <v>15.4</v>
      </c>
      <c r="S2532" s="21">
        <f t="shared" si="119"/>
        <v>-1.9108280254777003E-2</v>
      </c>
    </row>
    <row r="2533" spans="2:19" ht="11.4" customHeight="1" x14ac:dyDescent="0.2">
      <c r="B2533" s="24"/>
      <c r="C2533" s="10">
        <v>1785</v>
      </c>
      <c r="D2533" s="18" t="s">
        <v>2634</v>
      </c>
      <c r="E2533" s="18" t="s">
        <v>2582</v>
      </c>
      <c r="F2533" s="17">
        <v>6</v>
      </c>
      <c r="G2533" s="18" t="s">
        <v>23</v>
      </c>
      <c r="H2533" s="17">
        <v>20.6</v>
      </c>
      <c r="I2533" s="11">
        <v>22.5</v>
      </c>
      <c r="J2533" s="21">
        <f t="shared" si="117"/>
        <v>9.2233009708737795E-2</v>
      </c>
      <c r="K2533" s="1">
        <v>2</v>
      </c>
      <c r="L2533" s="24">
        <v>2.2000000000000002</v>
      </c>
      <c r="M2533" s="24">
        <v>20.25</v>
      </c>
      <c r="N2533" s="21">
        <f t="shared" si="118"/>
        <v>-1.6990291262135991E-2</v>
      </c>
      <c r="P2533" s="1">
        <v>4</v>
      </c>
      <c r="Q2533" s="24">
        <v>2.6999999999999993</v>
      </c>
      <c r="R2533" s="24">
        <v>19.8</v>
      </c>
      <c r="S2533" s="21">
        <f t="shared" si="119"/>
        <v>-3.8834951456310711E-2</v>
      </c>
    </row>
    <row r="2534" spans="2:19" ht="11.4" customHeight="1" x14ac:dyDescent="0.2">
      <c r="B2534" s="24"/>
      <c r="C2534" s="10">
        <v>4280</v>
      </c>
      <c r="D2534" s="18" t="s">
        <v>2635</v>
      </c>
      <c r="E2534" s="18" t="s">
        <v>2584</v>
      </c>
      <c r="F2534" s="17">
        <v>12</v>
      </c>
      <c r="G2534" s="18" t="s">
        <v>23</v>
      </c>
      <c r="H2534" s="17">
        <v>15.13</v>
      </c>
      <c r="I2534" s="11">
        <v>19.899999999999999</v>
      </c>
      <c r="J2534" s="21">
        <f t="shared" si="117"/>
        <v>0.31526768010575001</v>
      </c>
      <c r="K2534" s="1">
        <v>2</v>
      </c>
      <c r="L2534" s="24">
        <v>1.9</v>
      </c>
      <c r="M2534" s="24">
        <v>17.91</v>
      </c>
      <c r="N2534" s="21">
        <f t="shared" si="118"/>
        <v>0.1837409120951751</v>
      </c>
      <c r="P2534" s="1">
        <v>4</v>
      </c>
      <c r="Q2534" s="24">
        <v>2.3879999999999981</v>
      </c>
      <c r="R2534" s="24">
        <v>17.512</v>
      </c>
      <c r="S2534" s="21">
        <f t="shared" si="119"/>
        <v>0.15743555849306012</v>
      </c>
    </row>
    <row r="2535" spans="2:19" ht="11.4" customHeight="1" x14ac:dyDescent="0.2">
      <c r="B2535" s="24"/>
      <c r="C2535" s="10">
        <v>4349</v>
      </c>
      <c r="D2535" s="18" t="s">
        <v>2636</v>
      </c>
      <c r="E2535" s="18" t="s">
        <v>2584</v>
      </c>
      <c r="F2535" s="17">
        <v>6</v>
      </c>
      <c r="G2535" s="18" t="s">
        <v>23</v>
      </c>
      <c r="H2535" s="17">
        <v>23.9</v>
      </c>
      <c r="I2535" s="11">
        <v>28.7</v>
      </c>
      <c r="J2535" s="21">
        <f t="shared" si="117"/>
        <v>0.20083682008368206</v>
      </c>
      <c r="K2535" s="1">
        <v>2</v>
      </c>
      <c r="L2535" s="24">
        <v>2.8</v>
      </c>
      <c r="M2535" s="24">
        <v>25.83</v>
      </c>
      <c r="N2535" s="21">
        <f t="shared" si="118"/>
        <v>8.0753138075313799E-2</v>
      </c>
      <c r="P2535" s="1">
        <v>4</v>
      </c>
      <c r="Q2535" s="24">
        <v>3.4439999999999991</v>
      </c>
      <c r="R2535" s="24">
        <v>25.256</v>
      </c>
      <c r="S2535" s="21">
        <f t="shared" si="119"/>
        <v>5.673640167364024E-2</v>
      </c>
    </row>
    <row r="2536" spans="2:19" ht="11.4" customHeight="1" x14ac:dyDescent="0.2">
      <c r="B2536" s="24"/>
      <c r="C2536" s="10">
        <v>2520</v>
      </c>
      <c r="D2536" s="18" t="s">
        <v>2637</v>
      </c>
      <c r="E2536" s="18" t="s">
        <v>2584</v>
      </c>
      <c r="F2536" s="17">
        <v>6</v>
      </c>
      <c r="G2536" s="18" t="s">
        <v>23</v>
      </c>
      <c r="H2536" s="17">
        <v>17.18</v>
      </c>
      <c r="I2536" s="11">
        <v>23.2</v>
      </c>
      <c r="J2536" s="21">
        <f t="shared" si="117"/>
        <v>0.35040745052386496</v>
      </c>
      <c r="K2536" s="1">
        <v>2</v>
      </c>
      <c r="L2536" s="24">
        <v>2.2999999999999998</v>
      </c>
      <c r="M2536" s="24">
        <v>20.88</v>
      </c>
      <c r="N2536" s="21">
        <f t="shared" si="118"/>
        <v>0.21536670547147843</v>
      </c>
      <c r="P2536" s="1">
        <v>4</v>
      </c>
      <c r="Q2536" s="24">
        <v>2.7839999999999989</v>
      </c>
      <c r="R2536" s="24">
        <v>20.416</v>
      </c>
      <c r="S2536" s="21">
        <f t="shared" si="119"/>
        <v>0.18835855646100119</v>
      </c>
    </row>
    <row r="2537" spans="2:19" ht="11.4" customHeight="1" x14ac:dyDescent="0.2">
      <c r="B2537" s="24"/>
      <c r="C2537" s="10">
        <v>1788</v>
      </c>
      <c r="D2537" s="18" t="s">
        <v>2638</v>
      </c>
      <c r="E2537" s="18" t="s">
        <v>2582</v>
      </c>
      <c r="F2537" s="17">
        <v>6</v>
      </c>
      <c r="G2537" s="18" t="s">
        <v>23</v>
      </c>
      <c r="H2537" s="17">
        <v>40.200000000000003</v>
      </c>
      <c r="I2537" s="11">
        <v>46.1</v>
      </c>
      <c r="J2537" s="21">
        <f t="shared" si="117"/>
        <v>0.1467661691542288</v>
      </c>
      <c r="K2537" s="1">
        <v>2</v>
      </c>
      <c r="L2537" s="24">
        <v>4.5999999999999996</v>
      </c>
      <c r="M2537" s="24">
        <v>41.49</v>
      </c>
      <c r="N2537" s="21">
        <f t="shared" si="118"/>
        <v>3.2089552238805948E-2</v>
      </c>
      <c r="P2537" s="1">
        <v>4</v>
      </c>
      <c r="Q2537" s="24">
        <v>5.5319999999999965</v>
      </c>
      <c r="R2537" s="24">
        <v>40.568000000000005</v>
      </c>
      <c r="S2537" s="21">
        <f t="shared" si="119"/>
        <v>9.1542288557214455E-3</v>
      </c>
    </row>
    <row r="2538" spans="2:19" ht="11.4" customHeight="1" x14ac:dyDescent="0.2">
      <c r="B2538" s="24"/>
      <c r="C2538" s="10">
        <v>1789</v>
      </c>
      <c r="D2538" s="18" t="s">
        <v>2639</v>
      </c>
      <c r="E2538" s="18" t="s">
        <v>2578</v>
      </c>
      <c r="F2538" s="17">
        <v>12</v>
      </c>
      <c r="G2538" s="18" t="s">
        <v>23</v>
      </c>
      <c r="H2538" s="17">
        <v>8.9</v>
      </c>
      <c r="I2538" s="11">
        <v>9.3000000000000007</v>
      </c>
      <c r="J2538" s="21">
        <f t="shared" si="117"/>
        <v>4.4943820224719142E-2</v>
      </c>
      <c r="K2538" s="1">
        <v>2</v>
      </c>
      <c r="L2538" s="24">
        <v>0.9</v>
      </c>
      <c r="M2538" s="24">
        <v>8.370000000000001</v>
      </c>
      <c r="N2538" s="21">
        <f t="shared" si="118"/>
        <v>-5.9550561797752734E-2</v>
      </c>
      <c r="P2538" s="1">
        <v>4</v>
      </c>
      <c r="Q2538" s="24">
        <v>1.1159999999999997</v>
      </c>
      <c r="R2538" s="24">
        <v>8.1840000000000011</v>
      </c>
      <c r="S2538" s="21">
        <f t="shared" si="119"/>
        <v>-8.0449438202247106E-2</v>
      </c>
    </row>
    <row r="2539" spans="2:19" ht="11.4" customHeight="1" x14ac:dyDescent="0.2">
      <c r="B2539" s="24"/>
      <c r="C2539" s="10">
        <v>16887</v>
      </c>
      <c r="D2539" s="18" t="s">
        <v>2640</v>
      </c>
      <c r="E2539" s="18" t="s">
        <v>2578</v>
      </c>
      <c r="F2539" s="17">
        <v>6</v>
      </c>
      <c r="G2539" s="18" t="s">
        <v>23</v>
      </c>
      <c r="H2539" s="17">
        <v>18.399999999999999</v>
      </c>
      <c r="I2539" s="11">
        <v>19.5</v>
      </c>
      <c r="J2539" s="21">
        <f t="shared" si="117"/>
        <v>5.9782608695652259E-2</v>
      </c>
      <c r="K2539" s="1">
        <v>2</v>
      </c>
      <c r="L2539" s="24">
        <v>1.9</v>
      </c>
      <c r="M2539" s="24">
        <v>17.55</v>
      </c>
      <c r="N2539" s="21">
        <f t="shared" si="118"/>
        <v>-4.6195652173912929E-2</v>
      </c>
      <c r="P2539" s="1">
        <v>4</v>
      </c>
      <c r="Q2539" s="24">
        <v>2.34</v>
      </c>
      <c r="R2539" s="24">
        <v>17.16</v>
      </c>
      <c r="S2539" s="21">
        <f t="shared" si="119"/>
        <v>-6.7391304347826003E-2</v>
      </c>
    </row>
    <row r="2540" spans="2:19" ht="11.4" customHeight="1" x14ac:dyDescent="0.2">
      <c r="B2540" s="24"/>
      <c r="C2540" s="10">
        <v>29811</v>
      </c>
      <c r="D2540" s="18" t="s">
        <v>2641</v>
      </c>
      <c r="E2540" s="18" t="s">
        <v>2584</v>
      </c>
      <c r="F2540" s="17">
        <v>6</v>
      </c>
      <c r="G2540" s="18" t="s">
        <v>23</v>
      </c>
      <c r="H2540" s="17">
        <v>26.3</v>
      </c>
      <c r="I2540" s="11">
        <v>29.9</v>
      </c>
      <c r="J2540" s="21">
        <f t="shared" si="117"/>
        <v>0.13688212927756646</v>
      </c>
      <c r="K2540" s="1">
        <v>2</v>
      </c>
      <c r="L2540" s="24">
        <v>2.9</v>
      </c>
      <c r="M2540" s="24">
        <v>26.91</v>
      </c>
      <c r="N2540" s="21">
        <f t="shared" si="118"/>
        <v>2.3193916349809864E-2</v>
      </c>
      <c r="P2540" s="1">
        <v>4</v>
      </c>
      <c r="Q2540" s="24">
        <v>3.588000000000001</v>
      </c>
      <c r="R2540" s="24">
        <v>26.311999999999998</v>
      </c>
      <c r="S2540" s="21">
        <f t="shared" si="119"/>
        <v>4.5627376425843734E-4</v>
      </c>
    </row>
    <row r="2541" spans="2:19" ht="11.4" customHeight="1" x14ac:dyDescent="0.2">
      <c r="B2541" s="24"/>
      <c r="C2541" s="10">
        <v>7807</v>
      </c>
      <c r="D2541" s="18" t="s">
        <v>2642</v>
      </c>
      <c r="E2541" s="18" t="s">
        <v>2578</v>
      </c>
      <c r="F2541" s="17">
        <v>9</v>
      </c>
      <c r="G2541" s="18" t="s">
        <v>23</v>
      </c>
      <c r="H2541" s="17">
        <v>13.9</v>
      </c>
      <c r="I2541" s="11">
        <v>15.5</v>
      </c>
      <c r="J2541" s="21">
        <f t="shared" si="117"/>
        <v>0.11510791366906473</v>
      </c>
      <c r="K2541" s="1">
        <v>2</v>
      </c>
      <c r="L2541" s="24">
        <v>1.5</v>
      </c>
      <c r="M2541" s="24">
        <v>13.950000000000001</v>
      </c>
      <c r="N2541" s="21">
        <f t="shared" si="118"/>
        <v>3.5971223021583243E-3</v>
      </c>
      <c r="P2541" s="1">
        <v>4</v>
      </c>
      <c r="Q2541" s="24">
        <v>1.8599999999999994</v>
      </c>
      <c r="R2541" s="24">
        <v>13.64</v>
      </c>
      <c r="S2541" s="21">
        <f t="shared" si="119"/>
        <v>-1.8705035971223007E-2</v>
      </c>
    </row>
    <row r="2542" spans="2:19" ht="11.4" customHeight="1" x14ac:dyDescent="0.2">
      <c r="B2542" s="24"/>
      <c r="C2542" s="10">
        <v>7810</v>
      </c>
      <c r="D2542" s="18" t="s">
        <v>2643</v>
      </c>
      <c r="E2542" s="18" t="s">
        <v>2578</v>
      </c>
      <c r="F2542" s="17">
        <v>6</v>
      </c>
      <c r="G2542" s="18" t="s">
        <v>23</v>
      </c>
      <c r="H2542" s="17">
        <v>19.5</v>
      </c>
      <c r="I2542" s="11">
        <v>22.7</v>
      </c>
      <c r="J2542" s="21">
        <f t="shared" si="117"/>
        <v>0.16410256410256407</v>
      </c>
      <c r="K2542" s="1">
        <v>2</v>
      </c>
      <c r="L2542" s="24">
        <v>2.2000000000000002</v>
      </c>
      <c r="M2542" s="24">
        <v>20.43</v>
      </c>
      <c r="N2542" s="21">
        <f t="shared" si="118"/>
        <v>4.769230769230768E-2</v>
      </c>
      <c r="P2542" s="1">
        <v>4</v>
      </c>
      <c r="Q2542" s="24">
        <v>2.7240000000000002</v>
      </c>
      <c r="R2542" s="24">
        <v>19.975999999999999</v>
      </c>
      <c r="S2542" s="21">
        <f t="shared" si="119"/>
        <v>2.4410256410256365E-2</v>
      </c>
    </row>
    <row r="2543" spans="2:19" ht="11.4" customHeight="1" x14ac:dyDescent="0.2">
      <c r="B2543" s="24"/>
      <c r="C2543" s="10">
        <v>4260</v>
      </c>
      <c r="D2543" s="18" t="s">
        <v>2644</v>
      </c>
      <c r="E2543" s="18" t="s">
        <v>2582</v>
      </c>
      <c r="F2543" s="17">
        <v>6</v>
      </c>
      <c r="G2543" s="18" t="s">
        <v>23</v>
      </c>
      <c r="H2543" s="17">
        <v>20.100000000000001</v>
      </c>
      <c r="I2543" s="11">
        <v>21.9</v>
      </c>
      <c r="J2543" s="21">
        <f t="shared" si="117"/>
        <v>8.9552238805970005E-2</v>
      </c>
      <c r="K2543" s="1">
        <v>2</v>
      </c>
      <c r="L2543" s="24">
        <v>2.1</v>
      </c>
      <c r="M2543" s="24">
        <v>19.71</v>
      </c>
      <c r="N2543" s="21">
        <f t="shared" si="118"/>
        <v>-1.9402985074626893E-2</v>
      </c>
      <c r="P2543" s="1">
        <v>4</v>
      </c>
      <c r="Q2543" s="24">
        <v>2.6280000000000001</v>
      </c>
      <c r="R2543" s="24">
        <v>19.271999999999998</v>
      </c>
      <c r="S2543" s="21">
        <f t="shared" si="119"/>
        <v>-4.1194029850746411E-2</v>
      </c>
    </row>
    <row r="2544" spans="2:19" ht="11.4" customHeight="1" x14ac:dyDescent="0.2">
      <c r="B2544" s="24"/>
      <c r="C2544" s="10">
        <v>4093</v>
      </c>
      <c r="D2544" s="18" t="s">
        <v>2645</v>
      </c>
      <c r="E2544" s="18" t="s">
        <v>2584</v>
      </c>
      <c r="F2544" s="17">
        <v>12</v>
      </c>
      <c r="G2544" s="18" t="s">
        <v>23</v>
      </c>
      <c r="H2544" s="17">
        <v>17.7</v>
      </c>
      <c r="I2544" s="11">
        <v>19.7</v>
      </c>
      <c r="J2544" s="21">
        <f t="shared" si="117"/>
        <v>0.11299435028248588</v>
      </c>
      <c r="K2544" s="1">
        <v>2</v>
      </c>
      <c r="L2544" s="24">
        <v>1.9</v>
      </c>
      <c r="M2544" s="24">
        <v>17.73</v>
      </c>
      <c r="N2544" s="21">
        <f t="shared" si="118"/>
        <v>1.6949152542373525E-3</v>
      </c>
      <c r="P2544" s="1">
        <v>4</v>
      </c>
      <c r="Q2544" s="24">
        <v>2.3640000000000008</v>
      </c>
      <c r="R2544" s="24">
        <v>17.335999999999999</v>
      </c>
      <c r="S2544" s="21">
        <f t="shared" si="119"/>
        <v>-2.0564971751412475E-2</v>
      </c>
    </row>
    <row r="2545" spans="2:19" ht="11.4" customHeight="1" x14ac:dyDescent="0.2">
      <c r="B2545" s="24"/>
      <c r="C2545" s="10">
        <v>7735</v>
      </c>
      <c r="D2545" s="18" t="s">
        <v>2646</v>
      </c>
      <c r="E2545" s="18" t="s">
        <v>2584</v>
      </c>
      <c r="F2545" s="17">
        <v>12</v>
      </c>
      <c r="G2545" s="18" t="s">
        <v>23</v>
      </c>
      <c r="H2545" s="17">
        <v>19.100000000000001</v>
      </c>
      <c r="I2545" s="11">
        <v>21.9</v>
      </c>
      <c r="J2545" s="21">
        <f t="shared" si="117"/>
        <v>0.1465968586387433</v>
      </c>
      <c r="K2545" s="1">
        <v>2</v>
      </c>
      <c r="L2545" s="24">
        <v>2.1</v>
      </c>
      <c r="M2545" s="24">
        <v>19.71</v>
      </c>
      <c r="N2545" s="21">
        <f t="shared" si="118"/>
        <v>3.1937172774869078E-2</v>
      </c>
      <c r="P2545" s="1">
        <v>4</v>
      </c>
      <c r="Q2545" s="24">
        <v>2.6280000000000001</v>
      </c>
      <c r="R2545" s="24">
        <v>19.271999999999998</v>
      </c>
      <c r="S2545" s="21">
        <f t="shared" si="119"/>
        <v>9.005235602094085E-3</v>
      </c>
    </row>
    <row r="2546" spans="2:19" ht="11.4" customHeight="1" x14ac:dyDescent="0.2">
      <c r="B2546" s="24"/>
      <c r="C2546" s="10">
        <v>44053</v>
      </c>
      <c r="D2546" s="18" t="s">
        <v>2647</v>
      </c>
      <c r="E2546" s="18" t="s">
        <v>2582</v>
      </c>
      <c r="F2546" s="17">
        <v>6</v>
      </c>
      <c r="G2546" s="18" t="s">
        <v>23</v>
      </c>
      <c r="H2546" s="17">
        <v>70.56</v>
      </c>
      <c r="I2546" s="11">
        <v>89.7</v>
      </c>
      <c r="J2546" s="21">
        <f t="shared" si="117"/>
        <v>0.27125850340136054</v>
      </c>
      <c r="K2546" s="1">
        <v>2</v>
      </c>
      <c r="L2546" s="24">
        <v>8.9</v>
      </c>
      <c r="M2546" s="24">
        <v>80.73</v>
      </c>
      <c r="N2546" s="21">
        <f t="shared" si="118"/>
        <v>0.1441326530612245</v>
      </c>
      <c r="P2546" s="1">
        <v>4</v>
      </c>
      <c r="Q2546" s="24">
        <v>10.763999999999996</v>
      </c>
      <c r="R2546" s="24">
        <v>78.936000000000007</v>
      </c>
      <c r="S2546" s="21">
        <f t="shared" si="119"/>
        <v>0.11870748299319735</v>
      </c>
    </row>
    <row r="2547" spans="2:19" ht="11.4" customHeight="1" x14ac:dyDescent="0.2">
      <c r="B2547" s="24"/>
      <c r="C2547" s="10">
        <v>44052</v>
      </c>
      <c r="D2547" s="18" t="s">
        <v>2648</v>
      </c>
      <c r="E2547" s="18" t="s">
        <v>2582</v>
      </c>
      <c r="F2547" s="17">
        <v>6</v>
      </c>
      <c r="G2547" s="18" t="s">
        <v>23</v>
      </c>
      <c r="H2547" s="17">
        <v>70.56</v>
      </c>
      <c r="I2547" s="11">
        <v>94.2</v>
      </c>
      <c r="J2547" s="21">
        <f t="shared" si="117"/>
        <v>0.33503401360544216</v>
      </c>
      <c r="K2547" s="1">
        <v>2</v>
      </c>
      <c r="L2547" s="24">
        <v>9.4</v>
      </c>
      <c r="M2547" s="24">
        <v>84.78</v>
      </c>
      <c r="N2547" s="21">
        <f t="shared" si="118"/>
        <v>0.20153061224489793</v>
      </c>
      <c r="P2547" s="1">
        <v>4</v>
      </c>
      <c r="Q2547" s="24">
        <v>11.304000000000002</v>
      </c>
      <c r="R2547" s="24">
        <v>82.896000000000001</v>
      </c>
      <c r="S2547" s="21">
        <f t="shared" si="119"/>
        <v>0.17482993197278909</v>
      </c>
    </row>
    <row r="2548" spans="2:19" ht="11.4" customHeight="1" x14ac:dyDescent="0.2">
      <c r="B2548" s="24"/>
      <c r="C2548" s="10">
        <v>40924</v>
      </c>
      <c r="D2548" s="18" t="s">
        <v>2649</v>
      </c>
      <c r="E2548" s="18" t="s">
        <v>2584</v>
      </c>
      <c r="F2548" s="17">
        <v>6</v>
      </c>
      <c r="G2548" s="18" t="s">
        <v>23</v>
      </c>
      <c r="H2548" s="17">
        <v>15.96</v>
      </c>
      <c r="I2548" s="11">
        <v>19.899999999999999</v>
      </c>
      <c r="J2548" s="21">
        <f t="shared" si="117"/>
        <v>0.24686716791979935</v>
      </c>
      <c r="K2548" s="1">
        <v>2</v>
      </c>
      <c r="L2548" s="24">
        <v>1.9</v>
      </c>
      <c r="M2548" s="24">
        <v>17.91</v>
      </c>
      <c r="N2548" s="21">
        <f t="shared" si="118"/>
        <v>0.1221804511278195</v>
      </c>
      <c r="P2548" s="1">
        <v>4</v>
      </c>
      <c r="Q2548" s="24">
        <v>2.3879999999999981</v>
      </c>
      <c r="R2548" s="24">
        <v>17.512</v>
      </c>
      <c r="S2548" s="21">
        <f t="shared" si="119"/>
        <v>9.7243107769423534E-2</v>
      </c>
    </row>
    <row r="2549" spans="2:19" ht="11.4" customHeight="1" x14ac:dyDescent="0.2">
      <c r="B2549" s="24"/>
      <c r="C2549" s="10">
        <v>40926</v>
      </c>
      <c r="D2549" s="18" t="s">
        <v>2650</v>
      </c>
      <c r="E2549" s="18" t="s">
        <v>2584</v>
      </c>
      <c r="F2549" s="17">
        <v>6</v>
      </c>
      <c r="G2549" s="18" t="s">
        <v>23</v>
      </c>
      <c r="H2549" s="17">
        <v>28.56</v>
      </c>
      <c r="I2549" s="11">
        <v>36.9</v>
      </c>
      <c r="J2549" s="21">
        <f t="shared" si="117"/>
        <v>0.29201680672268909</v>
      </c>
      <c r="K2549" s="1">
        <v>2</v>
      </c>
      <c r="L2549" s="24">
        <v>3.6</v>
      </c>
      <c r="M2549" s="24">
        <v>33.21</v>
      </c>
      <c r="N2549" s="21">
        <f t="shared" si="118"/>
        <v>0.16281512605042026</v>
      </c>
      <c r="P2549" s="1">
        <v>4</v>
      </c>
      <c r="Q2549" s="24">
        <v>4.4279999999999973</v>
      </c>
      <c r="R2549" s="24">
        <v>32.472000000000001</v>
      </c>
      <c r="S2549" s="21">
        <f t="shared" si="119"/>
        <v>0.13697478991596648</v>
      </c>
    </row>
    <row r="2550" spans="2:19" ht="11.4" customHeight="1" x14ac:dyDescent="0.2">
      <c r="B2550" s="24"/>
      <c r="C2550" s="10">
        <v>40925</v>
      </c>
      <c r="D2550" s="18" t="s">
        <v>2651</v>
      </c>
      <c r="E2550" s="18" t="s">
        <v>2584</v>
      </c>
      <c r="F2550" s="17">
        <v>6</v>
      </c>
      <c r="G2550" s="18" t="s">
        <v>23</v>
      </c>
      <c r="H2550" s="17">
        <v>15.96</v>
      </c>
      <c r="I2550" s="11">
        <v>20.5</v>
      </c>
      <c r="J2550" s="21">
        <f t="shared" si="117"/>
        <v>0.28446115288220547</v>
      </c>
      <c r="K2550" s="1">
        <v>2</v>
      </c>
      <c r="L2550" s="24">
        <v>2</v>
      </c>
      <c r="M2550" s="24">
        <v>18.45</v>
      </c>
      <c r="N2550" s="21">
        <f t="shared" si="118"/>
        <v>0.15601503759398486</v>
      </c>
      <c r="P2550" s="1">
        <v>4</v>
      </c>
      <c r="Q2550" s="24">
        <v>2.4600000000000009</v>
      </c>
      <c r="R2550" s="24">
        <v>18.04</v>
      </c>
      <c r="S2550" s="21">
        <f t="shared" si="119"/>
        <v>0.13032581453634073</v>
      </c>
    </row>
    <row r="2551" spans="2:19" ht="11.4" customHeight="1" x14ac:dyDescent="0.2">
      <c r="B2551" s="24"/>
      <c r="C2551" s="10">
        <v>40927</v>
      </c>
      <c r="D2551" s="18" t="s">
        <v>2652</v>
      </c>
      <c r="E2551" s="18" t="s">
        <v>2584</v>
      </c>
      <c r="F2551" s="17">
        <v>6</v>
      </c>
      <c r="G2551" s="18" t="s">
        <v>23</v>
      </c>
      <c r="H2551" s="17">
        <v>28.56</v>
      </c>
      <c r="I2551" s="11">
        <v>36.9</v>
      </c>
      <c r="J2551" s="21">
        <f t="shared" si="117"/>
        <v>0.29201680672268909</v>
      </c>
      <c r="K2551" s="1">
        <v>2</v>
      </c>
      <c r="L2551" s="24">
        <v>3.6</v>
      </c>
      <c r="M2551" s="24">
        <v>33.21</v>
      </c>
      <c r="N2551" s="21">
        <f t="shared" si="118"/>
        <v>0.16281512605042026</v>
      </c>
      <c r="P2551" s="1">
        <v>4</v>
      </c>
      <c r="Q2551" s="24">
        <v>4.4279999999999973</v>
      </c>
      <c r="R2551" s="24">
        <v>32.472000000000001</v>
      </c>
      <c r="S2551" s="21">
        <f t="shared" si="119"/>
        <v>0.13697478991596648</v>
      </c>
    </row>
    <row r="2552" spans="2:19" ht="11.4" customHeight="1" x14ac:dyDescent="0.2">
      <c r="B2552" s="24"/>
      <c r="C2552" s="10">
        <v>12151</v>
      </c>
      <c r="D2552" s="18" t="s">
        <v>2653</v>
      </c>
      <c r="E2552" s="18" t="s">
        <v>2654</v>
      </c>
      <c r="F2552" s="17">
        <v>9</v>
      </c>
      <c r="G2552" s="18" t="s">
        <v>23</v>
      </c>
      <c r="H2552" s="17">
        <v>21.5</v>
      </c>
      <c r="I2552" s="11">
        <v>24.9</v>
      </c>
      <c r="J2552" s="21">
        <f t="shared" si="117"/>
        <v>0.15813953488372087</v>
      </c>
      <c r="K2552" s="1">
        <v>2</v>
      </c>
      <c r="L2552" s="24">
        <v>2.4</v>
      </c>
      <c r="M2552" s="24">
        <v>22.41</v>
      </c>
      <c r="N2552" s="21">
        <f t="shared" si="118"/>
        <v>4.2325581395348845E-2</v>
      </c>
      <c r="P2552" s="1">
        <v>4</v>
      </c>
      <c r="Q2552" s="24">
        <v>2.9879999999999995</v>
      </c>
      <c r="R2552" s="24">
        <v>21.911999999999999</v>
      </c>
      <c r="S2552" s="21">
        <f t="shared" si="119"/>
        <v>1.9162790697674372E-2</v>
      </c>
    </row>
    <row r="2553" spans="2:19" ht="11.4" customHeight="1" x14ac:dyDescent="0.2">
      <c r="B2553" s="24"/>
      <c r="C2553" s="10">
        <v>44746</v>
      </c>
      <c r="D2553" s="18" t="s">
        <v>2655</v>
      </c>
      <c r="E2553" s="18" t="s">
        <v>2584</v>
      </c>
      <c r="F2553" s="17">
        <v>12</v>
      </c>
      <c r="G2553" s="18" t="s">
        <v>23</v>
      </c>
      <c r="H2553" s="17">
        <v>17.22</v>
      </c>
      <c r="I2553" s="11">
        <v>22.5</v>
      </c>
      <c r="J2553" s="21">
        <f t="shared" si="117"/>
        <v>0.30662020905923354</v>
      </c>
      <c r="K2553" s="1">
        <v>2</v>
      </c>
      <c r="L2553" s="24">
        <v>2.2000000000000002</v>
      </c>
      <c r="M2553" s="24">
        <v>20.25</v>
      </c>
      <c r="N2553" s="21">
        <f t="shared" si="118"/>
        <v>0.17595818815331019</v>
      </c>
      <c r="P2553" s="1">
        <v>4</v>
      </c>
      <c r="Q2553" s="24">
        <v>2.6999999999999993</v>
      </c>
      <c r="R2553" s="24">
        <v>19.8</v>
      </c>
      <c r="S2553" s="21">
        <f t="shared" si="119"/>
        <v>0.14982578397212556</v>
      </c>
    </row>
    <row r="2554" spans="2:19" ht="11.4" customHeight="1" x14ac:dyDescent="0.2">
      <c r="B2554" s="24"/>
      <c r="C2554" s="10">
        <v>44747</v>
      </c>
      <c r="D2554" s="18" t="s">
        <v>2656</v>
      </c>
      <c r="E2554" s="18" t="s">
        <v>2584</v>
      </c>
      <c r="F2554" s="17">
        <v>12</v>
      </c>
      <c r="G2554" s="18" t="s">
        <v>23</v>
      </c>
      <c r="H2554" s="17">
        <v>17.22</v>
      </c>
      <c r="I2554" s="11">
        <v>22.5</v>
      </c>
      <c r="J2554" s="21">
        <f t="shared" si="117"/>
        <v>0.30662020905923354</v>
      </c>
      <c r="K2554" s="1">
        <v>2</v>
      </c>
      <c r="L2554" s="24">
        <v>2.2000000000000002</v>
      </c>
      <c r="M2554" s="24">
        <v>20.25</v>
      </c>
      <c r="N2554" s="21">
        <f t="shared" si="118"/>
        <v>0.17595818815331019</v>
      </c>
      <c r="P2554" s="1">
        <v>4</v>
      </c>
      <c r="Q2554" s="24">
        <v>2.6999999999999993</v>
      </c>
      <c r="R2554" s="24">
        <v>19.8</v>
      </c>
      <c r="S2554" s="21">
        <f t="shared" si="119"/>
        <v>0.14982578397212556</v>
      </c>
    </row>
    <row r="2555" spans="2:19" ht="11.4" customHeight="1" x14ac:dyDescent="0.2">
      <c r="B2555" s="24"/>
      <c r="C2555" s="10">
        <v>44749</v>
      </c>
      <c r="D2555" s="18" t="s">
        <v>2657</v>
      </c>
      <c r="E2555" s="18" t="s">
        <v>2584</v>
      </c>
      <c r="F2555" s="17">
        <v>12</v>
      </c>
      <c r="G2555" s="18" t="s">
        <v>23</v>
      </c>
      <c r="H2555" s="17">
        <v>15.96</v>
      </c>
      <c r="I2555" s="11">
        <v>19.899999999999999</v>
      </c>
      <c r="J2555" s="21">
        <f t="shared" si="117"/>
        <v>0.24686716791979935</v>
      </c>
      <c r="K2555" s="1">
        <v>2</v>
      </c>
      <c r="L2555" s="24">
        <v>1.9</v>
      </c>
      <c r="M2555" s="24">
        <v>17.91</v>
      </c>
      <c r="N2555" s="21">
        <f t="shared" si="118"/>
        <v>0.1221804511278195</v>
      </c>
      <c r="P2555" s="1">
        <v>4</v>
      </c>
      <c r="Q2555" s="24">
        <v>2.3879999999999981</v>
      </c>
      <c r="R2555" s="24">
        <v>17.512</v>
      </c>
      <c r="S2555" s="21">
        <f t="shared" si="119"/>
        <v>9.7243107769423534E-2</v>
      </c>
    </row>
    <row r="2556" spans="2:19" ht="11.4" customHeight="1" x14ac:dyDescent="0.2">
      <c r="B2556" s="24"/>
      <c r="C2556" s="10">
        <v>44750</v>
      </c>
      <c r="D2556" s="18" t="s">
        <v>2658</v>
      </c>
      <c r="E2556" s="18" t="s">
        <v>2584</v>
      </c>
      <c r="F2556" s="17">
        <v>6</v>
      </c>
      <c r="G2556" s="18" t="s">
        <v>23</v>
      </c>
      <c r="H2556" s="17">
        <v>28.56</v>
      </c>
      <c r="I2556" s="11">
        <v>36.9</v>
      </c>
      <c r="J2556" s="21">
        <f t="shared" si="117"/>
        <v>0.29201680672268909</v>
      </c>
      <c r="K2556" s="1">
        <v>2</v>
      </c>
      <c r="L2556" s="24">
        <v>3.6</v>
      </c>
      <c r="M2556" s="24">
        <v>33.21</v>
      </c>
      <c r="N2556" s="21">
        <f t="shared" si="118"/>
        <v>0.16281512605042026</v>
      </c>
      <c r="P2556" s="1">
        <v>4</v>
      </c>
      <c r="Q2556" s="24">
        <v>4.4279999999999973</v>
      </c>
      <c r="R2556" s="24">
        <v>32.472000000000001</v>
      </c>
      <c r="S2556" s="21">
        <f t="shared" si="119"/>
        <v>0.13697478991596648</v>
      </c>
    </row>
    <row r="2557" spans="2:19" ht="11.4" customHeight="1" x14ac:dyDescent="0.2">
      <c r="B2557" s="24"/>
      <c r="C2557" s="10">
        <v>44748</v>
      </c>
      <c r="D2557" s="18" t="s">
        <v>2659</v>
      </c>
      <c r="E2557" s="18" t="s">
        <v>2584</v>
      </c>
      <c r="F2557" s="17">
        <v>12</v>
      </c>
      <c r="G2557" s="18" t="s">
        <v>23</v>
      </c>
      <c r="H2557" s="17">
        <v>17.22</v>
      </c>
      <c r="I2557" s="11">
        <v>22.5</v>
      </c>
      <c r="J2557" s="21">
        <f t="shared" si="117"/>
        <v>0.30662020905923354</v>
      </c>
      <c r="K2557" s="1">
        <v>2</v>
      </c>
      <c r="L2557" s="24">
        <v>2.2000000000000002</v>
      </c>
      <c r="M2557" s="24">
        <v>20.25</v>
      </c>
      <c r="N2557" s="21">
        <f t="shared" si="118"/>
        <v>0.17595818815331019</v>
      </c>
      <c r="P2557" s="1">
        <v>4</v>
      </c>
      <c r="Q2557" s="24">
        <v>2.6999999999999993</v>
      </c>
      <c r="R2557" s="24">
        <v>19.8</v>
      </c>
      <c r="S2557" s="21">
        <f t="shared" si="119"/>
        <v>0.14982578397212556</v>
      </c>
    </row>
    <row r="2558" spans="2:19" ht="11.4" customHeight="1" x14ac:dyDescent="0.2">
      <c r="B2558" s="24"/>
      <c r="C2558" s="10">
        <v>10800</v>
      </c>
      <c r="D2558" s="18" t="s">
        <v>2660</v>
      </c>
      <c r="E2558" s="18" t="s">
        <v>2654</v>
      </c>
      <c r="F2558" s="17">
        <v>6</v>
      </c>
      <c r="G2558" s="18" t="s">
        <v>23</v>
      </c>
      <c r="H2558" s="17">
        <v>44.5</v>
      </c>
      <c r="I2558" s="11">
        <v>49.9</v>
      </c>
      <c r="J2558" s="21">
        <f t="shared" si="117"/>
        <v>0.12134831460674154</v>
      </c>
      <c r="K2558" s="1">
        <v>2</v>
      </c>
      <c r="L2558" s="24">
        <v>4.9000000000000004</v>
      </c>
      <c r="M2558" s="24">
        <v>44.91</v>
      </c>
      <c r="N2558" s="21">
        <f t="shared" si="118"/>
        <v>9.2134831460673385E-3</v>
      </c>
      <c r="P2558" s="1">
        <v>4</v>
      </c>
      <c r="Q2558" s="24">
        <v>5.9879999999999995</v>
      </c>
      <c r="R2558" s="24">
        <v>43.911999999999999</v>
      </c>
      <c r="S2558" s="21">
        <f t="shared" si="119"/>
        <v>-1.3213483146067437E-2</v>
      </c>
    </row>
    <row r="2559" spans="2:19" ht="11.4" customHeight="1" x14ac:dyDescent="0.2">
      <c r="B2559" s="24"/>
      <c r="C2559" s="10">
        <v>16093</v>
      </c>
      <c r="D2559" s="18" t="s">
        <v>2661</v>
      </c>
      <c r="E2559" s="18" t="s">
        <v>2662</v>
      </c>
      <c r="F2559" s="18"/>
      <c r="G2559" s="18" t="s">
        <v>23</v>
      </c>
      <c r="H2559" s="17">
        <v>20.8</v>
      </c>
      <c r="I2559" s="11">
        <v>25.6</v>
      </c>
      <c r="J2559" s="21">
        <f t="shared" si="117"/>
        <v>0.23076923076923078</v>
      </c>
      <c r="K2559" s="1">
        <v>2</v>
      </c>
      <c r="L2559" s="24">
        <v>2.5</v>
      </c>
      <c r="M2559" s="24">
        <v>23.040000000000003</v>
      </c>
      <c r="N2559" s="21">
        <f t="shared" si="118"/>
        <v>0.10769230769230778</v>
      </c>
      <c r="P2559" s="1">
        <v>4</v>
      </c>
      <c r="Q2559" s="24">
        <v>3.0719999999999992</v>
      </c>
      <c r="R2559" s="24">
        <v>22.528000000000002</v>
      </c>
      <c r="S2559" s="21">
        <f t="shared" si="119"/>
        <v>8.3076923076923145E-2</v>
      </c>
    </row>
    <row r="2560" spans="2:19" ht="11.4" customHeight="1" x14ac:dyDescent="0.2">
      <c r="B2560" s="24"/>
      <c r="C2560" s="10">
        <v>2451</v>
      </c>
      <c r="D2560" s="18" t="s">
        <v>2663</v>
      </c>
      <c r="E2560" s="18" t="s">
        <v>2662</v>
      </c>
      <c r="F2560" s="17">
        <v>12</v>
      </c>
      <c r="G2560" s="18" t="s">
        <v>23</v>
      </c>
      <c r="H2560" s="17">
        <v>21.8</v>
      </c>
      <c r="I2560" s="11">
        <v>26.3</v>
      </c>
      <c r="J2560" s="21">
        <f t="shared" si="117"/>
        <v>0.20642201834862384</v>
      </c>
      <c r="K2560" s="1">
        <v>2</v>
      </c>
      <c r="L2560" s="24">
        <v>2.6</v>
      </c>
      <c r="M2560" s="24">
        <v>23.67</v>
      </c>
      <c r="N2560" s="21">
        <f t="shared" si="118"/>
        <v>8.5779816513761514E-2</v>
      </c>
      <c r="P2560" s="1">
        <v>4</v>
      </c>
      <c r="Q2560" s="24">
        <v>3.1559999999999988</v>
      </c>
      <c r="R2560" s="24">
        <v>23.144000000000002</v>
      </c>
      <c r="S2560" s="21">
        <f t="shared" si="119"/>
        <v>6.1651376146789047E-2</v>
      </c>
    </row>
    <row r="2561" spans="2:19" ht="11.4" customHeight="1" x14ac:dyDescent="0.2">
      <c r="B2561" s="24"/>
      <c r="C2561" s="10">
        <v>27048</v>
      </c>
      <c r="D2561" s="18" t="s">
        <v>2664</v>
      </c>
      <c r="E2561" s="18" t="s">
        <v>2662</v>
      </c>
      <c r="F2561" s="17">
        <v>12</v>
      </c>
      <c r="G2561" s="18" t="s">
        <v>23</v>
      </c>
      <c r="H2561" s="17">
        <v>28.3</v>
      </c>
      <c r="I2561" s="11">
        <v>33.700000000000003</v>
      </c>
      <c r="J2561" s="21">
        <f t="shared" si="117"/>
        <v>0.19081272084805662</v>
      </c>
      <c r="K2561" s="1">
        <v>2</v>
      </c>
      <c r="L2561" s="24">
        <v>3.3</v>
      </c>
      <c r="M2561" s="24">
        <v>30.330000000000002</v>
      </c>
      <c r="N2561" s="21">
        <f t="shared" si="118"/>
        <v>7.1731448763250924E-2</v>
      </c>
      <c r="P2561" s="1">
        <v>4</v>
      </c>
      <c r="Q2561" s="24">
        <v>4.0440000000000005</v>
      </c>
      <c r="R2561" s="24">
        <v>29.656000000000002</v>
      </c>
      <c r="S2561" s="21">
        <f t="shared" si="119"/>
        <v>4.7915194346289811E-2</v>
      </c>
    </row>
    <row r="2562" spans="2:19" ht="11.4" customHeight="1" x14ac:dyDescent="0.2">
      <c r="B2562" s="24"/>
      <c r="C2562" s="10">
        <v>4886</v>
      </c>
      <c r="D2562" s="18" t="s">
        <v>2665</v>
      </c>
      <c r="E2562" s="18" t="s">
        <v>2662</v>
      </c>
      <c r="F2562" s="17">
        <v>12</v>
      </c>
      <c r="G2562" s="18" t="s">
        <v>23</v>
      </c>
      <c r="H2562" s="17">
        <v>21.5</v>
      </c>
      <c r="I2562" s="11">
        <v>27.1</v>
      </c>
      <c r="J2562" s="21">
        <f t="shared" si="117"/>
        <v>0.26046511627906982</v>
      </c>
      <c r="K2562" s="1">
        <v>2</v>
      </c>
      <c r="L2562" s="24">
        <v>2.7</v>
      </c>
      <c r="M2562" s="24">
        <v>24.39</v>
      </c>
      <c r="N2562" s="21">
        <f t="shared" si="118"/>
        <v>0.13441860465116282</v>
      </c>
      <c r="P2562" s="1">
        <v>4</v>
      </c>
      <c r="Q2562" s="24">
        <v>3.2519999999999989</v>
      </c>
      <c r="R2562" s="24">
        <v>23.848000000000003</v>
      </c>
      <c r="S2562" s="21">
        <f t="shared" si="119"/>
        <v>0.10920930232558151</v>
      </c>
    </row>
    <row r="2563" spans="2:19" ht="11.4" customHeight="1" x14ac:dyDescent="0.2">
      <c r="B2563" s="24"/>
      <c r="C2563" s="10">
        <v>34305</v>
      </c>
      <c r="D2563" s="18" t="s">
        <v>2666</v>
      </c>
      <c r="E2563" s="18" t="s">
        <v>2662</v>
      </c>
      <c r="F2563" s="17">
        <v>6</v>
      </c>
      <c r="G2563" s="18" t="s">
        <v>23</v>
      </c>
      <c r="H2563" s="17">
        <v>36.9</v>
      </c>
      <c r="I2563" s="11">
        <v>44.9</v>
      </c>
      <c r="J2563" s="21">
        <f t="shared" ref="J2563:J2626" si="120">(I2563-H2563)/H2563</f>
        <v>0.21680216802168023</v>
      </c>
      <c r="K2563" s="1">
        <v>2</v>
      </c>
      <c r="L2563" s="24">
        <v>4.4000000000000004</v>
      </c>
      <c r="M2563" s="24">
        <v>40.409999999999997</v>
      </c>
      <c r="N2563" s="21">
        <f t="shared" ref="N2563:N2626" si="121">(M2563-H2563)/H2563</f>
        <v>9.5121951219512141E-2</v>
      </c>
      <c r="P2563" s="1">
        <v>4</v>
      </c>
      <c r="Q2563" s="24">
        <v>5.3879999999999981</v>
      </c>
      <c r="R2563" s="24">
        <v>39.512</v>
      </c>
      <c r="S2563" s="21">
        <f t="shared" ref="S2563:S2626" si="122">(R2563-H2563)/H2563</f>
        <v>7.0785907859078651E-2</v>
      </c>
    </row>
    <row r="2564" spans="2:19" ht="11.4" customHeight="1" x14ac:dyDescent="0.2">
      <c r="B2564" s="24"/>
      <c r="C2564" s="10">
        <v>35003</v>
      </c>
      <c r="D2564" s="18" t="s">
        <v>2667</v>
      </c>
      <c r="E2564" s="18" t="s">
        <v>2662</v>
      </c>
      <c r="F2564" s="17">
        <v>6</v>
      </c>
      <c r="G2564" s="18" t="s">
        <v>23</v>
      </c>
      <c r="H2564" s="17">
        <v>49.6</v>
      </c>
      <c r="I2564" s="11">
        <v>56.9</v>
      </c>
      <c r="J2564" s="21">
        <f t="shared" si="120"/>
        <v>0.14717741935483863</v>
      </c>
      <c r="K2564" s="1">
        <v>2</v>
      </c>
      <c r="L2564" s="24">
        <v>5.6</v>
      </c>
      <c r="M2564" s="24">
        <v>51.21</v>
      </c>
      <c r="N2564" s="21">
        <f t="shared" si="121"/>
        <v>3.2459677419354828E-2</v>
      </c>
      <c r="P2564" s="1">
        <v>4</v>
      </c>
      <c r="Q2564" s="24">
        <v>6.828000000000003</v>
      </c>
      <c r="R2564" s="24">
        <v>50.071999999999996</v>
      </c>
      <c r="S2564" s="21">
        <f t="shared" si="122"/>
        <v>9.516129032257948E-3</v>
      </c>
    </row>
    <row r="2565" spans="2:19" ht="11.4" customHeight="1" x14ac:dyDescent="0.2">
      <c r="B2565" s="24"/>
      <c r="C2565" s="10">
        <v>33442</v>
      </c>
      <c r="D2565" s="18" t="s">
        <v>2668</v>
      </c>
      <c r="E2565" s="18" t="s">
        <v>2662</v>
      </c>
      <c r="F2565" s="17">
        <v>24</v>
      </c>
      <c r="G2565" s="18" t="s">
        <v>23</v>
      </c>
      <c r="H2565" s="17">
        <v>54.5</v>
      </c>
      <c r="I2565" s="11">
        <v>61.5</v>
      </c>
      <c r="J2565" s="21">
        <f t="shared" si="120"/>
        <v>0.12844036697247707</v>
      </c>
      <c r="K2565" s="1">
        <v>2</v>
      </c>
      <c r="L2565" s="24">
        <v>6.1</v>
      </c>
      <c r="M2565" s="24">
        <v>55.35</v>
      </c>
      <c r="N2565" s="21">
        <f t="shared" si="121"/>
        <v>1.5596330275229385E-2</v>
      </c>
      <c r="P2565" s="1">
        <v>4</v>
      </c>
      <c r="Q2565" s="24">
        <v>7.3800000000000026</v>
      </c>
      <c r="R2565" s="24">
        <v>54.12</v>
      </c>
      <c r="S2565" s="21">
        <f t="shared" si="122"/>
        <v>-6.9724770642202302E-3</v>
      </c>
    </row>
    <row r="2566" spans="2:19" ht="11.4" customHeight="1" x14ac:dyDescent="0.2">
      <c r="B2566" s="24"/>
      <c r="C2566" s="10">
        <v>40154</v>
      </c>
      <c r="D2566" s="18" t="s">
        <v>2669</v>
      </c>
      <c r="E2566" s="18" t="s">
        <v>2662</v>
      </c>
      <c r="F2566" s="17">
        <v>24</v>
      </c>
      <c r="G2566" s="18" t="s">
        <v>23</v>
      </c>
      <c r="H2566" s="17">
        <v>39.6</v>
      </c>
      <c r="I2566" s="11">
        <v>56.5</v>
      </c>
      <c r="J2566" s="21">
        <f t="shared" si="120"/>
        <v>0.42676767676767674</v>
      </c>
      <c r="K2566" s="1">
        <v>2</v>
      </c>
      <c r="L2566" s="24">
        <v>5.6</v>
      </c>
      <c r="M2566" s="24">
        <v>50.85</v>
      </c>
      <c r="N2566" s="21">
        <f t="shared" si="121"/>
        <v>0.28409090909090906</v>
      </c>
      <c r="P2566" s="1">
        <v>4</v>
      </c>
      <c r="Q2566" s="24">
        <v>6.7800000000000011</v>
      </c>
      <c r="R2566" s="24">
        <v>49.72</v>
      </c>
      <c r="S2566" s="21">
        <f t="shared" si="122"/>
        <v>0.25555555555555548</v>
      </c>
    </row>
    <row r="2567" spans="2:19" ht="11.4" customHeight="1" x14ac:dyDescent="0.2">
      <c r="B2567" s="24"/>
      <c r="C2567" s="10">
        <v>40157</v>
      </c>
      <c r="D2567" s="18" t="s">
        <v>2670</v>
      </c>
      <c r="E2567" s="18" t="s">
        <v>2662</v>
      </c>
      <c r="F2567" s="17">
        <v>24</v>
      </c>
      <c r="G2567" s="18" t="s">
        <v>23</v>
      </c>
      <c r="H2567" s="17">
        <v>39.6</v>
      </c>
      <c r="I2567" s="11">
        <v>56.5</v>
      </c>
      <c r="J2567" s="21">
        <f t="shared" si="120"/>
        <v>0.42676767676767674</v>
      </c>
      <c r="K2567" s="1">
        <v>2</v>
      </c>
      <c r="L2567" s="24">
        <v>5.6</v>
      </c>
      <c r="M2567" s="24">
        <v>50.85</v>
      </c>
      <c r="N2567" s="21">
        <f t="shared" si="121"/>
        <v>0.28409090909090906</v>
      </c>
      <c r="P2567" s="1">
        <v>4</v>
      </c>
      <c r="Q2567" s="24">
        <v>6.7800000000000011</v>
      </c>
      <c r="R2567" s="24">
        <v>49.72</v>
      </c>
      <c r="S2567" s="21">
        <f t="shared" si="122"/>
        <v>0.25555555555555548</v>
      </c>
    </row>
    <row r="2568" spans="2:19" ht="11.4" customHeight="1" x14ac:dyDescent="0.2">
      <c r="B2568" s="24"/>
      <c r="C2568" s="10">
        <v>40155</v>
      </c>
      <c r="D2568" s="18" t="s">
        <v>2671</v>
      </c>
      <c r="E2568" s="18" t="s">
        <v>2662</v>
      </c>
      <c r="F2568" s="17">
        <v>24</v>
      </c>
      <c r="G2568" s="18" t="s">
        <v>23</v>
      </c>
      <c r="H2568" s="17">
        <v>39.6</v>
      </c>
      <c r="I2568" s="11">
        <v>56.5</v>
      </c>
      <c r="J2568" s="21">
        <f t="shared" si="120"/>
        <v>0.42676767676767674</v>
      </c>
      <c r="K2568" s="1">
        <v>2</v>
      </c>
      <c r="L2568" s="24">
        <v>5.6</v>
      </c>
      <c r="M2568" s="24">
        <v>50.85</v>
      </c>
      <c r="N2568" s="21">
        <f t="shared" si="121"/>
        <v>0.28409090909090906</v>
      </c>
      <c r="P2568" s="1">
        <v>4</v>
      </c>
      <c r="Q2568" s="24">
        <v>6.7800000000000011</v>
      </c>
      <c r="R2568" s="24">
        <v>49.72</v>
      </c>
      <c r="S2568" s="21">
        <f t="shared" si="122"/>
        <v>0.25555555555555548</v>
      </c>
    </row>
    <row r="2569" spans="2:19" ht="11.4" customHeight="1" x14ac:dyDescent="0.2">
      <c r="B2569" s="24"/>
      <c r="C2569" s="10">
        <v>40156</v>
      </c>
      <c r="D2569" s="18" t="s">
        <v>2672</v>
      </c>
      <c r="E2569" s="18" t="s">
        <v>2662</v>
      </c>
      <c r="F2569" s="17">
        <v>24</v>
      </c>
      <c r="G2569" s="18" t="s">
        <v>23</v>
      </c>
      <c r="H2569" s="17">
        <v>39.6</v>
      </c>
      <c r="I2569" s="11">
        <v>56.5</v>
      </c>
      <c r="J2569" s="21">
        <f t="shared" si="120"/>
        <v>0.42676767676767674</v>
      </c>
      <c r="K2569" s="1">
        <v>2</v>
      </c>
      <c r="L2569" s="24">
        <v>5.6</v>
      </c>
      <c r="M2569" s="24">
        <v>50.85</v>
      </c>
      <c r="N2569" s="21">
        <f t="shared" si="121"/>
        <v>0.28409090909090906</v>
      </c>
      <c r="P2569" s="1">
        <v>4</v>
      </c>
      <c r="Q2569" s="24">
        <v>6.7800000000000011</v>
      </c>
      <c r="R2569" s="24">
        <v>49.72</v>
      </c>
      <c r="S2569" s="21">
        <f t="shared" si="122"/>
        <v>0.25555555555555548</v>
      </c>
    </row>
    <row r="2570" spans="2:19" ht="11.4" customHeight="1" x14ac:dyDescent="0.2">
      <c r="B2570" s="24"/>
      <c r="C2570" s="10">
        <v>40159</v>
      </c>
      <c r="D2570" s="18" t="s">
        <v>2673</v>
      </c>
      <c r="E2570" s="18" t="s">
        <v>2662</v>
      </c>
      <c r="F2570" s="17">
        <v>24</v>
      </c>
      <c r="G2570" s="18" t="s">
        <v>23</v>
      </c>
      <c r="H2570" s="17">
        <v>39.6</v>
      </c>
      <c r="I2570" s="11">
        <v>56.5</v>
      </c>
      <c r="J2570" s="21">
        <f t="shared" si="120"/>
        <v>0.42676767676767674</v>
      </c>
      <c r="K2570" s="1">
        <v>2</v>
      </c>
      <c r="L2570" s="24">
        <v>5.6</v>
      </c>
      <c r="M2570" s="24">
        <v>50.85</v>
      </c>
      <c r="N2570" s="21">
        <f t="shared" si="121"/>
        <v>0.28409090909090906</v>
      </c>
      <c r="P2570" s="1">
        <v>4</v>
      </c>
      <c r="Q2570" s="24">
        <v>6.7800000000000011</v>
      </c>
      <c r="R2570" s="24">
        <v>49.72</v>
      </c>
      <c r="S2570" s="21">
        <f t="shared" si="122"/>
        <v>0.25555555555555548</v>
      </c>
    </row>
    <row r="2571" spans="2:19" ht="11.4" customHeight="1" x14ac:dyDescent="0.2">
      <c r="B2571" s="24"/>
      <c r="C2571" s="10">
        <v>40158</v>
      </c>
      <c r="D2571" s="18" t="s">
        <v>2674</v>
      </c>
      <c r="E2571" s="18" t="s">
        <v>2662</v>
      </c>
      <c r="F2571" s="17">
        <v>24</v>
      </c>
      <c r="G2571" s="18" t="s">
        <v>23</v>
      </c>
      <c r="H2571" s="17">
        <v>39.6</v>
      </c>
      <c r="I2571" s="11">
        <v>56.5</v>
      </c>
      <c r="J2571" s="21">
        <f t="shared" si="120"/>
        <v>0.42676767676767674</v>
      </c>
      <c r="K2571" s="1">
        <v>2</v>
      </c>
      <c r="L2571" s="24">
        <v>5.6</v>
      </c>
      <c r="M2571" s="24">
        <v>50.85</v>
      </c>
      <c r="N2571" s="21">
        <f t="shared" si="121"/>
        <v>0.28409090909090906</v>
      </c>
      <c r="P2571" s="1">
        <v>4</v>
      </c>
      <c r="Q2571" s="24">
        <v>6.7800000000000011</v>
      </c>
      <c r="R2571" s="24">
        <v>49.72</v>
      </c>
      <c r="S2571" s="21">
        <f t="shared" si="122"/>
        <v>0.25555555555555548</v>
      </c>
    </row>
    <row r="2572" spans="2:19" ht="11.4" customHeight="1" x14ac:dyDescent="0.2">
      <c r="B2572" s="24"/>
      <c r="C2572" s="10">
        <v>6506</v>
      </c>
      <c r="D2572" s="18" t="s">
        <v>2675</v>
      </c>
      <c r="E2572" s="18" t="s">
        <v>2654</v>
      </c>
      <c r="F2572" s="17">
        <v>12</v>
      </c>
      <c r="G2572" s="18" t="s">
        <v>23</v>
      </c>
      <c r="H2572" s="17">
        <v>20.309999999999999</v>
      </c>
      <c r="I2572" s="11">
        <v>23.9</v>
      </c>
      <c r="J2572" s="21">
        <f t="shared" si="120"/>
        <v>0.17676021664204825</v>
      </c>
      <c r="K2572" s="1">
        <v>2</v>
      </c>
      <c r="L2572" s="24">
        <v>2.2999999999999998</v>
      </c>
      <c r="M2572" s="24">
        <v>21.509999999999998</v>
      </c>
      <c r="N2572" s="21">
        <f t="shared" si="121"/>
        <v>5.9084194977843396E-2</v>
      </c>
      <c r="P2572" s="1">
        <v>4</v>
      </c>
      <c r="Q2572" s="24">
        <v>2.8679999999999986</v>
      </c>
      <c r="R2572" s="24">
        <v>21.032</v>
      </c>
      <c r="S2572" s="21">
        <f t="shared" si="122"/>
        <v>3.5548990645002526E-2</v>
      </c>
    </row>
    <row r="2573" spans="2:19" ht="11.4" customHeight="1" x14ac:dyDescent="0.2">
      <c r="B2573" s="24"/>
      <c r="C2573" s="10">
        <v>6508</v>
      </c>
      <c r="D2573" s="18" t="s">
        <v>2676</v>
      </c>
      <c r="E2573" s="18" t="s">
        <v>2654</v>
      </c>
      <c r="F2573" s="17">
        <v>12</v>
      </c>
      <c r="G2573" s="18" t="s">
        <v>23</v>
      </c>
      <c r="H2573" s="17">
        <v>30.62</v>
      </c>
      <c r="I2573" s="11">
        <v>36.9</v>
      </c>
      <c r="J2573" s="21">
        <f t="shared" si="120"/>
        <v>0.20509470934030039</v>
      </c>
      <c r="K2573" s="1">
        <v>2</v>
      </c>
      <c r="L2573" s="24">
        <v>3.6</v>
      </c>
      <c r="M2573" s="24">
        <v>33.21</v>
      </c>
      <c r="N2573" s="21">
        <f t="shared" si="121"/>
        <v>8.4585238406270399E-2</v>
      </c>
      <c r="P2573" s="1">
        <v>4</v>
      </c>
      <c r="Q2573" s="24">
        <v>4.4279999999999973</v>
      </c>
      <c r="R2573" s="24">
        <v>32.472000000000001</v>
      </c>
      <c r="S2573" s="21">
        <f t="shared" si="122"/>
        <v>6.0483344219464413E-2</v>
      </c>
    </row>
    <row r="2574" spans="2:19" ht="11.4" customHeight="1" x14ac:dyDescent="0.2">
      <c r="B2574" s="24"/>
      <c r="C2574" s="10">
        <v>45506</v>
      </c>
      <c r="D2574" s="18" t="s">
        <v>2677</v>
      </c>
      <c r="E2574" s="18" t="s">
        <v>2662</v>
      </c>
      <c r="F2574" s="17">
        <v>24</v>
      </c>
      <c r="G2574" s="18" t="s">
        <v>23</v>
      </c>
      <c r="H2574" s="17">
        <v>18.940000000000001</v>
      </c>
      <c r="I2574" s="11">
        <v>23.9</v>
      </c>
      <c r="J2574" s="21">
        <f t="shared" si="120"/>
        <v>0.26187961985216457</v>
      </c>
      <c r="K2574" s="1">
        <v>2</v>
      </c>
      <c r="L2574" s="24">
        <v>2.2999999999999998</v>
      </c>
      <c r="M2574" s="24">
        <v>21.509999999999998</v>
      </c>
      <c r="N2574" s="21">
        <f t="shared" si="121"/>
        <v>0.13569165786694806</v>
      </c>
      <c r="P2574" s="1">
        <v>4</v>
      </c>
      <c r="Q2574" s="24">
        <v>2.8679999999999986</v>
      </c>
      <c r="R2574" s="24">
        <v>21.032</v>
      </c>
      <c r="S2574" s="21">
        <f t="shared" si="122"/>
        <v>0.11045406546990488</v>
      </c>
    </row>
    <row r="2575" spans="2:19" ht="11.4" customHeight="1" x14ac:dyDescent="0.2">
      <c r="B2575" s="24"/>
      <c r="C2575" s="10">
        <v>45820</v>
      </c>
      <c r="D2575" s="18" t="s">
        <v>2678</v>
      </c>
      <c r="E2575" s="18" t="s">
        <v>2662</v>
      </c>
      <c r="F2575" s="17">
        <v>12</v>
      </c>
      <c r="G2575" s="18" t="s">
        <v>23</v>
      </c>
      <c r="H2575" s="17">
        <v>22.26</v>
      </c>
      <c r="I2575" s="11">
        <v>29.9</v>
      </c>
      <c r="J2575" s="21">
        <f t="shared" si="120"/>
        <v>0.343216531895777</v>
      </c>
      <c r="K2575" s="1">
        <v>2</v>
      </c>
      <c r="L2575" s="24">
        <v>2.9</v>
      </c>
      <c r="M2575" s="24">
        <v>26.91</v>
      </c>
      <c r="N2575" s="21">
        <f t="shared" si="121"/>
        <v>0.20889487870619938</v>
      </c>
      <c r="P2575" s="1">
        <v>4</v>
      </c>
      <c r="Q2575" s="24">
        <v>3.588000000000001</v>
      </c>
      <c r="R2575" s="24">
        <v>26.311999999999998</v>
      </c>
      <c r="S2575" s="21">
        <f t="shared" si="122"/>
        <v>0.18203054806828373</v>
      </c>
    </row>
    <row r="2576" spans="2:19" ht="11.4" customHeight="1" x14ac:dyDescent="0.2">
      <c r="B2576" s="24"/>
      <c r="C2576" s="10">
        <v>2493</v>
      </c>
      <c r="D2576" s="18" t="s">
        <v>2679</v>
      </c>
      <c r="E2576" s="18" t="s">
        <v>2662</v>
      </c>
      <c r="F2576" s="17">
        <v>12</v>
      </c>
      <c r="G2576" s="18" t="s">
        <v>23</v>
      </c>
      <c r="H2576" s="17">
        <v>6.86</v>
      </c>
      <c r="I2576" s="11">
        <v>10.1</v>
      </c>
      <c r="J2576" s="21">
        <f t="shared" si="120"/>
        <v>0.47230320699708445</v>
      </c>
      <c r="K2576" s="1">
        <v>2</v>
      </c>
      <c r="L2576" s="24">
        <v>1</v>
      </c>
      <c r="M2576" s="24">
        <v>9.09</v>
      </c>
      <c r="N2576" s="21">
        <f t="shared" si="121"/>
        <v>0.32507288629737602</v>
      </c>
      <c r="P2576" s="1">
        <v>4</v>
      </c>
      <c r="Q2576" s="24">
        <v>1.2119999999999997</v>
      </c>
      <c r="R2576" s="24">
        <v>8.8879999999999999</v>
      </c>
      <c r="S2576" s="21">
        <f t="shared" si="122"/>
        <v>0.29562682215743435</v>
      </c>
    </row>
    <row r="2577" spans="2:19" ht="11.4" customHeight="1" x14ac:dyDescent="0.2">
      <c r="B2577" s="24"/>
      <c r="C2577" s="10">
        <v>17310</v>
      </c>
      <c r="D2577" s="18" t="s">
        <v>2680</v>
      </c>
      <c r="E2577" s="18" t="s">
        <v>2662</v>
      </c>
      <c r="F2577" s="17">
        <v>6</v>
      </c>
      <c r="G2577" s="18" t="s">
        <v>23</v>
      </c>
      <c r="H2577" s="17">
        <v>17.66</v>
      </c>
      <c r="I2577" s="11">
        <v>25.2</v>
      </c>
      <c r="J2577" s="21">
        <f t="shared" si="120"/>
        <v>0.42695356738391843</v>
      </c>
      <c r="K2577" s="1">
        <v>2</v>
      </c>
      <c r="L2577" s="24">
        <v>2.5</v>
      </c>
      <c r="M2577" s="24">
        <v>22.68</v>
      </c>
      <c r="N2577" s="21">
        <f t="shared" si="121"/>
        <v>0.28425821064552659</v>
      </c>
      <c r="P2577" s="1">
        <v>4</v>
      </c>
      <c r="Q2577" s="24">
        <v>3.0240000000000009</v>
      </c>
      <c r="R2577" s="24">
        <v>22.175999999999998</v>
      </c>
      <c r="S2577" s="21">
        <f t="shared" si="122"/>
        <v>0.25571913929784812</v>
      </c>
    </row>
    <row r="2578" spans="2:19" ht="11.4" customHeight="1" x14ac:dyDescent="0.2">
      <c r="B2578" s="24"/>
      <c r="C2578" s="10">
        <v>2496</v>
      </c>
      <c r="D2578" s="18" t="s">
        <v>2681</v>
      </c>
      <c r="E2578" s="18" t="s">
        <v>2662</v>
      </c>
      <c r="F2578" s="17">
        <v>12</v>
      </c>
      <c r="G2578" s="18" t="s">
        <v>23</v>
      </c>
      <c r="H2578" s="17">
        <v>6.86</v>
      </c>
      <c r="I2578" s="11">
        <v>10.1</v>
      </c>
      <c r="J2578" s="21">
        <f t="shared" si="120"/>
        <v>0.47230320699708445</v>
      </c>
      <c r="K2578" s="1">
        <v>2</v>
      </c>
      <c r="L2578" s="24">
        <v>1</v>
      </c>
      <c r="M2578" s="24">
        <v>9.09</v>
      </c>
      <c r="N2578" s="21">
        <f t="shared" si="121"/>
        <v>0.32507288629737602</v>
      </c>
      <c r="P2578" s="1">
        <v>4</v>
      </c>
      <c r="Q2578" s="24">
        <v>1.2119999999999997</v>
      </c>
      <c r="R2578" s="24">
        <v>8.8879999999999999</v>
      </c>
      <c r="S2578" s="21">
        <f t="shared" si="122"/>
        <v>0.29562682215743435</v>
      </c>
    </row>
    <row r="2579" spans="2:19" ht="11.4" customHeight="1" x14ac:dyDescent="0.2">
      <c r="B2579" s="24"/>
      <c r="C2579" s="10">
        <v>17070</v>
      </c>
      <c r="D2579" s="18" t="s">
        <v>2682</v>
      </c>
      <c r="E2579" s="18" t="s">
        <v>2662</v>
      </c>
      <c r="F2579" s="17">
        <v>6</v>
      </c>
      <c r="G2579" s="18" t="s">
        <v>23</v>
      </c>
      <c r="H2579" s="17">
        <v>17.66</v>
      </c>
      <c r="I2579" s="11">
        <v>25.2</v>
      </c>
      <c r="J2579" s="21">
        <f t="shared" si="120"/>
        <v>0.42695356738391843</v>
      </c>
      <c r="K2579" s="1">
        <v>2</v>
      </c>
      <c r="L2579" s="24">
        <v>2.5</v>
      </c>
      <c r="M2579" s="24">
        <v>22.68</v>
      </c>
      <c r="N2579" s="21">
        <f t="shared" si="121"/>
        <v>0.28425821064552659</v>
      </c>
      <c r="P2579" s="1">
        <v>4</v>
      </c>
      <c r="Q2579" s="24">
        <v>3.0240000000000009</v>
      </c>
      <c r="R2579" s="24">
        <v>22.175999999999998</v>
      </c>
      <c r="S2579" s="21">
        <f t="shared" si="122"/>
        <v>0.25571913929784812</v>
      </c>
    </row>
    <row r="2580" spans="2:19" ht="11.4" customHeight="1" x14ac:dyDescent="0.2">
      <c r="B2580" s="24"/>
      <c r="C2580" s="10">
        <v>6684</v>
      </c>
      <c r="D2580" s="18" t="s">
        <v>2683</v>
      </c>
      <c r="E2580" s="18" t="s">
        <v>2662</v>
      </c>
      <c r="F2580" s="17">
        <v>6</v>
      </c>
      <c r="G2580" s="18" t="s">
        <v>23</v>
      </c>
      <c r="H2580" s="17">
        <v>17.66</v>
      </c>
      <c r="I2580" s="11">
        <v>25.2</v>
      </c>
      <c r="J2580" s="21">
        <f t="shared" si="120"/>
        <v>0.42695356738391843</v>
      </c>
      <c r="K2580" s="1">
        <v>2</v>
      </c>
      <c r="L2580" s="24">
        <v>2.5</v>
      </c>
      <c r="M2580" s="24">
        <v>22.68</v>
      </c>
      <c r="N2580" s="21">
        <f t="shared" si="121"/>
        <v>0.28425821064552659</v>
      </c>
      <c r="P2580" s="1">
        <v>4</v>
      </c>
      <c r="Q2580" s="24">
        <v>3.0240000000000009</v>
      </c>
      <c r="R2580" s="24">
        <v>22.175999999999998</v>
      </c>
      <c r="S2580" s="21">
        <f t="shared" si="122"/>
        <v>0.25571913929784812</v>
      </c>
    </row>
    <row r="2581" spans="2:19" ht="11.4" customHeight="1" x14ac:dyDescent="0.2">
      <c r="B2581" s="24"/>
      <c r="C2581" s="10">
        <v>45817</v>
      </c>
      <c r="D2581" s="18" t="s">
        <v>2684</v>
      </c>
      <c r="E2581" s="18" t="s">
        <v>2662</v>
      </c>
      <c r="F2581" s="17">
        <v>12</v>
      </c>
      <c r="G2581" s="18" t="s">
        <v>23</v>
      </c>
      <c r="H2581" s="17">
        <v>22.26</v>
      </c>
      <c r="I2581" s="11">
        <v>29.9</v>
      </c>
      <c r="J2581" s="21">
        <f t="shared" si="120"/>
        <v>0.343216531895777</v>
      </c>
      <c r="K2581" s="1">
        <v>2</v>
      </c>
      <c r="L2581" s="24">
        <v>2.9</v>
      </c>
      <c r="M2581" s="24">
        <v>26.91</v>
      </c>
      <c r="N2581" s="21">
        <f t="shared" si="121"/>
        <v>0.20889487870619938</v>
      </c>
      <c r="P2581" s="1">
        <v>4</v>
      </c>
      <c r="Q2581" s="24">
        <v>3.588000000000001</v>
      </c>
      <c r="R2581" s="24">
        <v>26.311999999999998</v>
      </c>
      <c r="S2581" s="21">
        <f t="shared" si="122"/>
        <v>0.18203054806828373</v>
      </c>
    </row>
    <row r="2582" spans="2:19" ht="11.4" customHeight="1" x14ac:dyDescent="0.2">
      <c r="B2582" s="24"/>
      <c r="C2582" s="10">
        <v>1794</v>
      </c>
      <c r="D2582" s="18" t="s">
        <v>2685</v>
      </c>
      <c r="E2582" s="18" t="s">
        <v>2662</v>
      </c>
      <c r="F2582" s="17">
        <v>12</v>
      </c>
      <c r="G2582" s="18" t="s">
        <v>23</v>
      </c>
      <c r="H2582" s="17">
        <v>6.86</v>
      </c>
      <c r="I2582" s="11">
        <v>10.1</v>
      </c>
      <c r="J2582" s="21">
        <f t="shared" si="120"/>
        <v>0.47230320699708445</v>
      </c>
      <c r="K2582" s="1">
        <v>2</v>
      </c>
      <c r="L2582" s="24">
        <v>1</v>
      </c>
      <c r="M2582" s="24">
        <v>9.09</v>
      </c>
      <c r="N2582" s="21">
        <f t="shared" si="121"/>
        <v>0.32507288629737602</v>
      </c>
      <c r="P2582" s="1">
        <v>4</v>
      </c>
      <c r="Q2582" s="24">
        <v>1.2119999999999997</v>
      </c>
      <c r="R2582" s="24">
        <v>8.8879999999999999</v>
      </c>
      <c r="S2582" s="21">
        <f t="shared" si="122"/>
        <v>0.29562682215743435</v>
      </c>
    </row>
    <row r="2583" spans="2:19" ht="11.4" customHeight="1" x14ac:dyDescent="0.2">
      <c r="B2583" s="24"/>
      <c r="C2583" s="10">
        <v>45864</v>
      </c>
      <c r="D2583" s="18" t="s">
        <v>2686</v>
      </c>
      <c r="E2583" s="18" t="s">
        <v>2662</v>
      </c>
      <c r="F2583" s="17">
        <v>6</v>
      </c>
      <c r="G2583" s="18" t="s">
        <v>23</v>
      </c>
      <c r="H2583" s="17">
        <v>39.18</v>
      </c>
      <c r="I2583" s="11">
        <v>49.9</v>
      </c>
      <c r="J2583" s="21">
        <f t="shared" si="120"/>
        <v>0.27360898417559976</v>
      </c>
      <c r="K2583" s="1">
        <v>2</v>
      </c>
      <c r="L2583" s="24">
        <v>4.9000000000000004</v>
      </c>
      <c r="M2583" s="24">
        <v>44.91</v>
      </c>
      <c r="N2583" s="21">
        <f t="shared" si="121"/>
        <v>0.14624808575803974</v>
      </c>
      <c r="P2583" s="1">
        <v>4</v>
      </c>
      <c r="Q2583" s="24">
        <v>5.9879999999999995</v>
      </c>
      <c r="R2583" s="24">
        <v>43.911999999999999</v>
      </c>
      <c r="S2583" s="21">
        <f t="shared" si="122"/>
        <v>0.1207759060745278</v>
      </c>
    </row>
    <row r="2584" spans="2:19" ht="11.4" customHeight="1" x14ac:dyDescent="0.2">
      <c r="B2584" s="24"/>
      <c r="C2584" s="10">
        <v>23355</v>
      </c>
      <c r="D2584" s="18" t="s">
        <v>2687</v>
      </c>
      <c r="E2584" s="18" t="s">
        <v>2662</v>
      </c>
      <c r="F2584" s="17">
        <v>1</v>
      </c>
      <c r="G2584" s="18" t="s">
        <v>23</v>
      </c>
      <c r="H2584" s="17">
        <v>92.25</v>
      </c>
      <c r="I2584" s="11">
        <v>117.4</v>
      </c>
      <c r="J2584" s="21">
        <f t="shared" si="120"/>
        <v>0.27262872628726292</v>
      </c>
      <c r="K2584" s="1">
        <v>2</v>
      </c>
      <c r="L2584" s="24">
        <v>11.7</v>
      </c>
      <c r="M2584" s="24">
        <v>105.66000000000001</v>
      </c>
      <c r="N2584" s="21">
        <f t="shared" si="121"/>
        <v>0.14536585365853671</v>
      </c>
      <c r="P2584" s="1">
        <v>4</v>
      </c>
      <c r="Q2584" s="24">
        <v>14.087999999999994</v>
      </c>
      <c r="R2584" s="24">
        <v>103.31200000000001</v>
      </c>
      <c r="S2584" s="21">
        <f t="shared" si="122"/>
        <v>0.11991327913279146</v>
      </c>
    </row>
    <row r="2585" spans="2:19" ht="11.4" customHeight="1" x14ac:dyDescent="0.2">
      <c r="B2585" s="24"/>
      <c r="C2585" s="10">
        <v>36296</v>
      </c>
      <c r="D2585" s="18" t="s">
        <v>2688</v>
      </c>
      <c r="E2585" s="18" t="s">
        <v>2662</v>
      </c>
      <c r="F2585" s="17">
        <v>6</v>
      </c>
      <c r="G2585" s="18" t="s">
        <v>23</v>
      </c>
      <c r="H2585" s="17">
        <v>18.2</v>
      </c>
      <c r="I2585" s="11">
        <v>20.5</v>
      </c>
      <c r="J2585" s="21">
        <f t="shared" si="120"/>
        <v>0.12637362637362642</v>
      </c>
      <c r="K2585" s="1">
        <v>2</v>
      </c>
      <c r="L2585" s="24">
        <v>2</v>
      </c>
      <c r="M2585" s="24">
        <v>18.45</v>
      </c>
      <c r="N2585" s="21">
        <f t="shared" si="121"/>
        <v>1.3736263736263736E-2</v>
      </c>
      <c r="P2585" s="1">
        <v>4</v>
      </c>
      <c r="Q2585" s="24">
        <v>2.4600000000000009</v>
      </c>
      <c r="R2585" s="24">
        <v>18.04</v>
      </c>
      <c r="S2585" s="21">
        <f t="shared" si="122"/>
        <v>-8.7912087912087999E-3</v>
      </c>
    </row>
    <row r="2586" spans="2:19" ht="11.4" customHeight="1" x14ac:dyDescent="0.2">
      <c r="B2586" s="24"/>
      <c r="C2586" s="10">
        <v>36298</v>
      </c>
      <c r="D2586" s="18" t="s">
        <v>2689</v>
      </c>
      <c r="E2586" s="18" t="s">
        <v>2662</v>
      </c>
      <c r="F2586" s="17">
        <v>6</v>
      </c>
      <c r="G2586" s="18" t="s">
        <v>23</v>
      </c>
      <c r="H2586" s="17">
        <v>18.2</v>
      </c>
      <c r="I2586" s="11">
        <v>20.5</v>
      </c>
      <c r="J2586" s="21">
        <f t="shared" si="120"/>
        <v>0.12637362637362642</v>
      </c>
      <c r="K2586" s="1">
        <v>2</v>
      </c>
      <c r="L2586" s="24">
        <v>2</v>
      </c>
      <c r="M2586" s="24">
        <v>18.45</v>
      </c>
      <c r="N2586" s="21">
        <f t="shared" si="121"/>
        <v>1.3736263736263736E-2</v>
      </c>
      <c r="P2586" s="1">
        <v>4</v>
      </c>
      <c r="Q2586" s="24">
        <v>2.4600000000000009</v>
      </c>
      <c r="R2586" s="24">
        <v>18.04</v>
      </c>
      <c r="S2586" s="21">
        <f t="shared" si="122"/>
        <v>-8.7912087912087999E-3</v>
      </c>
    </row>
    <row r="2587" spans="2:19" ht="11.4" customHeight="1" x14ac:dyDescent="0.2">
      <c r="B2587" s="24"/>
      <c r="C2587" s="10">
        <v>34060</v>
      </c>
      <c r="D2587" s="18" t="s">
        <v>2690</v>
      </c>
      <c r="E2587" s="18" t="s">
        <v>2662</v>
      </c>
      <c r="F2587" s="17">
        <v>12</v>
      </c>
      <c r="G2587" s="18" t="s">
        <v>23</v>
      </c>
      <c r="H2587" s="17">
        <v>30.7</v>
      </c>
      <c r="I2587" s="11">
        <v>36.4</v>
      </c>
      <c r="J2587" s="21">
        <f t="shared" si="120"/>
        <v>0.18566775244299671</v>
      </c>
      <c r="K2587" s="1">
        <v>2</v>
      </c>
      <c r="L2587" s="24">
        <v>3.6</v>
      </c>
      <c r="M2587" s="24">
        <v>32.76</v>
      </c>
      <c r="N2587" s="21">
        <f t="shared" si="121"/>
        <v>6.7100977198697023E-2</v>
      </c>
      <c r="P2587" s="1">
        <v>4</v>
      </c>
      <c r="Q2587" s="24">
        <v>4.3680000000000021</v>
      </c>
      <c r="R2587" s="24">
        <v>32.031999999999996</v>
      </c>
      <c r="S2587" s="21">
        <f t="shared" si="122"/>
        <v>4.3387622149837046E-2</v>
      </c>
    </row>
    <row r="2588" spans="2:19" ht="11.4" customHeight="1" x14ac:dyDescent="0.2">
      <c r="B2588" s="24"/>
      <c r="C2588" s="10">
        <v>34059</v>
      </c>
      <c r="D2588" s="18" t="s">
        <v>2691</v>
      </c>
      <c r="E2588" s="18" t="s">
        <v>2662</v>
      </c>
      <c r="F2588" s="17">
        <v>12</v>
      </c>
      <c r="G2588" s="18" t="s">
        <v>23</v>
      </c>
      <c r="H2588" s="17">
        <v>30.7</v>
      </c>
      <c r="I2588" s="11">
        <v>36.4</v>
      </c>
      <c r="J2588" s="21">
        <f t="shared" si="120"/>
        <v>0.18566775244299671</v>
      </c>
      <c r="K2588" s="1">
        <v>2</v>
      </c>
      <c r="L2588" s="24">
        <v>3.6</v>
      </c>
      <c r="M2588" s="24">
        <v>32.76</v>
      </c>
      <c r="N2588" s="21">
        <f t="shared" si="121"/>
        <v>6.7100977198697023E-2</v>
      </c>
      <c r="P2588" s="1">
        <v>4</v>
      </c>
      <c r="Q2588" s="24">
        <v>4.3680000000000021</v>
      </c>
      <c r="R2588" s="24">
        <v>32.031999999999996</v>
      </c>
      <c r="S2588" s="21">
        <f t="shared" si="122"/>
        <v>4.3387622149837046E-2</v>
      </c>
    </row>
    <row r="2589" spans="2:19" ht="11.4" customHeight="1" x14ac:dyDescent="0.2">
      <c r="B2589" s="24"/>
      <c r="C2589" s="10">
        <v>6455</v>
      </c>
      <c r="D2589" s="18" t="s">
        <v>2692</v>
      </c>
      <c r="E2589" s="18" t="s">
        <v>2662</v>
      </c>
      <c r="F2589" s="18"/>
      <c r="G2589" s="18" t="s">
        <v>23</v>
      </c>
      <c r="H2589" s="17">
        <v>24.5</v>
      </c>
      <c r="I2589" s="11">
        <v>23.9</v>
      </c>
      <c r="J2589" s="21">
        <f t="shared" si="120"/>
        <v>-2.4489795918367405E-2</v>
      </c>
      <c r="K2589" s="1">
        <v>2</v>
      </c>
      <c r="L2589" s="24">
        <v>2.2999999999999998</v>
      </c>
      <c r="M2589" s="24">
        <v>21.509999999999998</v>
      </c>
      <c r="N2589" s="21">
        <f t="shared" si="121"/>
        <v>-0.12204081632653069</v>
      </c>
      <c r="P2589" s="1">
        <v>4</v>
      </c>
      <c r="Q2589" s="24">
        <v>2.8679999999999986</v>
      </c>
      <c r="R2589" s="24">
        <v>21.032</v>
      </c>
      <c r="S2589" s="21">
        <f t="shared" si="122"/>
        <v>-0.14155102040816325</v>
      </c>
    </row>
    <row r="2590" spans="2:19" ht="11.4" customHeight="1" x14ac:dyDescent="0.2">
      <c r="B2590" s="24"/>
      <c r="C2590" s="10">
        <v>6454</v>
      </c>
      <c r="D2590" s="18" t="s">
        <v>2693</v>
      </c>
      <c r="E2590" s="18" t="s">
        <v>2662</v>
      </c>
      <c r="F2590" s="18"/>
      <c r="G2590" s="18" t="s">
        <v>23</v>
      </c>
      <c r="H2590" s="17">
        <v>20.8</v>
      </c>
      <c r="I2590" s="11">
        <v>25.6</v>
      </c>
      <c r="J2590" s="21">
        <f t="shared" si="120"/>
        <v>0.23076923076923078</v>
      </c>
      <c r="K2590" s="1">
        <v>2</v>
      </c>
      <c r="L2590" s="24">
        <v>2.5</v>
      </c>
      <c r="M2590" s="24">
        <v>23.040000000000003</v>
      </c>
      <c r="N2590" s="21">
        <f t="shared" si="121"/>
        <v>0.10769230769230778</v>
      </c>
      <c r="P2590" s="1">
        <v>4</v>
      </c>
      <c r="Q2590" s="24">
        <v>3.0719999999999992</v>
      </c>
      <c r="R2590" s="24">
        <v>22.528000000000002</v>
      </c>
      <c r="S2590" s="21">
        <f t="shared" si="122"/>
        <v>8.3076923076923145E-2</v>
      </c>
    </row>
    <row r="2591" spans="2:19" ht="11.4" customHeight="1" x14ac:dyDescent="0.2">
      <c r="B2591" s="24"/>
      <c r="C2591" s="10">
        <v>44752</v>
      </c>
      <c r="D2591" s="18" t="s">
        <v>2694</v>
      </c>
      <c r="E2591" s="18" t="s">
        <v>2662</v>
      </c>
      <c r="F2591" s="17">
        <v>12</v>
      </c>
      <c r="G2591" s="18" t="s">
        <v>23</v>
      </c>
      <c r="H2591" s="17">
        <v>19.38</v>
      </c>
      <c r="I2591" s="11">
        <v>26.3</v>
      </c>
      <c r="J2591" s="21">
        <f t="shared" si="120"/>
        <v>0.35706914344685253</v>
      </c>
      <c r="K2591" s="1">
        <v>2</v>
      </c>
      <c r="L2591" s="24">
        <v>2.6</v>
      </c>
      <c r="M2591" s="24">
        <v>23.67</v>
      </c>
      <c r="N2591" s="21">
        <f t="shared" si="121"/>
        <v>0.22136222910216732</v>
      </c>
      <c r="P2591" s="1">
        <v>4</v>
      </c>
      <c r="Q2591" s="24">
        <v>3.1559999999999988</v>
      </c>
      <c r="R2591" s="24">
        <v>23.144000000000002</v>
      </c>
      <c r="S2591" s="21">
        <f t="shared" si="122"/>
        <v>0.1942208462332303</v>
      </c>
    </row>
    <row r="2592" spans="2:19" ht="11.4" customHeight="1" x14ac:dyDescent="0.2">
      <c r="B2592" s="24"/>
      <c r="C2592" s="10">
        <v>44753</v>
      </c>
      <c r="D2592" s="18" t="s">
        <v>2695</v>
      </c>
      <c r="E2592" s="18" t="s">
        <v>2662</v>
      </c>
      <c r="F2592" s="17">
        <v>12</v>
      </c>
      <c r="G2592" s="18" t="s">
        <v>23</v>
      </c>
      <c r="H2592" s="17">
        <v>33.46</v>
      </c>
      <c r="I2592" s="11">
        <v>48.5</v>
      </c>
      <c r="J2592" s="21">
        <f t="shared" si="120"/>
        <v>0.44949193066347876</v>
      </c>
      <c r="K2592" s="1">
        <v>2</v>
      </c>
      <c r="L2592" s="24">
        <v>4.8</v>
      </c>
      <c r="M2592" s="24">
        <v>43.65</v>
      </c>
      <c r="N2592" s="21">
        <f t="shared" si="121"/>
        <v>0.30454273759713085</v>
      </c>
      <c r="P2592" s="1">
        <v>4</v>
      </c>
      <c r="Q2592" s="24">
        <v>5.82</v>
      </c>
      <c r="R2592" s="24">
        <v>42.68</v>
      </c>
      <c r="S2592" s="21">
        <f t="shared" si="122"/>
        <v>0.27555289898386126</v>
      </c>
    </row>
    <row r="2593" spans="2:19" ht="11.4" customHeight="1" x14ac:dyDescent="0.2">
      <c r="B2593" s="24"/>
      <c r="C2593" s="10">
        <v>44756</v>
      </c>
      <c r="D2593" s="18" t="s">
        <v>2696</v>
      </c>
      <c r="E2593" s="18" t="s">
        <v>2662</v>
      </c>
      <c r="F2593" s="17">
        <v>6</v>
      </c>
      <c r="G2593" s="18" t="s">
        <v>23</v>
      </c>
      <c r="H2593" s="17">
        <v>30.65</v>
      </c>
      <c r="I2593" s="11">
        <v>44.9</v>
      </c>
      <c r="J2593" s="21">
        <f t="shared" si="120"/>
        <v>0.46492659053833607</v>
      </c>
      <c r="K2593" s="1">
        <v>2</v>
      </c>
      <c r="L2593" s="24">
        <v>4.4000000000000004</v>
      </c>
      <c r="M2593" s="24">
        <v>40.409999999999997</v>
      </c>
      <c r="N2593" s="21">
        <f t="shared" si="121"/>
        <v>0.31843393148450239</v>
      </c>
      <c r="P2593" s="1">
        <v>4</v>
      </c>
      <c r="Q2593" s="24">
        <v>5.3879999999999981</v>
      </c>
      <c r="R2593" s="24">
        <v>39.512</v>
      </c>
      <c r="S2593" s="21">
        <f t="shared" si="122"/>
        <v>0.2891353996737358</v>
      </c>
    </row>
    <row r="2594" spans="2:19" ht="11.4" customHeight="1" x14ac:dyDescent="0.2">
      <c r="B2594" s="24"/>
      <c r="C2594" s="10">
        <v>45059</v>
      </c>
      <c r="D2594" s="18" t="s">
        <v>2697</v>
      </c>
      <c r="E2594" s="18" t="s">
        <v>2662</v>
      </c>
      <c r="F2594" s="17">
        <v>12</v>
      </c>
      <c r="G2594" s="18" t="s">
        <v>23</v>
      </c>
      <c r="H2594" s="17">
        <v>19.38</v>
      </c>
      <c r="I2594" s="11">
        <v>23.9</v>
      </c>
      <c r="J2594" s="21">
        <f t="shared" si="120"/>
        <v>0.23323013415892671</v>
      </c>
      <c r="K2594" s="1">
        <v>2</v>
      </c>
      <c r="L2594" s="24">
        <v>2.2999999999999998</v>
      </c>
      <c r="M2594" s="24">
        <v>21.509999999999998</v>
      </c>
      <c r="N2594" s="21">
        <f t="shared" si="121"/>
        <v>0.10990712074303401</v>
      </c>
      <c r="P2594" s="1">
        <v>4</v>
      </c>
      <c r="Q2594" s="24">
        <v>2.8679999999999986</v>
      </c>
      <c r="R2594" s="24">
        <v>21.032</v>
      </c>
      <c r="S2594" s="21">
        <f t="shared" si="122"/>
        <v>8.5242518059855582E-2</v>
      </c>
    </row>
    <row r="2595" spans="2:19" ht="11.4" customHeight="1" x14ac:dyDescent="0.2">
      <c r="B2595" s="24"/>
      <c r="C2595" s="10">
        <v>40985</v>
      </c>
      <c r="D2595" s="18" t="s">
        <v>2698</v>
      </c>
      <c r="E2595" s="18" t="s">
        <v>2662</v>
      </c>
      <c r="F2595" s="17">
        <v>12</v>
      </c>
      <c r="G2595" s="18" t="s">
        <v>23</v>
      </c>
      <c r="H2595" s="17">
        <v>19.38</v>
      </c>
      <c r="I2595" s="11">
        <v>26.3</v>
      </c>
      <c r="J2595" s="21">
        <f t="shared" si="120"/>
        <v>0.35706914344685253</v>
      </c>
      <c r="K2595" s="1">
        <v>2</v>
      </c>
      <c r="L2595" s="24">
        <v>2.6</v>
      </c>
      <c r="M2595" s="24">
        <v>23.67</v>
      </c>
      <c r="N2595" s="21">
        <f t="shared" si="121"/>
        <v>0.22136222910216732</v>
      </c>
      <c r="P2595" s="1">
        <v>4</v>
      </c>
      <c r="Q2595" s="24">
        <v>3.1559999999999988</v>
      </c>
      <c r="R2595" s="24">
        <v>23.144000000000002</v>
      </c>
      <c r="S2595" s="21">
        <f t="shared" si="122"/>
        <v>0.1942208462332303</v>
      </c>
    </row>
    <row r="2596" spans="2:19" ht="11.4" customHeight="1" x14ac:dyDescent="0.2">
      <c r="B2596" s="24"/>
      <c r="C2596" s="10">
        <v>40986</v>
      </c>
      <c r="D2596" s="18" t="s">
        <v>2699</v>
      </c>
      <c r="E2596" s="18" t="s">
        <v>2662</v>
      </c>
      <c r="F2596" s="17">
        <v>6</v>
      </c>
      <c r="G2596" s="18" t="s">
        <v>23</v>
      </c>
      <c r="H2596" s="17">
        <v>33.46</v>
      </c>
      <c r="I2596" s="11">
        <v>48.5</v>
      </c>
      <c r="J2596" s="21">
        <f t="shared" si="120"/>
        <v>0.44949193066347876</v>
      </c>
      <c r="K2596" s="1">
        <v>2</v>
      </c>
      <c r="L2596" s="24">
        <v>4.8</v>
      </c>
      <c r="M2596" s="24">
        <v>43.65</v>
      </c>
      <c r="N2596" s="21">
        <f t="shared" si="121"/>
        <v>0.30454273759713085</v>
      </c>
      <c r="P2596" s="1">
        <v>4</v>
      </c>
      <c r="Q2596" s="24">
        <v>5.82</v>
      </c>
      <c r="R2596" s="24">
        <v>42.68</v>
      </c>
      <c r="S2596" s="21">
        <f t="shared" si="122"/>
        <v>0.27555289898386126</v>
      </c>
    </row>
    <row r="2597" spans="2:19" ht="11.4" customHeight="1" x14ac:dyDescent="0.2">
      <c r="B2597" s="24"/>
      <c r="C2597" s="10">
        <v>13364</v>
      </c>
      <c r="D2597" s="18" t="s">
        <v>2700</v>
      </c>
      <c r="E2597" s="18" t="s">
        <v>2654</v>
      </c>
      <c r="F2597" s="17">
        <v>9</v>
      </c>
      <c r="G2597" s="18" t="s">
        <v>23</v>
      </c>
      <c r="H2597" s="17">
        <v>17.899999999999999</v>
      </c>
      <c r="I2597" s="11">
        <v>20.9</v>
      </c>
      <c r="J2597" s="21">
        <f t="shared" si="120"/>
        <v>0.16759776536312851</v>
      </c>
      <c r="K2597" s="1">
        <v>2</v>
      </c>
      <c r="L2597" s="24">
        <v>2</v>
      </c>
      <c r="M2597" s="24">
        <v>18.809999999999999</v>
      </c>
      <c r="N2597" s="21">
        <f t="shared" si="121"/>
        <v>5.0837988826815651E-2</v>
      </c>
      <c r="P2597" s="1">
        <v>4</v>
      </c>
      <c r="Q2597" s="24">
        <v>2.5079999999999991</v>
      </c>
      <c r="R2597" s="24">
        <v>18.391999999999999</v>
      </c>
      <c r="S2597" s="21">
        <f t="shared" si="122"/>
        <v>2.7486033519553123E-2</v>
      </c>
    </row>
    <row r="2598" spans="2:19" ht="11.4" customHeight="1" x14ac:dyDescent="0.2">
      <c r="B2598" s="24"/>
      <c r="C2598" s="10">
        <v>5404</v>
      </c>
      <c r="D2598" s="18" t="s">
        <v>2701</v>
      </c>
      <c r="E2598" s="18" t="s">
        <v>2662</v>
      </c>
      <c r="F2598" s="17">
        <v>6</v>
      </c>
      <c r="G2598" s="18" t="s">
        <v>23</v>
      </c>
      <c r="H2598" s="17">
        <v>45.45</v>
      </c>
      <c r="I2598" s="11">
        <v>55.4</v>
      </c>
      <c r="J2598" s="21">
        <f t="shared" si="120"/>
        <v>0.21892189218921881</v>
      </c>
      <c r="K2598" s="1">
        <v>2</v>
      </c>
      <c r="L2598" s="24">
        <v>5.5</v>
      </c>
      <c r="M2598" s="24">
        <v>49.86</v>
      </c>
      <c r="N2598" s="21">
        <f t="shared" si="121"/>
        <v>9.7029702970296949E-2</v>
      </c>
      <c r="P2598" s="1">
        <v>4</v>
      </c>
      <c r="Q2598" s="24">
        <v>6.6479999999999961</v>
      </c>
      <c r="R2598" s="24">
        <v>48.752000000000002</v>
      </c>
      <c r="S2598" s="21">
        <f t="shared" si="122"/>
        <v>7.265126512651264E-2</v>
      </c>
    </row>
    <row r="2599" spans="2:19" ht="11.4" customHeight="1" x14ac:dyDescent="0.2">
      <c r="B2599" s="24"/>
      <c r="C2599" s="10">
        <v>25423</v>
      </c>
      <c r="D2599" s="18" t="s">
        <v>2702</v>
      </c>
      <c r="E2599" s="18" t="s">
        <v>2662</v>
      </c>
      <c r="F2599" s="17">
        <v>24</v>
      </c>
      <c r="G2599" s="18" t="s">
        <v>23</v>
      </c>
      <c r="H2599" s="17">
        <v>25.98</v>
      </c>
      <c r="I2599" s="11">
        <v>37.9</v>
      </c>
      <c r="J2599" s="21">
        <f t="shared" si="120"/>
        <v>0.4588144726712855</v>
      </c>
      <c r="K2599" s="1">
        <v>2</v>
      </c>
      <c r="L2599" s="24">
        <v>3.7</v>
      </c>
      <c r="M2599" s="24">
        <v>34.11</v>
      </c>
      <c r="N2599" s="21">
        <f t="shared" si="121"/>
        <v>0.31293302540415702</v>
      </c>
      <c r="P2599" s="1">
        <v>4</v>
      </c>
      <c r="Q2599" s="24">
        <v>4.5480000000000018</v>
      </c>
      <c r="R2599" s="24">
        <v>33.351999999999997</v>
      </c>
      <c r="S2599" s="21">
        <f t="shared" si="122"/>
        <v>0.2837567359507312</v>
      </c>
    </row>
    <row r="2600" spans="2:19" ht="11.4" customHeight="1" x14ac:dyDescent="0.2">
      <c r="B2600" s="24"/>
      <c r="C2600" s="10">
        <v>25426</v>
      </c>
      <c r="D2600" s="18" t="s">
        <v>2703</v>
      </c>
      <c r="E2600" s="18" t="s">
        <v>2662</v>
      </c>
      <c r="F2600" s="17">
        <v>24</v>
      </c>
      <c r="G2600" s="18" t="s">
        <v>23</v>
      </c>
      <c r="H2600" s="17">
        <v>25.98</v>
      </c>
      <c r="I2600" s="11">
        <v>37.9</v>
      </c>
      <c r="J2600" s="21">
        <f t="shared" si="120"/>
        <v>0.4588144726712855</v>
      </c>
      <c r="K2600" s="1">
        <v>2</v>
      </c>
      <c r="L2600" s="24">
        <v>3.7</v>
      </c>
      <c r="M2600" s="24">
        <v>34.11</v>
      </c>
      <c r="N2600" s="21">
        <f t="shared" si="121"/>
        <v>0.31293302540415702</v>
      </c>
      <c r="P2600" s="1">
        <v>4</v>
      </c>
      <c r="Q2600" s="24">
        <v>4.5480000000000018</v>
      </c>
      <c r="R2600" s="24">
        <v>33.351999999999997</v>
      </c>
      <c r="S2600" s="21">
        <f t="shared" si="122"/>
        <v>0.2837567359507312</v>
      </c>
    </row>
    <row r="2601" spans="2:19" ht="11.4" customHeight="1" x14ac:dyDescent="0.2">
      <c r="B2601" s="24"/>
      <c r="C2601" s="10">
        <v>25422</v>
      </c>
      <c r="D2601" s="18" t="s">
        <v>2704</v>
      </c>
      <c r="E2601" s="18" t="s">
        <v>2662</v>
      </c>
      <c r="F2601" s="17">
        <v>24</v>
      </c>
      <c r="G2601" s="18" t="s">
        <v>23</v>
      </c>
      <c r="H2601" s="17">
        <v>25.98</v>
      </c>
      <c r="I2601" s="11">
        <v>37.9</v>
      </c>
      <c r="J2601" s="21">
        <f t="shared" si="120"/>
        <v>0.4588144726712855</v>
      </c>
      <c r="K2601" s="1">
        <v>2</v>
      </c>
      <c r="L2601" s="24">
        <v>3.7</v>
      </c>
      <c r="M2601" s="24">
        <v>34.11</v>
      </c>
      <c r="N2601" s="21">
        <f t="shared" si="121"/>
        <v>0.31293302540415702</v>
      </c>
      <c r="P2601" s="1">
        <v>4</v>
      </c>
      <c r="Q2601" s="24">
        <v>4.5480000000000018</v>
      </c>
      <c r="R2601" s="24">
        <v>33.351999999999997</v>
      </c>
      <c r="S2601" s="21">
        <f t="shared" si="122"/>
        <v>0.2837567359507312</v>
      </c>
    </row>
    <row r="2602" spans="2:19" ht="11.4" customHeight="1" x14ac:dyDescent="0.2">
      <c r="B2602" s="24"/>
      <c r="C2602" s="10">
        <v>25420</v>
      </c>
      <c r="D2602" s="18" t="s">
        <v>2705</v>
      </c>
      <c r="E2602" s="18" t="s">
        <v>2662</v>
      </c>
      <c r="F2602" s="17">
        <v>12</v>
      </c>
      <c r="G2602" s="18" t="s">
        <v>23</v>
      </c>
      <c r="H2602" s="17">
        <v>99.9</v>
      </c>
      <c r="I2602" s="11">
        <v>114.5</v>
      </c>
      <c r="J2602" s="21">
        <f t="shared" si="120"/>
        <v>0.14614614614614607</v>
      </c>
      <c r="K2602" s="1">
        <v>2</v>
      </c>
      <c r="L2602" s="24">
        <v>11.4</v>
      </c>
      <c r="M2602" s="24">
        <v>103.05</v>
      </c>
      <c r="N2602" s="21">
        <f t="shared" si="121"/>
        <v>3.1531531531531445E-2</v>
      </c>
      <c r="P2602" s="1">
        <v>4</v>
      </c>
      <c r="Q2602" s="24">
        <v>13.739999999999995</v>
      </c>
      <c r="R2602" s="24">
        <v>100.76</v>
      </c>
      <c r="S2602" s="21">
        <f t="shared" si="122"/>
        <v>8.608608608608603E-3</v>
      </c>
    </row>
    <row r="2603" spans="2:19" ht="11.4" customHeight="1" x14ac:dyDescent="0.2">
      <c r="B2603" s="24"/>
      <c r="C2603" s="10">
        <v>41079</v>
      </c>
      <c r="D2603" s="18" t="s">
        <v>2706</v>
      </c>
      <c r="E2603" s="18" t="s">
        <v>2662</v>
      </c>
      <c r="F2603" s="17">
        <v>6</v>
      </c>
      <c r="G2603" s="18" t="s">
        <v>23</v>
      </c>
      <c r="H2603" s="17">
        <v>15.66</v>
      </c>
      <c r="I2603" s="11">
        <v>18.3</v>
      </c>
      <c r="J2603" s="21">
        <f t="shared" si="120"/>
        <v>0.16858237547892724</v>
      </c>
      <c r="K2603" s="1">
        <v>2</v>
      </c>
      <c r="L2603" s="24">
        <v>1.8</v>
      </c>
      <c r="M2603" s="24">
        <v>16.470000000000002</v>
      </c>
      <c r="N2603" s="21">
        <f t="shared" si="121"/>
        <v>5.1724137931034628E-2</v>
      </c>
      <c r="P2603" s="1">
        <v>4</v>
      </c>
      <c r="Q2603" s="24">
        <v>2.1960000000000015</v>
      </c>
      <c r="R2603" s="24">
        <v>16.103999999999999</v>
      </c>
      <c r="S2603" s="21">
        <f t="shared" si="122"/>
        <v>2.8352490421455878E-2</v>
      </c>
    </row>
    <row r="2604" spans="2:19" ht="11.4" customHeight="1" x14ac:dyDescent="0.2">
      <c r="B2604" s="24"/>
      <c r="C2604" s="10">
        <v>25421</v>
      </c>
      <c r="D2604" s="18" t="s">
        <v>2707</v>
      </c>
      <c r="E2604" s="18" t="s">
        <v>2662</v>
      </c>
      <c r="F2604" s="17">
        <v>12</v>
      </c>
      <c r="G2604" s="18" t="s">
        <v>23</v>
      </c>
      <c r="H2604" s="17">
        <v>99.9</v>
      </c>
      <c r="I2604" s="11">
        <v>114.5</v>
      </c>
      <c r="J2604" s="21">
        <f t="shared" si="120"/>
        <v>0.14614614614614607</v>
      </c>
      <c r="K2604" s="1">
        <v>2</v>
      </c>
      <c r="L2604" s="24">
        <v>11.4</v>
      </c>
      <c r="M2604" s="24">
        <v>103.05</v>
      </c>
      <c r="N2604" s="21">
        <f t="shared" si="121"/>
        <v>3.1531531531531445E-2</v>
      </c>
      <c r="P2604" s="1">
        <v>4</v>
      </c>
      <c r="Q2604" s="24">
        <v>13.739999999999995</v>
      </c>
      <c r="R2604" s="24">
        <v>100.76</v>
      </c>
      <c r="S2604" s="21">
        <f t="shared" si="122"/>
        <v>8.608608608608603E-3</v>
      </c>
    </row>
    <row r="2605" spans="2:19" ht="11.4" customHeight="1" x14ac:dyDescent="0.2">
      <c r="B2605" s="24"/>
      <c r="C2605" s="10">
        <v>40813</v>
      </c>
      <c r="D2605" s="18" t="s">
        <v>2708</v>
      </c>
      <c r="E2605" s="18" t="s">
        <v>2662</v>
      </c>
      <c r="F2605" s="17">
        <v>24</v>
      </c>
      <c r="G2605" s="18" t="s">
        <v>23</v>
      </c>
      <c r="H2605" s="17">
        <v>18.940000000000001</v>
      </c>
      <c r="I2605" s="11">
        <v>25.5</v>
      </c>
      <c r="J2605" s="21">
        <f t="shared" si="120"/>
        <v>0.3463569165786694</v>
      </c>
      <c r="K2605" s="1">
        <v>2</v>
      </c>
      <c r="L2605" s="24">
        <v>2.5</v>
      </c>
      <c r="M2605" s="24">
        <v>22.95</v>
      </c>
      <c r="N2605" s="21">
        <f t="shared" si="121"/>
        <v>0.21172122492080242</v>
      </c>
      <c r="P2605" s="1">
        <v>4</v>
      </c>
      <c r="Q2605" s="24">
        <v>3.0599999999999987</v>
      </c>
      <c r="R2605" s="24">
        <v>22.44</v>
      </c>
      <c r="S2605" s="21">
        <f t="shared" si="122"/>
        <v>0.18479408658922913</v>
      </c>
    </row>
    <row r="2606" spans="2:19" ht="11.4" customHeight="1" x14ac:dyDescent="0.2">
      <c r="B2606" s="24"/>
      <c r="C2606" s="10">
        <v>39562</v>
      </c>
      <c r="D2606" s="18" t="s">
        <v>2709</v>
      </c>
      <c r="E2606" s="18" t="s">
        <v>2662</v>
      </c>
      <c r="F2606" s="17">
        <v>24</v>
      </c>
      <c r="G2606" s="18" t="s">
        <v>23</v>
      </c>
      <c r="H2606" s="17">
        <v>68.599999999999994</v>
      </c>
      <c r="I2606" s="11">
        <v>83.9</v>
      </c>
      <c r="J2606" s="21">
        <f t="shared" si="120"/>
        <v>0.22303206997084565</v>
      </c>
      <c r="K2606" s="1">
        <v>2</v>
      </c>
      <c r="L2606" s="24">
        <v>8.3000000000000007</v>
      </c>
      <c r="M2606" s="24">
        <v>75.510000000000005</v>
      </c>
      <c r="N2606" s="21">
        <f t="shared" si="121"/>
        <v>0.1007288629737611</v>
      </c>
      <c r="P2606" s="1">
        <v>4</v>
      </c>
      <c r="Q2606" s="24">
        <v>10.067999999999998</v>
      </c>
      <c r="R2606" s="24">
        <v>73.832000000000008</v>
      </c>
      <c r="S2606" s="21">
        <f t="shared" si="122"/>
        <v>7.6268221574344222E-2</v>
      </c>
    </row>
    <row r="2607" spans="2:19" ht="11.4" customHeight="1" x14ac:dyDescent="0.2">
      <c r="B2607" s="24"/>
      <c r="C2607" s="10">
        <v>41080</v>
      </c>
      <c r="D2607" s="18" t="s">
        <v>2710</v>
      </c>
      <c r="E2607" s="18" t="s">
        <v>2662</v>
      </c>
      <c r="F2607" s="17">
        <v>6</v>
      </c>
      <c r="G2607" s="18" t="s">
        <v>23</v>
      </c>
      <c r="H2607" s="17">
        <v>15.66</v>
      </c>
      <c r="I2607" s="11">
        <v>18.3</v>
      </c>
      <c r="J2607" s="21">
        <f t="shared" si="120"/>
        <v>0.16858237547892724</v>
      </c>
      <c r="K2607" s="1">
        <v>2</v>
      </c>
      <c r="L2607" s="24">
        <v>1.8</v>
      </c>
      <c r="M2607" s="24">
        <v>16.470000000000002</v>
      </c>
      <c r="N2607" s="21">
        <f t="shared" si="121"/>
        <v>5.1724137931034628E-2</v>
      </c>
      <c r="P2607" s="1">
        <v>4</v>
      </c>
      <c r="Q2607" s="24">
        <v>2.1960000000000015</v>
      </c>
      <c r="R2607" s="24">
        <v>16.103999999999999</v>
      </c>
      <c r="S2607" s="21">
        <f t="shared" si="122"/>
        <v>2.8352490421455878E-2</v>
      </c>
    </row>
    <row r="2608" spans="2:19" ht="11.4" customHeight="1" x14ac:dyDescent="0.2">
      <c r="B2608" s="24"/>
      <c r="C2608" s="10">
        <v>1780</v>
      </c>
      <c r="D2608" s="18" t="s">
        <v>2711</v>
      </c>
      <c r="E2608" s="18" t="s">
        <v>2662</v>
      </c>
      <c r="F2608" s="17">
        <v>12</v>
      </c>
      <c r="G2608" s="18" t="s">
        <v>23</v>
      </c>
      <c r="H2608" s="17">
        <v>31.7</v>
      </c>
      <c r="I2608" s="11">
        <v>36.9</v>
      </c>
      <c r="J2608" s="21">
        <f t="shared" si="120"/>
        <v>0.16403785488958988</v>
      </c>
      <c r="K2608" s="1">
        <v>2</v>
      </c>
      <c r="L2608" s="24">
        <v>3.6</v>
      </c>
      <c r="M2608" s="24">
        <v>33.21</v>
      </c>
      <c r="N2608" s="21">
        <f t="shared" si="121"/>
        <v>4.7634069400630967E-2</v>
      </c>
      <c r="P2608" s="1">
        <v>4</v>
      </c>
      <c r="Q2608" s="24">
        <v>4.4279999999999973</v>
      </c>
      <c r="R2608" s="24">
        <v>32.472000000000001</v>
      </c>
      <c r="S2608" s="21">
        <f t="shared" si="122"/>
        <v>2.4353312302839179E-2</v>
      </c>
    </row>
    <row r="2609" spans="2:19" ht="11.4" customHeight="1" x14ac:dyDescent="0.2">
      <c r="B2609" s="24"/>
      <c r="C2609" s="10">
        <v>1781</v>
      </c>
      <c r="D2609" s="18" t="s">
        <v>2712</v>
      </c>
      <c r="E2609" s="18" t="s">
        <v>2662</v>
      </c>
      <c r="F2609" s="17">
        <v>6</v>
      </c>
      <c r="G2609" s="18" t="s">
        <v>23</v>
      </c>
      <c r="H2609" s="17">
        <v>48.1</v>
      </c>
      <c r="I2609" s="11">
        <v>55.4</v>
      </c>
      <c r="J2609" s="21">
        <f t="shared" si="120"/>
        <v>0.15176715176715169</v>
      </c>
      <c r="K2609" s="1">
        <v>2</v>
      </c>
      <c r="L2609" s="24">
        <v>5.5</v>
      </c>
      <c r="M2609" s="24">
        <v>49.86</v>
      </c>
      <c r="N2609" s="21">
        <f t="shared" si="121"/>
        <v>3.6590436590436551E-2</v>
      </c>
      <c r="P2609" s="1">
        <v>4</v>
      </c>
      <c r="Q2609" s="24">
        <v>6.6479999999999961</v>
      </c>
      <c r="R2609" s="24">
        <v>48.752000000000002</v>
      </c>
      <c r="S2609" s="21">
        <f t="shared" si="122"/>
        <v>1.3555093555093576E-2</v>
      </c>
    </row>
    <row r="2610" spans="2:19" ht="11.4" customHeight="1" x14ac:dyDescent="0.2">
      <c r="B2610" s="24"/>
      <c r="C2610" s="10">
        <v>1779</v>
      </c>
      <c r="D2610" s="18" t="s">
        <v>2713</v>
      </c>
      <c r="E2610" s="18" t="s">
        <v>2662</v>
      </c>
      <c r="F2610" s="17">
        <v>12</v>
      </c>
      <c r="G2610" s="18" t="s">
        <v>23</v>
      </c>
      <c r="H2610" s="17">
        <v>21.5</v>
      </c>
      <c r="I2610" s="11">
        <v>23.9</v>
      </c>
      <c r="J2610" s="21">
        <f t="shared" si="120"/>
        <v>0.11162790697674412</v>
      </c>
      <c r="K2610" s="1">
        <v>2</v>
      </c>
      <c r="L2610" s="24">
        <v>2.2999999999999998</v>
      </c>
      <c r="M2610" s="24">
        <v>21.509999999999998</v>
      </c>
      <c r="N2610" s="21">
        <f t="shared" si="121"/>
        <v>4.6511627906967493E-4</v>
      </c>
      <c r="P2610" s="1">
        <v>4</v>
      </c>
      <c r="Q2610" s="24">
        <v>2.8679999999999986</v>
      </c>
      <c r="R2610" s="24">
        <v>21.032</v>
      </c>
      <c r="S2610" s="21">
        <f t="shared" si="122"/>
        <v>-2.1767441860465114E-2</v>
      </c>
    </row>
    <row r="2611" spans="2:19" ht="11.4" customHeight="1" x14ac:dyDescent="0.2">
      <c r="B2611" s="24"/>
      <c r="C2611" s="10">
        <v>43835</v>
      </c>
      <c r="D2611" s="18" t="s">
        <v>2714</v>
      </c>
      <c r="E2611" s="18" t="s">
        <v>2662</v>
      </c>
      <c r="F2611" s="17">
        <v>24</v>
      </c>
      <c r="G2611" s="18" t="s">
        <v>23</v>
      </c>
      <c r="H2611" s="17">
        <v>18.940000000000001</v>
      </c>
      <c r="I2611" s="11">
        <v>23.9</v>
      </c>
      <c r="J2611" s="21">
        <f t="shared" si="120"/>
        <v>0.26187961985216457</v>
      </c>
      <c r="K2611" s="1">
        <v>2</v>
      </c>
      <c r="L2611" s="24">
        <v>2.2999999999999998</v>
      </c>
      <c r="M2611" s="24">
        <v>21.509999999999998</v>
      </c>
      <c r="N2611" s="21">
        <f t="shared" si="121"/>
        <v>0.13569165786694806</v>
      </c>
      <c r="P2611" s="1">
        <v>4</v>
      </c>
      <c r="Q2611" s="24">
        <v>2.8679999999999986</v>
      </c>
      <c r="R2611" s="24">
        <v>21.032</v>
      </c>
      <c r="S2611" s="21">
        <f t="shared" si="122"/>
        <v>0.11045406546990488</v>
      </c>
    </row>
    <row r="2612" spans="2:19" ht="11.4" customHeight="1" x14ac:dyDescent="0.2">
      <c r="B2612" s="24"/>
      <c r="C2612" s="10">
        <v>167</v>
      </c>
      <c r="D2612" s="18" t="s">
        <v>2715</v>
      </c>
      <c r="E2612" s="18" t="s">
        <v>2662</v>
      </c>
      <c r="F2612" s="17">
        <v>24</v>
      </c>
      <c r="G2612" s="18" t="s">
        <v>23</v>
      </c>
      <c r="H2612" s="17">
        <v>25.9</v>
      </c>
      <c r="I2612" s="11">
        <v>30.4</v>
      </c>
      <c r="J2612" s="21">
        <f t="shared" si="120"/>
        <v>0.17374517374517376</v>
      </c>
      <c r="K2612" s="1">
        <v>2</v>
      </c>
      <c r="L2612" s="24">
        <v>3</v>
      </c>
      <c r="M2612" s="24">
        <v>27.36</v>
      </c>
      <c r="N2612" s="21">
        <f t="shared" si="121"/>
        <v>5.6370656370656406E-2</v>
      </c>
      <c r="P2612" s="1">
        <v>4</v>
      </c>
      <c r="Q2612" s="24">
        <v>3.6479999999999997</v>
      </c>
      <c r="R2612" s="24">
        <v>26.751999999999999</v>
      </c>
      <c r="S2612" s="21">
        <f t="shared" si="122"/>
        <v>3.289575289575291E-2</v>
      </c>
    </row>
    <row r="2613" spans="2:19" ht="11.4" customHeight="1" x14ac:dyDescent="0.2">
      <c r="B2613" s="24"/>
      <c r="C2613" s="10">
        <v>6496</v>
      </c>
      <c r="D2613" s="18" t="s">
        <v>2716</v>
      </c>
      <c r="E2613" s="18" t="s">
        <v>2662</v>
      </c>
      <c r="F2613" s="17">
        <v>6</v>
      </c>
      <c r="G2613" s="18" t="s">
        <v>23</v>
      </c>
      <c r="H2613" s="17">
        <v>48.1</v>
      </c>
      <c r="I2613" s="11">
        <v>55.4</v>
      </c>
      <c r="J2613" s="21">
        <f t="shared" si="120"/>
        <v>0.15176715176715169</v>
      </c>
      <c r="K2613" s="1">
        <v>2</v>
      </c>
      <c r="L2613" s="24">
        <v>5.5</v>
      </c>
      <c r="M2613" s="24">
        <v>49.86</v>
      </c>
      <c r="N2613" s="21">
        <f t="shared" si="121"/>
        <v>3.6590436590436551E-2</v>
      </c>
      <c r="P2613" s="1">
        <v>4</v>
      </c>
      <c r="Q2613" s="24">
        <v>6.6479999999999961</v>
      </c>
      <c r="R2613" s="24">
        <v>48.752000000000002</v>
      </c>
      <c r="S2613" s="21">
        <f t="shared" si="122"/>
        <v>1.3555093555093576E-2</v>
      </c>
    </row>
    <row r="2614" spans="2:19" ht="11.4" customHeight="1" x14ac:dyDescent="0.2">
      <c r="B2614" s="24"/>
      <c r="C2614" s="10">
        <v>25424</v>
      </c>
      <c r="D2614" s="18" t="s">
        <v>2717</v>
      </c>
      <c r="E2614" s="18" t="s">
        <v>2662</v>
      </c>
      <c r="F2614" s="17">
        <v>20</v>
      </c>
      <c r="G2614" s="18" t="s">
        <v>23</v>
      </c>
      <c r="H2614" s="17">
        <v>56.3</v>
      </c>
      <c r="I2614" s="11">
        <v>55.1</v>
      </c>
      <c r="J2614" s="21">
        <f t="shared" si="120"/>
        <v>-2.1314387211367598E-2</v>
      </c>
      <c r="K2614" s="1">
        <v>2</v>
      </c>
      <c r="L2614" s="24">
        <v>5.5</v>
      </c>
      <c r="M2614" s="24">
        <v>49.59</v>
      </c>
      <c r="N2614" s="21">
        <f t="shared" si="121"/>
        <v>-0.1191829484902308</v>
      </c>
      <c r="P2614" s="1">
        <v>4</v>
      </c>
      <c r="Q2614" s="24">
        <v>6.6120000000000019</v>
      </c>
      <c r="R2614" s="24">
        <v>48.488</v>
      </c>
      <c r="S2614" s="21">
        <f t="shared" si="122"/>
        <v>-0.13875666074600351</v>
      </c>
    </row>
    <row r="2615" spans="2:19" ht="11.4" customHeight="1" x14ac:dyDescent="0.2">
      <c r="B2615" s="24"/>
      <c r="C2615" s="10">
        <v>39563</v>
      </c>
      <c r="D2615" s="18" t="s">
        <v>2718</v>
      </c>
      <c r="E2615" s="18" t="s">
        <v>2662</v>
      </c>
      <c r="F2615" s="17">
        <v>24</v>
      </c>
      <c r="G2615" s="18" t="s">
        <v>23</v>
      </c>
      <c r="H2615" s="17">
        <v>88.3</v>
      </c>
      <c r="I2615" s="11">
        <v>107.9</v>
      </c>
      <c r="J2615" s="21">
        <f t="shared" si="120"/>
        <v>0.22197055492638743</v>
      </c>
      <c r="K2615" s="1">
        <v>2</v>
      </c>
      <c r="L2615" s="24">
        <v>10.7</v>
      </c>
      <c r="M2615" s="24">
        <v>97.110000000000014</v>
      </c>
      <c r="N2615" s="21">
        <f t="shared" si="121"/>
        <v>9.9773499433748775E-2</v>
      </c>
      <c r="P2615" s="1">
        <v>4</v>
      </c>
      <c r="Q2615" s="24">
        <v>12.947999999999993</v>
      </c>
      <c r="R2615" s="24">
        <v>94.952000000000012</v>
      </c>
      <c r="S2615" s="21">
        <f t="shared" si="122"/>
        <v>7.5334088335221011E-2</v>
      </c>
    </row>
    <row r="2616" spans="2:19" ht="11.4" customHeight="1" x14ac:dyDescent="0.2">
      <c r="B2616" s="24"/>
      <c r="C2616" s="10">
        <v>37745</v>
      </c>
      <c r="D2616" s="18" t="s">
        <v>2719</v>
      </c>
      <c r="E2616" s="18" t="s">
        <v>2662</v>
      </c>
      <c r="F2616" s="18"/>
      <c r="G2616" s="18" t="s">
        <v>23</v>
      </c>
      <c r="H2616" s="17">
        <v>54.5</v>
      </c>
      <c r="I2616" s="11">
        <v>61.5</v>
      </c>
      <c r="J2616" s="21">
        <f t="shared" si="120"/>
        <v>0.12844036697247707</v>
      </c>
      <c r="K2616" s="1">
        <v>2</v>
      </c>
      <c r="L2616" s="24">
        <v>6.1</v>
      </c>
      <c r="M2616" s="24">
        <v>55.35</v>
      </c>
      <c r="N2616" s="21">
        <f t="shared" si="121"/>
        <v>1.5596330275229385E-2</v>
      </c>
      <c r="P2616" s="1">
        <v>4</v>
      </c>
      <c r="Q2616" s="24">
        <v>7.3800000000000026</v>
      </c>
      <c r="R2616" s="24">
        <v>54.12</v>
      </c>
      <c r="S2616" s="21">
        <f t="shared" si="122"/>
        <v>-6.9724770642202302E-3</v>
      </c>
    </row>
    <row r="2617" spans="2:19" ht="11.4" customHeight="1" x14ac:dyDescent="0.2">
      <c r="B2617" s="24"/>
      <c r="C2617" s="10">
        <v>44762</v>
      </c>
      <c r="D2617" s="18" t="s">
        <v>2720</v>
      </c>
      <c r="E2617" s="18" t="s">
        <v>2662</v>
      </c>
      <c r="F2617" s="17">
        <v>24</v>
      </c>
      <c r="G2617" s="18" t="s">
        <v>23</v>
      </c>
      <c r="H2617" s="17">
        <v>44</v>
      </c>
      <c r="I2617" s="11">
        <v>69.900000000000006</v>
      </c>
      <c r="J2617" s="21">
        <f t="shared" si="120"/>
        <v>0.58863636363636374</v>
      </c>
      <c r="K2617" s="1">
        <v>2</v>
      </c>
      <c r="L2617" s="24">
        <v>6.9</v>
      </c>
      <c r="M2617" s="24">
        <v>62.910000000000004</v>
      </c>
      <c r="N2617" s="21">
        <f t="shared" si="121"/>
        <v>0.42977272727272736</v>
      </c>
      <c r="P2617" s="1">
        <v>4</v>
      </c>
      <c r="Q2617" s="24">
        <v>8.3879999999999981</v>
      </c>
      <c r="R2617" s="24">
        <v>61.512000000000008</v>
      </c>
      <c r="S2617" s="21">
        <f t="shared" si="122"/>
        <v>0.39800000000000019</v>
      </c>
    </row>
    <row r="2618" spans="2:19" ht="11.4" customHeight="1" x14ac:dyDescent="0.2">
      <c r="B2618" s="24"/>
      <c r="C2618" s="10">
        <v>44757</v>
      </c>
      <c r="D2618" s="18" t="s">
        <v>2721</v>
      </c>
      <c r="E2618" s="18" t="s">
        <v>2662</v>
      </c>
      <c r="F2618" s="17">
        <v>24</v>
      </c>
      <c r="G2618" s="18" t="s">
        <v>23</v>
      </c>
      <c r="H2618" s="17">
        <v>44</v>
      </c>
      <c r="I2618" s="11">
        <v>69.900000000000006</v>
      </c>
      <c r="J2618" s="21">
        <f t="shared" si="120"/>
        <v>0.58863636363636374</v>
      </c>
      <c r="K2618" s="1">
        <v>2</v>
      </c>
      <c r="L2618" s="24">
        <v>6.9</v>
      </c>
      <c r="M2618" s="24">
        <v>62.910000000000004</v>
      </c>
      <c r="N2618" s="21">
        <f t="shared" si="121"/>
        <v>0.42977272727272736</v>
      </c>
      <c r="P2618" s="1">
        <v>4</v>
      </c>
      <c r="Q2618" s="24">
        <v>8.3879999999999981</v>
      </c>
      <c r="R2618" s="24">
        <v>61.512000000000008</v>
      </c>
      <c r="S2618" s="21">
        <f t="shared" si="122"/>
        <v>0.39800000000000019</v>
      </c>
    </row>
    <row r="2619" spans="2:19" ht="11.4" customHeight="1" x14ac:dyDescent="0.2">
      <c r="B2619" s="24"/>
      <c r="C2619" s="10">
        <v>44764</v>
      </c>
      <c r="D2619" s="18" t="s">
        <v>2722</v>
      </c>
      <c r="E2619" s="18" t="s">
        <v>2662</v>
      </c>
      <c r="F2619" s="17">
        <v>24</v>
      </c>
      <c r="G2619" s="18" t="s">
        <v>23</v>
      </c>
      <c r="H2619" s="17">
        <v>44</v>
      </c>
      <c r="I2619" s="11">
        <v>69.900000000000006</v>
      </c>
      <c r="J2619" s="21">
        <f t="shared" si="120"/>
        <v>0.58863636363636374</v>
      </c>
      <c r="K2619" s="1">
        <v>2</v>
      </c>
      <c r="L2619" s="24">
        <v>6.9</v>
      </c>
      <c r="M2619" s="24">
        <v>62.910000000000004</v>
      </c>
      <c r="N2619" s="21">
        <f t="shared" si="121"/>
        <v>0.42977272727272736</v>
      </c>
      <c r="P2619" s="1">
        <v>4</v>
      </c>
      <c r="Q2619" s="24">
        <v>8.3879999999999981</v>
      </c>
      <c r="R2619" s="24">
        <v>61.512000000000008</v>
      </c>
      <c r="S2619" s="21">
        <f t="shared" si="122"/>
        <v>0.39800000000000019</v>
      </c>
    </row>
    <row r="2620" spans="2:19" ht="11.4" customHeight="1" x14ac:dyDescent="0.2">
      <c r="B2620" s="24"/>
      <c r="C2620" s="10">
        <v>44761</v>
      </c>
      <c r="D2620" s="18" t="s">
        <v>2723</v>
      </c>
      <c r="E2620" s="18" t="s">
        <v>2662</v>
      </c>
      <c r="F2620" s="17">
        <v>24</v>
      </c>
      <c r="G2620" s="18" t="s">
        <v>23</v>
      </c>
      <c r="H2620" s="17">
        <v>44</v>
      </c>
      <c r="I2620" s="11">
        <v>69.900000000000006</v>
      </c>
      <c r="J2620" s="21">
        <f t="shared" si="120"/>
        <v>0.58863636363636374</v>
      </c>
      <c r="K2620" s="1">
        <v>2</v>
      </c>
      <c r="L2620" s="24">
        <v>6.9</v>
      </c>
      <c r="M2620" s="24">
        <v>62.910000000000004</v>
      </c>
      <c r="N2620" s="21">
        <f t="shared" si="121"/>
        <v>0.42977272727272736</v>
      </c>
      <c r="P2620" s="1">
        <v>4</v>
      </c>
      <c r="Q2620" s="24">
        <v>8.3879999999999981</v>
      </c>
      <c r="R2620" s="24">
        <v>61.512000000000008</v>
      </c>
      <c r="S2620" s="21">
        <f t="shared" si="122"/>
        <v>0.39800000000000019</v>
      </c>
    </row>
    <row r="2621" spans="2:19" ht="11.4" customHeight="1" x14ac:dyDescent="0.2">
      <c r="B2621" s="24"/>
      <c r="C2621" s="10">
        <v>37478</v>
      </c>
      <c r="D2621" s="18" t="s">
        <v>2724</v>
      </c>
      <c r="E2621" s="18" t="s">
        <v>2662</v>
      </c>
      <c r="F2621" s="17">
        <v>24</v>
      </c>
      <c r="G2621" s="18" t="s">
        <v>23</v>
      </c>
      <c r="H2621" s="17">
        <v>54.5</v>
      </c>
      <c r="I2621" s="11">
        <v>61.5</v>
      </c>
      <c r="J2621" s="21">
        <f t="shared" si="120"/>
        <v>0.12844036697247707</v>
      </c>
      <c r="K2621" s="1">
        <v>2</v>
      </c>
      <c r="L2621" s="24">
        <v>6.1</v>
      </c>
      <c r="M2621" s="24">
        <v>55.35</v>
      </c>
      <c r="N2621" s="21">
        <f t="shared" si="121"/>
        <v>1.5596330275229385E-2</v>
      </c>
      <c r="P2621" s="1">
        <v>4</v>
      </c>
      <c r="Q2621" s="24">
        <v>7.3800000000000026</v>
      </c>
      <c r="R2621" s="24">
        <v>54.12</v>
      </c>
      <c r="S2621" s="21">
        <f t="shared" si="122"/>
        <v>-6.9724770642202302E-3</v>
      </c>
    </row>
    <row r="2622" spans="2:19" ht="11.4" customHeight="1" x14ac:dyDescent="0.2">
      <c r="B2622" s="24"/>
      <c r="C2622" s="10">
        <v>40718</v>
      </c>
      <c r="D2622" s="18" t="s">
        <v>2725</v>
      </c>
      <c r="E2622" s="18" t="s">
        <v>2662</v>
      </c>
      <c r="F2622" s="17">
        <v>6</v>
      </c>
      <c r="G2622" s="18" t="s">
        <v>23</v>
      </c>
      <c r="H2622" s="17">
        <v>30.65</v>
      </c>
      <c r="I2622" s="11">
        <v>44.9</v>
      </c>
      <c r="J2622" s="21">
        <f t="shared" si="120"/>
        <v>0.46492659053833607</v>
      </c>
      <c r="K2622" s="1">
        <v>2</v>
      </c>
      <c r="L2622" s="24">
        <v>4.4000000000000004</v>
      </c>
      <c r="M2622" s="24">
        <v>40.409999999999997</v>
      </c>
      <c r="N2622" s="21">
        <f t="shared" si="121"/>
        <v>0.31843393148450239</v>
      </c>
      <c r="P2622" s="1">
        <v>4</v>
      </c>
      <c r="Q2622" s="24">
        <v>5.3879999999999981</v>
      </c>
      <c r="R2622" s="24">
        <v>39.512</v>
      </c>
      <c r="S2622" s="21">
        <f t="shared" si="122"/>
        <v>0.2891353996737358</v>
      </c>
    </row>
    <row r="2623" spans="2:19" ht="11.4" customHeight="1" x14ac:dyDescent="0.2">
      <c r="B2623" s="24"/>
      <c r="C2623" s="10">
        <v>7320</v>
      </c>
      <c r="D2623" s="18" t="s">
        <v>2726</v>
      </c>
      <c r="E2623" s="18" t="s">
        <v>2662</v>
      </c>
      <c r="F2623" s="17">
        <v>12</v>
      </c>
      <c r="G2623" s="18" t="s">
        <v>23</v>
      </c>
      <c r="H2623" s="17">
        <v>21.8</v>
      </c>
      <c r="I2623" s="11">
        <v>26.3</v>
      </c>
      <c r="J2623" s="21">
        <f t="shared" si="120"/>
        <v>0.20642201834862384</v>
      </c>
      <c r="K2623" s="1">
        <v>2</v>
      </c>
      <c r="L2623" s="24">
        <v>2.6</v>
      </c>
      <c r="M2623" s="24">
        <v>23.67</v>
      </c>
      <c r="N2623" s="21">
        <f t="shared" si="121"/>
        <v>8.5779816513761514E-2</v>
      </c>
      <c r="P2623" s="1">
        <v>4</v>
      </c>
      <c r="Q2623" s="24">
        <v>3.1559999999999988</v>
      </c>
      <c r="R2623" s="24">
        <v>23.144000000000002</v>
      </c>
      <c r="S2623" s="21">
        <f t="shared" si="122"/>
        <v>6.1651376146789047E-2</v>
      </c>
    </row>
    <row r="2624" spans="2:19" ht="11.4" customHeight="1" x14ac:dyDescent="0.2">
      <c r="B2624" s="24"/>
      <c r="C2624" s="10">
        <v>27047</v>
      </c>
      <c r="D2624" s="18" t="s">
        <v>2727</v>
      </c>
      <c r="E2624" s="18" t="s">
        <v>2662</v>
      </c>
      <c r="F2624" s="17">
        <v>12</v>
      </c>
      <c r="G2624" s="18" t="s">
        <v>23</v>
      </c>
      <c r="H2624" s="17">
        <v>28.3</v>
      </c>
      <c r="I2624" s="11">
        <v>33.700000000000003</v>
      </c>
      <c r="J2624" s="21">
        <f t="shared" si="120"/>
        <v>0.19081272084805662</v>
      </c>
      <c r="K2624" s="1">
        <v>2</v>
      </c>
      <c r="L2624" s="24">
        <v>3.3</v>
      </c>
      <c r="M2624" s="24">
        <v>30.330000000000002</v>
      </c>
      <c r="N2624" s="21">
        <f t="shared" si="121"/>
        <v>7.1731448763250924E-2</v>
      </c>
      <c r="P2624" s="1">
        <v>4</v>
      </c>
      <c r="Q2624" s="24">
        <v>4.0440000000000005</v>
      </c>
      <c r="R2624" s="24">
        <v>29.656000000000002</v>
      </c>
      <c r="S2624" s="21">
        <f t="shared" si="122"/>
        <v>4.7915194346289811E-2</v>
      </c>
    </row>
    <row r="2625" spans="2:19" ht="11.4" customHeight="1" x14ac:dyDescent="0.2">
      <c r="B2625" s="24"/>
      <c r="C2625" s="10">
        <v>16370</v>
      </c>
      <c r="D2625" s="18" t="s">
        <v>2728</v>
      </c>
      <c r="E2625" s="18" t="s">
        <v>2662</v>
      </c>
      <c r="F2625" s="17">
        <v>24</v>
      </c>
      <c r="G2625" s="18" t="s">
        <v>23</v>
      </c>
      <c r="H2625" s="17">
        <v>21.5</v>
      </c>
      <c r="I2625" s="11">
        <v>27.1</v>
      </c>
      <c r="J2625" s="21">
        <f t="shared" si="120"/>
        <v>0.26046511627906982</v>
      </c>
      <c r="K2625" s="1">
        <v>2</v>
      </c>
      <c r="L2625" s="24">
        <v>2.7</v>
      </c>
      <c r="M2625" s="24">
        <v>24.39</v>
      </c>
      <c r="N2625" s="21">
        <f t="shared" si="121"/>
        <v>0.13441860465116282</v>
      </c>
      <c r="P2625" s="1">
        <v>4</v>
      </c>
      <c r="Q2625" s="24">
        <v>3.2519999999999989</v>
      </c>
      <c r="R2625" s="24">
        <v>23.848000000000003</v>
      </c>
      <c r="S2625" s="21">
        <f t="shared" si="122"/>
        <v>0.10920930232558151</v>
      </c>
    </row>
    <row r="2626" spans="2:19" ht="11.4" customHeight="1" x14ac:dyDescent="0.2">
      <c r="B2626" s="24"/>
      <c r="C2626" s="10">
        <v>34303</v>
      </c>
      <c r="D2626" s="18" t="s">
        <v>2729</v>
      </c>
      <c r="E2626" s="18" t="s">
        <v>2662</v>
      </c>
      <c r="F2626" s="17">
        <v>6</v>
      </c>
      <c r="G2626" s="18" t="s">
        <v>23</v>
      </c>
      <c r="H2626" s="17">
        <v>36.9</v>
      </c>
      <c r="I2626" s="11">
        <v>48.5</v>
      </c>
      <c r="J2626" s="21">
        <f t="shared" si="120"/>
        <v>0.31436314363143636</v>
      </c>
      <c r="K2626" s="1">
        <v>2</v>
      </c>
      <c r="L2626" s="24">
        <v>4.8</v>
      </c>
      <c r="M2626" s="24">
        <v>43.65</v>
      </c>
      <c r="N2626" s="21">
        <f t="shared" si="121"/>
        <v>0.18292682926829268</v>
      </c>
      <c r="P2626" s="1">
        <v>4</v>
      </c>
      <c r="Q2626" s="24">
        <v>5.82</v>
      </c>
      <c r="R2626" s="24">
        <v>42.68</v>
      </c>
      <c r="S2626" s="21">
        <f t="shared" si="122"/>
        <v>0.15663956639566398</v>
      </c>
    </row>
    <row r="2627" spans="2:19" ht="11.4" customHeight="1" x14ac:dyDescent="0.2">
      <c r="B2627" s="24"/>
      <c r="C2627" s="10">
        <v>44334</v>
      </c>
      <c r="D2627" s="18" t="s">
        <v>2730</v>
      </c>
      <c r="E2627" s="18" t="s">
        <v>2662</v>
      </c>
      <c r="F2627" s="17">
        <v>6</v>
      </c>
      <c r="G2627" s="18" t="s">
        <v>23</v>
      </c>
      <c r="H2627" s="17">
        <v>42.84</v>
      </c>
      <c r="I2627" s="11">
        <v>57.3</v>
      </c>
      <c r="J2627" s="21">
        <f t="shared" ref="J2627:J2690" si="123">(I2627-H2627)/H2627</f>
        <v>0.33753501400560204</v>
      </c>
      <c r="K2627" s="1">
        <v>2</v>
      </c>
      <c r="L2627" s="24">
        <v>5.7</v>
      </c>
      <c r="M2627" s="24">
        <v>51.57</v>
      </c>
      <c r="N2627" s="21">
        <f t="shared" ref="N2627:N2690" si="124">(M2627-H2627)/H2627</f>
        <v>0.20378151260504193</v>
      </c>
      <c r="P2627" s="1">
        <v>4</v>
      </c>
      <c r="Q2627" s="24">
        <v>6.8759999999999977</v>
      </c>
      <c r="R2627" s="24">
        <v>50.423999999999999</v>
      </c>
      <c r="S2627" s="21">
        <f t="shared" ref="S2627:S2690" si="125">(R2627-H2627)/H2627</f>
        <v>0.17703081232492987</v>
      </c>
    </row>
    <row r="2628" spans="2:19" ht="11.4" customHeight="1" x14ac:dyDescent="0.2">
      <c r="B2628" s="24"/>
      <c r="C2628" s="10">
        <v>40719</v>
      </c>
      <c r="D2628" s="18" t="s">
        <v>2731</v>
      </c>
      <c r="E2628" s="18" t="s">
        <v>2662</v>
      </c>
      <c r="F2628" s="17">
        <v>6</v>
      </c>
      <c r="G2628" s="18" t="s">
        <v>23</v>
      </c>
      <c r="H2628" s="17">
        <v>30.65</v>
      </c>
      <c r="I2628" s="11">
        <v>44.9</v>
      </c>
      <c r="J2628" s="21">
        <f t="shared" si="123"/>
        <v>0.46492659053833607</v>
      </c>
      <c r="K2628" s="1">
        <v>2</v>
      </c>
      <c r="L2628" s="24">
        <v>4.4000000000000004</v>
      </c>
      <c r="M2628" s="24">
        <v>40.409999999999997</v>
      </c>
      <c r="N2628" s="21">
        <f t="shared" si="124"/>
        <v>0.31843393148450239</v>
      </c>
      <c r="P2628" s="1">
        <v>4</v>
      </c>
      <c r="Q2628" s="24">
        <v>5.3879999999999981</v>
      </c>
      <c r="R2628" s="24">
        <v>39.512</v>
      </c>
      <c r="S2628" s="21">
        <f t="shared" si="125"/>
        <v>0.2891353996737358</v>
      </c>
    </row>
    <row r="2629" spans="2:19" ht="11.4" customHeight="1" x14ac:dyDescent="0.2">
      <c r="B2629" s="24"/>
      <c r="C2629" s="10">
        <v>11808</v>
      </c>
      <c r="D2629" s="18" t="s">
        <v>2732</v>
      </c>
      <c r="E2629" s="18" t="s">
        <v>2662</v>
      </c>
      <c r="F2629" s="17">
        <v>12</v>
      </c>
      <c r="G2629" s="18" t="s">
        <v>23</v>
      </c>
      <c r="H2629" s="17">
        <v>34.5</v>
      </c>
      <c r="I2629" s="11">
        <v>34.5</v>
      </c>
      <c r="J2629" s="21">
        <f t="shared" si="123"/>
        <v>0</v>
      </c>
      <c r="K2629" s="1">
        <v>2</v>
      </c>
      <c r="L2629" s="24">
        <v>3.4</v>
      </c>
      <c r="M2629" s="24">
        <v>31.05</v>
      </c>
      <c r="N2629" s="21">
        <f t="shared" si="124"/>
        <v>-9.9999999999999978E-2</v>
      </c>
      <c r="P2629" s="1">
        <v>4</v>
      </c>
      <c r="Q2629" s="24">
        <v>4.1400000000000006</v>
      </c>
      <c r="R2629" s="24">
        <v>30.36</v>
      </c>
      <c r="S2629" s="21">
        <f t="shared" si="125"/>
        <v>-0.12000000000000002</v>
      </c>
    </row>
    <row r="2630" spans="2:19" ht="11.4" customHeight="1" x14ac:dyDescent="0.2">
      <c r="B2630" s="24"/>
      <c r="C2630" s="10">
        <v>9494</v>
      </c>
      <c r="D2630" s="18" t="s">
        <v>2733</v>
      </c>
      <c r="E2630" s="18" t="s">
        <v>2662</v>
      </c>
      <c r="F2630" s="17">
        <v>12</v>
      </c>
      <c r="G2630" s="18" t="s">
        <v>23</v>
      </c>
      <c r="H2630" s="17">
        <v>25.9</v>
      </c>
      <c r="I2630" s="11">
        <v>30.4</v>
      </c>
      <c r="J2630" s="21">
        <f t="shared" si="123"/>
        <v>0.17374517374517376</v>
      </c>
      <c r="K2630" s="1">
        <v>2</v>
      </c>
      <c r="L2630" s="24">
        <v>3</v>
      </c>
      <c r="M2630" s="24">
        <v>27.36</v>
      </c>
      <c r="N2630" s="21">
        <f t="shared" si="124"/>
        <v>5.6370656370656406E-2</v>
      </c>
      <c r="P2630" s="1">
        <v>4</v>
      </c>
      <c r="Q2630" s="24">
        <v>3.6479999999999997</v>
      </c>
      <c r="R2630" s="24">
        <v>26.751999999999999</v>
      </c>
      <c r="S2630" s="21">
        <f t="shared" si="125"/>
        <v>3.289575289575291E-2</v>
      </c>
    </row>
    <row r="2631" spans="2:19" ht="11.4" customHeight="1" x14ac:dyDescent="0.2">
      <c r="B2631" s="24"/>
      <c r="C2631" s="10">
        <v>34061</v>
      </c>
      <c r="D2631" s="18" t="s">
        <v>2734</v>
      </c>
      <c r="E2631" s="18" t="s">
        <v>2662</v>
      </c>
      <c r="F2631" s="17">
        <v>12</v>
      </c>
      <c r="G2631" s="18" t="s">
        <v>23</v>
      </c>
      <c r="H2631" s="17">
        <v>30.7</v>
      </c>
      <c r="I2631" s="11">
        <v>36.4</v>
      </c>
      <c r="J2631" s="21">
        <f t="shared" si="123"/>
        <v>0.18566775244299671</v>
      </c>
      <c r="K2631" s="1">
        <v>2</v>
      </c>
      <c r="L2631" s="24">
        <v>3.6</v>
      </c>
      <c r="M2631" s="24">
        <v>32.76</v>
      </c>
      <c r="N2631" s="21">
        <f t="shared" si="124"/>
        <v>6.7100977198697023E-2</v>
      </c>
      <c r="P2631" s="1">
        <v>4</v>
      </c>
      <c r="Q2631" s="24">
        <v>4.3680000000000021</v>
      </c>
      <c r="R2631" s="24">
        <v>32.031999999999996</v>
      </c>
      <c r="S2631" s="21">
        <f t="shared" si="125"/>
        <v>4.3387622149837046E-2</v>
      </c>
    </row>
    <row r="2632" spans="2:19" ht="11.4" customHeight="1" x14ac:dyDescent="0.2">
      <c r="B2632" s="24"/>
      <c r="C2632" s="10">
        <v>1641</v>
      </c>
      <c r="D2632" s="18" t="s">
        <v>2735</v>
      </c>
      <c r="E2632" s="18" t="s">
        <v>2662</v>
      </c>
      <c r="F2632" s="18"/>
      <c r="G2632" s="18" t="s">
        <v>23</v>
      </c>
      <c r="H2632" s="17">
        <v>20.9</v>
      </c>
      <c r="I2632" s="11">
        <v>29.9</v>
      </c>
      <c r="J2632" s="21">
        <f t="shared" si="123"/>
        <v>0.43062200956937802</v>
      </c>
      <c r="K2632" s="1">
        <v>2</v>
      </c>
      <c r="L2632" s="24">
        <v>2.9</v>
      </c>
      <c r="M2632" s="24">
        <v>26.91</v>
      </c>
      <c r="N2632" s="21">
        <f t="shared" si="124"/>
        <v>0.28755980861244029</v>
      </c>
      <c r="P2632" s="1">
        <v>4</v>
      </c>
      <c r="Q2632" s="24">
        <v>3.588000000000001</v>
      </c>
      <c r="R2632" s="24">
        <v>26.311999999999998</v>
      </c>
      <c r="S2632" s="21">
        <f t="shared" si="125"/>
        <v>0.25894736842105259</v>
      </c>
    </row>
    <row r="2633" spans="2:19" ht="11.4" customHeight="1" x14ac:dyDescent="0.2">
      <c r="B2633" s="24"/>
      <c r="C2633" s="10">
        <v>16368</v>
      </c>
      <c r="D2633" s="18" t="s">
        <v>2736</v>
      </c>
      <c r="E2633" s="18" t="s">
        <v>2662</v>
      </c>
      <c r="F2633" s="18"/>
      <c r="G2633" s="18" t="s">
        <v>23</v>
      </c>
      <c r="H2633" s="17">
        <v>20.9</v>
      </c>
      <c r="I2633" s="11">
        <v>29.9</v>
      </c>
      <c r="J2633" s="21">
        <f t="shared" si="123"/>
        <v>0.43062200956937802</v>
      </c>
      <c r="K2633" s="1">
        <v>2</v>
      </c>
      <c r="L2633" s="24">
        <v>2.9</v>
      </c>
      <c r="M2633" s="24">
        <v>26.91</v>
      </c>
      <c r="N2633" s="21">
        <f t="shared" si="124"/>
        <v>0.28755980861244029</v>
      </c>
      <c r="P2633" s="1">
        <v>4</v>
      </c>
      <c r="Q2633" s="24">
        <v>3.588000000000001</v>
      </c>
      <c r="R2633" s="24">
        <v>26.311999999999998</v>
      </c>
      <c r="S2633" s="21">
        <f t="shared" si="125"/>
        <v>0.25894736842105259</v>
      </c>
    </row>
    <row r="2634" spans="2:19" ht="11.4" customHeight="1" x14ac:dyDescent="0.2">
      <c r="B2634" s="24"/>
      <c r="C2634" s="10">
        <v>40141</v>
      </c>
      <c r="D2634" s="18" t="s">
        <v>2737</v>
      </c>
      <c r="E2634" s="18" t="s">
        <v>2662</v>
      </c>
      <c r="F2634" s="17">
        <v>24</v>
      </c>
      <c r="G2634" s="18" t="s">
        <v>23</v>
      </c>
      <c r="H2634" s="17">
        <v>42.5</v>
      </c>
      <c r="I2634" s="11">
        <v>61.5</v>
      </c>
      <c r="J2634" s="21">
        <f t="shared" si="123"/>
        <v>0.44705882352941179</v>
      </c>
      <c r="K2634" s="1">
        <v>2</v>
      </c>
      <c r="L2634" s="24">
        <v>6.1</v>
      </c>
      <c r="M2634" s="24">
        <v>55.35</v>
      </c>
      <c r="N2634" s="21">
        <f t="shared" si="124"/>
        <v>0.3023529411764706</v>
      </c>
      <c r="P2634" s="1">
        <v>4</v>
      </c>
      <c r="Q2634" s="24">
        <v>7.3800000000000026</v>
      </c>
      <c r="R2634" s="24">
        <v>54.12</v>
      </c>
      <c r="S2634" s="21">
        <f t="shared" si="125"/>
        <v>0.2734117647058823</v>
      </c>
    </row>
    <row r="2635" spans="2:19" ht="11.4" customHeight="1" x14ac:dyDescent="0.2">
      <c r="B2635" s="24"/>
      <c r="C2635" s="10">
        <v>37479</v>
      </c>
      <c r="D2635" s="18" t="s">
        <v>2738</v>
      </c>
      <c r="E2635" s="18" t="s">
        <v>2662</v>
      </c>
      <c r="F2635" s="17">
        <v>24</v>
      </c>
      <c r="G2635" s="18" t="s">
        <v>23</v>
      </c>
      <c r="H2635" s="17">
        <v>54.5</v>
      </c>
      <c r="I2635" s="11">
        <v>61.5</v>
      </c>
      <c r="J2635" s="21">
        <f t="shared" si="123"/>
        <v>0.12844036697247707</v>
      </c>
      <c r="K2635" s="1">
        <v>2</v>
      </c>
      <c r="L2635" s="24">
        <v>6.1</v>
      </c>
      <c r="M2635" s="24">
        <v>55.35</v>
      </c>
      <c r="N2635" s="21">
        <f t="shared" si="124"/>
        <v>1.5596330275229385E-2</v>
      </c>
      <c r="P2635" s="1">
        <v>4</v>
      </c>
      <c r="Q2635" s="24">
        <v>7.3800000000000026</v>
      </c>
      <c r="R2635" s="24">
        <v>54.12</v>
      </c>
      <c r="S2635" s="21">
        <f t="shared" si="125"/>
        <v>-6.9724770642202302E-3</v>
      </c>
    </row>
    <row r="2636" spans="2:19" ht="11.4" customHeight="1" x14ac:dyDescent="0.2">
      <c r="B2636" s="24"/>
      <c r="C2636" s="10">
        <v>2436</v>
      </c>
      <c r="D2636" s="18" t="s">
        <v>2739</v>
      </c>
      <c r="E2636" s="18" t="s">
        <v>2662</v>
      </c>
      <c r="F2636" s="17">
        <v>12</v>
      </c>
      <c r="G2636" s="18" t="s">
        <v>23</v>
      </c>
      <c r="H2636" s="17">
        <v>21.8</v>
      </c>
      <c r="I2636" s="11">
        <v>26.3</v>
      </c>
      <c r="J2636" s="21">
        <f t="shared" si="123"/>
        <v>0.20642201834862384</v>
      </c>
      <c r="K2636" s="1">
        <v>2</v>
      </c>
      <c r="L2636" s="24">
        <v>2.6</v>
      </c>
      <c r="M2636" s="24">
        <v>23.67</v>
      </c>
      <c r="N2636" s="21">
        <f t="shared" si="124"/>
        <v>8.5779816513761514E-2</v>
      </c>
      <c r="P2636" s="1">
        <v>4</v>
      </c>
      <c r="Q2636" s="24">
        <v>3.1559999999999988</v>
      </c>
      <c r="R2636" s="24">
        <v>23.144000000000002</v>
      </c>
      <c r="S2636" s="21">
        <f t="shared" si="125"/>
        <v>6.1651376146789047E-2</v>
      </c>
    </row>
    <row r="2637" spans="2:19" ht="11.4" customHeight="1" x14ac:dyDescent="0.2">
      <c r="B2637" s="24"/>
      <c r="C2637" s="10">
        <v>27046</v>
      </c>
      <c r="D2637" s="18" t="s">
        <v>2740</v>
      </c>
      <c r="E2637" s="18" t="s">
        <v>2662</v>
      </c>
      <c r="F2637" s="17">
        <v>12</v>
      </c>
      <c r="G2637" s="18" t="s">
        <v>23</v>
      </c>
      <c r="H2637" s="17">
        <v>28.3</v>
      </c>
      <c r="I2637" s="11">
        <v>33.700000000000003</v>
      </c>
      <c r="J2637" s="21">
        <f t="shared" si="123"/>
        <v>0.19081272084805662</v>
      </c>
      <c r="K2637" s="1">
        <v>2</v>
      </c>
      <c r="L2637" s="24">
        <v>3.3</v>
      </c>
      <c r="M2637" s="24">
        <v>30.330000000000002</v>
      </c>
      <c r="N2637" s="21">
        <f t="shared" si="124"/>
        <v>7.1731448763250924E-2</v>
      </c>
      <c r="P2637" s="1">
        <v>4</v>
      </c>
      <c r="Q2637" s="24">
        <v>4.0440000000000005</v>
      </c>
      <c r="R2637" s="24">
        <v>29.656000000000002</v>
      </c>
      <c r="S2637" s="21">
        <f t="shared" si="125"/>
        <v>4.7915194346289811E-2</v>
      </c>
    </row>
    <row r="2638" spans="2:19" ht="11.4" customHeight="1" x14ac:dyDescent="0.2">
      <c r="B2638" s="24"/>
      <c r="C2638" s="10">
        <v>5681</v>
      </c>
      <c r="D2638" s="18" t="s">
        <v>2741</v>
      </c>
      <c r="E2638" s="18" t="s">
        <v>2662</v>
      </c>
      <c r="F2638" s="17">
        <v>24</v>
      </c>
      <c r="G2638" s="18" t="s">
        <v>23</v>
      </c>
      <c r="H2638" s="17">
        <v>17.3</v>
      </c>
      <c r="I2638" s="11">
        <v>21.9</v>
      </c>
      <c r="J2638" s="21">
        <f t="shared" si="123"/>
        <v>0.2658959537572253</v>
      </c>
      <c r="K2638" s="1">
        <v>2</v>
      </c>
      <c r="L2638" s="24">
        <v>2.1</v>
      </c>
      <c r="M2638" s="24">
        <v>19.71</v>
      </c>
      <c r="N2638" s="21">
        <f t="shared" si="124"/>
        <v>0.1393063583815029</v>
      </c>
      <c r="P2638" s="1">
        <v>4</v>
      </c>
      <c r="Q2638" s="24">
        <v>2.6280000000000001</v>
      </c>
      <c r="R2638" s="24">
        <v>19.271999999999998</v>
      </c>
      <c r="S2638" s="21">
        <f t="shared" si="125"/>
        <v>0.11398843930635824</v>
      </c>
    </row>
    <row r="2639" spans="2:19" ht="11.4" customHeight="1" x14ac:dyDescent="0.2">
      <c r="B2639" s="24"/>
      <c r="C2639" s="10">
        <v>4888</v>
      </c>
      <c r="D2639" s="18" t="s">
        <v>2742</v>
      </c>
      <c r="E2639" s="18" t="s">
        <v>2662</v>
      </c>
      <c r="F2639" s="17">
        <v>12</v>
      </c>
      <c r="G2639" s="18" t="s">
        <v>23</v>
      </c>
      <c r="H2639" s="17">
        <v>21.5</v>
      </c>
      <c r="I2639" s="11">
        <v>27.1</v>
      </c>
      <c r="J2639" s="21">
        <f t="shared" si="123"/>
        <v>0.26046511627906982</v>
      </c>
      <c r="K2639" s="1">
        <v>2</v>
      </c>
      <c r="L2639" s="24">
        <v>2.7</v>
      </c>
      <c r="M2639" s="24">
        <v>24.39</v>
      </c>
      <c r="N2639" s="21">
        <f t="shared" si="124"/>
        <v>0.13441860465116282</v>
      </c>
      <c r="P2639" s="1">
        <v>4</v>
      </c>
      <c r="Q2639" s="24">
        <v>3.2519999999999989</v>
      </c>
      <c r="R2639" s="24">
        <v>23.848000000000003</v>
      </c>
      <c r="S2639" s="21">
        <f t="shared" si="125"/>
        <v>0.10920930232558151</v>
      </c>
    </row>
    <row r="2640" spans="2:19" ht="11.4" customHeight="1" x14ac:dyDescent="0.2">
      <c r="B2640" s="24"/>
      <c r="C2640" s="10">
        <v>39192</v>
      </c>
      <c r="D2640" s="18" t="s">
        <v>2743</v>
      </c>
      <c r="E2640" s="18" t="s">
        <v>2662</v>
      </c>
      <c r="F2640" s="17">
        <v>20</v>
      </c>
      <c r="G2640" s="18" t="s">
        <v>23</v>
      </c>
      <c r="H2640" s="17">
        <v>56.3</v>
      </c>
      <c r="I2640" s="11">
        <v>55.1</v>
      </c>
      <c r="J2640" s="21">
        <f t="shared" si="123"/>
        <v>-2.1314387211367598E-2</v>
      </c>
      <c r="K2640" s="1">
        <v>2</v>
      </c>
      <c r="L2640" s="24">
        <v>5.5</v>
      </c>
      <c r="M2640" s="24">
        <v>49.59</v>
      </c>
      <c r="N2640" s="21">
        <f t="shared" si="124"/>
        <v>-0.1191829484902308</v>
      </c>
      <c r="P2640" s="1">
        <v>4</v>
      </c>
      <c r="Q2640" s="24">
        <v>6.6120000000000019</v>
      </c>
      <c r="R2640" s="24">
        <v>48.488</v>
      </c>
      <c r="S2640" s="21">
        <f t="shared" si="125"/>
        <v>-0.13875666074600351</v>
      </c>
    </row>
    <row r="2641" spans="2:19" ht="11.4" customHeight="1" x14ac:dyDescent="0.2">
      <c r="B2641" s="24"/>
      <c r="C2641" s="10">
        <v>45866</v>
      </c>
      <c r="D2641" s="18" t="s">
        <v>2744</v>
      </c>
      <c r="E2641" s="18" t="s">
        <v>2662</v>
      </c>
      <c r="F2641" s="17">
        <v>6</v>
      </c>
      <c r="G2641" s="18" t="s">
        <v>23</v>
      </c>
      <c r="H2641" s="17">
        <v>39.18</v>
      </c>
      <c r="I2641" s="11">
        <v>49.9</v>
      </c>
      <c r="J2641" s="21">
        <f t="shared" si="123"/>
        <v>0.27360898417559976</v>
      </c>
      <c r="K2641" s="1">
        <v>2</v>
      </c>
      <c r="L2641" s="24">
        <v>4.9000000000000004</v>
      </c>
      <c r="M2641" s="24">
        <v>44.91</v>
      </c>
      <c r="N2641" s="21">
        <f t="shared" si="124"/>
        <v>0.14624808575803974</v>
      </c>
      <c r="P2641" s="1">
        <v>4</v>
      </c>
      <c r="Q2641" s="24">
        <v>5.9879999999999995</v>
      </c>
      <c r="R2641" s="24">
        <v>43.911999999999999</v>
      </c>
      <c r="S2641" s="21">
        <f t="shared" si="125"/>
        <v>0.1207759060745278</v>
      </c>
    </row>
    <row r="2642" spans="2:19" ht="11.4" customHeight="1" x14ac:dyDescent="0.2">
      <c r="B2642" s="24"/>
      <c r="C2642" s="10">
        <v>14538</v>
      </c>
      <c r="D2642" s="18" t="s">
        <v>2745</v>
      </c>
      <c r="E2642" s="18" t="s">
        <v>2662</v>
      </c>
      <c r="F2642" s="17">
        <v>12</v>
      </c>
      <c r="G2642" s="18" t="s">
        <v>23</v>
      </c>
      <c r="H2642" s="17">
        <v>34.5</v>
      </c>
      <c r="I2642" s="11">
        <v>34.5</v>
      </c>
      <c r="J2642" s="21">
        <f t="shared" si="123"/>
        <v>0</v>
      </c>
      <c r="K2642" s="1">
        <v>2</v>
      </c>
      <c r="L2642" s="24">
        <v>3.4</v>
      </c>
      <c r="M2642" s="24">
        <v>31.05</v>
      </c>
      <c r="N2642" s="21">
        <f t="shared" si="124"/>
        <v>-9.9999999999999978E-2</v>
      </c>
      <c r="P2642" s="1">
        <v>4</v>
      </c>
      <c r="Q2642" s="24">
        <v>4.1400000000000006</v>
      </c>
      <c r="R2642" s="24">
        <v>30.36</v>
      </c>
      <c r="S2642" s="21">
        <f t="shared" si="125"/>
        <v>-0.12000000000000002</v>
      </c>
    </row>
    <row r="2643" spans="2:19" ht="11.4" customHeight="1" x14ac:dyDescent="0.2">
      <c r="B2643" s="24"/>
      <c r="C2643" s="10">
        <v>9492</v>
      </c>
      <c r="D2643" s="18" t="s">
        <v>2746</v>
      </c>
      <c r="E2643" s="18" t="s">
        <v>2662</v>
      </c>
      <c r="F2643" s="17">
        <v>12</v>
      </c>
      <c r="G2643" s="18" t="s">
        <v>23</v>
      </c>
      <c r="H2643" s="17">
        <v>25.9</v>
      </c>
      <c r="I2643" s="11">
        <v>30.4</v>
      </c>
      <c r="J2643" s="21">
        <f t="shared" si="123"/>
        <v>0.17374517374517376</v>
      </c>
      <c r="K2643" s="1">
        <v>2</v>
      </c>
      <c r="L2643" s="24">
        <v>3</v>
      </c>
      <c r="M2643" s="24">
        <v>27.36</v>
      </c>
      <c r="N2643" s="21">
        <f t="shared" si="124"/>
        <v>5.6370656370656406E-2</v>
      </c>
      <c r="P2643" s="1">
        <v>4</v>
      </c>
      <c r="Q2643" s="24">
        <v>3.6479999999999997</v>
      </c>
      <c r="R2643" s="24">
        <v>26.751999999999999</v>
      </c>
      <c r="S2643" s="21">
        <f t="shared" si="125"/>
        <v>3.289575289575291E-2</v>
      </c>
    </row>
    <row r="2644" spans="2:19" ht="11.4" customHeight="1" x14ac:dyDescent="0.2">
      <c r="B2644" s="24"/>
      <c r="C2644" s="10">
        <v>45065</v>
      </c>
      <c r="D2644" s="18" t="s">
        <v>2747</v>
      </c>
      <c r="E2644" s="18" t="s">
        <v>2662</v>
      </c>
      <c r="F2644" s="17">
        <v>12</v>
      </c>
      <c r="G2644" s="18" t="s">
        <v>23</v>
      </c>
      <c r="H2644" s="17">
        <v>19.38</v>
      </c>
      <c r="I2644" s="11">
        <v>23.9</v>
      </c>
      <c r="J2644" s="21">
        <f t="shared" si="123"/>
        <v>0.23323013415892671</v>
      </c>
      <c r="K2644" s="1">
        <v>2</v>
      </c>
      <c r="L2644" s="24">
        <v>2.2999999999999998</v>
      </c>
      <c r="M2644" s="24">
        <v>21.509999999999998</v>
      </c>
      <c r="N2644" s="21">
        <f t="shared" si="124"/>
        <v>0.10990712074303401</v>
      </c>
      <c r="P2644" s="1">
        <v>4</v>
      </c>
      <c r="Q2644" s="24">
        <v>2.8679999999999986</v>
      </c>
      <c r="R2644" s="24">
        <v>21.032</v>
      </c>
      <c r="S2644" s="21">
        <f t="shared" si="125"/>
        <v>8.5242518059855582E-2</v>
      </c>
    </row>
    <row r="2645" spans="2:19" ht="11.4" customHeight="1" x14ac:dyDescent="0.2">
      <c r="B2645" s="24"/>
      <c r="C2645" s="10">
        <v>11190</v>
      </c>
      <c r="D2645" s="18" t="s">
        <v>2748</v>
      </c>
      <c r="E2645" s="18" t="s">
        <v>2662</v>
      </c>
      <c r="F2645" s="17">
        <v>6</v>
      </c>
      <c r="G2645" s="18" t="s">
        <v>23</v>
      </c>
      <c r="H2645" s="17">
        <v>43.7</v>
      </c>
      <c r="I2645" s="11">
        <v>52.9</v>
      </c>
      <c r="J2645" s="21">
        <f t="shared" si="123"/>
        <v>0.21052631578947356</v>
      </c>
      <c r="K2645" s="1">
        <v>2</v>
      </c>
      <c r="L2645" s="24">
        <v>5.2</v>
      </c>
      <c r="M2645" s="24">
        <v>47.61</v>
      </c>
      <c r="N2645" s="21">
        <f t="shared" si="124"/>
        <v>8.9473684210526233E-2</v>
      </c>
      <c r="P2645" s="1">
        <v>4</v>
      </c>
      <c r="Q2645" s="24">
        <v>6.347999999999999</v>
      </c>
      <c r="R2645" s="24">
        <v>46.552</v>
      </c>
      <c r="S2645" s="21">
        <f t="shared" si="125"/>
        <v>6.5263157894736759E-2</v>
      </c>
    </row>
    <row r="2646" spans="2:19" ht="11.4" customHeight="1" x14ac:dyDescent="0.2">
      <c r="B2646" s="24"/>
      <c r="C2646" s="10">
        <v>39193</v>
      </c>
      <c r="D2646" s="18" t="s">
        <v>2749</v>
      </c>
      <c r="E2646" s="18" t="s">
        <v>2662</v>
      </c>
      <c r="F2646" s="17">
        <v>20</v>
      </c>
      <c r="G2646" s="18" t="s">
        <v>23</v>
      </c>
      <c r="H2646" s="17">
        <v>56.3</v>
      </c>
      <c r="I2646" s="11">
        <v>55.1</v>
      </c>
      <c r="J2646" s="21">
        <f t="shared" si="123"/>
        <v>-2.1314387211367598E-2</v>
      </c>
      <c r="K2646" s="1">
        <v>2</v>
      </c>
      <c r="L2646" s="24">
        <v>5.5</v>
      </c>
      <c r="M2646" s="24">
        <v>49.59</v>
      </c>
      <c r="N2646" s="21">
        <f t="shared" si="124"/>
        <v>-0.1191829484902308</v>
      </c>
      <c r="P2646" s="1">
        <v>4</v>
      </c>
      <c r="Q2646" s="24">
        <v>6.6120000000000019</v>
      </c>
      <c r="R2646" s="24">
        <v>48.488</v>
      </c>
      <c r="S2646" s="21">
        <f t="shared" si="125"/>
        <v>-0.13875666074600351</v>
      </c>
    </row>
    <row r="2647" spans="2:19" ht="11.4" customHeight="1" x14ac:dyDescent="0.2">
      <c r="B2647" s="24"/>
      <c r="C2647" s="10">
        <v>42888</v>
      </c>
      <c r="D2647" s="18" t="s">
        <v>2750</v>
      </c>
      <c r="E2647" s="18" t="s">
        <v>2662</v>
      </c>
      <c r="F2647" s="18"/>
      <c r="G2647" s="18" t="s">
        <v>23</v>
      </c>
      <c r="H2647" s="17">
        <v>35.5</v>
      </c>
      <c r="I2647" s="11">
        <v>64.5</v>
      </c>
      <c r="J2647" s="21">
        <f t="shared" si="123"/>
        <v>0.81690140845070425</v>
      </c>
      <c r="K2647" s="1">
        <v>2</v>
      </c>
      <c r="L2647" s="24">
        <v>6.4</v>
      </c>
      <c r="M2647" s="24">
        <v>58.050000000000004</v>
      </c>
      <c r="N2647" s="21">
        <f t="shared" si="124"/>
        <v>0.63521126760563396</v>
      </c>
      <c r="P2647" s="1">
        <v>4</v>
      </c>
      <c r="Q2647" s="24">
        <v>7.740000000000002</v>
      </c>
      <c r="R2647" s="24">
        <v>56.76</v>
      </c>
      <c r="S2647" s="21">
        <f t="shared" si="125"/>
        <v>0.59887323943661963</v>
      </c>
    </row>
    <row r="2648" spans="2:19" ht="11.4" customHeight="1" x14ac:dyDescent="0.2">
      <c r="B2648" s="24"/>
      <c r="C2648" s="10">
        <v>33444</v>
      </c>
      <c r="D2648" s="18" t="s">
        <v>2751</v>
      </c>
      <c r="E2648" s="18" t="s">
        <v>2662</v>
      </c>
      <c r="F2648" s="17">
        <v>24</v>
      </c>
      <c r="G2648" s="18" t="s">
        <v>23</v>
      </c>
      <c r="H2648" s="17">
        <v>54.5</v>
      </c>
      <c r="I2648" s="11">
        <v>61.5</v>
      </c>
      <c r="J2648" s="21">
        <f t="shared" si="123"/>
        <v>0.12844036697247707</v>
      </c>
      <c r="K2648" s="1">
        <v>2</v>
      </c>
      <c r="L2648" s="24">
        <v>6.1</v>
      </c>
      <c r="M2648" s="24">
        <v>55.35</v>
      </c>
      <c r="N2648" s="21">
        <f t="shared" si="124"/>
        <v>1.5596330275229385E-2</v>
      </c>
      <c r="P2648" s="1">
        <v>4</v>
      </c>
      <c r="Q2648" s="24">
        <v>7.3800000000000026</v>
      </c>
      <c r="R2648" s="24">
        <v>54.12</v>
      </c>
      <c r="S2648" s="21">
        <f t="shared" si="125"/>
        <v>-6.9724770642202302E-3</v>
      </c>
    </row>
    <row r="2649" spans="2:19" ht="11.4" customHeight="1" x14ac:dyDescent="0.2">
      <c r="B2649" s="24"/>
      <c r="C2649" s="10">
        <v>46878</v>
      </c>
      <c r="D2649" s="18" t="s">
        <v>2752</v>
      </c>
      <c r="E2649" s="18" t="s">
        <v>2662</v>
      </c>
      <c r="F2649" s="17">
        <v>12</v>
      </c>
      <c r="G2649" s="18" t="s">
        <v>23</v>
      </c>
      <c r="H2649" s="17">
        <v>19.38</v>
      </c>
      <c r="I2649" s="11">
        <v>26.3</v>
      </c>
      <c r="J2649" s="21">
        <f t="shared" si="123"/>
        <v>0.35706914344685253</v>
      </c>
      <c r="K2649" s="1">
        <v>2</v>
      </c>
      <c r="L2649" s="24">
        <v>2.6</v>
      </c>
      <c r="M2649" s="24">
        <v>23.67</v>
      </c>
      <c r="N2649" s="21">
        <f t="shared" si="124"/>
        <v>0.22136222910216732</v>
      </c>
      <c r="P2649" s="1">
        <v>4</v>
      </c>
      <c r="Q2649" s="24">
        <v>3.1559999999999988</v>
      </c>
      <c r="R2649" s="24">
        <v>23.144000000000002</v>
      </c>
      <c r="S2649" s="21">
        <f t="shared" si="125"/>
        <v>0.1942208462332303</v>
      </c>
    </row>
    <row r="2650" spans="2:19" ht="11.4" customHeight="1" x14ac:dyDescent="0.2">
      <c r="B2650" s="24"/>
      <c r="C2650" s="10">
        <v>46873</v>
      </c>
      <c r="D2650" s="18" t="s">
        <v>2753</v>
      </c>
      <c r="E2650" s="18" t="s">
        <v>2662</v>
      </c>
      <c r="F2650" s="17">
        <v>12</v>
      </c>
      <c r="G2650" s="18" t="s">
        <v>23</v>
      </c>
      <c r="H2650" s="17">
        <v>20.66</v>
      </c>
      <c r="I2650" s="11">
        <v>30.4</v>
      </c>
      <c r="J2650" s="21">
        <f t="shared" si="123"/>
        <v>0.47144240077444327</v>
      </c>
      <c r="K2650" s="1">
        <v>2</v>
      </c>
      <c r="L2650" s="24">
        <v>3</v>
      </c>
      <c r="M2650" s="24">
        <v>27.36</v>
      </c>
      <c r="N2650" s="21">
        <f t="shared" si="124"/>
        <v>0.32429816069699902</v>
      </c>
      <c r="P2650" s="1">
        <v>4</v>
      </c>
      <c r="Q2650" s="24">
        <v>3.6479999999999997</v>
      </c>
      <c r="R2650" s="24">
        <v>26.751999999999999</v>
      </c>
      <c r="S2650" s="21">
        <f t="shared" si="125"/>
        <v>0.29486931268151012</v>
      </c>
    </row>
    <row r="2651" spans="2:19" ht="11.4" customHeight="1" x14ac:dyDescent="0.2">
      <c r="B2651" s="24"/>
      <c r="C2651" s="10">
        <v>44336</v>
      </c>
      <c r="D2651" s="18" t="s">
        <v>2754</v>
      </c>
      <c r="E2651" s="18" t="s">
        <v>2662</v>
      </c>
      <c r="F2651" s="17">
        <v>12</v>
      </c>
      <c r="G2651" s="18" t="s">
        <v>23</v>
      </c>
      <c r="H2651" s="17">
        <v>26.83</v>
      </c>
      <c r="I2651" s="11">
        <v>36.4</v>
      </c>
      <c r="J2651" s="21">
        <f t="shared" si="123"/>
        <v>0.35669027208348869</v>
      </c>
      <c r="K2651" s="1">
        <v>2</v>
      </c>
      <c r="L2651" s="24">
        <v>3.6</v>
      </c>
      <c r="M2651" s="24">
        <v>32.76</v>
      </c>
      <c r="N2651" s="21">
        <f t="shared" si="124"/>
        <v>0.22102124487513977</v>
      </c>
      <c r="P2651" s="1">
        <v>4</v>
      </c>
      <c r="Q2651" s="24">
        <v>4.3680000000000021</v>
      </c>
      <c r="R2651" s="24">
        <v>32.031999999999996</v>
      </c>
      <c r="S2651" s="21">
        <f t="shared" si="125"/>
        <v>0.19388743943346995</v>
      </c>
    </row>
    <row r="2652" spans="2:19" ht="11.4" customHeight="1" x14ac:dyDescent="0.2">
      <c r="B2652" s="24"/>
      <c r="C2652" s="10">
        <v>9493</v>
      </c>
      <c r="D2652" s="18" t="s">
        <v>2755</v>
      </c>
      <c r="E2652" s="18" t="s">
        <v>2662</v>
      </c>
      <c r="F2652" s="17">
        <v>12</v>
      </c>
      <c r="G2652" s="18" t="s">
        <v>23</v>
      </c>
      <c r="H2652" s="17">
        <v>25.9</v>
      </c>
      <c r="I2652" s="11">
        <v>30.4</v>
      </c>
      <c r="J2652" s="21">
        <f t="shared" si="123"/>
        <v>0.17374517374517376</v>
      </c>
      <c r="K2652" s="1">
        <v>2</v>
      </c>
      <c r="L2652" s="24">
        <v>3</v>
      </c>
      <c r="M2652" s="24">
        <v>27.36</v>
      </c>
      <c r="N2652" s="21">
        <f t="shared" si="124"/>
        <v>5.6370656370656406E-2</v>
      </c>
      <c r="P2652" s="1">
        <v>4</v>
      </c>
      <c r="Q2652" s="24">
        <v>3.6479999999999997</v>
      </c>
      <c r="R2652" s="24">
        <v>26.751999999999999</v>
      </c>
      <c r="S2652" s="21">
        <f t="shared" si="125"/>
        <v>3.289575289575291E-2</v>
      </c>
    </row>
    <row r="2653" spans="2:19" ht="11.4" customHeight="1" x14ac:dyDescent="0.2">
      <c r="B2653" s="24"/>
      <c r="C2653" s="10">
        <v>34330</v>
      </c>
      <c r="D2653" s="18" t="s">
        <v>2756</v>
      </c>
      <c r="E2653" s="18" t="s">
        <v>2662</v>
      </c>
      <c r="F2653" s="17">
        <v>12</v>
      </c>
      <c r="G2653" s="18" t="s">
        <v>23</v>
      </c>
      <c r="H2653" s="17">
        <v>30.7</v>
      </c>
      <c r="I2653" s="11">
        <v>36.4</v>
      </c>
      <c r="J2653" s="21">
        <f t="shared" si="123"/>
        <v>0.18566775244299671</v>
      </c>
      <c r="K2653" s="1">
        <v>2</v>
      </c>
      <c r="L2653" s="24">
        <v>3.6</v>
      </c>
      <c r="M2653" s="24">
        <v>32.76</v>
      </c>
      <c r="N2653" s="21">
        <f t="shared" si="124"/>
        <v>6.7100977198697023E-2</v>
      </c>
      <c r="P2653" s="1">
        <v>4</v>
      </c>
      <c r="Q2653" s="24">
        <v>4.3680000000000021</v>
      </c>
      <c r="R2653" s="24">
        <v>32.031999999999996</v>
      </c>
      <c r="S2653" s="21">
        <f t="shared" si="125"/>
        <v>4.3387622149837046E-2</v>
      </c>
    </row>
    <row r="2654" spans="2:19" ht="11.4" customHeight="1" x14ac:dyDescent="0.2">
      <c r="B2654" s="24"/>
      <c r="C2654" s="10">
        <v>19690</v>
      </c>
      <c r="D2654" s="18" t="s">
        <v>2757</v>
      </c>
      <c r="E2654" s="18" t="s">
        <v>2662</v>
      </c>
      <c r="F2654" s="17">
        <v>15</v>
      </c>
      <c r="G2654" s="18" t="s">
        <v>23</v>
      </c>
      <c r="H2654" s="17">
        <v>26.9</v>
      </c>
      <c r="I2654" s="11">
        <v>28.9</v>
      </c>
      <c r="J2654" s="21">
        <f t="shared" si="123"/>
        <v>7.434944237918216E-2</v>
      </c>
      <c r="K2654" s="1">
        <v>2</v>
      </c>
      <c r="L2654" s="24">
        <v>2.8</v>
      </c>
      <c r="M2654" s="24">
        <v>26.009999999999998</v>
      </c>
      <c r="N2654" s="21">
        <f t="shared" si="124"/>
        <v>-3.3085501858736086E-2</v>
      </c>
      <c r="P2654" s="1">
        <v>4</v>
      </c>
      <c r="Q2654" s="24">
        <v>3.468</v>
      </c>
      <c r="R2654" s="24">
        <v>25.431999999999999</v>
      </c>
      <c r="S2654" s="21">
        <f t="shared" si="125"/>
        <v>-5.4572490706319705E-2</v>
      </c>
    </row>
    <row r="2655" spans="2:19" ht="11.4" customHeight="1" x14ac:dyDescent="0.2">
      <c r="B2655" s="24"/>
      <c r="C2655" s="10">
        <v>34138</v>
      </c>
      <c r="D2655" s="18" t="s">
        <v>2758</v>
      </c>
      <c r="E2655" s="18" t="s">
        <v>2662</v>
      </c>
      <c r="F2655" s="17">
        <v>12</v>
      </c>
      <c r="G2655" s="18" t="s">
        <v>23</v>
      </c>
      <c r="H2655" s="17">
        <v>24.5</v>
      </c>
      <c r="I2655" s="11">
        <v>25.9</v>
      </c>
      <c r="J2655" s="21">
        <f t="shared" si="123"/>
        <v>5.7142857142857086E-2</v>
      </c>
      <c r="K2655" s="1">
        <v>2</v>
      </c>
      <c r="L2655" s="24">
        <v>2.5</v>
      </c>
      <c r="M2655" s="24">
        <v>23.31</v>
      </c>
      <c r="N2655" s="21">
        <f t="shared" si="124"/>
        <v>-4.8571428571428626E-2</v>
      </c>
      <c r="P2655" s="1">
        <v>4</v>
      </c>
      <c r="Q2655" s="24">
        <v>3.1080000000000005</v>
      </c>
      <c r="R2655" s="24">
        <v>22.791999999999998</v>
      </c>
      <c r="S2655" s="21">
        <f t="shared" si="125"/>
        <v>-6.9714285714285798E-2</v>
      </c>
    </row>
    <row r="2656" spans="2:19" ht="11.4" customHeight="1" x14ac:dyDescent="0.2">
      <c r="B2656" s="24"/>
      <c r="C2656" s="10">
        <v>24532</v>
      </c>
      <c r="D2656" s="18" t="s">
        <v>2759</v>
      </c>
      <c r="E2656" s="18" t="s">
        <v>2662</v>
      </c>
      <c r="F2656" s="18"/>
      <c r="G2656" s="18" t="s">
        <v>23</v>
      </c>
      <c r="H2656" s="17">
        <v>13.08</v>
      </c>
      <c r="I2656" s="11">
        <v>16.7</v>
      </c>
      <c r="J2656" s="21">
        <f t="shared" si="123"/>
        <v>0.27675840978593264</v>
      </c>
      <c r="K2656" s="1">
        <v>2</v>
      </c>
      <c r="L2656" s="24">
        <v>1.6</v>
      </c>
      <c r="M2656" s="24">
        <v>15.03</v>
      </c>
      <c r="N2656" s="21">
        <f t="shared" si="124"/>
        <v>0.14908256880733939</v>
      </c>
      <c r="P2656" s="1">
        <v>4</v>
      </c>
      <c r="Q2656" s="24">
        <v>2.0039999999999996</v>
      </c>
      <c r="R2656" s="24">
        <v>14.696</v>
      </c>
      <c r="S2656" s="21">
        <f t="shared" si="125"/>
        <v>0.12354740061162077</v>
      </c>
    </row>
    <row r="2657" spans="2:19" ht="11.4" customHeight="1" x14ac:dyDescent="0.2">
      <c r="B2657" s="24"/>
      <c r="C2657" s="10">
        <v>6452</v>
      </c>
      <c r="D2657" s="18" t="s">
        <v>2760</v>
      </c>
      <c r="E2657" s="18" t="s">
        <v>2662</v>
      </c>
      <c r="F2657" s="17">
        <v>24</v>
      </c>
      <c r="G2657" s="18" t="s">
        <v>23</v>
      </c>
      <c r="H2657" s="17">
        <v>20.9</v>
      </c>
      <c r="I2657" s="11">
        <v>25.6</v>
      </c>
      <c r="J2657" s="21">
        <f t="shared" si="123"/>
        <v>0.22488038277511976</v>
      </c>
      <c r="K2657" s="1">
        <v>2</v>
      </c>
      <c r="L2657" s="24">
        <v>2.5</v>
      </c>
      <c r="M2657" s="24">
        <v>23.040000000000003</v>
      </c>
      <c r="N2657" s="21">
        <f t="shared" si="124"/>
        <v>0.10239234449760785</v>
      </c>
      <c r="P2657" s="1">
        <v>4</v>
      </c>
      <c r="Q2657" s="24">
        <v>3.0719999999999992</v>
      </c>
      <c r="R2657" s="24">
        <v>22.528000000000002</v>
      </c>
      <c r="S2657" s="21">
        <f t="shared" si="125"/>
        <v>7.7894736842105447E-2</v>
      </c>
    </row>
    <row r="2658" spans="2:19" ht="11.4" customHeight="1" x14ac:dyDescent="0.2">
      <c r="B2658" s="24"/>
      <c r="C2658" s="10">
        <v>2457</v>
      </c>
      <c r="D2658" s="18" t="s">
        <v>2761</v>
      </c>
      <c r="E2658" s="18" t="s">
        <v>2662</v>
      </c>
      <c r="F2658" s="17">
        <v>12</v>
      </c>
      <c r="G2658" s="18" t="s">
        <v>23</v>
      </c>
      <c r="H2658" s="17">
        <v>24.5</v>
      </c>
      <c r="I2658" s="11">
        <v>23.9</v>
      </c>
      <c r="J2658" s="21">
        <f t="shared" si="123"/>
        <v>-2.4489795918367405E-2</v>
      </c>
      <c r="K2658" s="1">
        <v>2</v>
      </c>
      <c r="L2658" s="24">
        <v>2.2999999999999998</v>
      </c>
      <c r="M2658" s="24">
        <v>21.509999999999998</v>
      </c>
      <c r="N2658" s="21">
        <f t="shared" si="124"/>
        <v>-0.12204081632653069</v>
      </c>
      <c r="P2658" s="1">
        <v>4</v>
      </c>
      <c r="Q2658" s="24">
        <v>2.8679999999999986</v>
      </c>
      <c r="R2658" s="24">
        <v>21.032</v>
      </c>
      <c r="S2658" s="21">
        <f t="shared" si="125"/>
        <v>-0.14155102040816325</v>
      </c>
    </row>
    <row r="2659" spans="2:19" ht="11.4" customHeight="1" x14ac:dyDescent="0.2">
      <c r="B2659" s="24"/>
      <c r="C2659" s="10">
        <v>24490</v>
      </c>
      <c r="D2659" s="18" t="s">
        <v>2762</v>
      </c>
      <c r="E2659" s="18" t="s">
        <v>2662</v>
      </c>
      <c r="F2659" s="17">
        <v>12</v>
      </c>
      <c r="G2659" s="18" t="s">
        <v>23</v>
      </c>
      <c r="H2659" s="17">
        <v>13.08</v>
      </c>
      <c r="I2659" s="11">
        <v>16.7</v>
      </c>
      <c r="J2659" s="21">
        <f t="shared" si="123"/>
        <v>0.27675840978593264</v>
      </c>
      <c r="K2659" s="1">
        <v>2</v>
      </c>
      <c r="L2659" s="24">
        <v>1.6</v>
      </c>
      <c r="M2659" s="24">
        <v>15.03</v>
      </c>
      <c r="N2659" s="21">
        <f t="shared" si="124"/>
        <v>0.14908256880733939</v>
      </c>
      <c r="P2659" s="1">
        <v>4</v>
      </c>
      <c r="Q2659" s="24">
        <v>2.0039999999999996</v>
      </c>
      <c r="R2659" s="24">
        <v>14.696</v>
      </c>
      <c r="S2659" s="21">
        <f t="shared" si="125"/>
        <v>0.12354740061162077</v>
      </c>
    </row>
    <row r="2660" spans="2:19" ht="11.4" customHeight="1" x14ac:dyDescent="0.2">
      <c r="B2660" s="24"/>
      <c r="C2660" s="10">
        <v>6467</v>
      </c>
      <c r="D2660" s="18" t="s">
        <v>2763</v>
      </c>
      <c r="E2660" s="18" t="s">
        <v>2662</v>
      </c>
      <c r="F2660" s="18"/>
      <c r="G2660" s="18" t="s">
        <v>23</v>
      </c>
      <c r="H2660" s="17">
        <v>19.38</v>
      </c>
      <c r="I2660" s="11">
        <v>23.9</v>
      </c>
      <c r="J2660" s="21">
        <f t="shared" si="123"/>
        <v>0.23323013415892671</v>
      </c>
      <c r="K2660" s="1">
        <v>2</v>
      </c>
      <c r="L2660" s="24">
        <v>2.2999999999999998</v>
      </c>
      <c r="M2660" s="24">
        <v>21.509999999999998</v>
      </c>
      <c r="N2660" s="21">
        <f t="shared" si="124"/>
        <v>0.10990712074303401</v>
      </c>
      <c r="P2660" s="1">
        <v>4</v>
      </c>
      <c r="Q2660" s="24">
        <v>2.8679999999999986</v>
      </c>
      <c r="R2660" s="24">
        <v>21.032</v>
      </c>
      <c r="S2660" s="21">
        <f t="shared" si="125"/>
        <v>8.5242518059855582E-2</v>
      </c>
    </row>
    <row r="2661" spans="2:19" ht="11.4" customHeight="1" x14ac:dyDescent="0.2">
      <c r="B2661" s="24"/>
      <c r="C2661" s="10">
        <v>6453</v>
      </c>
      <c r="D2661" s="18" t="s">
        <v>2764</v>
      </c>
      <c r="E2661" s="18" t="s">
        <v>2662</v>
      </c>
      <c r="F2661" s="17">
        <v>24</v>
      </c>
      <c r="G2661" s="18" t="s">
        <v>23</v>
      </c>
      <c r="H2661" s="17">
        <v>28.6</v>
      </c>
      <c r="I2661" s="11">
        <v>30</v>
      </c>
      <c r="J2661" s="21">
        <f t="shared" si="123"/>
        <v>4.8951048951048896E-2</v>
      </c>
      <c r="K2661" s="1">
        <v>2</v>
      </c>
      <c r="L2661" s="24">
        <v>3</v>
      </c>
      <c r="M2661" s="24">
        <v>27</v>
      </c>
      <c r="N2661" s="21">
        <f t="shared" si="124"/>
        <v>-5.5944055944055993E-2</v>
      </c>
      <c r="P2661" s="1">
        <v>4</v>
      </c>
      <c r="Q2661" s="24">
        <v>3.6000000000000014</v>
      </c>
      <c r="R2661" s="24">
        <v>26.4</v>
      </c>
      <c r="S2661" s="21">
        <f t="shared" si="125"/>
        <v>-7.6923076923077024E-2</v>
      </c>
    </row>
    <row r="2662" spans="2:19" ht="11.4" customHeight="1" x14ac:dyDescent="0.2">
      <c r="B2662" s="24"/>
      <c r="C2662" s="10">
        <v>46877</v>
      </c>
      <c r="D2662" s="18" t="s">
        <v>2765</v>
      </c>
      <c r="E2662" s="18" t="s">
        <v>2662</v>
      </c>
      <c r="F2662" s="17">
        <v>12</v>
      </c>
      <c r="G2662" s="18" t="s">
        <v>23</v>
      </c>
      <c r="H2662" s="17">
        <v>20.65</v>
      </c>
      <c r="I2662" s="11">
        <v>30.4</v>
      </c>
      <c r="J2662" s="21">
        <f t="shared" si="123"/>
        <v>0.47215496368038745</v>
      </c>
      <c r="K2662" s="1">
        <v>2</v>
      </c>
      <c r="L2662" s="24">
        <v>3</v>
      </c>
      <c r="M2662" s="24">
        <v>27.36</v>
      </c>
      <c r="N2662" s="21">
        <f t="shared" si="124"/>
        <v>0.32493946731234874</v>
      </c>
      <c r="P2662" s="1">
        <v>4</v>
      </c>
      <c r="Q2662" s="24">
        <v>3.6479999999999997</v>
      </c>
      <c r="R2662" s="24">
        <v>26.751999999999999</v>
      </c>
      <c r="S2662" s="21">
        <f t="shared" si="125"/>
        <v>0.29549636803874096</v>
      </c>
    </row>
    <row r="2663" spans="2:19" ht="11.4" customHeight="1" x14ac:dyDescent="0.2">
      <c r="B2663" s="24"/>
      <c r="C2663" s="10">
        <v>44742</v>
      </c>
      <c r="D2663" s="18" t="s">
        <v>2766</v>
      </c>
      <c r="E2663" s="18" t="s">
        <v>2662</v>
      </c>
      <c r="F2663" s="17">
        <v>12</v>
      </c>
      <c r="G2663" s="18" t="s">
        <v>23</v>
      </c>
      <c r="H2663" s="17">
        <v>26.83</v>
      </c>
      <c r="I2663" s="11">
        <v>36.4</v>
      </c>
      <c r="J2663" s="21">
        <f t="shared" si="123"/>
        <v>0.35669027208348869</v>
      </c>
      <c r="K2663" s="1">
        <v>2</v>
      </c>
      <c r="L2663" s="24">
        <v>3.6</v>
      </c>
      <c r="M2663" s="24">
        <v>32.76</v>
      </c>
      <c r="N2663" s="21">
        <f t="shared" si="124"/>
        <v>0.22102124487513977</v>
      </c>
      <c r="P2663" s="1">
        <v>4</v>
      </c>
      <c r="Q2663" s="24">
        <v>4.3680000000000021</v>
      </c>
      <c r="R2663" s="24">
        <v>32.031999999999996</v>
      </c>
      <c r="S2663" s="21">
        <f t="shared" si="125"/>
        <v>0.19388743943346995</v>
      </c>
    </row>
    <row r="2664" spans="2:19" ht="11.4" customHeight="1" x14ac:dyDescent="0.2">
      <c r="B2664" s="24"/>
      <c r="C2664" s="10">
        <v>11814</v>
      </c>
      <c r="D2664" s="18" t="s">
        <v>2767</v>
      </c>
      <c r="E2664" s="18" t="s">
        <v>2654</v>
      </c>
      <c r="F2664" s="17">
        <v>9</v>
      </c>
      <c r="G2664" s="18" t="s">
        <v>23</v>
      </c>
      <c r="H2664" s="17">
        <v>21.5</v>
      </c>
      <c r="I2664" s="11">
        <v>24.9</v>
      </c>
      <c r="J2664" s="21">
        <f t="shared" si="123"/>
        <v>0.15813953488372087</v>
      </c>
      <c r="K2664" s="1">
        <v>2</v>
      </c>
      <c r="L2664" s="24">
        <v>2.4</v>
      </c>
      <c r="M2664" s="24">
        <v>22.41</v>
      </c>
      <c r="N2664" s="21">
        <f t="shared" si="124"/>
        <v>4.2325581395348845E-2</v>
      </c>
      <c r="P2664" s="1">
        <v>4</v>
      </c>
      <c r="Q2664" s="24">
        <v>2.9879999999999995</v>
      </c>
      <c r="R2664" s="24">
        <v>21.911999999999999</v>
      </c>
      <c r="S2664" s="21">
        <f t="shared" si="125"/>
        <v>1.9162790697674372E-2</v>
      </c>
    </row>
    <row r="2665" spans="2:19" ht="11.4" customHeight="1" x14ac:dyDescent="0.2">
      <c r="B2665" s="24"/>
      <c r="C2665" s="10">
        <v>46875</v>
      </c>
      <c r="D2665" s="18" t="s">
        <v>2768</v>
      </c>
      <c r="E2665" s="18" t="s">
        <v>2662</v>
      </c>
      <c r="F2665" s="17">
        <v>12</v>
      </c>
      <c r="G2665" s="18" t="s">
        <v>23</v>
      </c>
      <c r="H2665" s="17">
        <v>20.66</v>
      </c>
      <c r="I2665" s="11">
        <v>30.4</v>
      </c>
      <c r="J2665" s="21">
        <f t="shared" si="123"/>
        <v>0.47144240077444327</v>
      </c>
      <c r="K2665" s="1">
        <v>2</v>
      </c>
      <c r="L2665" s="24">
        <v>3</v>
      </c>
      <c r="M2665" s="24">
        <v>27.36</v>
      </c>
      <c r="N2665" s="21">
        <f t="shared" si="124"/>
        <v>0.32429816069699902</v>
      </c>
      <c r="P2665" s="1">
        <v>4</v>
      </c>
      <c r="Q2665" s="24">
        <v>3.6479999999999997</v>
      </c>
      <c r="R2665" s="24">
        <v>26.751999999999999</v>
      </c>
      <c r="S2665" s="21">
        <f t="shared" si="125"/>
        <v>0.29486931268151012</v>
      </c>
    </row>
    <row r="2666" spans="2:19" ht="11.4" customHeight="1" x14ac:dyDescent="0.2">
      <c r="B2666" s="24"/>
      <c r="C2666" s="10">
        <v>19110</v>
      </c>
      <c r="D2666" s="18" t="s">
        <v>2769</v>
      </c>
      <c r="E2666" s="18" t="s">
        <v>2662</v>
      </c>
      <c r="F2666" s="17">
        <v>15</v>
      </c>
      <c r="G2666" s="18" t="s">
        <v>23</v>
      </c>
      <c r="H2666" s="17">
        <v>26.9</v>
      </c>
      <c r="I2666" s="11">
        <v>28.9</v>
      </c>
      <c r="J2666" s="21">
        <f t="shared" si="123"/>
        <v>7.434944237918216E-2</v>
      </c>
      <c r="K2666" s="1">
        <v>2</v>
      </c>
      <c r="L2666" s="24">
        <v>2.8</v>
      </c>
      <c r="M2666" s="24">
        <v>26.009999999999998</v>
      </c>
      <c r="N2666" s="21">
        <f t="shared" si="124"/>
        <v>-3.3085501858736086E-2</v>
      </c>
      <c r="P2666" s="1">
        <v>4</v>
      </c>
      <c r="Q2666" s="24">
        <v>3.468</v>
      </c>
      <c r="R2666" s="24">
        <v>25.431999999999999</v>
      </c>
      <c r="S2666" s="21">
        <f t="shared" si="125"/>
        <v>-5.4572490706319705E-2</v>
      </c>
    </row>
    <row r="2667" spans="2:19" ht="11.4" customHeight="1" x14ac:dyDescent="0.2">
      <c r="B2667" s="24"/>
      <c r="C2667" s="10">
        <v>39191</v>
      </c>
      <c r="D2667" s="18" t="s">
        <v>2770</v>
      </c>
      <c r="E2667" s="18" t="s">
        <v>2662</v>
      </c>
      <c r="F2667" s="17">
        <v>20</v>
      </c>
      <c r="G2667" s="18" t="s">
        <v>23</v>
      </c>
      <c r="H2667" s="17">
        <v>56.3</v>
      </c>
      <c r="I2667" s="11">
        <v>55.1</v>
      </c>
      <c r="J2667" s="21">
        <f t="shared" si="123"/>
        <v>-2.1314387211367598E-2</v>
      </c>
      <c r="K2667" s="1">
        <v>2</v>
      </c>
      <c r="L2667" s="24">
        <v>5.5</v>
      </c>
      <c r="M2667" s="24">
        <v>49.59</v>
      </c>
      <c r="N2667" s="21">
        <f t="shared" si="124"/>
        <v>-0.1191829484902308</v>
      </c>
      <c r="P2667" s="1">
        <v>4</v>
      </c>
      <c r="Q2667" s="24">
        <v>6.6120000000000019</v>
      </c>
      <c r="R2667" s="24">
        <v>48.488</v>
      </c>
      <c r="S2667" s="21">
        <f t="shared" si="125"/>
        <v>-0.13875666074600351</v>
      </c>
    </row>
    <row r="2668" spans="2:19" ht="11.4" customHeight="1" x14ac:dyDescent="0.2">
      <c r="B2668" s="24"/>
      <c r="C2668" s="10">
        <v>16080</v>
      </c>
      <c r="D2668" s="18" t="s">
        <v>2771</v>
      </c>
      <c r="E2668" s="18" t="s">
        <v>2662</v>
      </c>
      <c r="F2668" s="17">
        <v>12</v>
      </c>
      <c r="G2668" s="18" t="s">
        <v>23</v>
      </c>
      <c r="H2668" s="17">
        <v>24.5</v>
      </c>
      <c r="I2668" s="11">
        <v>25.9</v>
      </c>
      <c r="J2668" s="21">
        <f t="shared" si="123"/>
        <v>5.7142857142857086E-2</v>
      </c>
      <c r="K2668" s="1">
        <v>2</v>
      </c>
      <c r="L2668" s="24">
        <v>2.5</v>
      </c>
      <c r="M2668" s="24">
        <v>23.31</v>
      </c>
      <c r="N2668" s="21">
        <f t="shared" si="124"/>
        <v>-4.8571428571428626E-2</v>
      </c>
      <c r="P2668" s="1">
        <v>4</v>
      </c>
      <c r="Q2668" s="24">
        <v>3.1080000000000005</v>
      </c>
      <c r="R2668" s="24">
        <v>22.791999999999998</v>
      </c>
      <c r="S2668" s="21">
        <f t="shared" si="125"/>
        <v>-6.9714285714285798E-2</v>
      </c>
    </row>
    <row r="2669" spans="2:19" ht="11.4" customHeight="1" x14ac:dyDescent="0.2">
      <c r="B2669" s="24"/>
      <c r="C2669" s="10">
        <v>34140</v>
      </c>
      <c r="D2669" s="18" t="s">
        <v>2772</v>
      </c>
      <c r="E2669" s="18" t="s">
        <v>2662</v>
      </c>
      <c r="F2669" s="18"/>
      <c r="G2669" s="18" t="s">
        <v>23</v>
      </c>
      <c r="H2669" s="17">
        <v>18.72</v>
      </c>
      <c r="I2669" s="11">
        <v>25.6</v>
      </c>
      <c r="J2669" s="21">
        <f t="shared" si="123"/>
        <v>0.36752136752136766</v>
      </c>
      <c r="K2669" s="1">
        <v>2</v>
      </c>
      <c r="L2669" s="24">
        <v>2.5</v>
      </c>
      <c r="M2669" s="24">
        <v>23.040000000000003</v>
      </c>
      <c r="N2669" s="21">
        <f t="shared" si="124"/>
        <v>0.23076923076923098</v>
      </c>
      <c r="P2669" s="1">
        <v>4</v>
      </c>
      <c r="Q2669" s="24">
        <v>3.0719999999999992</v>
      </c>
      <c r="R2669" s="24">
        <v>22.528000000000002</v>
      </c>
      <c r="S2669" s="21">
        <f t="shared" si="125"/>
        <v>0.20341880341880361</v>
      </c>
    </row>
    <row r="2670" spans="2:19" ht="11.4" customHeight="1" x14ac:dyDescent="0.2">
      <c r="B2670" s="24"/>
      <c r="C2670" s="10">
        <v>45867</v>
      </c>
      <c r="D2670" s="18" t="s">
        <v>2773</v>
      </c>
      <c r="E2670" s="18" t="s">
        <v>2662</v>
      </c>
      <c r="F2670" s="17">
        <v>6</v>
      </c>
      <c r="G2670" s="18" t="s">
        <v>23</v>
      </c>
      <c r="H2670" s="17">
        <v>39.18</v>
      </c>
      <c r="I2670" s="11">
        <v>49.9</v>
      </c>
      <c r="J2670" s="21">
        <f t="shared" si="123"/>
        <v>0.27360898417559976</v>
      </c>
      <c r="K2670" s="1">
        <v>2</v>
      </c>
      <c r="L2670" s="24">
        <v>4.9000000000000004</v>
      </c>
      <c r="M2670" s="24">
        <v>44.91</v>
      </c>
      <c r="N2670" s="21">
        <f t="shared" si="124"/>
        <v>0.14624808575803974</v>
      </c>
      <c r="P2670" s="1">
        <v>4</v>
      </c>
      <c r="Q2670" s="24">
        <v>5.9879999999999995</v>
      </c>
      <c r="R2670" s="24">
        <v>43.911999999999999</v>
      </c>
      <c r="S2670" s="21">
        <f t="shared" si="125"/>
        <v>0.1207759060745278</v>
      </c>
    </row>
    <row r="2671" spans="2:19" ht="11.4" customHeight="1" x14ac:dyDescent="0.2">
      <c r="B2671" s="24"/>
      <c r="C2671" s="10">
        <v>6613</v>
      </c>
      <c r="D2671" s="18" t="s">
        <v>2774</v>
      </c>
      <c r="E2671" s="18" t="s">
        <v>2662</v>
      </c>
      <c r="F2671" s="17">
        <v>12</v>
      </c>
      <c r="G2671" s="18" t="s">
        <v>23</v>
      </c>
      <c r="H2671" s="17">
        <v>26.66</v>
      </c>
      <c r="I2671" s="11">
        <v>34.5</v>
      </c>
      <c r="J2671" s="21">
        <f t="shared" si="123"/>
        <v>0.29407351837959489</v>
      </c>
      <c r="K2671" s="1">
        <v>2</v>
      </c>
      <c r="L2671" s="24">
        <v>3.4</v>
      </c>
      <c r="M2671" s="24">
        <v>31.05</v>
      </c>
      <c r="N2671" s="21">
        <f t="shared" si="124"/>
        <v>0.16466616654163543</v>
      </c>
      <c r="P2671" s="1">
        <v>4</v>
      </c>
      <c r="Q2671" s="24">
        <v>4.1400000000000006</v>
      </c>
      <c r="R2671" s="24">
        <v>30.36</v>
      </c>
      <c r="S2671" s="21">
        <f t="shared" si="125"/>
        <v>0.13878469617404349</v>
      </c>
    </row>
    <row r="2672" spans="2:19" ht="11.4" customHeight="1" x14ac:dyDescent="0.2">
      <c r="B2672" s="24"/>
      <c r="C2672" s="10">
        <v>35527</v>
      </c>
      <c r="D2672" s="18" t="s">
        <v>2775</v>
      </c>
      <c r="E2672" s="18" t="s">
        <v>2662</v>
      </c>
      <c r="F2672" s="17">
        <v>50</v>
      </c>
      <c r="G2672" s="18" t="s">
        <v>23</v>
      </c>
      <c r="H2672" s="17">
        <v>32.9</v>
      </c>
      <c r="I2672" s="11">
        <v>39.5</v>
      </c>
      <c r="J2672" s="21">
        <f t="shared" si="123"/>
        <v>0.20060790273556237</v>
      </c>
      <c r="K2672" s="1">
        <v>2</v>
      </c>
      <c r="L2672" s="24">
        <v>3.9</v>
      </c>
      <c r="M2672" s="24">
        <v>35.550000000000004</v>
      </c>
      <c r="N2672" s="21">
        <f t="shared" si="124"/>
        <v>8.0547112462006257E-2</v>
      </c>
      <c r="P2672" s="1">
        <v>4</v>
      </c>
      <c r="Q2672" s="24">
        <v>4.740000000000002</v>
      </c>
      <c r="R2672" s="24">
        <v>34.76</v>
      </c>
      <c r="S2672" s="21">
        <f t="shared" si="125"/>
        <v>5.6534954407294821E-2</v>
      </c>
    </row>
    <row r="2673" spans="2:19" ht="11.4" customHeight="1" x14ac:dyDescent="0.2">
      <c r="B2673" s="24"/>
      <c r="C2673" s="10">
        <v>8907</v>
      </c>
      <c r="D2673" s="18" t="s">
        <v>2776</v>
      </c>
      <c r="E2673" s="18" t="s">
        <v>2662</v>
      </c>
      <c r="F2673" s="17">
        <v>10</v>
      </c>
      <c r="G2673" s="18" t="s">
        <v>23</v>
      </c>
      <c r="H2673" s="17">
        <v>34.5</v>
      </c>
      <c r="I2673" s="11">
        <v>34.5</v>
      </c>
      <c r="J2673" s="21">
        <f t="shared" si="123"/>
        <v>0</v>
      </c>
      <c r="K2673" s="1">
        <v>2</v>
      </c>
      <c r="L2673" s="24">
        <v>3.4</v>
      </c>
      <c r="M2673" s="24">
        <v>31.05</v>
      </c>
      <c r="N2673" s="21">
        <f t="shared" si="124"/>
        <v>-9.9999999999999978E-2</v>
      </c>
      <c r="P2673" s="1">
        <v>4</v>
      </c>
      <c r="Q2673" s="24">
        <v>4.1400000000000006</v>
      </c>
      <c r="R2673" s="24">
        <v>30.36</v>
      </c>
      <c r="S2673" s="21">
        <f t="shared" si="125"/>
        <v>-0.12000000000000002</v>
      </c>
    </row>
    <row r="2674" spans="2:19" ht="11.4" customHeight="1" x14ac:dyDescent="0.2">
      <c r="B2674" s="24"/>
      <c r="C2674" s="10">
        <v>44743</v>
      </c>
      <c r="D2674" s="18" t="s">
        <v>2777</v>
      </c>
      <c r="E2674" s="18" t="s">
        <v>2662</v>
      </c>
      <c r="F2674" s="17">
        <v>12</v>
      </c>
      <c r="G2674" s="18" t="s">
        <v>23</v>
      </c>
      <c r="H2674" s="17">
        <v>19.420000000000002</v>
      </c>
      <c r="I2674" s="11">
        <v>26.2</v>
      </c>
      <c r="J2674" s="21">
        <f t="shared" si="123"/>
        <v>0.34912461380020582</v>
      </c>
      <c r="K2674" s="1">
        <v>2</v>
      </c>
      <c r="L2674" s="24">
        <v>2.6</v>
      </c>
      <c r="M2674" s="24">
        <v>23.58</v>
      </c>
      <c r="N2674" s="21">
        <f t="shared" si="124"/>
        <v>0.21421215242018518</v>
      </c>
      <c r="P2674" s="1">
        <v>4</v>
      </c>
      <c r="Q2674" s="24">
        <v>3.1439999999999984</v>
      </c>
      <c r="R2674" s="24">
        <v>23.056000000000001</v>
      </c>
      <c r="S2674" s="21">
        <f t="shared" si="125"/>
        <v>0.18722966014418119</v>
      </c>
    </row>
    <row r="2675" spans="2:19" ht="11.4" customHeight="1" x14ac:dyDescent="0.2">
      <c r="B2675" s="24"/>
      <c r="C2675" s="10">
        <v>44744</v>
      </c>
      <c r="D2675" s="18" t="s">
        <v>2778</v>
      </c>
      <c r="E2675" s="18" t="s">
        <v>2662</v>
      </c>
      <c r="F2675" s="17">
        <v>12</v>
      </c>
      <c r="G2675" s="18" t="s">
        <v>23</v>
      </c>
      <c r="H2675" s="17">
        <v>20.149999999999999</v>
      </c>
      <c r="I2675" s="11">
        <v>27.2</v>
      </c>
      <c r="J2675" s="21">
        <f t="shared" si="123"/>
        <v>0.34987593052109189</v>
      </c>
      <c r="K2675" s="1">
        <v>2</v>
      </c>
      <c r="L2675" s="24">
        <v>2.7</v>
      </c>
      <c r="M2675" s="24">
        <v>24.48</v>
      </c>
      <c r="N2675" s="21">
        <f t="shared" si="124"/>
        <v>0.21488833746898273</v>
      </c>
      <c r="P2675" s="1">
        <v>4</v>
      </c>
      <c r="Q2675" s="24">
        <v>3.2639999999999993</v>
      </c>
      <c r="R2675" s="24">
        <v>23.936</v>
      </c>
      <c r="S2675" s="21">
        <f t="shared" si="125"/>
        <v>0.18789081885856088</v>
      </c>
    </row>
    <row r="2676" spans="2:19" ht="11.4" customHeight="1" x14ac:dyDescent="0.2">
      <c r="B2676" s="24"/>
      <c r="C2676" s="10">
        <v>44745</v>
      </c>
      <c r="D2676" s="18" t="s">
        <v>2779</v>
      </c>
      <c r="E2676" s="18" t="s">
        <v>2662</v>
      </c>
      <c r="F2676" s="17">
        <v>6</v>
      </c>
      <c r="G2676" s="18" t="s">
        <v>23</v>
      </c>
      <c r="H2676" s="17">
        <v>42.13</v>
      </c>
      <c r="I2676" s="11">
        <v>53.9</v>
      </c>
      <c r="J2676" s="21">
        <f t="shared" si="123"/>
        <v>0.279373368146214</v>
      </c>
      <c r="K2676" s="1">
        <v>2</v>
      </c>
      <c r="L2676" s="24">
        <v>5.3</v>
      </c>
      <c r="M2676" s="24">
        <v>48.51</v>
      </c>
      <c r="N2676" s="21">
        <f t="shared" si="124"/>
        <v>0.15143603133159259</v>
      </c>
      <c r="P2676" s="1">
        <v>4</v>
      </c>
      <c r="Q2676" s="24">
        <v>6.4679999999999964</v>
      </c>
      <c r="R2676" s="24">
        <v>47.432000000000002</v>
      </c>
      <c r="S2676" s="21">
        <f t="shared" si="125"/>
        <v>0.12584856396866839</v>
      </c>
    </row>
    <row r="2677" spans="2:19" ht="11.4" customHeight="1" x14ac:dyDescent="0.2">
      <c r="B2677" s="24"/>
      <c r="C2677" s="10">
        <v>40928</v>
      </c>
      <c r="D2677" s="18" t="s">
        <v>2780</v>
      </c>
      <c r="E2677" s="18" t="s">
        <v>2662</v>
      </c>
      <c r="F2677" s="17">
        <v>6</v>
      </c>
      <c r="G2677" s="18" t="s">
        <v>23</v>
      </c>
      <c r="H2677" s="17">
        <v>19.420000000000002</v>
      </c>
      <c r="I2677" s="11">
        <v>26.2</v>
      </c>
      <c r="J2677" s="21">
        <f t="shared" si="123"/>
        <v>0.34912461380020582</v>
      </c>
      <c r="K2677" s="1">
        <v>2</v>
      </c>
      <c r="L2677" s="24">
        <v>2.6</v>
      </c>
      <c r="M2677" s="24">
        <v>23.58</v>
      </c>
      <c r="N2677" s="21">
        <f t="shared" si="124"/>
        <v>0.21421215242018518</v>
      </c>
      <c r="P2677" s="1">
        <v>4</v>
      </c>
      <c r="Q2677" s="24">
        <v>3.1439999999999984</v>
      </c>
      <c r="R2677" s="24">
        <v>23.056000000000001</v>
      </c>
      <c r="S2677" s="21">
        <f t="shared" si="125"/>
        <v>0.18722966014418119</v>
      </c>
    </row>
    <row r="2678" spans="2:19" ht="11.4" customHeight="1" x14ac:dyDescent="0.2">
      <c r="B2678" s="24"/>
      <c r="C2678" s="10">
        <v>40929</v>
      </c>
      <c r="D2678" s="18" t="s">
        <v>2781</v>
      </c>
      <c r="E2678" s="18" t="s">
        <v>2662</v>
      </c>
      <c r="F2678" s="17">
        <v>6</v>
      </c>
      <c r="G2678" s="18" t="s">
        <v>23</v>
      </c>
      <c r="H2678" s="17">
        <v>20.149999999999999</v>
      </c>
      <c r="I2678" s="11">
        <v>27.2</v>
      </c>
      <c r="J2678" s="21">
        <f t="shared" si="123"/>
        <v>0.34987593052109189</v>
      </c>
      <c r="K2678" s="1">
        <v>2</v>
      </c>
      <c r="L2678" s="24">
        <v>2.7</v>
      </c>
      <c r="M2678" s="24">
        <v>24.48</v>
      </c>
      <c r="N2678" s="21">
        <f t="shared" si="124"/>
        <v>0.21488833746898273</v>
      </c>
      <c r="P2678" s="1">
        <v>4</v>
      </c>
      <c r="Q2678" s="24">
        <v>3.2639999999999993</v>
      </c>
      <c r="R2678" s="24">
        <v>23.936</v>
      </c>
      <c r="S2678" s="21">
        <f t="shared" si="125"/>
        <v>0.18789081885856088</v>
      </c>
    </row>
    <row r="2679" spans="2:19" ht="11.4" customHeight="1" x14ac:dyDescent="0.2">
      <c r="B2679" s="24"/>
      <c r="C2679" s="10">
        <v>40930</v>
      </c>
      <c r="D2679" s="18" t="s">
        <v>2782</v>
      </c>
      <c r="E2679" s="18" t="s">
        <v>2662</v>
      </c>
      <c r="F2679" s="17">
        <v>6</v>
      </c>
      <c r="G2679" s="18" t="s">
        <v>23</v>
      </c>
      <c r="H2679" s="17">
        <v>42.13</v>
      </c>
      <c r="I2679" s="11">
        <v>53.9</v>
      </c>
      <c r="J2679" s="21">
        <f t="shared" si="123"/>
        <v>0.279373368146214</v>
      </c>
      <c r="K2679" s="1">
        <v>2</v>
      </c>
      <c r="L2679" s="24">
        <v>5.3</v>
      </c>
      <c r="M2679" s="24">
        <v>48.51</v>
      </c>
      <c r="N2679" s="21">
        <f t="shared" si="124"/>
        <v>0.15143603133159259</v>
      </c>
      <c r="P2679" s="1">
        <v>4</v>
      </c>
      <c r="Q2679" s="24">
        <v>6.4679999999999964</v>
      </c>
      <c r="R2679" s="24">
        <v>47.432000000000002</v>
      </c>
      <c r="S2679" s="21">
        <f t="shared" si="125"/>
        <v>0.12584856396866839</v>
      </c>
    </row>
    <row r="2680" spans="2:19" ht="11.4" customHeight="1" x14ac:dyDescent="0.2">
      <c r="B2680" s="24"/>
      <c r="C2680" s="10">
        <v>44760</v>
      </c>
      <c r="D2680" s="18" t="s">
        <v>2783</v>
      </c>
      <c r="E2680" s="18" t="s">
        <v>2662</v>
      </c>
      <c r="F2680" s="17">
        <v>24</v>
      </c>
      <c r="G2680" s="18" t="s">
        <v>23</v>
      </c>
      <c r="H2680" s="17">
        <v>29.7</v>
      </c>
      <c r="I2680" s="11">
        <v>38.9</v>
      </c>
      <c r="J2680" s="21">
        <f t="shared" si="123"/>
        <v>0.30976430976430974</v>
      </c>
      <c r="K2680" s="1">
        <v>2</v>
      </c>
      <c r="L2680" s="24">
        <v>3.8</v>
      </c>
      <c r="M2680" s="24">
        <v>35.01</v>
      </c>
      <c r="N2680" s="21">
        <f t="shared" si="124"/>
        <v>0.17878787878787875</v>
      </c>
      <c r="P2680" s="1">
        <v>4</v>
      </c>
      <c r="Q2680" s="24">
        <v>4.6679999999999993</v>
      </c>
      <c r="R2680" s="24">
        <v>34.231999999999999</v>
      </c>
      <c r="S2680" s="21">
        <f t="shared" si="125"/>
        <v>0.15259259259259259</v>
      </c>
    </row>
    <row r="2681" spans="2:19" ht="11.4" customHeight="1" x14ac:dyDescent="0.2">
      <c r="B2681" s="24"/>
      <c r="C2681" s="10">
        <v>44758</v>
      </c>
      <c r="D2681" s="18" t="s">
        <v>2784</v>
      </c>
      <c r="E2681" s="18" t="s">
        <v>2662</v>
      </c>
      <c r="F2681" s="17">
        <v>24</v>
      </c>
      <c r="G2681" s="18" t="s">
        <v>23</v>
      </c>
      <c r="H2681" s="17">
        <v>29.7</v>
      </c>
      <c r="I2681" s="11">
        <v>38.9</v>
      </c>
      <c r="J2681" s="21">
        <f t="shared" si="123"/>
        <v>0.30976430976430974</v>
      </c>
      <c r="K2681" s="1">
        <v>2</v>
      </c>
      <c r="L2681" s="24">
        <v>3.8</v>
      </c>
      <c r="M2681" s="24">
        <v>35.01</v>
      </c>
      <c r="N2681" s="21">
        <f t="shared" si="124"/>
        <v>0.17878787878787875</v>
      </c>
      <c r="P2681" s="1">
        <v>4</v>
      </c>
      <c r="Q2681" s="24">
        <v>4.6679999999999993</v>
      </c>
      <c r="R2681" s="24">
        <v>34.231999999999999</v>
      </c>
      <c r="S2681" s="21">
        <f t="shared" si="125"/>
        <v>0.15259259259259259</v>
      </c>
    </row>
    <row r="2682" spans="2:19" ht="11.4" customHeight="1" x14ac:dyDescent="0.2">
      <c r="B2682" s="24"/>
      <c r="C2682" s="10">
        <v>44759</v>
      </c>
      <c r="D2682" s="18" t="s">
        <v>2785</v>
      </c>
      <c r="E2682" s="18" t="s">
        <v>2662</v>
      </c>
      <c r="F2682" s="17">
        <v>24</v>
      </c>
      <c r="G2682" s="18" t="s">
        <v>23</v>
      </c>
      <c r="H2682" s="17">
        <v>29.7</v>
      </c>
      <c r="I2682" s="11">
        <v>38.9</v>
      </c>
      <c r="J2682" s="21">
        <f t="shared" si="123"/>
        <v>0.30976430976430974</v>
      </c>
      <c r="K2682" s="1">
        <v>2</v>
      </c>
      <c r="L2682" s="24">
        <v>3.8</v>
      </c>
      <c r="M2682" s="24">
        <v>35.01</v>
      </c>
      <c r="N2682" s="21">
        <f t="shared" si="124"/>
        <v>0.17878787878787875</v>
      </c>
      <c r="P2682" s="1">
        <v>4</v>
      </c>
      <c r="Q2682" s="24">
        <v>4.6679999999999993</v>
      </c>
      <c r="R2682" s="24">
        <v>34.231999999999999</v>
      </c>
      <c r="S2682" s="21">
        <f t="shared" si="125"/>
        <v>0.15259259259259259</v>
      </c>
    </row>
    <row r="2683" spans="2:19" ht="11.4" customHeight="1" x14ac:dyDescent="0.2">
      <c r="B2683" s="24"/>
      <c r="C2683" s="10">
        <v>44765</v>
      </c>
      <c r="D2683" s="18" t="s">
        <v>2786</v>
      </c>
      <c r="E2683" s="18" t="s">
        <v>2662</v>
      </c>
      <c r="F2683" s="17">
        <v>24</v>
      </c>
      <c r="G2683" s="18" t="s">
        <v>23</v>
      </c>
      <c r="H2683" s="17">
        <v>29.7</v>
      </c>
      <c r="I2683" s="11">
        <v>38.9</v>
      </c>
      <c r="J2683" s="21">
        <f t="shared" si="123"/>
        <v>0.30976430976430974</v>
      </c>
      <c r="K2683" s="1">
        <v>2</v>
      </c>
      <c r="L2683" s="24">
        <v>3.8</v>
      </c>
      <c r="M2683" s="24">
        <v>35.01</v>
      </c>
      <c r="N2683" s="21">
        <f t="shared" si="124"/>
        <v>0.17878787878787875</v>
      </c>
      <c r="P2683" s="1">
        <v>4</v>
      </c>
      <c r="Q2683" s="24">
        <v>4.6679999999999993</v>
      </c>
      <c r="R2683" s="24">
        <v>34.231999999999999</v>
      </c>
      <c r="S2683" s="21">
        <f t="shared" si="125"/>
        <v>0.15259259259259259</v>
      </c>
    </row>
    <row r="2684" spans="2:19" ht="11.4" customHeight="1" x14ac:dyDescent="0.2">
      <c r="B2684" s="24"/>
      <c r="C2684" s="10">
        <v>33955</v>
      </c>
      <c r="D2684" s="18" t="s">
        <v>2787</v>
      </c>
      <c r="E2684" s="18" t="s">
        <v>2662</v>
      </c>
      <c r="F2684" s="17">
        <v>6</v>
      </c>
      <c r="G2684" s="18" t="s">
        <v>23</v>
      </c>
      <c r="H2684" s="17">
        <v>22.7</v>
      </c>
      <c r="I2684" s="11">
        <v>26.2</v>
      </c>
      <c r="J2684" s="21">
        <f t="shared" si="123"/>
        <v>0.15418502202643172</v>
      </c>
      <c r="K2684" s="1">
        <v>2</v>
      </c>
      <c r="L2684" s="24">
        <v>2.6</v>
      </c>
      <c r="M2684" s="24">
        <v>23.58</v>
      </c>
      <c r="N2684" s="21">
        <f t="shared" si="124"/>
        <v>3.8766519823788502E-2</v>
      </c>
      <c r="P2684" s="1">
        <v>4</v>
      </c>
      <c r="Q2684" s="24">
        <v>3.1439999999999984</v>
      </c>
      <c r="R2684" s="24">
        <v>23.056000000000001</v>
      </c>
      <c r="S2684" s="21">
        <f t="shared" si="125"/>
        <v>1.5682819383259983E-2</v>
      </c>
    </row>
    <row r="2685" spans="2:19" ht="11.4" customHeight="1" x14ac:dyDescent="0.2">
      <c r="B2685" s="24"/>
      <c r="C2685" s="10">
        <v>33956</v>
      </c>
      <c r="D2685" s="18" t="s">
        <v>2788</v>
      </c>
      <c r="E2685" s="18" t="s">
        <v>2662</v>
      </c>
      <c r="F2685" s="17">
        <v>6</v>
      </c>
      <c r="G2685" s="18" t="s">
        <v>23</v>
      </c>
      <c r="H2685" s="17">
        <v>23.5</v>
      </c>
      <c r="I2685" s="11">
        <v>27.2</v>
      </c>
      <c r="J2685" s="21">
        <f t="shared" si="123"/>
        <v>0.15744680851063828</v>
      </c>
      <c r="K2685" s="1">
        <v>2</v>
      </c>
      <c r="L2685" s="24">
        <v>2.7</v>
      </c>
      <c r="M2685" s="24">
        <v>24.48</v>
      </c>
      <c r="N2685" s="21">
        <f t="shared" si="124"/>
        <v>4.1702127659574484E-2</v>
      </c>
      <c r="P2685" s="1">
        <v>4</v>
      </c>
      <c r="Q2685" s="24">
        <v>3.2639999999999993</v>
      </c>
      <c r="R2685" s="24">
        <v>23.936</v>
      </c>
      <c r="S2685" s="21">
        <f t="shared" si="125"/>
        <v>1.8553191489361701E-2</v>
      </c>
    </row>
    <row r="2686" spans="2:19" ht="11.4" customHeight="1" x14ac:dyDescent="0.2">
      <c r="B2686" s="24"/>
      <c r="C2686" s="10">
        <v>33957</v>
      </c>
      <c r="D2686" s="18" t="s">
        <v>2789</v>
      </c>
      <c r="E2686" s="18" t="s">
        <v>2662</v>
      </c>
      <c r="F2686" s="17">
        <v>6</v>
      </c>
      <c r="G2686" s="18" t="s">
        <v>23</v>
      </c>
      <c r="H2686" s="17">
        <v>50.1</v>
      </c>
      <c r="I2686" s="11">
        <v>53.9</v>
      </c>
      <c r="J2686" s="21">
        <f t="shared" si="123"/>
        <v>7.5848303393213509E-2</v>
      </c>
      <c r="K2686" s="1">
        <v>2</v>
      </c>
      <c r="L2686" s="24">
        <v>5.3</v>
      </c>
      <c r="M2686" s="24">
        <v>48.51</v>
      </c>
      <c r="N2686" s="21">
        <f t="shared" si="124"/>
        <v>-3.1736526946107853E-2</v>
      </c>
      <c r="P2686" s="1">
        <v>4</v>
      </c>
      <c r="Q2686" s="24">
        <v>6.4679999999999964</v>
      </c>
      <c r="R2686" s="24">
        <v>47.432000000000002</v>
      </c>
      <c r="S2686" s="21">
        <f t="shared" si="125"/>
        <v>-5.3253493013972038E-2</v>
      </c>
    </row>
    <row r="2687" spans="2:19" ht="11.4" customHeight="1" x14ac:dyDescent="0.2">
      <c r="B2687" s="24"/>
      <c r="C2687" s="10">
        <v>33958</v>
      </c>
      <c r="D2687" s="18" t="s">
        <v>2790</v>
      </c>
      <c r="E2687" s="18" t="s">
        <v>2662</v>
      </c>
      <c r="F2687" s="17">
        <v>6</v>
      </c>
      <c r="G2687" s="18" t="s">
        <v>23</v>
      </c>
      <c r="H2687" s="17">
        <v>22.7</v>
      </c>
      <c r="I2687" s="11">
        <v>26.2</v>
      </c>
      <c r="J2687" s="21">
        <f t="shared" si="123"/>
        <v>0.15418502202643172</v>
      </c>
      <c r="K2687" s="1">
        <v>2</v>
      </c>
      <c r="L2687" s="24">
        <v>2.6</v>
      </c>
      <c r="M2687" s="24">
        <v>23.58</v>
      </c>
      <c r="N2687" s="21">
        <f t="shared" si="124"/>
        <v>3.8766519823788502E-2</v>
      </c>
      <c r="P2687" s="1">
        <v>4</v>
      </c>
      <c r="Q2687" s="24">
        <v>3.1439999999999984</v>
      </c>
      <c r="R2687" s="24">
        <v>23.056000000000001</v>
      </c>
      <c r="S2687" s="21">
        <f t="shared" si="125"/>
        <v>1.5682819383259983E-2</v>
      </c>
    </row>
    <row r="2688" spans="2:19" ht="11.4" customHeight="1" x14ac:dyDescent="0.2">
      <c r="B2688" s="24"/>
      <c r="C2688" s="10">
        <v>33959</v>
      </c>
      <c r="D2688" s="18" t="s">
        <v>2791</v>
      </c>
      <c r="E2688" s="18" t="s">
        <v>2662</v>
      </c>
      <c r="F2688" s="17">
        <v>6</v>
      </c>
      <c r="G2688" s="18" t="s">
        <v>23</v>
      </c>
      <c r="H2688" s="17">
        <v>23.5</v>
      </c>
      <c r="I2688" s="11">
        <v>27.2</v>
      </c>
      <c r="J2688" s="21">
        <f t="shared" si="123"/>
        <v>0.15744680851063828</v>
      </c>
      <c r="K2688" s="1">
        <v>2</v>
      </c>
      <c r="L2688" s="24">
        <v>2.7</v>
      </c>
      <c r="M2688" s="24">
        <v>24.48</v>
      </c>
      <c r="N2688" s="21">
        <f t="shared" si="124"/>
        <v>4.1702127659574484E-2</v>
      </c>
      <c r="P2688" s="1">
        <v>4</v>
      </c>
      <c r="Q2688" s="24">
        <v>3.2639999999999993</v>
      </c>
      <c r="R2688" s="24">
        <v>23.936</v>
      </c>
      <c r="S2688" s="21">
        <f t="shared" si="125"/>
        <v>1.8553191489361701E-2</v>
      </c>
    </row>
    <row r="2689" spans="2:19" ht="11.4" customHeight="1" x14ac:dyDescent="0.2">
      <c r="B2689" s="24"/>
      <c r="C2689" s="10">
        <v>33960</v>
      </c>
      <c r="D2689" s="18" t="s">
        <v>2792</v>
      </c>
      <c r="E2689" s="18" t="s">
        <v>2662</v>
      </c>
      <c r="F2689" s="17">
        <v>6</v>
      </c>
      <c r="G2689" s="18" t="s">
        <v>23</v>
      </c>
      <c r="H2689" s="17">
        <v>50.1</v>
      </c>
      <c r="I2689" s="11">
        <v>53.9</v>
      </c>
      <c r="J2689" s="21">
        <f t="shared" si="123"/>
        <v>7.5848303393213509E-2</v>
      </c>
      <c r="K2689" s="1">
        <v>2</v>
      </c>
      <c r="L2689" s="24">
        <v>5.3</v>
      </c>
      <c r="M2689" s="24">
        <v>48.51</v>
      </c>
      <c r="N2689" s="21">
        <f t="shared" si="124"/>
        <v>-3.1736526946107853E-2</v>
      </c>
      <c r="P2689" s="1">
        <v>4</v>
      </c>
      <c r="Q2689" s="24">
        <v>6.4679999999999964</v>
      </c>
      <c r="R2689" s="24">
        <v>47.432000000000002</v>
      </c>
      <c r="S2689" s="21">
        <f t="shared" si="125"/>
        <v>-5.3253493013972038E-2</v>
      </c>
    </row>
    <row r="2690" spans="2:19" ht="11.4" customHeight="1" x14ac:dyDescent="0.2">
      <c r="B2690" s="24"/>
      <c r="C2690" s="10">
        <v>33961</v>
      </c>
      <c r="D2690" s="18" t="s">
        <v>2793</v>
      </c>
      <c r="E2690" s="18" t="s">
        <v>2662</v>
      </c>
      <c r="F2690" s="17">
        <v>6</v>
      </c>
      <c r="G2690" s="18" t="s">
        <v>23</v>
      </c>
      <c r="H2690" s="17">
        <v>22.7</v>
      </c>
      <c r="I2690" s="11">
        <v>26.2</v>
      </c>
      <c r="J2690" s="21">
        <f t="shared" si="123"/>
        <v>0.15418502202643172</v>
      </c>
      <c r="K2690" s="1">
        <v>2</v>
      </c>
      <c r="L2690" s="24">
        <v>2.6</v>
      </c>
      <c r="M2690" s="24">
        <v>23.58</v>
      </c>
      <c r="N2690" s="21">
        <f t="shared" si="124"/>
        <v>3.8766519823788502E-2</v>
      </c>
      <c r="P2690" s="1">
        <v>4</v>
      </c>
      <c r="Q2690" s="24">
        <v>3.1439999999999984</v>
      </c>
      <c r="R2690" s="24">
        <v>23.056000000000001</v>
      </c>
      <c r="S2690" s="21">
        <f t="shared" si="125"/>
        <v>1.5682819383259983E-2</v>
      </c>
    </row>
    <row r="2691" spans="2:19" ht="11.4" customHeight="1" x14ac:dyDescent="0.2">
      <c r="B2691" s="24"/>
      <c r="C2691" s="10">
        <v>33962</v>
      </c>
      <c r="D2691" s="18" t="s">
        <v>2794</v>
      </c>
      <c r="E2691" s="18" t="s">
        <v>2662</v>
      </c>
      <c r="F2691" s="17">
        <v>6</v>
      </c>
      <c r="G2691" s="18" t="s">
        <v>23</v>
      </c>
      <c r="H2691" s="17">
        <v>23.5</v>
      </c>
      <c r="I2691" s="11">
        <v>27.2</v>
      </c>
      <c r="J2691" s="21">
        <f t="shared" ref="J2691:J2754" si="126">(I2691-H2691)/H2691</f>
        <v>0.15744680851063828</v>
      </c>
      <c r="K2691" s="1">
        <v>2</v>
      </c>
      <c r="L2691" s="24">
        <v>2.7</v>
      </c>
      <c r="M2691" s="24">
        <v>24.48</v>
      </c>
      <c r="N2691" s="21">
        <f t="shared" ref="N2691:N2754" si="127">(M2691-H2691)/H2691</f>
        <v>4.1702127659574484E-2</v>
      </c>
      <c r="P2691" s="1">
        <v>4</v>
      </c>
      <c r="Q2691" s="24">
        <v>3.2639999999999993</v>
      </c>
      <c r="R2691" s="24">
        <v>23.936</v>
      </c>
      <c r="S2691" s="21">
        <f t="shared" ref="S2691:S2754" si="128">(R2691-H2691)/H2691</f>
        <v>1.8553191489361701E-2</v>
      </c>
    </row>
    <row r="2692" spans="2:19" ht="11.4" customHeight="1" x14ac:dyDescent="0.2">
      <c r="B2692" s="24"/>
      <c r="C2692" s="10">
        <v>33963</v>
      </c>
      <c r="D2692" s="18" t="s">
        <v>2795</v>
      </c>
      <c r="E2692" s="18" t="s">
        <v>2662</v>
      </c>
      <c r="F2692" s="17">
        <v>6</v>
      </c>
      <c r="G2692" s="18" t="s">
        <v>23</v>
      </c>
      <c r="H2692" s="17">
        <v>50.1</v>
      </c>
      <c r="I2692" s="11">
        <v>53.9</v>
      </c>
      <c r="J2692" s="21">
        <f t="shared" si="126"/>
        <v>7.5848303393213509E-2</v>
      </c>
      <c r="K2692" s="1">
        <v>2</v>
      </c>
      <c r="L2692" s="24">
        <v>5.3</v>
      </c>
      <c r="M2692" s="24">
        <v>48.51</v>
      </c>
      <c r="N2692" s="21">
        <f t="shared" si="127"/>
        <v>-3.1736526946107853E-2</v>
      </c>
      <c r="P2692" s="1">
        <v>4</v>
      </c>
      <c r="Q2692" s="24">
        <v>6.4679999999999964</v>
      </c>
      <c r="R2692" s="24">
        <v>47.432000000000002</v>
      </c>
      <c r="S2692" s="21">
        <f t="shared" si="128"/>
        <v>-5.3253493013972038E-2</v>
      </c>
    </row>
    <row r="2693" spans="2:19" ht="11.4" customHeight="1" x14ac:dyDescent="0.2">
      <c r="B2693" s="24"/>
      <c r="C2693" s="10">
        <v>2447</v>
      </c>
      <c r="D2693" s="18" t="s">
        <v>2796</v>
      </c>
      <c r="E2693" s="18" t="s">
        <v>2662</v>
      </c>
      <c r="F2693" s="17">
        <v>12</v>
      </c>
      <c r="G2693" s="18" t="s">
        <v>23</v>
      </c>
      <c r="H2693" s="17">
        <v>21.8</v>
      </c>
      <c r="I2693" s="11">
        <v>26.3</v>
      </c>
      <c r="J2693" s="21">
        <f t="shared" si="126"/>
        <v>0.20642201834862384</v>
      </c>
      <c r="K2693" s="1">
        <v>2</v>
      </c>
      <c r="L2693" s="24">
        <v>2.6</v>
      </c>
      <c r="M2693" s="24">
        <v>23.67</v>
      </c>
      <c r="N2693" s="21">
        <f t="shared" si="127"/>
        <v>8.5779816513761514E-2</v>
      </c>
      <c r="P2693" s="1">
        <v>4</v>
      </c>
      <c r="Q2693" s="24">
        <v>3.1559999999999988</v>
      </c>
      <c r="R2693" s="24">
        <v>23.144000000000002</v>
      </c>
      <c r="S2693" s="21">
        <f t="shared" si="128"/>
        <v>6.1651376146789047E-2</v>
      </c>
    </row>
    <row r="2694" spans="2:19" ht="11.4" customHeight="1" x14ac:dyDescent="0.2">
      <c r="B2694" s="24"/>
      <c r="C2694" s="10">
        <v>27049</v>
      </c>
      <c r="D2694" s="18" t="s">
        <v>2797</v>
      </c>
      <c r="E2694" s="18" t="s">
        <v>2662</v>
      </c>
      <c r="F2694" s="17">
        <v>12</v>
      </c>
      <c r="G2694" s="18" t="s">
        <v>23</v>
      </c>
      <c r="H2694" s="17">
        <v>28.3</v>
      </c>
      <c r="I2694" s="11">
        <v>33.700000000000003</v>
      </c>
      <c r="J2694" s="21">
        <f t="shared" si="126"/>
        <v>0.19081272084805662</v>
      </c>
      <c r="K2694" s="1">
        <v>2</v>
      </c>
      <c r="L2694" s="24">
        <v>3.3</v>
      </c>
      <c r="M2694" s="24">
        <v>30.330000000000002</v>
      </c>
      <c r="N2694" s="21">
        <f t="shared" si="127"/>
        <v>7.1731448763250924E-2</v>
      </c>
      <c r="P2694" s="1">
        <v>4</v>
      </c>
      <c r="Q2694" s="24">
        <v>4.0440000000000005</v>
      </c>
      <c r="R2694" s="24">
        <v>29.656000000000002</v>
      </c>
      <c r="S2694" s="21">
        <f t="shared" si="128"/>
        <v>4.7915194346289811E-2</v>
      </c>
    </row>
    <row r="2695" spans="2:19" ht="11.4" customHeight="1" x14ac:dyDescent="0.2">
      <c r="B2695" s="24"/>
      <c r="C2695" s="10">
        <v>4887</v>
      </c>
      <c r="D2695" s="18" t="s">
        <v>2798</v>
      </c>
      <c r="E2695" s="18" t="s">
        <v>2662</v>
      </c>
      <c r="F2695" s="17">
        <v>12</v>
      </c>
      <c r="G2695" s="18" t="s">
        <v>23</v>
      </c>
      <c r="H2695" s="17">
        <v>21.5</v>
      </c>
      <c r="I2695" s="11">
        <v>27.1</v>
      </c>
      <c r="J2695" s="21">
        <f t="shared" si="126"/>
        <v>0.26046511627906982</v>
      </c>
      <c r="K2695" s="1">
        <v>2</v>
      </c>
      <c r="L2695" s="24">
        <v>2.7</v>
      </c>
      <c r="M2695" s="24">
        <v>24.39</v>
      </c>
      <c r="N2695" s="21">
        <f t="shared" si="127"/>
        <v>0.13441860465116282</v>
      </c>
      <c r="P2695" s="1">
        <v>4</v>
      </c>
      <c r="Q2695" s="24">
        <v>3.2519999999999989</v>
      </c>
      <c r="R2695" s="24">
        <v>23.848000000000003</v>
      </c>
      <c r="S2695" s="21">
        <f t="shared" si="128"/>
        <v>0.10920930232558151</v>
      </c>
    </row>
    <row r="2696" spans="2:19" ht="11.4" customHeight="1" x14ac:dyDescent="0.2">
      <c r="B2696" s="24"/>
      <c r="C2696" s="10">
        <v>34304</v>
      </c>
      <c r="D2696" s="18" t="s">
        <v>2799</v>
      </c>
      <c r="E2696" s="18" t="s">
        <v>2662</v>
      </c>
      <c r="F2696" s="17">
        <v>6</v>
      </c>
      <c r="G2696" s="18" t="s">
        <v>23</v>
      </c>
      <c r="H2696" s="17">
        <v>36.9</v>
      </c>
      <c r="I2696" s="11">
        <v>44.9</v>
      </c>
      <c r="J2696" s="21">
        <f t="shared" si="126"/>
        <v>0.21680216802168023</v>
      </c>
      <c r="K2696" s="1">
        <v>2</v>
      </c>
      <c r="L2696" s="24">
        <v>4.4000000000000004</v>
      </c>
      <c r="M2696" s="24">
        <v>40.409999999999997</v>
      </c>
      <c r="N2696" s="21">
        <f t="shared" si="127"/>
        <v>9.5121951219512141E-2</v>
      </c>
      <c r="P2696" s="1">
        <v>4</v>
      </c>
      <c r="Q2696" s="24">
        <v>5.3879999999999981</v>
      </c>
      <c r="R2696" s="24">
        <v>39.512</v>
      </c>
      <c r="S2696" s="21">
        <f t="shared" si="128"/>
        <v>7.0785907859078651E-2</v>
      </c>
    </row>
    <row r="2697" spans="2:19" ht="11.4" customHeight="1" x14ac:dyDescent="0.2">
      <c r="B2697" s="24"/>
      <c r="C2697" s="10">
        <v>35004</v>
      </c>
      <c r="D2697" s="18" t="s">
        <v>2800</v>
      </c>
      <c r="E2697" s="18" t="s">
        <v>2662</v>
      </c>
      <c r="F2697" s="17">
        <v>6</v>
      </c>
      <c r="G2697" s="18" t="s">
        <v>23</v>
      </c>
      <c r="H2697" s="17">
        <v>49.6</v>
      </c>
      <c r="I2697" s="11">
        <v>56.9</v>
      </c>
      <c r="J2697" s="21">
        <f t="shared" si="126"/>
        <v>0.14717741935483863</v>
      </c>
      <c r="K2697" s="1">
        <v>2</v>
      </c>
      <c r="L2697" s="24">
        <v>5.6</v>
      </c>
      <c r="M2697" s="24">
        <v>51.21</v>
      </c>
      <c r="N2697" s="21">
        <f t="shared" si="127"/>
        <v>3.2459677419354828E-2</v>
      </c>
      <c r="P2697" s="1">
        <v>4</v>
      </c>
      <c r="Q2697" s="24">
        <v>6.828000000000003</v>
      </c>
      <c r="R2697" s="24">
        <v>50.071999999999996</v>
      </c>
      <c r="S2697" s="21">
        <f t="shared" si="128"/>
        <v>9.516129032257948E-3</v>
      </c>
    </row>
    <row r="2698" spans="2:19" ht="11.4" customHeight="1" x14ac:dyDescent="0.2">
      <c r="B2698" s="24"/>
      <c r="C2698" s="10">
        <v>25425</v>
      </c>
      <c r="D2698" s="18" t="s">
        <v>2801</v>
      </c>
      <c r="E2698" s="18" t="s">
        <v>2662</v>
      </c>
      <c r="F2698" s="17">
        <v>20</v>
      </c>
      <c r="G2698" s="18" t="s">
        <v>23</v>
      </c>
      <c r="H2698" s="17">
        <v>56.3</v>
      </c>
      <c r="I2698" s="11">
        <v>55.1</v>
      </c>
      <c r="J2698" s="21">
        <f t="shared" si="126"/>
        <v>-2.1314387211367598E-2</v>
      </c>
      <c r="K2698" s="1">
        <v>2</v>
      </c>
      <c r="L2698" s="24">
        <v>5.5</v>
      </c>
      <c r="M2698" s="24">
        <v>49.59</v>
      </c>
      <c r="N2698" s="21">
        <f t="shared" si="127"/>
        <v>-0.1191829484902308</v>
      </c>
      <c r="P2698" s="1">
        <v>4</v>
      </c>
      <c r="Q2698" s="24">
        <v>6.6120000000000019</v>
      </c>
      <c r="R2698" s="24">
        <v>48.488</v>
      </c>
      <c r="S2698" s="21">
        <f t="shared" si="128"/>
        <v>-0.13875666074600351</v>
      </c>
    </row>
    <row r="2699" spans="2:19" ht="11.4" customHeight="1" x14ac:dyDescent="0.2">
      <c r="B2699" s="24"/>
      <c r="C2699" s="10">
        <v>39457</v>
      </c>
      <c r="D2699" s="18" t="s">
        <v>2802</v>
      </c>
      <c r="E2699" s="18" t="s">
        <v>2662</v>
      </c>
      <c r="F2699" s="17">
        <v>24</v>
      </c>
      <c r="G2699" s="18" t="s">
        <v>23</v>
      </c>
      <c r="H2699" s="17">
        <v>21.9</v>
      </c>
      <c r="I2699" s="11">
        <v>28.9</v>
      </c>
      <c r="J2699" s="21">
        <f t="shared" si="126"/>
        <v>0.31963470319634707</v>
      </c>
      <c r="K2699" s="1">
        <v>2</v>
      </c>
      <c r="L2699" s="24">
        <v>2.8</v>
      </c>
      <c r="M2699" s="24">
        <v>26.009999999999998</v>
      </c>
      <c r="N2699" s="21">
        <f t="shared" si="127"/>
        <v>0.18767123287671231</v>
      </c>
      <c r="P2699" s="1">
        <v>4</v>
      </c>
      <c r="Q2699" s="24">
        <v>3.468</v>
      </c>
      <c r="R2699" s="24">
        <v>25.431999999999999</v>
      </c>
      <c r="S2699" s="21">
        <f t="shared" si="128"/>
        <v>0.16127853881278539</v>
      </c>
    </row>
    <row r="2700" spans="2:19" ht="11.4" customHeight="1" x14ac:dyDescent="0.2">
      <c r="B2700" s="24"/>
      <c r="C2700" s="10">
        <v>44306</v>
      </c>
      <c r="D2700" s="18" t="s">
        <v>2803</v>
      </c>
      <c r="E2700" s="18" t="s">
        <v>2662</v>
      </c>
      <c r="F2700" s="17">
        <v>24</v>
      </c>
      <c r="G2700" s="18" t="s">
        <v>23</v>
      </c>
      <c r="H2700" s="17">
        <v>23.98</v>
      </c>
      <c r="I2700" s="11">
        <v>28.9</v>
      </c>
      <c r="J2700" s="21">
        <f t="shared" si="126"/>
        <v>0.20517097581317756</v>
      </c>
      <c r="K2700" s="1">
        <v>2</v>
      </c>
      <c r="L2700" s="24">
        <v>2.8</v>
      </c>
      <c r="M2700" s="24">
        <v>26.009999999999998</v>
      </c>
      <c r="N2700" s="21">
        <f t="shared" si="127"/>
        <v>8.4653878231859783E-2</v>
      </c>
      <c r="P2700" s="1">
        <v>4</v>
      </c>
      <c r="Q2700" s="24">
        <v>3.468</v>
      </c>
      <c r="R2700" s="24">
        <v>25.431999999999999</v>
      </c>
      <c r="S2700" s="21">
        <f t="shared" si="128"/>
        <v>6.055045871559625E-2</v>
      </c>
    </row>
    <row r="2701" spans="2:19" ht="11.4" customHeight="1" x14ac:dyDescent="0.2">
      <c r="B2701" s="24"/>
      <c r="C2701" s="10">
        <v>47375</v>
      </c>
      <c r="D2701" s="18" t="s">
        <v>2804</v>
      </c>
      <c r="E2701" s="18" t="s">
        <v>2662</v>
      </c>
      <c r="F2701" s="17">
        <v>6</v>
      </c>
      <c r="G2701" s="18" t="s">
        <v>23</v>
      </c>
      <c r="H2701" s="17">
        <v>27.18</v>
      </c>
      <c r="I2701" s="11">
        <v>44.9</v>
      </c>
      <c r="J2701" s="21">
        <f t="shared" si="126"/>
        <v>0.65194996320824128</v>
      </c>
      <c r="K2701" s="1">
        <v>2</v>
      </c>
      <c r="L2701" s="24">
        <v>4.4000000000000004</v>
      </c>
      <c r="M2701" s="24">
        <v>40.409999999999997</v>
      </c>
      <c r="N2701" s="21">
        <f t="shared" si="127"/>
        <v>0.4867549668874171</v>
      </c>
      <c r="P2701" s="1">
        <v>4</v>
      </c>
      <c r="Q2701" s="24">
        <v>5.3879999999999981</v>
      </c>
      <c r="R2701" s="24">
        <v>39.512</v>
      </c>
      <c r="S2701" s="21">
        <f t="shared" si="128"/>
        <v>0.45371596762325245</v>
      </c>
    </row>
    <row r="2702" spans="2:19" ht="11.4" customHeight="1" x14ac:dyDescent="0.2">
      <c r="B2702" s="24"/>
      <c r="C2702" s="10">
        <v>47377</v>
      </c>
      <c r="D2702" s="18" t="s">
        <v>2805</v>
      </c>
      <c r="E2702" s="18" t="s">
        <v>2662</v>
      </c>
      <c r="F2702" s="17">
        <v>6</v>
      </c>
      <c r="G2702" s="18" t="s">
        <v>23</v>
      </c>
      <c r="H2702" s="17">
        <v>27.18</v>
      </c>
      <c r="I2702" s="11">
        <v>44.9</v>
      </c>
      <c r="J2702" s="21">
        <f t="shared" si="126"/>
        <v>0.65194996320824128</v>
      </c>
      <c r="K2702" s="1">
        <v>2</v>
      </c>
      <c r="L2702" s="24">
        <v>4.4000000000000004</v>
      </c>
      <c r="M2702" s="24">
        <v>40.409999999999997</v>
      </c>
      <c r="N2702" s="21">
        <f t="shared" si="127"/>
        <v>0.4867549668874171</v>
      </c>
      <c r="P2702" s="1">
        <v>4</v>
      </c>
      <c r="Q2702" s="24">
        <v>5.3879999999999981</v>
      </c>
      <c r="R2702" s="24">
        <v>39.512</v>
      </c>
      <c r="S2702" s="21">
        <f t="shared" si="128"/>
        <v>0.45371596762325245</v>
      </c>
    </row>
    <row r="2703" spans="2:19" ht="11.4" customHeight="1" x14ac:dyDescent="0.2">
      <c r="B2703" s="24"/>
      <c r="C2703" s="10">
        <v>47378</v>
      </c>
      <c r="D2703" s="18" t="s">
        <v>2806</v>
      </c>
      <c r="E2703" s="18" t="s">
        <v>2662</v>
      </c>
      <c r="F2703" s="17">
        <v>6</v>
      </c>
      <c r="G2703" s="18" t="s">
        <v>23</v>
      </c>
      <c r="H2703" s="17">
        <v>27.18</v>
      </c>
      <c r="I2703" s="11">
        <v>44.9</v>
      </c>
      <c r="J2703" s="21">
        <f t="shared" si="126"/>
        <v>0.65194996320824128</v>
      </c>
      <c r="K2703" s="1">
        <v>2</v>
      </c>
      <c r="L2703" s="24">
        <v>4.4000000000000004</v>
      </c>
      <c r="M2703" s="24">
        <v>40.409999999999997</v>
      </c>
      <c r="N2703" s="21">
        <f t="shared" si="127"/>
        <v>0.4867549668874171</v>
      </c>
      <c r="P2703" s="1">
        <v>4</v>
      </c>
      <c r="Q2703" s="24">
        <v>5.3879999999999981</v>
      </c>
      <c r="R2703" s="24">
        <v>39.512</v>
      </c>
      <c r="S2703" s="21">
        <f t="shared" si="128"/>
        <v>0.45371596762325245</v>
      </c>
    </row>
    <row r="2704" spans="2:19" ht="11.4" customHeight="1" x14ac:dyDescent="0.2">
      <c r="B2704" s="24"/>
      <c r="C2704" s="10">
        <v>47382</v>
      </c>
      <c r="D2704" s="18" t="s">
        <v>2807</v>
      </c>
      <c r="E2704" s="18" t="s">
        <v>2662</v>
      </c>
      <c r="F2704" s="17">
        <v>6</v>
      </c>
      <c r="G2704" s="18" t="s">
        <v>23</v>
      </c>
      <c r="H2704" s="17">
        <v>27.18</v>
      </c>
      <c r="I2704" s="11">
        <v>44.9</v>
      </c>
      <c r="J2704" s="21">
        <f t="shared" si="126"/>
        <v>0.65194996320824128</v>
      </c>
      <c r="K2704" s="1">
        <v>2</v>
      </c>
      <c r="L2704" s="24">
        <v>4.4000000000000004</v>
      </c>
      <c r="M2704" s="24">
        <v>40.409999999999997</v>
      </c>
      <c r="N2704" s="21">
        <f t="shared" si="127"/>
        <v>0.4867549668874171</v>
      </c>
      <c r="P2704" s="1">
        <v>4</v>
      </c>
      <c r="Q2704" s="24">
        <v>5.3879999999999981</v>
      </c>
      <c r="R2704" s="24">
        <v>39.512</v>
      </c>
      <c r="S2704" s="21">
        <f t="shared" si="128"/>
        <v>0.45371596762325245</v>
      </c>
    </row>
    <row r="2705" spans="2:19" ht="11.4" customHeight="1" x14ac:dyDescent="0.2">
      <c r="B2705" s="24"/>
      <c r="C2705" s="10">
        <v>47380</v>
      </c>
      <c r="D2705" s="18" t="s">
        <v>2808</v>
      </c>
      <c r="E2705" s="18" t="s">
        <v>2662</v>
      </c>
      <c r="F2705" s="17">
        <v>6</v>
      </c>
      <c r="G2705" s="18" t="s">
        <v>23</v>
      </c>
      <c r="H2705" s="17">
        <v>27.18</v>
      </c>
      <c r="I2705" s="11">
        <v>44.9</v>
      </c>
      <c r="J2705" s="21">
        <f t="shared" si="126"/>
        <v>0.65194996320824128</v>
      </c>
      <c r="K2705" s="1">
        <v>2</v>
      </c>
      <c r="L2705" s="24">
        <v>4.4000000000000004</v>
      </c>
      <c r="M2705" s="24">
        <v>40.409999999999997</v>
      </c>
      <c r="N2705" s="21">
        <f t="shared" si="127"/>
        <v>0.4867549668874171</v>
      </c>
      <c r="P2705" s="1">
        <v>4</v>
      </c>
      <c r="Q2705" s="24">
        <v>5.3879999999999981</v>
      </c>
      <c r="R2705" s="24">
        <v>39.512</v>
      </c>
      <c r="S2705" s="21">
        <f t="shared" si="128"/>
        <v>0.45371596762325245</v>
      </c>
    </row>
    <row r="2706" spans="2:19" ht="11.4" customHeight="1" x14ac:dyDescent="0.2">
      <c r="B2706" s="24"/>
      <c r="C2706" s="10">
        <v>47376</v>
      </c>
      <c r="D2706" s="18" t="s">
        <v>2809</v>
      </c>
      <c r="E2706" s="18" t="s">
        <v>2662</v>
      </c>
      <c r="F2706" s="17">
        <v>6</v>
      </c>
      <c r="G2706" s="18" t="s">
        <v>23</v>
      </c>
      <c r="H2706" s="17">
        <v>27.18</v>
      </c>
      <c r="I2706" s="11">
        <v>44.9</v>
      </c>
      <c r="J2706" s="21">
        <f t="shared" si="126"/>
        <v>0.65194996320824128</v>
      </c>
      <c r="K2706" s="1">
        <v>2</v>
      </c>
      <c r="L2706" s="24">
        <v>4.4000000000000004</v>
      </c>
      <c r="M2706" s="24">
        <v>40.409999999999997</v>
      </c>
      <c r="N2706" s="21">
        <f t="shared" si="127"/>
        <v>0.4867549668874171</v>
      </c>
      <c r="P2706" s="1">
        <v>4</v>
      </c>
      <c r="Q2706" s="24">
        <v>5.3879999999999981</v>
      </c>
      <c r="R2706" s="24">
        <v>39.512</v>
      </c>
      <c r="S2706" s="21">
        <f t="shared" si="128"/>
        <v>0.45371596762325245</v>
      </c>
    </row>
    <row r="2707" spans="2:19" ht="11.4" customHeight="1" x14ac:dyDescent="0.2">
      <c r="B2707" s="24"/>
      <c r="C2707" s="10">
        <v>42887</v>
      </c>
      <c r="D2707" s="18" t="s">
        <v>2810</v>
      </c>
      <c r="E2707" s="18" t="s">
        <v>2662</v>
      </c>
      <c r="F2707" s="18"/>
      <c r="G2707" s="18" t="s">
        <v>23</v>
      </c>
      <c r="H2707" s="17">
        <v>35.5</v>
      </c>
      <c r="I2707" s="11">
        <v>64.5</v>
      </c>
      <c r="J2707" s="21">
        <f t="shared" si="126"/>
        <v>0.81690140845070425</v>
      </c>
      <c r="K2707" s="1">
        <v>2</v>
      </c>
      <c r="L2707" s="24">
        <v>6.4</v>
      </c>
      <c r="M2707" s="24">
        <v>58.050000000000004</v>
      </c>
      <c r="N2707" s="21">
        <f t="shared" si="127"/>
        <v>0.63521126760563396</v>
      </c>
      <c r="P2707" s="1">
        <v>4</v>
      </c>
      <c r="Q2707" s="24">
        <v>7.740000000000002</v>
      </c>
      <c r="R2707" s="24">
        <v>56.76</v>
      </c>
      <c r="S2707" s="21">
        <f t="shared" si="128"/>
        <v>0.59887323943661963</v>
      </c>
    </row>
    <row r="2708" spans="2:19" ht="11.4" customHeight="1" x14ac:dyDescent="0.2">
      <c r="B2708" s="24"/>
      <c r="C2708" s="10">
        <v>46879</v>
      </c>
      <c r="D2708" s="18" t="s">
        <v>2811</v>
      </c>
      <c r="E2708" s="18" t="s">
        <v>2662</v>
      </c>
      <c r="F2708" s="17">
        <v>12</v>
      </c>
      <c r="G2708" s="18" t="s">
        <v>23</v>
      </c>
      <c r="H2708" s="17">
        <v>19.38</v>
      </c>
      <c r="I2708" s="11">
        <v>26.3</v>
      </c>
      <c r="J2708" s="21">
        <f t="shared" si="126"/>
        <v>0.35706914344685253</v>
      </c>
      <c r="K2708" s="1">
        <v>2</v>
      </c>
      <c r="L2708" s="24">
        <v>2.6</v>
      </c>
      <c r="M2708" s="24">
        <v>23.67</v>
      </c>
      <c r="N2708" s="21">
        <f t="shared" si="127"/>
        <v>0.22136222910216732</v>
      </c>
      <c r="P2708" s="1">
        <v>4</v>
      </c>
      <c r="Q2708" s="24">
        <v>3.1559999999999988</v>
      </c>
      <c r="R2708" s="24">
        <v>23.144000000000002</v>
      </c>
      <c r="S2708" s="21">
        <f t="shared" si="128"/>
        <v>0.1942208462332303</v>
      </c>
    </row>
    <row r="2709" spans="2:19" ht="11.4" customHeight="1" x14ac:dyDescent="0.2">
      <c r="B2709" s="24"/>
      <c r="C2709" s="10">
        <v>44755</v>
      </c>
      <c r="D2709" s="18" t="s">
        <v>2812</v>
      </c>
      <c r="E2709" s="18" t="s">
        <v>2662</v>
      </c>
      <c r="F2709" s="17">
        <v>6</v>
      </c>
      <c r="G2709" s="18" t="s">
        <v>23</v>
      </c>
      <c r="H2709" s="17">
        <v>30.65</v>
      </c>
      <c r="I2709" s="11">
        <v>44.9</v>
      </c>
      <c r="J2709" s="21">
        <f t="shared" si="126"/>
        <v>0.46492659053833607</v>
      </c>
      <c r="K2709" s="1">
        <v>2</v>
      </c>
      <c r="L2709" s="24">
        <v>4.4000000000000004</v>
      </c>
      <c r="M2709" s="24">
        <v>40.409999999999997</v>
      </c>
      <c r="N2709" s="21">
        <f t="shared" si="127"/>
        <v>0.31843393148450239</v>
      </c>
      <c r="P2709" s="1">
        <v>4</v>
      </c>
      <c r="Q2709" s="24">
        <v>5.3879999999999981</v>
      </c>
      <c r="R2709" s="24">
        <v>39.512</v>
      </c>
      <c r="S2709" s="21">
        <f t="shared" si="128"/>
        <v>0.2891353996737358</v>
      </c>
    </row>
    <row r="2710" spans="2:19" ht="11.4" customHeight="1" x14ac:dyDescent="0.2">
      <c r="B2710" s="24"/>
      <c r="C2710" s="10">
        <v>46872</v>
      </c>
      <c r="D2710" s="18" t="s">
        <v>2813</v>
      </c>
      <c r="E2710" s="18" t="s">
        <v>2662</v>
      </c>
      <c r="F2710" s="17">
        <v>12</v>
      </c>
      <c r="G2710" s="18" t="s">
        <v>23</v>
      </c>
      <c r="H2710" s="17">
        <v>20.66</v>
      </c>
      <c r="I2710" s="11">
        <v>30.4</v>
      </c>
      <c r="J2710" s="21">
        <f t="shared" si="126"/>
        <v>0.47144240077444327</v>
      </c>
      <c r="K2710" s="1">
        <v>2</v>
      </c>
      <c r="L2710" s="24">
        <v>3</v>
      </c>
      <c r="M2710" s="24">
        <v>27.36</v>
      </c>
      <c r="N2710" s="21">
        <f t="shared" si="127"/>
        <v>0.32429816069699902</v>
      </c>
      <c r="P2710" s="1">
        <v>4</v>
      </c>
      <c r="Q2710" s="24">
        <v>3.6479999999999997</v>
      </c>
      <c r="R2710" s="24">
        <v>26.751999999999999</v>
      </c>
      <c r="S2710" s="21">
        <f t="shared" si="128"/>
        <v>0.29486931268151012</v>
      </c>
    </row>
    <row r="2711" spans="2:19" ht="11.4" customHeight="1" x14ac:dyDescent="0.2">
      <c r="B2711" s="24"/>
      <c r="C2711" s="10">
        <v>44339</v>
      </c>
      <c r="D2711" s="18" t="s">
        <v>2814</v>
      </c>
      <c r="E2711" s="18" t="s">
        <v>2662</v>
      </c>
      <c r="F2711" s="17">
        <v>12</v>
      </c>
      <c r="G2711" s="18" t="s">
        <v>23</v>
      </c>
      <c r="H2711" s="17">
        <v>26.83</v>
      </c>
      <c r="I2711" s="11">
        <v>36.4</v>
      </c>
      <c r="J2711" s="21">
        <f t="shared" si="126"/>
        <v>0.35669027208348869</v>
      </c>
      <c r="K2711" s="1">
        <v>2</v>
      </c>
      <c r="L2711" s="24">
        <v>3.6</v>
      </c>
      <c r="M2711" s="24">
        <v>32.76</v>
      </c>
      <c r="N2711" s="21">
        <f t="shared" si="127"/>
        <v>0.22102124487513977</v>
      </c>
      <c r="P2711" s="1">
        <v>4</v>
      </c>
      <c r="Q2711" s="24">
        <v>4.3680000000000021</v>
      </c>
      <c r="R2711" s="24">
        <v>32.031999999999996</v>
      </c>
      <c r="S2711" s="21">
        <f t="shared" si="128"/>
        <v>0.19388743943346995</v>
      </c>
    </row>
    <row r="2712" spans="2:19" ht="11.4" customHeight="1" x14ac:dyDescent="0.2">
      <c r="B2712" s="24"/>
      <c r="C2712" s="10">
        <v>42886</v>
      </c>
      <c r="D2712" s="18" t="s">
        <v>2815</v>
      </c>
      <c r="E2712" s="18" t="s">
        <v>2662</v>
      </c>
      <c r="F2712" s="18"/>
      <c r="G2712" s="18" t="s">
        <v>23</v>
      </c>
      <c r="H2712" s="17">
        <v>35.5</v>
      </c>
      <c r="I2712" s="11">
        <v>64.5</v>
      </c>
      <c r="J2712" s="21">
        <f t="shared" si="126"/>
        <v>0.81690140845070425</v>
      </c>
      <c r="K2712" s="1">
        <v>2</v>
      </c>
      <c r="L2712" s="24">
        <v>6.4</v>
      </c>
      <c r="M2712" s="24">
        <v>58.050000000000004</v>
      </c>
      <c r="N2712" s="21">
        <f t="shared" si="127"/>
        <v>0.63521126760563396</v>
      </c>
      <c r="P2712" s="1">
        <v>4</v>
      </c>
      <c r="Q2712" s="24">
        <v>7.740000000000002</v>
      </c>
      <c r="R2712" s="24">
        <v>56.76</v>
      </c>
      <c r="S2712" s="21">
        <f t="shared" si="128"/>
        <v>0.59887323943661963</v>
      </c>
    </row>
    <row r="2713" spans="2:19" ht="11.4" customHeight="1" x14ac:dyDescent="0.2">
      <c r="B2713" s="24"/>
      <c r="C2713" s="10">
        <v>36285</v>
      </c>
      <c r="D2713" s="18" t="s">
        <v>2816</v>
      </c>
      <c r="E2713" s="18" t="s">
        <v>2817</v>
      </c>
      <c r="F2713" s="17">
        <v>12</v>
      </c>
      <c r="G2713" s="18" t="s">
        <v>23</v>
      </c>
      <c r="H2713" s="17">
        <v>71.900000000000006</v>
      </c>
      <c r="I2713" s="11">
        <v>65.3</v>
      </c>
      <c r="J2713" s="21">
        <f t="shared" si="126"/>
        <v>-9.1794158553546709E-2</v>
      </c>
      <c r="K2713" s="1">
        <v>2</v>
      </c>
      <c r="L2713" s="24">
        <v>6.5</v>
      </c>
      <c r="M2713" s="24">
        <v>58.769999999999996</v>
      </c>
      <c r="N2713" s="21">
        <f t="shared" si="127"/>
        <v>-0.18261474269819206</v>
      </c>
      <c r="P2713" s="1">
        <v>4</v>
      </c>
      <c r="Q2713" s="24">
        <v>7.8359999999999985</v>
      </c>
      <c r="R2713" s="24">
        <v>57.463999999999999</v>
      </c>
      <c r="S2713" s="21">
        <f t="shared" si="128"/>
        <v>-0.20077885952712107</v>
      </c>
    </row>
    <row r="2714" spans="2:19" ht="11.4" customHeight="1" x14ac:dyDescent="0.2">
      <c r="B2714" s="24"/>
      <c r="C2714" s="10">
        <v>36287</v>
      </c>
      <c r="D2714" s="18" t="s">
        <v>2818</v>
      </c>
      <c r="E2714" s="18" t="s">
        <v>2817</v>
      </c>
      <c r="F2714" s="17">
        <v>12</v>
      </c>
      <c r="G2714" s="18" t="s">
        <v>23</v>
      </c>
      <c r="H2714" s="17">
        <v>71.900000000000006</v>
      </c>
      <c r="I2714" s="11">
        <v>65.3</v>
      </c>
      <c r="J2714" s="21">
        <f t="shared" si="126"/>
        <v>-9.1794158553546709E-2</v>
      </c>
      <c r="K2714" s="1">
        <v>2</v>
      </c>
      <c r="L2714" s="24">
        <v>6.5</v>
      </c>
      <c r="M2714" s="24">
        <v>58.769999999999996</v>
      </c>
      <c r="N2714" s="21">
        <f t="shared" si="127"/>
        <v>-0.18261474269819206</v>
      </c>
      <c r="P2714" s="1">
        <v>4</v>
      </c>
      <c r="Q2714" s="24">
        <v>7.8359999999999985</v>
      </c>
      <c r="R2714" s="24">
        <v>57.463999999999999</v>
      </c>
      <c r="S2714" s="21">
        <f t="shared" si="128"/>
        <v>-0.20077885952712107</v>
      </c>
    </row>
    <row r="2715" spans="2:19" ht="11.4" customHeight="1" x14ac:dyDescent="0.2">
      <c r="B2715" s="24"/>
      <c r="C2715" s="10">
        <v>36286</v>
      </c>
      <c r="D2715" s="18" t="s">
        <v>2819</v>
      </c>
      <c r="E2715" s="18" t="s">
        <v>2817</v>
      </c>
      <c r="F2715" s="17">
        <v>12</v>
      </c>
      <c r="G2715" s="18" t="s">
        <v>23</v>
      </c>
      <c r="H2715" s="17">
        <v>71.900000000000006</v>
      </c>
      <c r="I2715" s="11">
        <v>65.3</v>
      </c>
      <c r="J2715" s="21">
        <f t="shared" si="126"/>
        <v>-9.1794158553546709E-2</v>
      </c>
      <c r="K2715" s="1">
        <v>2</v>
      </c>
      <c r="L2715" s="24">
        <v>6.5</v>
      </c>
      <c r="M2715" s="24">
        <v>58.769999999999996</v>
      </c>
      <c r="N2715" s="21">
        <f t="shared" si="127"/>
        <v>-0.18261474269819206</v>
      </c>
      <c r="P2715" s="1">
        <v>4</v>
      </c>
      <c r="Q2715" s="24">
        <v>7.8359999999999985</v>
      </c>
      <c r="R2715" s="24">
        <v>57.463999999999999</v>
      </c>
      <c r="S2715" s="21">
        <f t="shared" si="128"/>
        <v>-0.20077885952712107</v>
      </c>
    </row>
    <row r="2716" spans="2:19" ht="11.4" customHeight="1" x14ac:dyDescent="0.2">
      <c r="B2716" s="24"/>
      <c r="C2716" s="10">
        <v>41575</v>
      </c>
      <c r="D2716" s="18" t="s">
        <v>2820</v>
      </c>
      <c r="E2716" s="18" t="s">
        <v>2817</v>
      </c>
      <c r="F2716" s="18"/>
      <c r="G2716" s="18" t="s">
        <v>23</v>
      </c>
      <c r="H2716" s="17">
        <v>19.079999999999998</v>
      </c>
      <c r="I2716" s="11">
        <v>34.9</v>
      </c>
      <c r="J2716" s="21">
        <f t="shared" si="126"/>
        <v>0.82914046121593299</v>
      </c>
      <c r="K2716" s="1">
        <v>2</v>
      </c>
      <c r="L2716" s="24">
        <v>3.4</v>
      </c>
      <c r="M2716" s="24">
        <v>31.41</v>
      </c>
      <c r="N2716" s="21">
        <f t="shared" si="127"/>
        <v>0.64622641509433976</v>
      </c>
      <c r="P2716" s="1">
        <v>4</v>
      </c>
      <c r="Q2716" s="24">
        <v>4.1879999999999988</v>
      </c>
      <c r="R2716" s="24">
        <v>30.712</v>
      </c>
      <c r="S2716" s="21">
        <f t="shared" si="128"/>
        <v>0.60964360587002109</v>
      </c>
    </row>
    <row r="2717" spans="2:19" ht="11.4" customHeight="1" x14ac:dyDescent="0.2">
      <c r="B2717" s="24"/>
      <c r="C2717" s="10">
        <v>41579</v>
      </c>
      <c r="D2717" s="18" t="s">
        <v>2821</v>
      </c>
      <c r="E2717" s="18" t="s">
        <v>2817</v>
      </c>
      <c r="F2717" s="18"/>
      <c r="G2717" s="18" t="s">
        <v>23</v>
      </c>
      <c r="H2717" s="17">
        <v>19.079999999999998</v>
      </c>
      <c r="I2717" s="11">
        <v>34.9</v>
      </c>
      <c r="J2717" s="21">
        <f t="shared" si="126"/>
        <v>0.82914046121593299</v>
      </c>
      <c r="K2717" s="1">
        <v>2</v>
      </c>
      <c r="L2717" s="24">
        <v>3.4</v>
      </c>
      <c r="M2717" s="24">
        <v>31.41</v>
      </c>
      <c r="N2717" s="21">
        <f t="shared" si="127"/>
        <v>0.64622641509433976</v>
      </c>
      <c r="P2717" s="1">
        <v>4</v>
      </c>
      <c r="Q2717" s="24">
        <v>4.1879999999999988</v>
      </c>
      <c r="R2717" s="24">
        <v>30.712</v>
      </c>
      <c r="S2717" s="21">
        <f t="shared" si="128"/>
        <v>0.60964360587002109</v>
      </c>
    </row>
    <row r="2718" spans="2:19" ht="11.4" customHeight="1" x14ac:dyDescent="0.2">
      <c r="B2718" s="24"/>
      <c r="C2718" s="10">
        <v>36291</v>
      </c>
      <c r="D2718" s="18" t="s">
        <v>2822</v>
      </c>
      <c r="E2718" s="18" t="s">
        <v>2817</v>
      </c>
      <c r="F2718" s="17">
        <v>6</v>
      </c>
      <c r="G2718" s="18" t="s">
        <v>23</v>
      </c>
      <c r="H2718" s="17">
        <v>25.3</v>
      </c>
      <c r="I2718" s="11">
        <v>26.9</v>
      </c>
      <c r="J2718" s="21">
        <f t="shared" si="126"/>
        <v>6.3241106719367501E-2</v>
      </c>
      <c r="K2718" s="1">
        <v>2</v>
      </c>
      <c r="L2718" s="24">
        <v>2.6</v>
      </c>
      <c r="M2718" s="24">
        <v>24.21</v>
      </c>
      <c r="N2718" s="21">
        <f t="shared" si="127"/>
        <v>-4.3083003952569164E-2</v>
      </c>
      <c r="P2718" s="1">
        <v>4</v>
      </c>
      <c r="Q2718" s="24">
        <v>3.227999999999998</v>
      </c>
      <c r="R2718" s="24">
        <v>23.672000000000001</v>
      </c>
      <c r="S2718" s="21">
        <f t="shared" si="128"/>
        <v>-6.4347826086956522E-2</v>
      </c>
    </row>
    <row r="2719" spans="2:19" ht="11.4" customHeight="1" x14ac:dyDescent="0.2">
      <c r="B2719" s="24"/>
      <c r="C2719" s="10">
        <v>36290</v>
      </c>
      <c r="D2719" s="18" t="s">
        <v>2823</v>
      </c>
      <c r="E2719" s="18" t="s">
        <v>2817</v>
      </c>
      <c r="F2719" s="17">
        <v>12</v>
      </c>
      <c r="G2719" s="18" t="s">
        <v>23</v>
      </c>
      <c r="H2719" s="17">
        <v>35.9</v>
      </c>
      <c r="I2719" s="11">
        <v>34.4</v>
      </c>
      <c r="J2719" s="21">
        <f t="shared" si="126"/>
        <v>-4.1782729805013928E-2</v>
      </c>
      <c r="K2719" s="1">
        <v>2</v>
      </c>
      <c r="L2719" s="24">
        <v>3.4</v>
      </c>
      <c r="M2719" s="24">
        <v>30.96</v>
      </c>
      <c r="N2719" s="21">
        <f t="shared" si="127"/>
        <v>-0.13760445682451247</v>
      </c>
      <c r="P2719" s="1">
        <v>4</v>
      </c>
      <c r="Q2719" s="24">
        <v>4.1280000000000001</v>
      </c>
      <c r="R2719" s="24">
        <v>30.271999999999998</v>
      </c>
      <c r="S2719" s="21">
        <f t="shared" si="128"/>
        <v>-0.15676880222841227</v>
      </c>
    </row>
    <row r="2720" spans="2:19" ht="11.4" customHeight="1" x14ac:dyDescent="0.2">
      <c r="B2720" s="24"/>
      <c r="C2720" s="10">
        <v>7524</v>
      </c>
      <c r="D2720" s="18" t="s">
        <v>2824</v>
      </c>
      <c r="E2720" s="18" t="s">
        <v>2817</v>
      </c>
      <c r="F2720" s="17">
        <v>6</v>
      </c>
      <c r="G2720" s="18" t="s">
        <v>23</v>
      </c>
      <c r="H2720" s="17">
        <v>55.7</v>
      </c>
      <c r="I2720" s="11">
        <v>58.6</v>
      </c>
      <c r="J2720" s="21">
        <f t="shared" si="126"/>
        <v>5.2064631956912001E-2</v>
      </c>
      <c r="K2720" s="1">
        <v>2</v>
      </c>
      <c r="L2720" s="24">
        <v>5.8</v>
      </c>
      <c r="M2720" s="24">
        <v>52.74</v>
      </c>
      <c r="N2720" s="21">
        <f t="shared" si="127"/>
        <v>-5.3141831238779184E-2</v>
      </c>
      <c r="P2720" s="1">
        <v>4</v>
      </c>
      <c r="Q2720" s="24">
        <v>7.0319999999999965</v>
      </c>
      <c r="R2720" s="24">
        <v>51.568000000000005</v>
      </c>
      <c r="S2720" s="21">
        <f t="shared" si="128"/>
        <v>-7.4183123877917367E-2</v>
      </c>
    </row>
    <row r="2721" spans="2:19" ht="11.4" customHeight="1" x14ac:dyDescent="0.2">
      <c r="B2721" s="24"/>
      <c r="C2721" s="10">
        <v>44733</v>
      </c>
      <c r="D2721" s="18" t="s">
        <v>2825</v>
      </c>
      <c r="E2721" s="18" t="s">
        <v>2817</v>
      </c>
      <c r="F2721" s="17">
        <v>6</v>
      </c>
      <c r="G2721" s="18" t="s">
        <v>23</v>
      </c>
      <c r="H2721" s="17">
        <v>29.07</v>
      </c>
      <c r="I2721" s="11">
        <v>40.5</v>
      </c>
      <c r="J2721" s="21">
        <f t="shared" si="126"/>
        <v>0.39318885448916407</v>
      </c>
      <c r="K2721" s="1">
        <v>2</v>
      </c>
      <c r="L2721" s="24">
        <v>4</v>
      </c>
      <c r="M2721" s="24">
        <v>36.450000000000003</v>
      </c>
      <c r="N2721" s="21">
        <f t="shared" si="127"/>
        <v>0.25386996904024778</v>
      </c>
      <c r="P2721" s="1">
        <v>4</v>
      </c>
      <c r="Q2721" s="24">
        <v>4.8599999999999994</v>
      </c>
      <c r="R2721" s="24">
        <v>35.64</v>
      </c>
      <c r="S2721" s="21">
        <f t="shared" si="128"/>
        <v>0.2260061919504644</v>
      </c>
    </row>
    <row r="2722" spans="2:19" ht="11.4" customHeight="1" x14ac:dyDescent="0.2">
      <c r="B2722" s="24"/>
      <c r="C2722" s="10">
        <v>36292</v>
      </c>
      <c r="D2722" s="18" t="s">
        <v>2826</v>
      </c>
      <c r="E2722" s="18" t="s">
        <v>2817</v>
      </c>
      <c r="F2722" s="17">
        <v>6</v>
      </c>
      <c r="G2722" s="18" t="s">
        <v>23</v>
      </c>
      <c r="H2722" s="17">
        <v>25.3</v>
      </c>
      <c r="I2722" s="11">
        <v>26.9</v>
      </c>
      <c r="J2722" s="21">
        <f t="shared" si="126"/>
        <v>6.3241106719367501E-2</v>
      </c>
      <c r="K2722" s="1">
        <v>2</v>
      </c>
      <c r="L2722" s="24">
        <v>2.6</v>
      </c>
      <c r="M2722" s="24">
        <v>24.21</v>
      </c>
      <c r="N2722" s="21">
        <f t="shared" si="127"/>
        <v>-4.3083003952569164E-2</v>
      </c>
      <c r="P2722" s="1">
        <v>4</v>
      </c>
      <c r="Q2722" s="24">
        <v>3.227999999999998</v>
      </c>
      <c r="R2722" s="24">
        <v>23.672000000000001</v>
      </c>
      <c r="S2722" s="21">
        <f t="shared" si="128"/>
        <v>-6.4347826086956522E-2</v>
      </c>
    </row>
    <row r="2723" spans="2:19" ht="11.4" customHeight="1" x14ac:dyDescent="0.2">
      <c r="B2723" s="24"/>
      <c r="C2723" s="10">
        <v>18022</v>
      </c>
      <c r="D2723" s="18" t="s">
        <v>2827</v>
      </c>
      <c r="E2723" s="18" t="s">
        <v>2817</v>
      </c>
      <c r="F2723" s="17">
        <v>12</v>
      </c>
      <c r="G2723" s="18" t="s">
        <v>23</v>
      </c>
      <c r="H2723" s="17">
        <v>35.9</v>
      </c>
      <c r="I2723" s="11">
        <v>34.4</v>
      </c>
      <c r="J2723" s="21">
        <f t="shared" si="126"/>
        <v>-4.1782729805013928E-2</v>
      </c>
      <c r="K2723" s="1">
        <v>2</v>
      </c>
      <c r="L2723" s="24">
        <v>3.4</v>
      </c>
      <c r="M2723" s="24">
        <v>30.96</v>
      </c>
      <c r="N2723" s="21">
        <f t="shared" si="127"/>
        <v>-0.13760445682451247</v>
      </c>
      <c r="P2723" s="1">
        <v>4</v>
      </c>
      <c r="Q2723" s="24">
        <v>4.1280000000000001</v>
      </c>
      <c r="R2723" s="24">
        <v>30.271999999999998</v>
      </c>
      <c r="S2723" s="21">
        <f t="shared" si="128"/>
        <v>-0.15676880222841227</v>
      </c>
    </row>
    <row r="2724" spans="2:19" ht="11.4" customHeight="1" x14ac:dyDescent="0.2">
      <c r="B2724" s="24"/>
      <c r="C2724" s="10">
        <v>39390</v>
      </c>
      <c r="D2724" s="18" t="s">
        <v>2828</v>
      </c>
      <c r="E2724" s="18" t="s">
        <v>2817</v>
      </c>
      <c r="F2724" s="17">
        <v>1</v>
      </c>
      <c r="G2724" s="18" t="s">
        <v>23</v>
      </c>
      <c r="H2724" s="17">
        <v>26.4</v>
      </c>
      <c r="I2724" s="11">
        <v>29.2</v>
      </c>
      <c r="J2724" s="21">
        <f t="shared" si="126"/>
        <v>0.10606060606060609</v>
      </c>
      <c r="K2724" s="1">
        <v>2</v>
      </c>
      <c r="L2724" s="24">
        <v>2.9</v>
      </c>
      <c r="M2724" s="24">
        <v>26.28</v>
      </c>
      <c r="N2724" s="21">
        <f t="shared" si="127"/>
        <v>-4.545454545454449E-3</v>
      </c>
      <c r="P2724" s="1">
        <v>4</v>
      </c>
      <c r="Q2724" s="24">
        <v>3.5040000000000013</v>
      </c>
      <c r="R2724" s="24">
        <v>25.695999999999998</v>
      </c>
      <c r="S2724" s="21">
        <f t="shared" si="128"/>
        <v>-2.6666666666666693E-2</v>
      </c>
    </row>
    <row r="2725" spans="2:19" ht="11.4" customHeight="1" x14ac:dyDescent="0.2">
      <c r="B2725" s="24"/>
      <c r="C2725" s="10">
        <v>35750</v>
      </c>
      <c r="D2725" s="18" t="s">
        <v>2829</v>
      </c>
      <c r="E2725" s="18" t="s">
        <v>2817</v>
      </c>
      <c r="F2725" s="17">
        <v>1</v>
      </c>
      <c r="G2725" s="18" t="s">
        <v>23</v>
      </c>
      <c r="H2725" s="17">
        <v>35.6</v>
      </c>
      <c r="I2725" s="11">
        <v>40.9</v>
      </c>
      <c r="J2725" s="21">
        <f t="shared" si="126"/>
        <v>0.14887640449438194</v>
      </c>
      <c r="K2725" s="1">
        <v>2</v>
      </c>
      <c r="L2725" s="24">
        <v>4</v>
      </c>
      <c r="M2725" s="24">
        <v>36.81</v>
      </c>
      <c r="N2725" s="21">
        <f t="shared" si="127"/>
        <v>3.3988764044943845E-2</v>
      </c>
      <c r="P2725" s="1">
        <v>4</v>
      </c>
      <c r="Q2725" s="24">
        <v>4.9080000000000013</v>
      </c>
      <c r="R2725" s="24">
        <v>35.991999999999997</v>
      </c>
      <c r="S2725" s="21">
        <f t="shared" si="128"/>
        <v>1.1011235955056065E-2</v>
      </c>
    </row>
    <row r="2726" spans="2:19" ht="11.4" customHeight="1" x14ac:dyDescent="0.2">
      <c r="B2726" s="24"/>
      <c r="C2726" s="10">
        <v>18012</v>
      </c>
      <c r="D2726" s="18" t="s">
        <v>2830</v>
      </c>
      <c r="E2726" s="18" t="s">
        <v>2817</v>
      </c>
      <c r="F2726" s="17">
        <v>6</v>
      </c>
      <c r="G2726" s="18" t="s">
        <v>23</v>
      </c>
      <c r="H2726" s="17">
        <v>35.1</v>
      </c>
      <c r="I2726" s="11">
        <v>33.9</v>
      </c>
      <c r="J2726" s="21">
        <f t="shared" si="126"/>
        <v>-3.4188034188034268E-2</v>
      </c>
      <c r="K2726" s="1">
        <v>2</v>
      </c>
      <c r="L2726" s="24">
        <v>3.3</v>
      </c>
      <c r="M2726" s="24">
        <v>30.509999999999998</v>
      </c>
      <c r="N2726" s="21">
        <f t="shared" si="127"/>
        <v>-0.13076923076923086</v>
      </c>
      <c r="P2726" s="1">
        <v>4</v>
      </c>
      <c r="Q2726" s="24">
        <v>4.0680000000000014</v>
      </c>
      <c r="R2726" s="24">
        <v>29.831999999999997</v>
      </c>
      <c r="S2726" s="21">
        <f t="shared" si="128"/>
        <v>-0.15008547008547021</v>
      </c>
    </row>
    <row r="2727" spans="2:19" ht="11.4" customHeight="1" x14ac:dyDescent="0.2">
      <c r="B2727" s="24"/>
      <c r="C2727" s="10">
        <v>35751</v>
      </c>
      <c r="D2727" s="18" t="s">
        <v>2831</v>
      </c>
      <c r="E2727" s="18" t="s">
        <v>2817</v>
      </c>
      <c r="F2727" s="17">
        <v>1</v>
      </c>
      <c r="G2727" s="18" t="s">
        <v>23</v>
      </c>
      <c r="H2727" s="17">
        <v>35.6</v>
      </c>
      <c r="I2727" s="11">
        <v>40.9</v>
      </c>
      <c r="J2727" s="21">
        <f t="shared" si="126"/>
        <v>0.14887640449438194</v>
      </c>
      <c r="K2727" s="1">
        <v>2</v>
      </c>
      <c r="L2727" s="24">
        <v>4</v>
      </c>
      <c r="M2727" s="24">
        <v>36.81</v>
      </c>
      <c r="N2727" s="21">
        <f t="shared" si="127"/>
        <v>3.3988764044943845E-2</v>
      </c>
      <c r="P2727" s="1">
        <v>4</v>
      </c>
      <c r="Q2727" s="24">
        <v>4.9080000000000013</v>
      </c>
      <c r="R2727" s="24">
        <v>35.991999999999997</v>
      </c>
      <c r="S2727" s="21">
        <f t="shared" si="128"/>
        <v>1.1011235955056065E-2</v>
      </c>
    </row>
    <row r="2728" spans="2:19" ht="11.4" customHeight="1" x14ac:dyDescent="0.2">
      <c r="B2728" s="24"/>
      <c r="C2728" s="10">
        <v>16386</v>
      </c>
      <c r="D2728" s="18" t="s">
        <v>2832</v>
      </c>
      <c r="E2728" s="18" t="s">
        <v>2817</v>
      </c>
      <c r="F2728" s="17">
        <v>12</v>
      </c>
      <c r="G2728" s="18" t="s">
        <v>23</v>
      </c>
      <c r="H2728" s="17">
        <v>71.900000000000006</v>
      </c>
      <c r="I2728" s="11">
        <v>65.3</v>
      </c>
      <c r="J2728" s="21">
        <f t="shared" si="126"/>
        <v>-9.1794158553546709E-2</v>
      </c>
      <c r="K2728" s="1">
        <v>2</v>
      </c>
      <c r="L2728" s="24">
        <v>6.5</v>
      </c>
      <c r="M2728" s="24">
        <v>58.769999999999996</v>
      </c>
      <c r="N2728" s="21">
        <f t="shared" si="127"/>
        <v>-0.18261474269819206</v>
      </c>
      <c r="P2728" s="1">
        <v>4</v>
      </c>
      <c r="Q2728" s="24">
        <v>7.8359999999999985</v>
      </c>
      <c r="R2728" s="24">
        <v>57.463999999999999</v>
      </c>
      <c r="S2728" s="21">
        <f t="shared" si="128"/>
        <v>-0.20077885952712107</v>
      </c>
    </row>
    <row r="2729" spans="2:19" ht="11.4" customHeight="1" x14ac:dyDescent="0.2">
      <c r="B2729" s="24"/>
      <c r="C2729" s="10">
        <v>32739</v>
      </c>
      <c r="D2729" s="18" t="s">
        <v>2833</v>
      </c>
      <c r="E2729" s="18" t="s">
        <v>2817</v>
      </c>
      <c r="F2729" s="17">
        <v>6</v>
      </c>
      <c r="G2729" s="18" t="s">
        <v>23</v>
      </c>
      <c r="H2729" s="17">
        <v>33.799999999999997</v>
      </c>
      <c r="I2729" s="11">
        <v>40.200000000000003</v>
      </c>
      <c r="J2729" s="21">
        <f t="shared" si="126"/>
        <v>0.18934911242603569</v>
      </c>
      <c r="K2729" s="1">
        <v>2</v>
      </c>
      <c r="L2729" s="24">
        <v>4</v>
      </c>
      <c r="M2729" s="24">
        <v>36.180000000000007</v>
      </c>
      <c r="N2729" s="21">
        <f t="shared" si="127"/>
        <v>7.0414201183432251E-2</v>
      </c>
      <c r="P2729" s="1">
        <v>4</v>
      </c>
      <c r="Q2729" s="24">
        <v>4.8239999999999981</v>
      </c>
      <c r="R2729" s="24">
        <v>35.376000000000005</v>
      </c>
      <c r="S2729" s="21">
        <f t="shared" si="128"/>
        <v>4.6627218934911473E-2</v>
      </c>
    </row>
    <row r="2730" spans="2:19" ht="11.4" customHeight="1" x14ac:dyDescent="0.2">
      <c r="B2730" s="24"/>
      <c r="C2730" s="10">
        <v>9858</v>
      </c>
      <c r="D2730" s="18" t="s">
        <v>2834</v>
      </c>
      <c r="E2730" s="18" t="s">
        <v>2817</v>
      </c>
      <c r="F2730" s="17">
        <v>6</v>
      </c>
      <c r="G2730" s="18" t="s">
        <v>23</v>
      </c>
      <c r="H2730" s="17">
        <v>41.9</v>
      </c>
      <c r="I2730" s="11">
        <v>39.4</v>
      </c>
      <c r="J2730" s="21">
        <f t="shared" si="126"/>
        <v>-5.9665871121718381E-2</v>
      </c>
      <c r="K2730" s="1">
        <v>2</v>
      </c>
      <c r="L2730" s="24">
        <v>3.9</v>
      </c>
      <c r="M2730" s="24">
        <v>35.46</v>
      </c>
      <c r="N2730" s="21">
        <f t="shared" si="127"/>
        <v>-0.15369928400954649</v>
      </c>
      <c r="P2730" s="1">
        <v>4</v>
      </c>
      <c r="Q2730" s="24">
        <v>4.7280000000000015</v>
      </c>
      <c r="R2730" s="24">
        <v>34.671999999999997</v>
      </c>
      <c r="S2730" s="21">
        <f t="shared" si="128"/>
        <v>-0.1725059665871122</v>
      </c>
    </row>
    <row r="2731" spans="2:19" ht="11.4" customHeight="1" x14ac:dyDescent="0.2">
      <c r="B2731" s="24"/>
      <c r="C2731" s="10">
        <v>15140</v>
      </c>
      <c r="D2731" s="18" t="s">
        <v>2835</v>
      </c>
      <c r="E2731" s="18" t="s">
        <v>2817</v>
      </c>
      <c r="F2731" s="17">
        <v>12</v>
      </c>
      <c r="G2731" s="18" t="s">
        <v>23</v>
      </c>
      <c r="H2731" s="17">
        <v>25.3</v>
      </c>
      <c r="I2731" s="11">
        <v>26.9</v>
      </c>
      <c r="J2731" s="21">
        <f t="shared" si="126"/>
        <v>6.3241106719367501E-2</v>
      </c>
      <c r="K2731" s="1">
        <v>2</v>
      </c>
      <c r="L2731" s="24">
        <v>2.6</v>
      </c>
      <c r="M2731" s="24">
        <v>24.21</v>
      </c>
      <c r="N2731" s="21">
        <f t="shared" si="127"/>
        <v>-4.3083003952569164E-2</v>
      </c>
      <c r="P2731" s="1">
        <v>4</v>
      </c>
      <c r="Q2731" s="24">
        <v>3.227999999999998</v>
      </c>
      <c r="R2731" s="24">
        <v>23.672000000000001</v>
      </c>
      <c r="S2731" s="21">
        <f t="shared" si="128"/>
        <v>-6.4347826086956522E-2</v>
      </c>
    </row>
    <row r="2732" spans="2:19" ht="11.4" customHeight="1" x14ac:dyDescent="0.2">
      <c r="B2732" s="24"/>
      <c r="C2732" s="10">
        <v>18023</v>
      </c>
      <c r="D2732" s="18" t="s">
        <v>2836</v>
      </c>
      <c r="E2732" s="18" t="s">
        <v>2817</v>
      </c>
      <c r="F2732" s="17">
        <v>12</v>
      </c>
      <c r="G2732" s="18" t="s">
        <v>23</v>
      </c>
      <c r="H2732" s="17">
        <v>35.9</v>
      </c>
      <c r="I2732" s="11">
        <v>33.4</v>
      </c>
      <c r="J2732" s="21">
        <f t="shared" si="126"/>
        <v>-6.9637883008356549E-2</v>
      </c>
      <c r="K2732" s="1">
        <v>2</v>
      </c>
      <c r="L2732" s="24">
        <v>3.3</v>
      </c>
      <c r="M2732" s="24">
        <v>30.06</v>
      </c>
      <c r="N2732" s="21">
        <f t="shared" si="127"/>
        <v>-0.16267409470752089</v>
      </c>
      <c r="P2732" s="1">
        <v>4</v>
      </c>
      <c r="Q2732" s="24">
        <v>4.0079999999999991</v>
      </c>
      <c r="R2732" s="24">
        <v>29.391999999999999</v>
      </c>
      <c r="S2732" s="21">
        <f t="shared" si="128"/>
        <v>-0.18128133704735375</v>
      </c>
    </row>
    <row r="2733" spans="2:19" ht="11.4" customHeight="1" x14ac:dyDescent="0.2">
      <c r="B2733" s="24"/>
      <c r="C2733" s="10">
        <v>36294</v>
      </c>
      <c r="D2733" s="18" t="s">
        <v>2837</v>
      </c>
      <c r="E2733" s="18" t="s">
        <v>2817</v>
      </c>
      <c r="F2733" s="17">
        <v>6</v>
      </c>
      <c r="G2733" s="18" t="s">
        <v>23</v>
      </c>
      <c r="H2733" s="17">
        <v>20.9</v>
      </c>
      <c r="I2733" s="11">
        <v>22</v>
      </c>
      <c r="J2733" s="21">
        <f t="shared" si="126"/>
        <v>5.2631578947368494E-2</v>
      </c>
      <c r="K2733" s="1">
        <v>2</v>
      </c>
      <c r="L2733" s="24">
        <v>2.2000000000000002</v>
      </c>
      <c r="M2733" s="24">
        <v>19.8</v>
      </c>
      <c r="N2733" s="21">
        <f t="shared" si="127"/>
        <v>-5.2631578947368321E-2</v>
      </c>
      <c r="P2733" s="1">
        <v>4</v>
      </c>
      <c r="Q2733" s="24">
        <v>2.6400000000000006</v>
      </c>
      <c r="R2733" s="24">
        <v>19.36</v>
      </c>
      <c r="S2733" s="21">
        <f t="shared" si="128"/>
        <v>-7.3684210526315755E-2</v>
      </c>
    </row>
    <row r="2734" spans="2:19" ht="11.4" customHeight="1" x14ac:dyDescent="0.2">
      <c r="B2734" s="24"/>
      <c r="C2734" s="10">
        <v>41574</v>
      </c>
      <c r="D2734" s="18" t="s">
        <v>2838</v>
      </c>
      <c r="E2734" s="18" t="s">
        <v>2817</v>
      </c>
      <c r="F2734" s="18"/>
      <c r="G2734" s="18" t="s">
        <v>23</v>
      </c>
      <c r="H2734" s="17">
        <v>19.079999999999998</v>
      </c>
      <c r="I2734" s="11">
        <v>34.9</v>
      </c>
      <c r="J2734" s="21">
        <f t="shared" si="126"/>
        <v>0.82914046121593299</v>
      </c>
      <c r="K2734" s="1">
        <v>2</v>
      </c>
      <c r="L2734" s="24">
        <v>3.4</v>
      </c>
      <c r="M2734" s="24">
        <v>31.41</v>
      </c>
      <c r="N2734" s="21">
        <f t="shared" si="127"/>
        <v>0.64622641509433976</v>
      </c>
      <c r="P2734" s="1">
        <v>4</v>
      </c>
      <c r="Q2734" s="24">
        <v>4.1879999999999988</v>
      </c>
      <c r="R2734" s="24">
        <v>30.712</v>
      </c>
      <c r="S2734" s="21">
        <f t="shared" si="128"/>
        <v>0.60964360587002109</v>
      </c>
    </row>
    <row r="2735" spans="2:19" ht="11.4" customHeight="1" x14ac:dyDescent="0.2">
      <c r="B2735" s="24"/>
      <c r="C2735" s="10">
        <v>165</v>
      </c>
      <c r="D2735" s="18" t="s">
        <v>2839</v>
      </c>
      <c r="E2735" s="18" t="s">
        <v>2817</v>
      </c>
      <c r="F2735" s="17">
        <v>6</v>
      </c>
      <c r="G2735" s="18" t="s">
        <v>23</v>
      </c>
      <c r="H2735" s="17">
        <v>21.4</v>
      </c>
      <c r="I2735" s="11">
        <v>19.899999999999999</v>
      </c>
      <c r="J2735" s="21">
        <f t="shared" si="126"/>
        <v>-7.0093457943925241E-2</v>
      </c>
      <c r="K2735" s="1">
        <v>2</v>
      </c>
      <c r="L2735" s="24">
        <v>1.9</v>
      </c>
      <c r="M2735" s="24">
        <v>17.91</v>
      </c>
      <c r="N2735" s="21">
        <f t="shared" si="127"/>
        <v>-0.16308411214953264</v>
      </c>
      <c r="P2735" s="1">
        <v>4</v>
      </c>
      <c r="Q2735" s="24">
        <v>2.3879999999999981</v>
      </c>
      <c r="R2735" s="24">
        <v>17.512</v>
      </c>
      <c r="S2735" s="21">
        <f t="shared" si="128"/>
        <v>-0.18168224299065414</v>
      </c>
    </row>
    <row r="2736" spans="2:19" ht="11.4" customHeight="1" x14ac:dyDescent="0.2">
      <c r="B2736" s="24"/>
      <c r="C2736" s="10">
        <v>15115</v>
      </c>
      <c r="D2736" s="18" t="s">
        <v>2840</v>
      </c>
      <c r="E2736" s="18" t="s">
        <v>2817</v>
      </c>
      <c r="F2736" s="17">
        <v>6</v>
      </c>
      <c r="G2736" s="18" t="s">
        <v>23</v>
      </c>
      <c r="H2736" s="17">
        <v>30.5</v>
      </c>
      <c r="I2736" s="11">
        <v>28.3</v>
      </c>
      <c r="J2736" s="21">
        <f t="shared" si="126"/>
        <v>-7.2131147540983584E-2</v>
      </c>
      <c r="K2736" s="1">
        <v>2</v>
      </c>
      <c r="L2736" s="24">
        <v>2.8</v>
      </c>
      <c r="M2736" s="24">
        <v>25.470000000000002</v>
      </c>
      <c r="N2736" s="21">
        <f t="shared" si="127"/>
        <v>-0.16491803278688516</v>
      </c>
      <c r="P2736" s="1">
        <v>4</v>
      </c>
      <c r="Q2736" s="24">
        <v>3.3960000000000008</v>
      </c>
      <c r="R2736" s="24">
        <v>24.904</v>
      </c>
      <c r="S2736" s="21">
        <f t="shared" si="128"/>
        <v>-0.18347540983606558</v>
      </c>
    </row>
    <row r="2737" spans="2:19" ht="11.4" customHeight="1" x14ac:dyDescent="0.2">
      <c r="B2737" s="24"/>
      <c r="C2737" s="10">
        <v>15114</v>
      </c>
      <c r="D2737" s="18" t="s">
        <v>2841</v>
      </c>
      <c r="E2737" s="18" t="s">
        <v>2817</v>
      </c>
      <c r="F2737" s="17">
        <v>6</v>
      </c>
      <c r="G2737" s="18" t="s">
        <v>23</v>
      </c>
      <c r="H2737" s="17">
        <v>20.9</v>
      </c>
      <c r="I2737" s="11">
        <v>22</v>
      </c>
      <c r="J2737" s="21">
        <f t="shared" si="126"/>
        <v>5.2631578947368494E-2</v>
      </c>
      <c r="K2737" s="1">
        <v>2</v>
      </c>
      <c r="L2737" s="24">
        <v>2.2000000000000002</v>
      </c>
      <c r="M2737" s="24">
        <v>19.8</v>
      </c>
      <c r="N2737" s="21">
        <f t="shared" si="127"/>
        <v>-5.2631578947368321E-2</v>
      </c>
      <c r="P2737" s="1">
        <v>4</v>
      </c>
      <c r="Q2737" s="24">
        <v>2.6400000000000006</v>
      </c>
      <c r="R2737" s="24">
        <v>19.36</v>
      </c>
      <c r="S2737" s="21">
        <f t="shared" si="128"/>
        <v>-7.3684210526315755E-2</v>
      </c>
    </row>
    <row r="2738" spans="2:19" ht="11.4" customHeight="1" x14ac:dyDescent="0.2">
      <c r="B2738" s="24"/>
      <c r="C2738" s="10">
        <v>5025</v>
      </c>
      <c r="D2738" s="18" t="s">
        <v>2842</v>
      </c>
      <c r="E2738" s="18" t="s">
        <v>2817</v>
      </c>
      <c r="F2738" s="17">
        <v>6</v>
      </c>
      <c r="G2738" s="18" t="s">
        <v>23</v>
      </c>
      <c r="H2738" s="17">
        <v>55.5</v>
      </c>
      <c r="I2738" s="11">
        <v>49.9</v>
      </c>
      <c r="J2738" s="21">
        <f t="shared" si="126"/>
        <v>-0.10090090090090093</v>
      </c>
      <c r="K2738" s="1">
        <v>2</v>
      </c>
      <c r="L2738" s="24">
        <v>4.9000000000000004</v>
      </c>
      <c r="M2738" s="24">
        <v>44.91</v>
      </c>
      <c r="N2738" s="21">
        <f t="shared" si="127"/>
        <v>-0.19081081081081086</v>
      </c>
      <c r="P2738" s="1">
        <v>4</v>
      </c>
      <c r="Q2738" s="24">
        <v>5.9879999999999995</v>
      </c>
      <c r="R2738" s="24">
        <v>43.911999999999999</v>
      </c>
      <c r="S2738" s="21">
        <f t="shared" si="128"/>
        <v>-0.20879279279279281</v>
      </c>
    </row>
    <row r="2739" spans="2:19" ht="11.4" customHeight="1" x14ac:dyDescent="0.2">
      <c r="B2739" s="24"/>
      <c r="C2739" s="10">
        <v>11805</v>
      </c>
      <c r="D2739" s="18" t="s">
        <v>2843</v>
      </c>
      <c r="E2739" s="18" t="s">
        <v>2817</v>
      </c>
      <c r="F2739" s="17">
        <v>6</v>
      </c>
      <c r="G2739" s="18" t="s">
        <v>23</v>
      </c>
      <c r="H2739" s="17">
        <v>90.6</v>
      </c>
      <c r="I2739" s="11">
        <v>81.900000000000006</v>
      </c>
      <c r="J2739" s="21">
        <f t="shared" si="126"/>
        <v>-9.6026490066225045E-2</v>
      </c>
      <c r="K2739" s="1">
        <v>2</v>
      </c>
      <c r="L2739" s="24">
        <v>8.1</v>
      </c>
      <c r="M2739" s="24">
        <v>73.710000000000008</v>
      </c>
      <c r="N2739" s="21">
        <f t="shared" si="127"/>
        <v>-0.1864238410596025</v>
      </c>
      <c r="P2739" s="1">
        <v>4</v>
      </c>
      <c r="Q2739" s="24">
        <v>9.828000000000003</v>
      </c>
      <c r="R2739" s="24">
        <v>72.072000000000003</v>
      </c>
      <c r="S2739" s="21">
        <f t="shared" si="128"/>
        <v>-0.20450331125827806</v>
      </c>
    </row>
    <row r="2740" spans="2:19" ht="11.4" customHeight="1" x14ac:dyDescent="0.2">
      <c r="B2740" s="24"/>
      <c r="C2740" s="10">
        <v>41078</v>
      </c>
      <c r="D2740" s="18" t="s">
        <v>2844</v>
      </c>
      <c r="E2740" s="18" t="s">
        <v>2817</v>
      </c>
      <c r="F2740" s="17">
        <v>12</v>
      </c>
      <c r="G2740" s="18" t="s">
        <v>23</v>
      </c>
      <c r="H2740" s="17">
        <v>18.36</v>
      </c>
      <c r="I2740" s="11">
        <v>22</v>
      </c>
      <c r="J2740" s="21">
        <f t="shared" si="126"/>
        <v>0.19825708061002181</v>
      </c>
      <c r="K2740" s="1">
        <v>2</v>
      </c>
      <c r="L2740" s="24">
        <v>2.2000000000000002</v>
      </c>
      <c r="M2740" s="24">
        <v>19.8</v>
      </c>
      <c r="N2740" s="21">
        <f t="shared" si="127"/>
        <v>7.8431372549019676E-2</v>
      </c>
      <c r="P2740" s="1">
        <v>4</v>
      </c>
      <c r="Q2740" s="24">
        <v>2.6400000000000006</v>
      </c>
      <c r="R2740" s="24">
        <v>19.36</v>
      </c>
      <c r="S2740" s="21">
        <f t="shared" si="128"/>
        <v>5.4466230936819175E-2</v>
      </c>
    </row>
    <row r="2741" spans="2:19" ht="11.4" customHeight="1" x14ac:dyDescent="0.2">
      <c r="B2741" s="24"/>
      <c r="C2741" s="10">
        <v>40931</v>
      </c>
      <c r="D2741" s="18" t="s">
        <v>2845</v>
      </c>
      <c r="E2741" s="18" t="s">
        <v>2817</v>
      </c>
      <c r="F2741" s="17">
        <v>6</v>
      </c>
      <c r="G2741" s="18" t="s">
        <v>23</v>
      </c>
      <c r="H2741" s="17">
        <v>29.74</v>
      </c>
      <c r="I2741" s="11">
        <v>40.200000000000003</v>
      </c>
      <c r="J2741" s="21">
        <f t="shared" si="126"/>
        <v>0.35171486213853415</v>
      </c>
      <c r="K2741" s="1">
        <v>2</v>
      </c>
      <c r="L2741" s="24">
        <v>4</v>
      </c>
      <c r="M2741" s="24">
        <v>36.180000000000007</v>
      </c>
      <c r="N2741" s="21">
        <f t="shared" si="127"/>
        <v>0.21654337592468087</v>
      </c>
      <c r="P2741" s="1">
        <v>4</v>
      </c>
      <c r="Q2741" s="24">
        <v>4.8239999999999981</v>
      </c>
      <c r="R2741" s="24">
        <v>35.376000000000005</v>
      </c>
      <c r="S2741" s="21">
        <f t="shared" si="128"/>
        <v>0.18950907868191011</v>
      </c>
    </row>
    <row r="2742" spans="2:19" ht="11.4" customHeight="1" x14ac:dyDescent="0.2">
      <c r="B2742" s="24"/>
      <c r="C2742" s="10">
        <v>40932</v>
      </c>
      <c r="D2742" s="18" t="s">
        <v>2846</v>
      </c>
      <c r="E2742" s="18" t="s">
        <v>2817</v>
      </c>
      <c r="F2742" s="17">
        <v>6</v>
      </c>
      <c r="G2742" s="18" t="s">
        <v>23</v>
      </c>
      <c r="H2742" s="17">
        <v>29.74</v>
      </c>
      <c r="I2742" s="11">
        <v>40.200000000000003</v>
      </c>
      <c r="J2742" s="21">
        <f t="shared" si="126"/>
        <v>0.35171486213853415</v>
      </c>
      <c r="K2742" s="1">
        <v>2</v>
      </c>
      <c r="L2742" s="24">
        <v>4</v>
      </c>
      <c r="M2742" s="24">
        <v>36.180000000000007</v>
      </c>
      <c r="N2742" s="21">
        <f t="shared" si="127"/>
        <v>0.21654337592468087</v>
      </c>
      <c r="P2742" s="1">
        <v>4</v>
      </c>
      <c r="Q2742" s="24">
        <v>4.8239999999999981</v>
      </c>
      <c r="R2742" s="24">
        <v>35.376000000000005</v>
      </c>
      <c r="S2742" s="21">
        <f t="shared" si="128"/>
        <v>0.18950907868191011</v>
      </c>
    </row>
    <row r="2743" spans="2:19" ht="11.4" customHeight="1" x14ac:dyDescent="0.2">
      <c r="B2743" s="24"/>
      <c r="C2743" s="10">
        <v>40933</v>
      </c>
      <c r="D2743" s="18" t="s">
        <v>2847</v>
      </c>
      <c r="E2743" s="18" t="s">
        <v>2817</v>
      </c>
      <c r="F2743" s="17">
        <v>6</v>
      </c>
      <c r="G2743" s="18" t="s">
        <v>23</v>
      </c>
      <c r="H2743" s="17">
        <v>29.73</v>
      </c>
      <c r="I2743" s="11">
        <v>40.200000000000003</v>
      </c>
      <c r="J2743" s="21">
        <f t="shared" si="126"/>
        <v>0.35216952573158433</v>
      </c>
      <c r="K2743" s="1">
        <v>2</v>
      </c>
      <c r="L2743" s="24">
        <v>4</v>
      </c>
      <c r="M2743" s="24">
        <v>36.180000000000007</v>
      </c>
      <c r="N2743" s="21">
        <f t="shared" si="127"/>
        <v>0.21695257315842603</v>
      </c>
      <c r="P2743" s="1">
        <v>4</v>
      </c>
      <c r="Q2743" s="24">
        <v>4.8239999999999981</v>
      </c>
      <c r="R2743" s="24">
        <v>35.376000000000005</v>
      </c>
      <c r="S2743" s="21">
        <f t="shared" si="128"/>
        <v>0.18990918264379428</v>
      </c>
    </row>
    <row r="2744" spans="2:19" ht="11.4" customHeight="1" x14ac:dyDescent="0.2">
      <c r="B2744" s="24"/>
      <c r="C2744" s="10">
        <v>17114</v>
      </c>
      <c r="D2744" s="18" t="s">
        <v>2848</v>
      </c>
      <c r="E2744" s="18" t="s">
        <v>2817</v>
      </c>
      <c r="F2744" s="17">
        <v>24</v>
      </c>
      <c r="G2744" s="18" t="s">
        <v>23</v>
      </c>
      <c r="H2744" s="17">
        <v>29.9</v>
      </c>
      <c r="I2744" s="11">
        <v>36.9</v>
      </c>
      <c r="J2744" s="21">
        <f t="shared" si="126"/>
        <v>0.23411371237458195</v>
      </c>
      <c r="K2744" s="1">
        <v>2</v>
      </c>
      <c r="L2744" s="24">
        <v>3.6</v>
      </c>
      <c r="M2744" s="24">
        <v>33.21</v>
      </c>
      <c r="N2744" s="21">
        <f t="shared" si="127"/>
        <v>0.11070234113712382</v>
      </c>
      <c r="P2744" s="1">
        <v>4</v>
      </c>
      <c r="Q2744" s="24">
        <v>4.4279999999999973</v>
      </c>
      <c r="R2744" s="24">
        <v>32.472000000000001</v>
      </c>
      <c r="S2744" s="21">
        <f t="shared" si="128"/>
        <v>8.6020066889632207E-2</v>
      </c>
    </row>
    <row r="2745" spans="2:19" ht="11.4" customHeight="1" x14ac:dyDescent="0.2">
      <c r="B2745" s="24"/>
      <c r="C2745" s="10">
        <v>36288</v>
      </c>
      <c r="D2745" s="18" t="s">
        <v>2849</v>
      </c>
      <c r="E2745" s="18" t="s">
        <v>2817</v>
      </c>
      <c r="F2745" s="17">
        <v>6</v>
      </c>
      <c r="G2745" s="18" t="s">
        <v>23</v>
      </c>
      <c r="H2745" s="17">
        <v>41.9</v>
      </c>
      <c r="I2745" s="11">
        <v>40.5</v>
      </c>
      <c r="J2745" s="21">
        <f t="shared" si="126"/>
        <v>-3.3412887828162256E-2</v>
      </c>
      <c r="K2745" s="1">
        <v>2</v>
      </c>
      <c r="L2745" s="24">
        <v>4</v>
      </c>
      <c r="M2745" s="24">
        <v>36.450000000000003</v>
      </c>
      <c r="N2745" s="21">
        <f t="shared" si="127"/>
        <v>-0.13007159904534596</v>
      </c>
      <c r="P2745" s="1">
        <v>4</v>
      </c>
      <c r="Q2745" s="24">
        <v>4.8599999999999994</v>
      </c>
      <c r="R2745" s="24">
        <v>35.64</v>
      </c>
      <c r="S2745" s="21">
        <f t="shared" si="128"/>
        <v>-0.14940334128878277</v>
      </c>
    </row>
    <row r="2746" spans="2:19" ht="11.4" customHeight="1" x14ac:dyDescent="0.2">
      <c r="B2746" s="24"/>
      <c r="C2746" s="10">
        <v>36301</v>
      </c>
      <c r="D2746" s="18" t="s">
        <v>2850</v>
      </c>
      <c r="E2746" s="18" t="s">
        <v>2817</v>
      </c>
      <c r="F2746" s="17">
        <v>9</v>
      </c>
      <c r="G2746" s="18" t="s">
        <v>23</v>
      </c>
      <c r="H2746" s="17">
        <v>23.7</v>
      </c>
      <c r="I2746" s="11">
        <v>23.9</v>
      </c>
      <c r="J2746" s="21">
        <f t="shared" si="126"/>
        <v>8.4388185654008137E-3</v>
      </c>
      <c r="K2746" s="1">
        <v>2</v>
      </c>
      <c r="L2746" s="24">
        <v>2.2999999999999998</v>
      </c>
      <c r="M2746" s="24">
        <v>21.509999999999998</v>
      </c>
      <c r="N2746" s="21">
        <f t="shared" si="127"/>
        <v>-9.2405063291139303E-2</v>
      </c>
      <c r="P2746" s="1">
        <v>4</v>
      </c>
      <c r="Q2746" s="24">
        <v>2.8679999999999986</v>
      </c>
      <c r="R2746" s="24">
        <v>21.032</v>
      </c>
      <c r="S2746" s="21">
        <f t="shared" si="128"/>
        <v>-0.11257383966244723</v>
      </c>
    </row>
    <row r="2747" spans="2:19" ht="11.4" customHeight="1" x14ac:dyDescent="0.2">
      <c r="B2747" s="24"/>
      <c r="C2747" s="10">
        <v>36299</v>
      </c>
      <c r="D2747" s="18" t="s">
        <v>2851</v>
      </c>
      <c r="E2747" s="18" t="s">
        <v>2817</v>
      </c>
      <c r="F2747" s="17">
        <v>6</v>
      </c>
      <c r="G2747" s="18" t="s">
        <v>23</v>
      </c>
      <c r="H2747" s="17">
        <v>35.1</v>
      </c>
      <c r="I2747" s="11">
        <v>33.9</v>
      </c>
      <c r="J2747" s="21">
        <f t="shared" si="126"/>
        <v>-3.4188034188034268E-2</v>
      </c>
      <c r="K2747" s="1">
        <v>2</v>
      </c>
      <c r="L2747" s="24">
        <v>3.3</v>
      </c>
      <c r="M2747" s="24">
        <v>30.509999999999998</v>
      </c>
      <c r="N2747" s="21">
        <f t="shared" si="127"/>
        <v>-0.13076923076923086</v>
      </c>
      <c r="P2747" s="1">
        <v>4</v>
      </c>
      <c r="Q2747" s="24">
        <v>4.0680000000000014</v>
      </c>
      <c r="R2747" s="24">
        <v>29.831999999999997</v>
      </c>
      <c r="S2747" s="21">
        <f t="shared" si="128"/>
        <v>-0.15008547008547021</v>
      </c>
    </row>
    <row r="2748" spans="2:19" ht="11.4" customHeight="1" x14ac:dyDescent="0.2">
      <c r="B2748" s="24"/>
      <c r="C2748" s="10">
        <v>39391</v>
      </c>
      <c r="D2748" s="18" t="s">
        <v>2852</v>
      </c>
      <c r="E2748" s="18" t="s">
        <v>2817</v>
      </c>
      <c r="F2748" s="17">
        <v>1</v>
      </c>
      <c r="G2748" s="18" t="s">
        <v>23</v>
      </c>
      <c r="H2748" s="17">
        <v>26.4</v>
      </c>
      <c r="I2748" s="11">
        <v>29.2</v>
      </c>
      <c r="J2748" s="21">
        <f t="shared" si="126"/>
        <v>0.10606060606060609</v>
      </c>
      <c r="K2748" s="1">
        <v>2</v>
      </c>
      <c r="L2748" s="24">
        <v>2.9</v>
      </c>
      <c r="M2748" s="24">
        <v>26.28</v>
      </c>
      <c r="N2748" s="21">
        <f t="shared" si="127"/>
        <v>-4.545454545454449E-3</v>
      </c>
      <c r="P2748" s="1">
        <v>4</v>
      </c>
      <c r="Q2748" s="24">
        <v>3.5040000000000013</v>
      </c>
      <c r="R2748" s="24">
        <v>25.695999999999998</v>
      </c>
      <c r="S2748" s="21">
        <f t="shared" si="128"/>
        <v>-2.6666666666666693E-2</v>
      </c>
    </row>
    <row r="2749" spans="2:19" ht="11.4" customHeight="1" x14ac:dyDescent="0.2">
      <c r="B2749" s="24"/>
      <c r="C2749" s="10">
        <v>41505</v>
      </c>
      <c r="D2749" s="18" t="s">
        <v>2853</v>
      </c>
      <c r="E2749" s="18" t="s">
        <v>2817</v>
      </c>
      <c r="F2749" s="17">
        <v>6</v>
      </c>
      <c r="G2749" s="18" t="s">
        <v>23</v>
      </c>
      <c r="H2749" s="17">
        <v>29.07</v>
      </c>
      <c r="I2749" s="11">
        <v>40.5</v>
      </c>
      <c r="J2749" s="21">
        <f t="shared" si="126"/>
        <v>0.39318885448916407</v>
      </c>
      <c r="K2749" s="1">
        <v>2</v>
      </c>
      <c r="L2749" s="24">
        <v>4</v>
      </c>
      <c r="M2749" s="24">
        <v>36.450000000000003</v>
      </c>
      <c r="N2749" s="21">
        <f t="shared" si="127"/>
        <v>0.25386996904024778</v>
      </c>
      <c r="P2749" s="1">
        <v>4</v>
      </c>
      <c r="Q2749" s="24">
        <v>4.8599999999999994</v>
      </c>
      <c r="R2749" s="24">
        <v>35.64</v>
      </c>
      <c r="S2749" s="21">
        <f t="shared" si="128"/>
        <v>0.2260061919504644</v>
      </c>
    </row>
    <row r="2750" spans="2:19" ht="11.4" customHeight="1" x14ac:dyDescent="0.2">
      <c r="B2750" s="24"/>
      <c r="C2750" s="10">
        <v>41573</v>
      </c>
      <c r="D2750" s="18" t="s">
        <v>2854</v>
      </c>
      <c r="E2750" s="18" t="s">
        <v>2817</v>
      </c>
      <c r="F2750" s="18"/>
      <c r="G2750" s="18" t="s">
        <v>23</v>
      </c>
      <c r="H2750" s="17">
        <v>19.079999999999998</v>
      </c>
      <c r="I2750" s="11">
        <v>34.9</v>
      </c>
      <c r="J2750" s="21">
        <f t="shared" si="126"/>
        <v>0.82914046121593299</v>
      </c>
      <c r="K2750" s="1">
        <v>2</v>
      </c>
      <c r="L2750" s="24">
        <v>3.4</v>
      </c>
      <c r="M2750" s="24">
        <v>31.41</v>
      </c>
      <c r="N2750" s="21">
        <f t="shared" si="127"/>
        <v>0.64622641509433976</v>
      </c>
      <c r="P2750" s="1">
        <v>4</v>
      </c>
      <c r="Q2750" s="24">
        <v>4.1879999999999988</v>
      </c>
      <c r="R2750" s="24">
        <v>30.712</v>
      </c>
      <c r="S2750" s="21">
        <f t="shared" si="128"/>
        <v>0.60964360587002109</v>
      </c>
    </row>
    <row r="2751" spans="2:19" ht="11.4" customHeight="1" x14ac:dyDescent="0.2">
      <c r="B2751" s="24"/>
      <c r="C2751" s="10">
        <v>18014</v>
      </c>
      <c r="D2751" s="18" t="s">
        <v>2855</v>
      </c>
      <c r="E2751" s="18" t="s">
        <v>2817</v>
      </c>
      <c r="F2751" s="17">
        <v>6</v>
      </c>
      <c r="G2751" s="18" t="s">
        <v>23</v>
      </c>
      <c r="H2751" s="17">
        <v>35.1</v>
      </c>
      <c r="I2751" s="11">
        <v>32.9</v>
      </c>
      <c r="J2751" s="21">
        <f t="shared" si="126"/>
        <v>-6.2678062678062751E-2</v>
      </c>
      <c r="K2751" s="1">
        <v>2</v>
      </c>
      <c r="L2751" s="24">
        <v>3.2</v>
      </c>
      <c r="M2751" s="24">
        <v>29.61</v>
      </c>
      <c r="N2751" s="21">
        <f t="shared" si="127"/>
        <v>-0.15641025641025647</v>
      </c>
      <c r="P2751" s="1">
        <v>4</v>
      </c>
      <c r="Q2751" s="24">
        <v>3.9480000000000004</v>
      </c>
      <c r="R2751" s="24">
        <v>28.951999999999998</v>
      </c>
      <c r="S2751" s="21">
        <f t="shared" si="128"/>
        <v>-0.17515669515669524</v>
      </c>
    </row>
    <row r="2752" spans="2:19" ht="11.4" customHeight="1" x14ac:dyDescent="0.2">
      <c r="B2752" s="24"/>
      <c r="C2752" s="10">
        <v>41570</v>
      </c>
      <c r="D2752" s="18" t="s">
        <v>2856</v>
      </c>
      <c r="E2752" s="18" t="s">
        <v>2817</v>
      </c>
      <c r="F2752" s="17">
        <v>1</v>
      </c>
      <c r="G2752" s="18" t="s">
        <v>23</v>
      </c>
      <c r="H2752" s="17">
        <v>22.08</v>
      </c>
      <c r="I2752" s="11">
        <v>25.8</v>
      </c>
      <c r="J2752" s="21">
        <f t="shared" si="126"/>
        <v>0.16847826086956533</v>
      </c>
      <c r="K2752" s="1">
        <v>2</v>
      </c>
      <c r="L2752" s="24">
        <v>2.5</v>
      </c>
      <c r="M2752" s="24">
        <v>23.220000000000002</v>
      </c>
      <c r="N2752" s="21">
        <f t="shared" si="127"/>
        <v>5.1630434782608883E-2</v>
      </c>
      <c r="P2752" s="1">
        <v>4</v>
      </c>
      <c r="Q2752" s="24">
        <v>3.0960000000000001</v>
      </c>
      <c r="R2752" s="24">
        <v>22.704000000000001</v>
      </c>
      <c r="S2752" s="21">
        <f t="shared" si="128"/>
        <v>2.8260869565217499E-2</v>
      </c>
    </row>
    <row r="2753" spans="2:19" ht="11.4" customHeight="1" x14ac:dyDescent="0.2">
      <c r="B2753" s="24"/>
      <c r="C2753" s="10">
        <v>17556</v>
      </c>
      <c r="D2753" s="18" t="s">
        <v>2857</v>
      </c>
      <c r="E2753" s="18" t="s">
        <v>2817</v>
      </c>
      <c r="F2753" s="17">
        <v>6</v>
      </c>
      <c r="G2753" s="18" t="s">
        <v>23</v>
      </c>
      <c r="H2753" s="17">
        <v>41.9</v>
      </c>
      <c r="I2753" s="11">
        <v>39.4</v>
      </c>
      <c r="J2753" s="21">
        <f t="shared" si="126"/>
        <v>-5.9665871121718381E-2</v>
      </c>
      <c r="K2753" s="1">
        <v>2</v>
      </c>
      <c r="L2753" s="24">
        <v>3.9</v>
      </c>
      <c r="M2753" s="24">
        <v>35.46</v>
      </c>
      <c r="N2753" s="21">
        <f t="shared" si="127"/>
        <v>-0.15369928400954649</v>
      </c>
      <c r="P2753" s="1">
        <v>4</v>
      </c>
      <c r="Q2753" s="24">
        <v>4.7280000000000015</v>
      </c>
      <c r="R2753" s="24">
        <v>34.671999999999997</v>
      </c>
      <c r="S2753" s="21">
        <f t="shared" si="128"/>
        <v>-0.1725059665871122</v>
      </c>
    </row>
    <row r="2754" spans="2:19" ht="11.4" customHeight="1" x14ac:dyDescent="0.2">
      <c r="B2754" s="24"/>
      <c r="C2754" s="10">
        <v>17557</v>
      </c>
      <c r="D2754" s="18" t="s">
        <v>2858</v>
      </c>
      <c r="E2754" s="18" t="s">
        <v>2817</v>
      </c>
      <c r="F2754" s="18"/>
      <c r="G2754" s="18" t="s">
        <v>23</v>
      </c>
      <c r="H2754" s="17">
        <v>55.7</v>
      </c>
      <c r="I2754" s="11">
        <v>63.5</v>
      </c>
      <c r="J2754" s="21">
        <f t="shared" si="126"/>
        <v>0.14003590664272886</v>
      </c>
      <c r="K2754" s="1">
        <v>2</v>
      </c>
      <c r="L2754" s="24">
        <v>6.3</v>
      </c>
      <c r="M2754" s="24">
        <v>57.15</v>
      </c>
      <c r="N2754" s="21">
        <f t="shared" si="127"/>
        <v>2.6032315978455938E-2</v>
      </c>
      <c r="P2754" s="1">
        <v>4</v>
      </c>
      <c r="Q2754" s="24">
        <v>7.6199999999999974</v>
      </c>
      <c r="R2754" s="24">
        <v>55.88</v>
      </c>
      <c r="S2754" s="21">
        <f t="shared" si="128"/>
        <v>3.231597845601431E-3</v>
      </c>
    </row>
    <row r="2755" spans="2:19" ht="11.4" customHeight="1" x14ac:dyDescent="0.2">
      <c r="B2755" s="24"/>
      <c r="C2755" s="10">
        <v>46874</v>
      </c>
      <c r="D2755" s="18" t="s">
        <v>2859</v>
      </c>
      <c r="E2755" s="18" t="s">
        <v>2817</v>
      </c>
      <c r="F2755" s="17">
        <v>12</v>
      </c>
      <c r="G2755" s="18" t="s">
        <v>23</v>
      </c>
      <c r="H2755" s="17">
        <v>48.2</v>
      </c>
      <c r="I2755" s="11">
        <v>65.3</v>
      </c>
      <c r="J2755" s="21">
        <f t="shared" ref="J2755:J2818" si="129">(I2755-H2755)/H2755</f>
        <v>0.354771784232365</v>
      </c>
      <c r="K2755" s="1">
        <v>2</v>
      </c>
      <c r="L2755" s="24">
        <v>6.5</v>
      </c>
      <c r="M2755" s="24">
        <v>58.769999999999996</v>
      </c>
      <c r="N2755" s="21">
        <f t="shared" ref="N2755:N2818" si="130">(M2755-H2755)/H2755</f>
        <v>0.21929460580912849</v>
      </c>
      <c r="P2755" s="1">
        <v>4</v>
      </c>
      <c r="Q2755" s="24">
        <v>7.8359999999999985</v>
      </c>
      <c r="R2755" s="24">
        <v>57.463999999999999</v>
      </c>
      <c r="S2755" s="21">
        <f t="shared" ref="S2755:S2818" si="131">(R2755-H2755)/H2755</f>
        <v>0.19219917012448123</v>
      </c>
    </row>
    <row r="2756" spans="2:19" ht="11.4" customHeight="1" x14ac:dyDescent="0.2">
      <c r="B2756" s="24"/>
      <c r="C2756" s="10">
        <v>46876</v>
      </c>
      <c r="D2756" s="18" t="s">
        <v>2860</v>
      </c>
      <c r="E2756" s="18" t="s">
        <v>2817</v>
      </c>
      <c r="F2756" s="17">
        <v>6</v>
      </c>
      <c r="G2756" s="18" t="s">
        <v>23</v>
      </c>
      <c r="H2756" s="17">
        <v>29.07</v>
      </c>
      <c r="I2756" s="11">
        <v>39.4</v>
      </c>
      <c r="J2756" s="21">
        <f t="shared" si="129"/>
        <v>0.35534915720674226</v>
      </c>
      <c r="K2756" s="1">
        <v>2</v>
      </c>
      <c r="L2756" s="24">
        <v>3.9</v>
      </c>
      <c r="M2756" s="24">
        <v>35.46</v>
      </c>
      <c r="N2756" s="21">
        <f t="shared" si="130"/>
        <v>0.21981424148606812</v>
      </c>
      <c r="P2756" s="1">
        <v>4</v>
      </c>
      <c r="Q2756" s="24">
        <v>4.7280000000000015</v>
      </c>
      <c r="R2756" s="24">
        <v>34.671999999999997</v>
      </c>
      <c r="S2756" s="21">
        <f t="shared" si="131"/>
        <v>0.19270725834193314</v>
      </c>
    </row>
    <row r="2757" spans="2:19" ht="11.4" customHeight="1" x14ac:dyDescent="0.2">
      <c r="B2757" s="24"/>
      <c r="C2757" s="10">
        <v>44754</v>
      </c>
      <c r="D2757" s="18" t="s">
        <v>2861</v>
      </c>
      <c r="E2757" s="18" t="s">
        <v>2817</v>
      </c>
      <c r="F2757" s="17">
        <v>12</v>
      </c>
      <c r="G2757" s="18" t="s">
        <v>23</v>
      </c>
      <c r="H2757" s="17">
        <v>48.19</v>
      </c>
      <c r="I2757" s="11">
        <v>65.3</v>
      </c>
      <c r="J2757" s="21">
        <f t="shared" si="129"/>
        <v>0.35505291554264373</v>
      </c>
      <c r="K2757" s="1">
        <v>2</v>
      </c>
      <c r="L2757" s="24">
        <v>6.5</v>
      </c>
      <c r="M2757" s="24">
        <v>58.769999999999996</v>
      </c>
      <c r="N2757" s="21">
        <f t="shared" si="130"/>
        <v>0.21954762398837932</v>
      </c>
      <c r="P2757" s="1">
        <v>4</v>
      </c>
      <c r="Q2757" s="24">
        <v>7.8359999999999985</v>
      </c>
      <c r="R2757" s="24">
        <v>57.463999999999999</v>
      </c>
      <c r="S2757" s="21">
        <f t="shared" si="131"/>
        <v>0.19244656567752649</v>
      </c>
    </row>
    <row r="2758" spans="2:19" ht="11.4" customHeight="1" x14ac:dyDescent="0.2">
      <c r="B2758" s="24"/>
      <c r="C2758" s="10">
        <v>44751</v>
      </c>
      <c r="D2758" s="18" t="s">
        <v>2862</v>
      </c>
      <c r="E2758" s="18" t="s">
        <v>2817</v>
      </c>
      <c r="F2758" s="17">
        <v>12</v>
      </c>
      <c r="G2758" s="18" t="s">
        <v>23</v>
      </c>
      <c r="H2758" s="17">
        <v>29.74</v>
      </c>
      <c r="I2758" s="11">
        <v>40.200000000000003</v>
      </c>
      <c r="J2758" s="21">
        <f t="shared" si="129"/>
        <v>0.35171486213853415</v>
      </c>
      <c r="K2758" s="1">
        <v>2</v>
      </c>
      <c r="L2758" s="24">
        <v>4</v>
      </c>
      <c r="M2758" s="24">
        <v>36.180000000000007</v>
      </c>
      <c r="N2758" s="21">
        <f t="shared" si="130"/>
        <v>0.21654337592468087</v>
      </c>
      <c r="P2758" s="1">
        <v>4</v>
      </c>
      <c r="Q2758" s="24">
        <v>4.8239999999999981</v>
      </c>
      <c r="R2758" s="24">
        <v>35.376000000000005</v>
      </c>
      <c r="S2758" s="21">
        <f t="shared" si="131"/>
        <v>0.18950907868191011</v>
      </c>
    </row>
    <row r="2759" spans="2:19" ht="11.4" customHeight="1" x14ac:dyDescent="0.2">
      <c r="B2759" s="24"/>
      <c r="C2759" s="10">
        <v>44431</v>
      </c>
      <c r="D2759" s="18" t="s">
        <v>2863</v>
      </c>
      <c r="E2759" s="18" t="s">
        <v>2817</v>
      </c>
      <c r="F2759" s="17">
        <v>24</v>
      </c>
      <c r="G2759" s="18" t="s">
        <v>23</v>
      </c>
      <c r="H2759" s="17">
        <v>26.4</v>
      </c>
      <c r="I2759" s="11">
        <v>34.1</v>
      </c>
      <c r="J2759" s="21">
        <f t="shared" si="129"/>
        <v>0.2916666666666668</v>
      </c>
      <c r="K2759" s="1">
        <v>2</v>
      </c>
      <c r="L2759" s="24">
        <v>3.4</v>
      </c>
      <c r="M2759" s="24">
        <v>30.69</v>
      </c>
      <c r="N2759" s="21">
        <f t="shared" si="130"/>
        <v>0.16250000000000012</v>
      </c>
      <c r="P2759" s="1">
        <v>4</v>
      </c>
      <c r="Q2759" s="24">
        <v>4.0919999999999987</v>
      </c>
      <c r="R2759" s="24">
        <v>30.008000000000003</v>
      </c>
      <c r="S2759" s="21">
        <f t="shared" si="131"/>
        <v>0.13666666666666683</v>
      </c>
    </row>
    <row r="2760" spans="2:19" ht="11.4" customHeight="1" x14ac:dyDescent="0.2">
      <c r="B2760" s="24"/>
      <c r="C2760" s="10">
        <v>44430</v>
      </c>
      <c r="D2760" s="18" t="s">
        <v>2864</v>
      </c>
      <c r="E2760" s="18" t="s">
        <v>2817</v>
      </c>
      <c r="F2760" s="17">
        <v>24</v>
      </c>
      <c r="G2760" s="18" t="s">
        <v>23</v>
      </c>
      <c r="H2760" s="17">
        <v>26.4</v>
      </c>
      <c r="I2760" s="11">
        <v>34.1</v>
      </c>
      <c r="J2760" s="21">
        <f t="shared" si="129"/>
        <v>0.2916666666666668</v>
      </c>
      <c r="K2760" s="1">
        <v>2</v>
      </c>
      <c r="L2760" s="24">
        <v>3.4</v>
      </c>
      <c r="M2760" s="24">
        <v>30.69</v>
      </c>
      <c r="N2760" s="21">
        <f t="shared" si="130"/>
        <v>0.16250000000000012</v>
      </c>
      <c r="P2760" s="1">
        <v>4</v>
      </c>
      <c r="Q2760" s="24">
        <v>4.0919999999999987</v>
      </c>
      <c r="R2760" s="24">
        <v>30.008000000000003</v>
      </c>
      <c r="S2760" s="21">
        <f t="shared" si="131"/>
        <v>0.13666666666666683</v>
      </c>
    </row>
    <row r="2761" spans="2:19" ht="11.4" customHeight="1" x14ac:dyDescent="0.2">
      <c r="B2761" s="24"/>
      <c r="C2761" s="10">
        <v>41099</v>
      </c>
      <c r="D2761" s="18" t="s">
        <v>2865</v>
      </c>
      <c r="E2761" s="18" t="s">
        <v>2866</v>
      </c>
      <c r="F2761" s="17">
        <v>30</v>
      </c>
      <c r="G2761" s="18" t="s">
        <v>23</v>
      </c>
      <c r="H2761" s="17">
        <v>32.340000000000003</v>
      </c>
      <c r="I2761" s="11">
        <v>45.2</v>
      </c>
      <c r="J2761" s="21">
        <f t="shared" si="129"/>
        <v>0.39764996907854044</v>
      </c>
      <c r="K2761" s="1">
        <v>2</v>
      </c>
      <c r="L2761" s="24">
        <v>4.5</v>
      </c>
      <c r="M2761" s="24">
        <v>40.680000000000007</v>
      </c>
      <c r="N2761" s="21">
        <f t="shared" si="130"/>
        <v>0.25788497217068651</v>
      </c>
      <c r="P2761" s="1">
        <v>4</v>
      </c>
      <c r="Q2761" s="24">
        <v>5.4239999999999995</v>
      </c>
      <c r="R2761" s="24">
        <v>39.776000000000003</v>
      </c>
      <c r="S2761" s="21">
        <f t="shared" si="131"/>
        <v>0.22993197278911562</v>
      </c>
    </row>
    <row r="2762" spans="2:19" ht="11.4" customHeight="1" x14ac:dyDescent="0.2">
      <c r="B2762" s="24"/>
      <c r="C2762" s="10">
        <v>41100</v>
      </c>
      <c r="D2762" s="18" t="s">
        <v>2867</v>
      </c>
      <c r="E2762" s="18" t="s">
        <v>2866</v>
      </c>
      <c r="F2762" s="17">
        <v>30</v>
      </c>
      <c r="G2762" s="18" t="s">
        <v>23</v>
      </c>
      <c r="H2762" s="17">
        <v>32.340000000000003</v>
      </c>
      <c r="I2762" s="11">
        <v>45.2</v>
      </c>
      <c r="J2762" s="21">
        <f t="shared" si="129"/>
        <v>0.39764996907854044</v>
      </c>
      <c r="K2762" s="1">
        <v>2</v>
      </c>
      <c r="L2762" s="24">
        <v>4.5</v>
      </c>
      <c r="M2762" s="24">
        <v>40.680000000000007</v>
      </c>
      <c r="N2762" s="21">
        <f t="shared" si="130"/>
        <v>0.25788497217068651</v>
      </c>
      <c r="P2762" s="1">
        <v>4</v>
      </c>
      <c r="Q2762" s="24">
        <v>5.4239999999999995</v>
      </c>
      <c r="R2762" s="24">
        <v>39.776000000000003</v>
      </c>
      <c r="S2762" s="21">
        <f t="shared" si="131"/>
        <v>0.22993197278911562</v>
      </c>
    </row>
    <row r="2763" spans="2:19" ht="11.4" customHeight="1" x14ac:dyDescent="0.2">
      <c r="B2763" s="24"/>
      <c r="C2763" s="10">
        <v>41101</v>
      </c>
      <c r="D2763" s="18" t="s">
        <v>2868</v>
      </c>
      <c r="E2763" s="18" t="s">
        <v>2866</v>
      </c>
      <c r="F2763" s="17">
        <v>30</v>
      </c>
      <c r="G2763" s="18" t="s">
        <v>23</v>
      </c>
      <c r="H2763" s="17">
        <v>32.340000000000003</v>
      </c>
      <c r="I2763" s="11">
        <v>45.2</v>
      </c>
      <c r="J2763" s="21">
        <f t="shared" si="129"/>
        <v>0.39764996907854044</v>
      </c>
      <c r="K2763" s="1">
        <v>2</v>
      </c>
      <c r="L2763" s="24">
        <v>4.5</v>
      </c>
      <c r="M2763" s="24">
        <v>40.680000000000007</v>
      </c>
      <c r="N2763" s="21">
        <f t="shared" si="130"/>
        <v>0.25788497217068651</v>
      </c>
      <c r="P2763" s="1">
        <v>4</v>
      </c>
      <c r="Q2763" s="24">
        <v>5.4239999999999995</v>
      </c>
      <c r="R2763" s="24">
        <v>39.776000000000003</v>
      </c>
      <c r="S2763" s="21">
        <f t="shared" si="131"/>
        <v>0.22993197278911562</v>
      </c>
    </row>
    <row r="2764" spans="2:19" ht="11.4" customHeight="1" x14ac:dyDescent="0.2">
      <c r="B2764" s="24"/>
      <c r="C2764" s="10">
        <v>40149</v>
      </c>
      <c r="D2764" s="18" t="s">
        <v>2869</v>
      </c>
      <c r="E2764" s="18" t="s">
        <v>2870</v>
      </c>
      <c r="F2764" s="17">
        <v>28</v>
      </c>
      <c r="G2764" s="18" t="s">
        <v>23</v>
      </c>
      <c r="H2764" s="17">
        <v>12.18</v>
      </c>
      <c r="I2764" s="11">
        <v>19.899999999999999</v>
      </c>
      <c r="J2764" s="21">
        <f t="shared" si="129"/>
        <v>0.63382594417077165</v>
      </c>
      <c r="K2764" s="1">
        <v>2</v>
      </c>
      <c r="L2764" s="24">
        <v>1.9</v>
      </c>
      <c r="M2764" s="24">
        <v>17.91</v>
      </c>
      <c r="N2764" s="21">
        <f t="shared" si="130"/>
        <v>0.47044334975369462</v>
      </c>
      <c r="P2764" s="1">
        <v>4</v>
      </c>
      <c r="Q2764" s="24">
        <v>2.3879999999999981</v>
      </c>
      <c r="R2764" s="24">
        <v>17.512</v>
      </c>
      <c r="S2764" s="21">
        <f t="shared" si="131"/>
        <v>0.43776683087027923</v>
      </c>
    </row>
    <row r="2765" spans="2:19" ht="11.4" customHeight="1" x14ac:dyDescent="0.2">
      <c r="B2765" s="24"/>
      <c r="C2765" s="10">
        <v>40148</v>
      </c>
      <c r="D2765" s="18" t="s">
        <v>2871</v>
      </c>
      <c r="E2765" s="18" t="s">
        <v>2870</v>
      </c>
      <c r="F2765" s="17">
        <v>28</v>
      </c>
      <c r="G2765" s="18" t="s">
        <v>23</v>
      </c>
      <c r="H2765" s="17">
        <v>12.18</v>
      </c>
      <c r="I2765" s="11">
        <v>19.899999999999999</v>
      </c>
      <c r="J2765" s="21">
        <f t="shared" si="129"/>
        <v>0.63382594417077165</v>
      </c>
      <c r="K2765" s="1">
        <v>2</v>
      </c>
      <c r="L2765" s="24">
        <v>1.9</v>
      </c>
      <c r="M2765" s="24">
        <v>17.91</v>
      </c>
      <c r="N2765" s="21">
        <f t="shared" si="130"/>
        <v>0.47044334975369462</v>
      </c>
      <c r="P2765" s="1">
        <v>4</v>
      </c>
      <c r="Q2765" s="24">
        <v>2.3879999999999981</v>
      </c>
      <c r="R2765" s="24">
        <v>17.512</v>
      </c>
      <c r="S2765" s="21">
        <f t="shared" si="131"/>
        <v>0.43776683087027923</v>
      </c>
    </row>
    <row r="2766" spans="2:19" ht="11.4" customHeight="1" x14ac:dyDescent="0.2">
      <c r="B2766" s="24"/>
      <c r="C2766" s="10">
        <v>40150</v>
      </c>
      <c r="D2766" s="18" t="s">
        <v>2872</v>
      </c>
      <c r="E2766" s="18" t="s">
        <v>2870</v>
      </c>
      <c r="F2766" s="17">
        <v>28</v>
      </c>
      <c r="G2766" s="18" t="s">
        <v>23</v>
      </c>
      <c r="H2766" s="17">
        <v>12.18</v>
      </c>
      <c r="I2766" s="11">
        <v>19.899999999999999</v>
      </c>
      <c r="J2766" s="21">
        <f t="shared" si="129"/>
        <v>0.63382594417077165</v>
      </c>
      <c r="K2766" s="1">
        <v>2</v>
      </c>
      <c r="L2766" s="24">
        <v>1.9</v>
      </c>
      <c r="M2766" s="24">
        <v>17.91</v>
      </c>
      <c r="N2766" s="21">
        <f t="shared" si="130"/>
        <v>0.47044334975369462</v>
      </c>
      <c r="P2766" s="1">
        <v>4</v>
      </c>
      <c r="Q2766" s="24">
        <v>2.3879999999999981</v>
      </c>
      <c r="R2766" s="24">
        <v>17.512</v>
      </c>
      <c r="S2766" s="21">
        <f t="shared" si="131"/>
        <v>0.43776683087027923</v>
      </c>
    </row>
    <row r="2767" spans="2:19" ht="11.4" customHeight="1" x14ac:dyDescent="0.2">
      <c r="B2767" s="24"/>
      <c r="C2767" s="10">
        <v>40151</v>
      </c>
      <c r="D2767" s="18" t="s">
        <v>2873</v>
      </c>
      <c r="E2767" s="18" t="s">
        <v>2870</v>
      </c>
      <c r="F2767" s="17">
        <v>28</v>
      </c>
      <c r="G2767" s="18" t="s">
        <v>23</v>
      </c>
      <c r="H2767" s="17">
        <v>12.18</v>
      </c>
      <c r="I2767" s="11">
        <v>19.899999999999999</v>
      </c>
      <c r="J2767" s="21">
        <f t="shared" si="129"/>
        <v>0.63382594417077165</v>
      </c>
      <c r="K2767" s="1">
        <v>2</v>
      </c>
      <c r="L2767" s="24">
        <v>1.9</v>
      </c>
      <c r="M2767" s="24">
        <v>17.91</v>
      </c>
      <c r="N2767" s="21">
        <f t="shared" si="130"/>
        <v>0.47044334975369462</v>
      </c>
      <c r="P2767" s="1">
        <v>4</v>
      </c>
      <c r="Q2767" s="24">
        <v>2.3879999999999981</v>
      </c>
      <c r="R2767" s="24">
        <v>17.512</v>
      </c>
      <c r="S2767" s="21">
        <f t="shared" si="131"/>
        <v>0.43776683087027923</v>
      </c>
    </row>
    <row r="2768" spans="2:19" ht="11.4" customHeight="1" x14ac:dyDescent="0.2">
      <c r="B2768" s="24"/>
      <c r="C2768" s="10">
        <v>45106</v>
      </c>
      <c r="D2768" s="18" t="s">
        <v>2874</v>
      </c>
      <c r="E2768" s="18" t="s">
        <v>2870</v>
      </c>
      <c r="F2768" s="17">
        <v>10</v>
      </c>
      <c r="G2768" s="18" t="s">
        <v>23</v>
      </c>
      <c r="H2768" s="17">
        <v>11.46</v>
      </c>
      <c r="I2768" s="11">
        <v>16.8</v>
      </c>
      <c r="J2768" s="21">
        <f t="shared" si="129"/>
        <v>0.46596858638743449</v>
      </c>
      <c r="K2768" s="1">
        <v>2</v>
      </c>
      <c r="L2768" s="24">
        <v>1.6</v>
      </c>
      <c r="M2768" s="24">
        <v>15.120000000000001</v>
      </c>
      <c r="N2768" s="21">
        <f t="shared" si="130"/>
        <v>0.3193717277486911</v>
      </c>
      <c r="P2768" s="1">
        <v>4</v>
      </c>
      <c r="Q2768" s="24">
        <v>2.016</v>
      </c>
      <c r="R2768" s="24">
        <v>14.784000000000001</v>
      </c>
      <c r="S2768" s="21">
        <f t="shared" si="131"/>
        <v>0.29005235602094237</v>
      </c>
    </row>
    <row r="2769" spans="2:19" ht="11.4" customHeight="1" x14ac:dyDescent="0.2">
      <c r="B2769" s="24"/>
      <c r="C2769" s="10">
        <v>46881</v>
      </c>
      <c r="D2769" s="18" t="s">
        <v>2875</v>
      </c>
      <c r="E2769" s="18" t="s">
        <v>2870</v>
      </c>
      <c r="F2769" s="17">
        <v>12</v>
      </c>
      <c r="G2769" s="18" t="s">
        <v>23</v>
      </c>
      <c r="H2769" s="17">
        <v>26.67</v>
      </c>
      <c r="I2769" s="11">
        <v>39.9</v>
      </c>
      <c r="J2769" s="21">
        <f t="shared" si="129"/>
        <v>0.49606299212598409</v>
      </c>
      <c r="K2769" s="1">
        <v>2</v>
      </c>
      <c r="L2769" s="24">
        <v>3.9</v>
      </c>
      <c r="M2769" s="24">
        <v>35.909999999999997</v>
      </c>
      <c r="N2769" s="21">
        <f t="shared" si="130"/>
        <v>0.3464566929133856</v>
      </c>
      <c r="P2769" s="1">
        <v>4</v>
      </c>
      <c r="Q2769" s="24">
        <v>4.7879999999999967</v>
      </c>
      <c r="R2769" s="24">
        <v>35.112000000000002</v>
      </c>
      <c r="S2769" s="21">
        <f t="shared" si="131"/>
        <v>0.31653543307086612</v>
      </c>
    </row>
    <row r="2770" spans="2:19" ht="11.4" customHeight="1" x14ac:dyDescent="0.2">
      <c r="B2770" s="24"/>
      <c r="C2770" s="10">
        <v>46883</v>
      </c>
      <c r="D2770" s="18" t="s">
        <v>2876</v>
      </c>
      <c r="E2770" s="18" t="s">
        <v>2870</v>
      </c>
      <c r="F2770" s="17">
        <v>6</v>
      </c>
      <c r="G2770" s="18" t="s">
        <v>23</v>
      </c>
      <c r="H2770" s="17">
        <v>43.06</v>
      </c>
      <c r="I2770" s="11">
        <v>64.900000000000006</v>
      </c>
      <c r="J2770" s="21">
        <f t="shared" si="129"/>
        <v>0.50719925685090572</v>
      </c>
      <c r="K2770" s="1">
        <v>2</v>
      </c>
      <c r="L2770" s="24">
        <v>6.4</v>
      </c>
      <c r="M2770" s="24">
        <v>58.410000000000004</v>
      </c>
      <c r="N2770" s="21">
        <f t="shared" si="130"/>
        <v>0.35647933116581515</v>
      </c>
      <c r="P2770" s="1">
        <v>4</v>
      </c>
      <c r="Q2770" s="24">
        <v>7.7880000000000038</v>
      </c>
      <c r="R2770" s="24">
        <v>57.112000000000002</v>
      </c>
      <c r="S2770" s="21">
        <f t="shared" si="131"/>
        <v>0.32633534602879699</v>
      </c>
    </row>
    <row r="2771" spans="2:19" ht="11.4" customHeight="1" x14ac:dyDescent="0.2">
      <c r="B2771" s="24"/>
      <c r="C2771" s="10">
        <v>45115</v>
      </c>
      <c r="D2771" s="18" t="s">
        <v>2877</v>
      </c>
      <c r="E2771" s="18" t="s">
        <v>2870</v>
      </c>
      <c r="F2771" s="17">
        <v>10</v>
      </c>
      <c r="G2771" s="18" t="s">
        <v>23</v>
      </c>
      <c r="H2771" s="17">
        <v>11.46</v>
      </c>
      <c r="I2771" s="11">
        <v>16.8</v>
      </c>
      <c r="J2771" s="21">
        <f t="shared" si="129"/>
        <v>0.46596858638743449</v>
      </c>
      <c r="K2771" s="1">
        <v>2</v>
      </c>
      <c r="L2771" s="24">
        <v>1.6</v>
      </c>
      <c r="M2771" s="24">
        <v>15.120000000000001</v>
      </c>
      <c r="N2771" s="21">
        <f t="shared" si="130"/>
        <v>0.3193717277486911</v>
      </c>
      <c r="P2771" s="1">
        <v>4</v>
      </c>
      <c r="Q2771" s="24">
        <v>2.016</v>
      </c>
      <c r="R2771" s="24">
        <v>14.784000000000001</v>
      </c>
      <c r="S2771" s="21">
        <f t="shared" si="131"/>
        <v>0.29005235602094237</v>
      </c>
    </row>
    <row r="2772" spans="2:19" ht="11.4" customHeight="1" x14ac:dyDescent="0.2">
      <c r="B2772" s="24"/>
      <c r="C2772" s="10">
        <v>46710</v>
      </c>
      <c r="D2772" s="18" t="s">
        <v>2878</v>
      </c>
      <c r="E2772" s="18" t="s">
        <v>2870</v>
      </c>
      <c r="F2772" s="17">
        <v>27</v>
      </c>
      <c r="G2772" s="18" t="s">
        <v>23</v>
      </c>
      <c r="H2772" s="17">
        <v>13.68</v>
      </c>
      <c r="I2772" s="11">
        <v>17.7</v>
      </c>
      <c r="J2772" s="21">
        <f t="shared" si="129"/>
        <v>0.29385964912280699</v>
      </c>
      <c r="K2772" s="1">
        <v>2</v>
      </c>
      <c r="L2772" s="24">
        <v>1.7</v>
      </c>
      <c r="M2772" s="24">
        <v>15.93</v>
      </c>
      <c r="N2772" s="21">
        <f t="shared" si="130"/>
        <v>0.16447368421052633</v>
      </c>
      <c r="P2772" s="1">
        <v>4</v>
      </c>
      <c r="Q2772" s="24">
        <v>2.1240000000000006</v>
      </c>
      <c r="R2772" s="24">
        <v>15.575999999999999</v>
      </c>
      <c r="S2772" s="21">
        <f t="shared" si="131"/>
        <v>0.13859649122807011</v>
      </c>
    </row>
    <row r="2773" spans="2:19" ht="11.4" customHeight="1" x14ac:dyDescent="0.2">
      <c r="B2773" s="24"/>
      <c r="C2773" s="10">
        <v>46711</v>
      </c>
      <c r="D2773" s="18" t="s">
        <v>2879</v>
      </c>
      <c r="E2773" s="18" t="s">
        <v>2870</v>
      </c>
      <c r="F2773" s="17">
        <v>15</v>
      </c>
      <c r="G2773" s="18" t="s">
        <v>23</v>
      </c>
      <c r="H2773" s="17">
        <v>30.48</v>
      </c>
      <c r="I2773" s="11">
        <v>40.700000000000003</v>
      </c>
      <c r="J2773" s="21">
        <f t="shared" si="129"/>
        <v>0.3353018372703413</v>
      </c>
      <c r="K2773" s="1">
        <v>2</v>
      </c>
      <c r="L2773" s="24">
        <v>4</v>
      </c>
      <c r="M2773" s="24">
        <v>36.630000000000003</v>
      </c>
      <c r="N2773" s="21">
        <f t="shared" si="130"/>
        <v>0.20177165354330714</v>
      </c>
      <c r="P2773" s="1">
        <v>4</v>
      </c>
      <c r="Q2773" s="24">
        <v>4.8840000000000003</v>
      </c>
      <c r="R2773" s="24">
        <v>35.816000000000003</v>
      </c>
      <c r="S2773" s="21">
        <f t="shared" si="131"/>
        <v>0.17506561679790034</v>
      </c>
    </row>
    <row r="2774" spans="2:19" ht="11.4" customHeight="1" x14ac:dyDescent="0.2">
      <c r="B2774" s="24"/>
      <c r="C2774" s="10">
        <v>5878</v>
      </c>
      <c r="D2774" s="18" t="s">
        <v>2880</v>
      </c>
      <c r="E2774" s="18" t="s">
        <v>2870</v>
      </c>
      <c r="F2774" s="17">
        <v>12</v>
      </c>
      <c r="G2774" s="18" t="s">
        <v>23</v>
      </c>
      <c r="H2774" s="17">
        <v>46.3</v>
      </c>
      <c r="I2774" s="11">
        <v>55.6</v>
      </c>
      <c r="J2774" s="21">
        <f t="shared" si="129"/>
        <v>0.20086393088552926</v>
      </c>
      <c r="K2774" s="1">
        <v>2</v>
      </c>
      <c r="L2774" s="24">
        <v>5.5</v>
      </c>
      <c r="M2774" s="24">
        <v>50.04</v>
      </c>
      <c r="N2774" s="21">
        <f t="shared" si="130"/>
        <v>8.0777537796976287E-2</v>
      </c>
      <c r="P2774" s="1">
        <v>4</v>
      </c>
      <c r="Q2774" s="24">
        <v>6.671999999999997</v>
      </c>
      <c r="R2774" s="24">
        <v>48.928000000000004</v>
      </c>
      <c r="S2774" s="21">
        <f t="shared" si="131"/>
        <v>5.6760259179265818E-2</v>
      </c>
    </row>
    <row r="2775" spans="2:19" ht="11.4" customHeight="1" x14ac:dyDescent="0.2">
      <c r="B2775" s="24"/>
      <c r="C2775" s="10">
        <v>47442</v>
      </c>
      <c r="D2775" s="18" t="s">
        <v>2881</v>
      </c>
      <c r="E2775" s="18" t="s">
        <v>2870</v>
      </c>
      <c r="F2775" s="17">
        <v>10</v>
      </c>
      <c r="G2775" s="18" t="s">
        <v>23</v>
      </c>
      <c r="H2775" s="17">
        <v>13.26</v>
      </c>
      <c r="I2775" s="11">
        <v>17.899999999999999</v>
      </c>
      <c r="J2775" s="21">
        <f t="shared" si="129"/>
        <v>0.34992458521870279</v>
      </c>
      <c r="K2775" s="1">
        <v>2</v>
      </c>
      <c r="L2775" s="24">
        <v>1.7</v>
      </c>
      <c r="M2775" s="24">
        <v>16.11</v>
      </c>
      <c r="N2775" s="21">
        <f t="shared" si="130"/>
        <v>0.21493212669683256</v>
      </c>
      <c r="P2775" s="1">
        <v>4</v>
      </c>
      <c r="Q2775" s="24">
        <v>2.1479999999999997</v>
      </c>
      <c r="R2775" s="24">
        <v>15.751999999999999</v>
      </c>
      <c r="S2775" s="21">
        <f t="shared" si="131"/>
        <v>0.18793363499245846</v>
      </c>
    </row>
    <row r="2776" spans="2:19" ht="11.4" customHeight="1" x14ac:dyDescent="0.2">
      <c r="B2776" s="24"/>
      <c r="C2776" s="10">
        <v>47439</v>
      </c>
      <c r="D2776" s="18" t="s">
        <v>2882</v>
      </c>
      <c r="E2776" s="18" t="s">
        <v>2870</v>
      </c>
      <c r="F2776" s="17">
        <v>10</v>
      </c>
      <c r="G2776" s="18" t="s">
        <v>23</v>
      </c>
      <c r="H2776" s="17">
        <v>13.26</v>
      </c>
      <c r="I2776" s="11">
        <v>17.899999999999999</v>
      </c>
      <c r="J2776" s="21">
        <f t="shared" si="129"/>
        <v>0.34992458521870279</v>
      </c>
      <c r="K2776" s="1">
        <v>2</v>
      </c>
      <c r="L2776" s="24">
        <v>1.7</v>
      </c>
      <c r="M2776" s="24">
        <v>16.11</v>
      </c>
      <c r="N2776" s="21">
        <f t="shared" si="130"/>
        <v>0.21493212669683256</v>
      </c>
      <c r="P2776" s="1">
        <v>4</v>
      </c>
      <c r="Q2776" s="24">
        <v>2.1479999999999997</v>
      </c>
      <c r="R2776" s="24">
        <v>15.751999999999999</v>
      </c>
      <c r="S2776" s="21">
        <f t="shared" si="131"/>
        <v>0.18793363499245846</v>
      </c>
    </row>
    <row r="2777" spans="2:19" ht="11.4" customHeight="1" x14ac:dyDescent="0.2">
      <c r="B2777" s="24"/>
      <c r="C2777" s="10">
        <v>47438</v>
      </c>
      <c r="D2777" s="18" t="s">
        <v>2883</v>
      </c>
      <c r="E2777" s="18" t="s">
        <v>2870</v>
      </c>
      <c r="F2777" s="17">
        <v>10</v>
      </c>
      <c r="G2777" s="18" t="s">
        <v>23</v>
      </c>
      <c r="H2777" s="17">
        <v>13.26</v>
      </c>
      <c r="I2777" s="11">
        <v>17.899999999999999</v>
      </c>
      <c r="J2777" s="21">
        <f t="shared" si="129"/>
        <v>0.34992458521870279</v>
      </c>
      <c r="K2777" s="1">
        <v>2</v>
      </c>
      <c r="L2777" s="24">
        <v>1.7</v>
      </c>
      <c r="M2777" s="24">
        <v>16.11</v>
      </c>
      <c r="N2777" s="21">
        <f t="shared" si="130"/>
        <v>0.21493212669683256</v>
      </c>
      <c r="P2777" s="1">
        <v>4</v>
      </c>
      <c r="Q2777" s="24">
        <v>2.1479999999999997</v>
      </c>
      <c r="R2777" s="24">
        <v>15.751999999999999</v>
      </c>
      <c r="S2777" s="21">
        <f t="shared" si="131"/>
        <v>0.18793363499245846</v>
      </c>
    </row>
    <row r="2778" spans="2:19" ht="11.4" customHeight="1" x14ac:dyDescent="0.2">
      <c r="B2778" s="24"/>
      <c r="C2778" s="10">
        <v>47441</v>
      </c>
      <c r="D2778" s="18" t="s">
        <v>2884</v>
      </c>
      <c r="E2778" s="18" t="s">
        <v>2870</v>
      </c>
      <c r="F2778" s="17">
        <v>10</v>
      </c>
      <c r="G2778" s="18" t="s">
        <v>23</v>
      </c>
      <c r="H2778" s="17">
        <v>13.26</v>
      </c>
      <c r="I2778" s="11">
        <v>17.899999999999999</v>
      </c>
      <c r="J2778" s="21">
        <f t="shared" si="129"/>
        <v>0.34992458521870279</v>
      </c>
      <c r="K2778" s="1">
        <v>2</v>
      </c>
      <c r="L2778" s="24">
        <v>1.7</v>
      </c>
      <c r="M2778" s="24">
        <v>16.11</v>
      </c>
      <c r="N2778" s="21">
        <f t="shared" si="130"/>
        <v>0.21493212669683256</v>
      </c>
      <c r="P2778" s="1">
        <v>4</v>
      </c>
      <c r="Q2778" s="24">
        <v>2.1479999999999997</v>
      </c>
      <c r="R2778" s="24">
        <v>15.751999999999999</v>
      </c>
      <c r="S2778" s="21">
        <f t="shared" si="131"/>
        <v>0.18793363499245846</v>
      </c>
    </row>
    <row r="2779" spans="2:19" ht="11.4" customHeight="1" x14ac:dyDescent="0.2">
      <c r="B2779" s="24"/>
      <c r="C2779" s="10">
        <v>47440</v>
      </c>
      <c r="D2779" s="18" t="s">
        <v>2885</v>
      </c>
      <c r="E2779" s="18" t="s">
        <v>2870</v>
      </c>
      <c r="F2779" s="17">
        <v>10</v>
      </c>
      <c r="G2779" s="18" t="s">
        <v>23</v>
      </c>
      <c r="H2779" s="17">
        <v>13.26</v>
      </c>
      <c r="I2779" s="11">
        <v>17.899999999999999</v>
      </c>
      <c r="J2779" s="21">
        <f t="shared" si="129"/>
        <v>0.34992458521870279</v>
      </c>
      <c r="K2779" s="1">
        <v>2</v>
      </c>
      <c r="L2779" s="24">
        <v>1.7</v>
      </c>
      <c r="M2779" s="24">
        <v>16.11</v>
      </c>
      <c r="N2779" s="21">
        <f t="shared" si="130"/>
        <v>0.21493212669683256</v>
      </c>
      <c r="P2779" s="1">
        <v>4</v>
      </c>
      <c r="Q2779" s="24">
        <v>2.1479999999999997</v>
      </c>
      <c r="R2779" s="24">
        <v>15.751999999999999</v>
      </c>
      <c r="S2779" s="21">
        <f t="shared" si="131"/>
        <v>0.18793363499245846</v>
      </c>
    </row>
    <row r="2780" spans="2:19" ht="11.4" customHeight="1" x14ac:dyDescent="0.2">
      <c r="B2780" s="24"/>
      <c r="C2780" s="10">
        <v>45113</v>
      </c>
      <c r="D2780" s="18" t="s">
        <v>2886</v>
      </c>
      <c r="E2780" s="18" t="s">
        <v>2870</v>
      </c>
      <c r="F2780" s="17">
        <v>10</v>
      </c>
      <c r="G2780" s="18" t="s">
        <v>23</v>
      </c>
      <c r="H2780" s="17">
        <v>11.46</v>
      </c>
      <c r="I2780" s="11">
        <v>16.8</v>
      </c>
      <c r="J2780" s="21">
        <f t="shared" si="129"/>
        <v>0.46596858638743449</v>
      </c>
      <c r="K2780" s="1">
        <v>2</v>
      </c>
      <c r="L2780" s="24">
        <v>1.6</v>
      </c>
      <c r="M2780" s="24">
        <v>15.120000000000001</v>
      </c>
      <c r="N2780" s="21">
        <f t="shared" si="130"/>
        <v>0.3193717277486911</v>
      </c>
      <c r="P2780" s="1">
        <v>4</v>
      </c>
      <c r="Q2780" s="24">
        <v>2.016</v>
      </c>
      <c r="R2780" s="24">
        <v>14.784000000000001</v>
      </c>
      <c r="S2780" s="21">
        <f t="shared" si="131"/>
        <v>0.29005235602094237</v>
      </c>
    </row>
    <row r="2781" spans="2:19" ht="11.4" customHeight="1" x14ac:dyDescent="0.2">
      <c r="B2781" s="24"/>
      <c r="C2781" s="10">
        <v>45114</v>
      </c>
      <c r="D2781" s="18" t="s">
        <v>2887</v>
      </c>
      <c r="E2781" s="18" t="s">
        <v>2870</v>
      </c>
      <c r="F2781" s="17">
        <v>10</v>
      </c>
      <c r="G2781" s="18" t="s">
        <v>23</v>
      </c>
      <c r="H2781" s="17">
        <v>11.46</v>
      </c>
      <c r="I2781" s="11">
        <v>16.8</v>
      </c>
      <c r="J2781" s="21">
        <f t="shared" si="129"/>
        <v>0.46596858638743449</v>
      </c>
      <c r="K2781" s="1">
        <v>2</v>
      </c>
      <c r="L2781" s="24">
        <v>1.6</v>
      </c>
      <c r="M2781" s="24">
        <v>15.120000000000001</v>
      </c>
      <c r="N2781" s="21">
        <f t="shared" si="130"/>
        <v>0.3193717277486911</v>
      </c>
      <c r="P2781" s="1">
        <v>4</v>
      </c>
      <c r="Q2781" s="24">
        <v>2.016</v>
      </c>
      <c r="R2781" s="24">
        <v>14.784000000000001</v>
      </c>
      <c r="S2781" s="21">
        <f t="shared" si="131"/>
        <v>0.29005235602094237</v>
      </c>
    </row>
    <row r="2782" spans="2:19" ht="11.4" customHeight="1" x14ac:dyDescent="0.2">
      <c r="B2782" s="24"/>
      <c r="C2782" s="10">
        <v>46884</v>
      </c>
      <c r="D2782" s="18" t="s">
        <v>2888</v>
      </c>
      <c r="E2782" s="18" t="s">
        <v>2870</v>
      </c>
      <c r="F2782" s="17">
        <v>12</v>
      </c>
      <c r="G2782" s="18" t="s">
        <v>23</v>
      </c>
      <c r="H2782" s="17">
        <v>26.67</v>
      </c>
      <c r="I2782" s="11">
        <v>39.9</v>
      </c>
      <c r="J2782" s="21">
        <f t="shared" si="129"/>
        <v>0.49606299212598409</v>
      </c>
      <c r="K2782" s="1">
        <v>2</v>
      </c>
      <c r="L2782" s="24">
        <v>3.9</v>
      </c>
      <c r="M2782" s="24">
        <v>35.909999999999997</v>
      </c>
      <c r="N2782" s="21">
        <f t="shared" si="130"/>
        <v>0.3464566929133856</v>
      </c>
      <c r="P2782" s="1">
        <v>4</v>
      </c>
      <c r="Q2782" s="24">
        <v>4.7879999999999967</v>
      </c>
      <c r="R2782" s="24">
        <v>35.112000000000002</v>
      </c>
      <c r="S2782" s="21">
        <f t="shared" si="131"/>
        <v>0.31653543307086612</v>
      </c>
    </row>
    <row r="2783" spans="2:19" ht="11.4" customHeight="1" x14ac:dyDescent="0.2">
      <c r="B2783" s="24"/>
      <c r="C2783" s="10">
        <v>46882</v>
      </c>
      <c r="D2783" s="18" t="s">
        <v>2889</v>
      </c>
      <c r="E2783" s="18" t="s">
        <v>2870</v>
      </c>
      <c r="F2783" s="17">
        <v>6</v>
      </c>
      <c r="G2783" s="18" t="s">
        <v>23</v>
      </c>
      <c r="H2783" s="17">
        <v>43.04</v>
      </c>
      <c r="I2783" s="11">
        <v>64.900000000000006</v>
      </c>
      <c r="J2783" s="21">
        <f t="shared" si="129"/>
        <v>0.50789962825278823</v>
      </c>
      <c r="K2783" s="1">
        <v>2</v>
      </c>
      <c r="L2783" s="24">
        <v>6.4</v>
      </c>
      <c r="M2783" s="24">
        <v>58.410000000000004</v>
      </c>
      <c r="N2783" s="21">
        <f t="shared" si="130"/>
        <v>0.35710966542750938</v>
      </c>
      <c r="P2783" s="1">
        <v>4</v>
      </c>
      <c r="Q2783" s="24">
        <v>7.7880000000000038</v>
      </c>
      <c r="R2783" s="24">
        <v>57.112000000000002</v>
      </c>
      <c r="S2783" s="21">
        <f t="shared" si="131"/>
        <v>0.32695167286245358</v>
      </c>
    </row>
    <row r="2784" spans="2:19" ht="11.4" customHeight="1" x14ac:dyDescent="0.2">
      <c r="B2784" s="24"/>
      <c r="C2784" s="10">
        <v>40152</v>
      </c>
      <c r="D2784" s="18" t="s">
        <v>2890</v>
      </c>
      <c r="E2784" s="18" t="s">
        <v>2870</v>
      </c>
      <c r="F2784" s="17">
        <v>28</v>
      </c>
      <c r="G2784" s="18" t="s">
        <v>23</v>
      </c>
      <c r="H2784" s="17">
        <v>12.18</v>
      </c>
      <c r="I2784" s="11">
        <v>19.899999999999999</v>
      </c>
      <c r="J2784" s="21">
        <f t="shared" si="129"/>
        <v>0.63382594417077165</v>
      </c>
      <c r="K2784" s="1">
        <v>2</v>
      </c>
      <c r="L2784" s="24">
        <v>1.9</v>
      </c>
      <c r="M2784" s="24">
        <v>17.91</v>
      </c>
      <c r="N2784" s="21">
        <f t="shared" si="130"/>
        <v>0.47044334975369462</v>
      </c>
      <c r="P2784" s="1">
        <v>4</v>
      </c>
      <c r="Q2784" s="24">
        <v>2.3879999999999981</v>
      </c>
      <c r="R2784" s="24">
        <v>17.512</v>
      </c>
      <c r="S2784" s="21">
        <f t="shared" si="131"/>
        <v>0.43776683087027923</v>
      </c>
    </row>
    <row r="2785" spans="2:19" ht="11.4" customHeight="1" x14ac:dyDescent="0.2">
      <c r="B2785" s="24"/>
      <c r="C2785" s="10">
        <v>47381</v>
      </c>
      <c r="D2785" s="18" t="s">
        <v>2891</v>
      </c>
      <c r="E2785" s="18" t="s">
        <v>2870</v>
      </c>
      <c r="F2785" s="17">
        <v>9</v>
      </c>
      <c r="G2785" s="18" t="s">
        <v>23</v>
      </c>
      <c r="H2785" s="17">
        <v>53.71</v>
      </c>
      <c r="I2785" s="11">
        <v>81.900000000000006</v>
      </c>
      <c r="J2785" s="21">
        <f t="shared" si="129"/>
        <v>0.52485570657233294</v>
      </c>
      <c r="K2785" s="1">
        <v>2</v>
      </c>
      <c r="L2785" s="24">
        <v>8.1</v>
      </c>
      <c r="M2785" s="24">
        <v>73.710000000000008</v>
      </c>
      <c r="N2785" s="21">
        <f t="shared" si="130"/>
        <v>0.37237013591509971</v>
      </c>
      <c r="P2785" s="1">
        <v>4</v>
      </c>
      <c r="Q2785" s="24">
        <v>9.828000000000003</v>
      </c>
      <c r="R2785" s="24">
        <v>72.072000000000003</v>
      </c>
      <c r="S2785" s="21">
        <f t="shared" si="131"/>
        <v>0.34187302178365298</v>
      </c>
    </row>
    <row r="2786" spans="2:19" ht="11.4" customHeight="1" x14ac:dyDescent="0.2">
      <c r="B2786" s="24"/>
      <c r="C2786" s="10">
        <v>44344</v>
      </c>
      <c r="D2786" s="18" t="s">
        <v>2892</v>
      </c>
      <c r="E2786" s="18" t="s">
        <v>2870</v>
      </c>
      <c r="F2786" s="17">
        <v>12</v>
      </c>
      <c r="G2786" s="18" t="s">
        <v>23</v>
      </c>
      <c r="H2786" s="17">
        <v>72.83</v>
      </c>
      <c r="I2786" s="11">
        <v>106.9</v>
      </c>
      <c r="J2786" s="21">
        <f t="shared" si="129"/>
        <v>0.46780173005629561</v>
      </c>
      <c r="K2786" s="1">
        <v>2</v>
      </c>
      <c r="L2786" s="24">
        <v>10.6</v>
      </c>
      <c r="M2786" s="24">
        <v>96.210000000000008</v>
      </c>
      <c r="N2786" s="21">
        <f t="shared" si="130"/>
        <v>0.3210215570506661</v>
      </c>
      <c r="P2786" s="1">
        <v>4</v>
      </c>
      <c r="Q2786" s="24">
        <v>12.828000000000003</v>
      </c>
      <c r="R2786" s="24">
        <v>94.072000000000003</v>
      </c>
      <c r="S2786" s="21">
        <f t="shared" si="131"/>
        <v>0.29166552244954008</v>
      </c>
    </row>
    <row r="2787" spans="2:19" ht="11.4" customHeight="1" x14ac:dyDescent="0.2">
      <c r="B2787" s="24"/>
      <c r="C2787" s="10">
        <v>46709</v>
      </c>
      <c r="D2787" s="18" t="s">
        <v>2893</v>
      </c>
      <c r="E2787" s="18" t="s">
        <v>2870</v>
      </c>
      <c r="F2787" s="17">
        <v>12</v>
      </c>
      <c r="G2787" s="18" t="s">
        <v>23</v>
      </c>
      <c r="H2787" s="17">
        <v>59.82</v>
      </c>
      <c r="I2787" s="11">
        <v>80.3</v>
      </c>
      <c r="J2787" s="21">
        <f t="shared" si="129"/>
        <v>0.34236041457706445</v>
      </c>
      <c r="K2787" s="1">
        <v>2</v>
      </c>
      <c r="L2787" s="24">
        <v>8</v>
      </c>
      <c r="M2787" s="24">
        <v>72.27</v>
      </c>
      <c r="N2787" s="21">
        <f t="shared" si="130"/>
        <v>0.208124373119358</v>
      </c>
      <c r="P2787" s="1">
        <v>4</v>
      </c>
      <c r="Q2787" s="24">
        <v>9.6359999999999957</v>
      </c>
      <c r="R2787" s="24">
        <v>70.664000000000001</v>
      </c>
      <c r="S2787" s="21">
        <f t="shared" si="131"/>
        <v>0.18127716482781681</v>
      </c>
    </row>
    <row r="2788" spans="2:19" ht="11.4" customHeight="1" x14ac:dyDescent="0.2">
      <c r="B2788" s="24"/>
      <c r="C2788" s="10">
        <v>44349</v>
      </c>
      <c r="D2788" s="18" t="s">
        <v>2894</v>
      </c>
      <c r="E2788" s="18" t="s">
        <v>2870</v>
      </c>
      <c r="F2788" s="17">
        <v>12</v>
      </c>
      <c r="G2788" s="18" t="s">
        <v>23</v>
      </c>
      <c r="H2788" s="17">
        <v>65.010000000000005</v>
      </c>
      <c r="I2788" s="11">
        <v>99</v>
      </c>
      <c r="J2788" s="21">
        <f t="shared" si="129"/>
        <v>0.52284263959390853</v>
      </c>
      <c r="K2788" s="1">
        <v>2</v>
      </c>
      <c r="L2788" s="24">
        <v>9.8000000000000007</v>
      </c>
      <c r="M2788" s="24">
        <v>89.100000000000009</v>
      </c>
      <c r="N2788" s="21">
        <f t="shared" si="130"/>
        <v>0.37055837563451777</v>
      </c>
      <c r="P2788" s="1">
        <v>4</v>
      </c>
      <c r="Q2788" s="24">
        <v>11.879999999999995</v>
      </c>
      <c r="R2788" s="24">
        <v>87.12</v>
      </c>
      <c r="S2788" s="21">
        <f t="shared" si="131"/>
        <v>0.34010152284263956</v>
      </c>
    </row>
    <row r="2789" spans="2:19" ht="11.4" customHeight="1" x14ac:dyDescent="0.2">
      <c r="B2789" s="24"/>
      <c r="C2789" s="10">
        <v>44348</v>
      </c>
      <c r="D2789" s="18" t="s">
        <v>2895</v>
      </c>
      <c r="E2789" s="18" t="s">
        <v>2870</v>
      </c>
      <c r="F2789" s="17">
        <v>24</v>
      </c>
      <c r="G2789" s="18" t="s">
        <v>23</v>
      </c>
      <c r="H2789" s="17">
        <v>16.32</v>
      </c>
      <c r="I2789" s="11">
        <v>24.9</v>
      </c>
      <c r="J2789" s="21">
        <f t="shared" si="129"/>
        <v>0.52573529411764697</v>
      </c>
      <c r="K2789" s="1">
        <v>2</v>
      </c>
      <c r="L2789" s="24">
        <v>2.4</v>
      </c>
      <c r="M2789" s="24">
        <v>22.41</v>
      </c>
      <c r="N2789" s="21">
        <f t="shared" si="130"/>
        <v>0.37316176470588236</v>
      </c>
      <c r="P2789" s="1">
        <v>4</v>
      </c>
      <c r="Q2789" s="24">
        <v>2.9879999999999995</v>
      </c>
      <c r="R2789" s="24">
        <v>21.911999999999999</v>
      </c>
      <c r="S2789" s="21">
        <f t="shared" si="131"/>
        <v>0.3426470588235293</v>
      </c>
    </row>
    <row r="2790" spans="2:19" ht="11.4" customHeight="1" x14ac:dyDescent="0.2">
      <c r="B2790" s="24"/>
      <c r="C2790" s="10">
        <v>44338</v>
      </c>
      <c r="D2790" s="18" t="s">
        <v>2896</v>
      </c>
      <c r="E2790" s="18" t="s">
        <v>2870</v>
      </c>
      <c r="F2790" s="17">
        <v>24</v>
      </c>
      <c r="G2790" s="18" t="s">
        <v>23</v>
      </c>
      <c r="H2790" s="17">
        <v>16.32</v>
      </c>
      <c r="I2790" s="11">
        <v>24.9</v>
      </c>
      <c r="J2790" s="21">
        <f t="shared" si="129"/>
        <v>0.52573529411764697</v>
      </c>
      <c r="K2790" s="1">
        <v>2</v>
      </c>
      <c r="L2790" s="24">
        <v>2.4</v>
      </c>
      <c r="M2790" s="24">
        <v>22.41</v>
      </c>
      <c r="N2790" s="21">
        <f t="shared" si="130"/>
        <v>0.37316176470588236</v>
      </c>
      <c r="P2790" s="1">
        <v>4</v>
      </c>
      <c r="Q2790" s="24">
        <v>2.9879999999999995</v>
      </c>
      <c r="R2790" s="24">
        <v>21.911999999999999</v>
      </c>
      <c r="S2790" s="21">
        <f t="shared" si="131"/>
        <v>0.3426470588235293</v>
      </c>
    </row>
    <row r="2791" spans="2:19" ht="11.4" customHeight="1" x14ac:dyDescent="0.2">
      <c r="B2791" s="24"/>
      <c r="C2791" s="10">
        <v>47388</v>
      </c>
      <c r="D2791" s="18" t="s">
        <v>2897</v>
      </c>
      <c r="E2791" s="18" t="s">
        <v>2870</v>
      </c>
      <c r="F2791" s="17">
        <v>9</v>
      </c>
      <c r="G2791" s="18" t="s">
        <v>23</v>
      </c>
      <c r="H2791" s="17">
        <v>46.33</v>
      </c>
      <c r="I2791" s="11">
        <v>62.9</v>
      </c>
      <c r="J2791" s="21">
        <f t="shared" si="129"/>
        <v>0.35765162961364128</v>
      </c>
      <c r="K2791" s="1">
        <v>2</v>
      </c>
      <c r="L2791" s="24">
        <v>6.2</v>
      </c>
      <c r="M2791" s="24">
        <v>56.61</v>
      </c>
      <c r="N2791" s="21">
        <f t="shared" si="130"/>
        <v>0.22188646665227718</v>
      </c>
      <c r="P2791" s="1">
        <v>4</v>
      </c>
      <c r="Q2791" s="24">
        <v>7.5480000000000018</v>
      </c>
      <c r="R2791" s="24">
        <v>55.351999999999997</v>
      </c>
      <c r="S2791" s="21">
        <f t="shared" si="131"/>
        <v>0.19473343406000429</v>
      </c>
    </row>
    <row r="2792" spans="2:19" ht="11.4" customHeight="1" x14ac:dyDescent="0.2">
      <c r="B2792" s="24"/>
      <c r="C2792" s="10">
        <v>44350</v>
      </c>
      <c r="D2792" s="18" t="s">
        <v>2898</v>
      </c>
      <c r="E2792" s="18" t="s">
        <v>2870</v>
      </c>
      <c r="F2792" s="17">
        <v>12</v>
      </c>
      <c r="G2792" s="18" t="s">
        <v>23</v>
      </c>
      <c r="H2792" s="17">
        <v>65.03</v>
      </c>
      <c r="I2792" s="11">
        <v>99</v>
      </c>
      <c r="J2792" s="21">
        <f t="shared" si="129"/>
        <v>0.52237428878978931</v>
      </c>
      <c r="K2792" s="1">
        <v>2</v>
      </c>
      <c r="L2792" s="24">
        <v>9.8000000000000007</v>
      </c>
      <c r="M2792" s="24">
        <v>89.100000000000009</v>
      </c>
      <c r="N2792" s="21">
        <f t="shared" si="130"/>
        <v>0.37013685991081052</v>
      </c>
      <c r="P2792" s="1">
        <v>4</v>
      </c>
      <c r="Q2792" s="24">
        <v>11.879999999999995</v>
      </c>
      <c r="R2792" s="24">
        <v>87.12</v>
      </c>
      <c r="S2792" s="21">
        <f t="shared" si="131"/>
        <v>0.33968937413501465</v>
      </c>
    </row>
    <row r="2793" spans="2:19" ht="11.4" customHeight="1" x14ac:dyDescent="0.2">
      <c r="B2793" s="24"/>
      <c r="C2793" s="10">
        <v>44347</v>
      </c>
      <c r="D2793" s="18" t="s">
        <v>2899</v>
      </c>
      <c r="E2793" s="18" t="s">
        <v>2870</v>
      </c>
      <c r="F2793" s="17">
        <v>24</v>
      </c>
      <c r="G2793" s="18" t="s">
        <v>23</v>
      </c>
      <c r="H2793" s="17">
        <v>16.32</v>
      </c>
      <c r="I2793" s="11">
        <v>24.9</v>
      </c>
      <c r="J2793" s="21">
        <f t="shared" si="129"/>
        <v>0.52573529411764697</v>
      </c>
      <c r="K2793" s="1">
        <v>2</v>
      </c>
      <c r="L2793" s="24">
        <v>2.4</v>
      </c>
      <c r="M2793" s="24">
        <v>22.41</v>
      </c>
      <c r="N2793" s="21">
        <f t="shared" si="130"/>
        <v>0.37316176470588236</v>
      </c>
      <c r="P2793" s="1">
        <v>4</v>
      </c>
      <c r="Q2793" s="24">
        <v>2.9879999999999995</v>
      </c>
      <c r="R2793" s="24">
        <v>21.911999999999999</v>
      </c>
      <c r="S2793" s="21">
        <f t="shared" si="131"/>
        <v>0.3426470588235293</v>
      </c>
    </row>
    <row r="2794" spans="2:19" ht="11.4" customHeight="1" x14ac:dyDescent="0.2">
      <c r="B2794" s="24"/>
      <c r="C2794" s="10">
        <v>44342</v>
      </c>
      <c r="D2794" s="18" t="s">
        <v>2900</v>
      </c>
      <c r="E2794" s="18" t="s">
        <v>2870</v>
      </c>
      <c r="F2794" s="17">
        <v>12</v>
      </c>
      <c r="G2794" s="18" t="s">
        <v>23</v>
      </c>
      <c r="H2794" s="17">
        <v>65.03</v>
      </c>
      <c r="I2794" s="11">
        <v>99</v>
      </c>
      <c r="J2794" s="21">
        <f t="shared" si="129"/>
        <v>0.52237428878978931</v>
      </c>
      <c r="K2794" s="1">
        <v>2</v>
      </c>
      <c r="L2794" s="24">
        <v>9.8000000000000007</v>
      </c>
      <c r="M2794" s="24">
        <v>89.100000000000009</v>
      </c>
      <c r="N2794" s="21">
        <f t="shared" si="130"/>
        <v>0.37013685991081052</v>
      </c>
      <c r="P2794" s="1">
        <v>4</v>
      </c>
      <c r="Q2794" s="24">
        <v>11.879999999999995</v>
      </c>
      <c r="R2794" s="24">
        <v>87.12</v>
      </c>
      <c r="S2794" s="21">
        <f t="shared" si="131"/>
        <v>0.33968937413501465</v>
      </c>
    </row>
    <row r="2795" spans="2:19" ht="11.4" customHeight="1" x14ac:dyDescent="0.2">
      <c r="B2795" s="24"/>
      <c r="C2795" s="10">
        <v>45078</v>
      </c>
      <c r="D2795" s="18" t="s">
        <v>2901</v>
      </c>
      <c r="E2795" s="18" t="s">
        <v>2870</v>
      </c>
      <c r="F2795" s="17">
        <v>12</v>
      </c>
      <c r="G2795" s="18" t="s">
        <v>23</v>
      </c>
      <c r="H2795" s="17">
        <v>54.3</v>
      </c>
      <c r="I2795" s="11">
        <v>72.900000000000006</v>
      </c>
      <c r="J2795" s="21">
        <f t="shared" si="129"/>
        <v>0.34254143646408858</v>
      </c>
      <c r="K2795" s="1">
        <v>2</v>
      </c>
      <c r="L2795" s="24">
        <v>7.2</v>
      </c>
      <c r="M2795" s="24">
        <v>65.610000000000014</v>
      </c>
      <c r="N2795" s="21">
        <f t="shared" si="130"/>
        <v>0.20828729281767988</v>
      </c>
      <c r="P2795" s="1">
        <v>4</v>
      </c>
      <c r="Q2795" s="24">
        <v>8.7480000000000047</v>
      </c>
      <c r="R2795" s="24">
        <v>64.152000000000001</v>
      </c>
      <c r="S2795" s="21">
        <f t="shared" si="131"/>
        <v>0.18143646408839786</v>
      </c>
    </row>
    <row r="2796" spans="2:19" ht="11.4" customHeight="1" x14ac:dyDescent="0.2">
      <c r="B2796" s="24"/>
      <c r="C2796" s="10">
        <v>44580</v>
      </c>
      <c r="D2796" s="18" t="s">
        <v>2902</v>
      </c>
      <c r="E2796" s="18" t="s">
        <v>2870</v>
      </c>
      <c r="F2796" s="17">
        <v>10</v>
      </c>
      <c r="G2796" s="18" t="s">
        <v>23</v>
      </c>
      <c r="H2796" s="17">
        <v>73.2</v>
      </c>
      <c r="I2796" s="11">
        <v>103.5</v>
      </c>
      <c r="J2796" s="21">
        <f t="shared" si="129"/>
        <v>0.41393442622950816</v>
      </c>
      <c r="K2796" s="1">
        <v>2</v>
      </c>
      <c r="L2796" s="24">
        <v>10.3</v>
      </c>
      <c r="M2796" s="24">
        <v>93.15</v>
      </c>
      <c r="N2796" s="21">
        <f t="shared" si="130"/>
        <v>0.27254098360655743</v>
      </c>
      <c r="P2796" s="1">
        <v>4</v>
      </c>
      <c r="Q2796" s="24">
        <v>12.420000000000002</v>
      </c>
      <c r="R2796" s="24">
        <v>91.08</v>
      </c>
      <c r="S2796" s="21">
        <f t="shared" si="131"/>
        <v>0.24426229508196715</v>
      </c>
    </row>
    <row r="2797" spans="2:19" ht="11.4" customHeight="1" x14ac:dyDescent="0.2">
      <c r="B2797" s="24"/>
      <c r="C2797" s="10">
        <v>44582</v>
      </c>
      <c r="D2797" s="18" t="s">
        <v>2903</v>
      </c>
      <c r="E2797" s="18" t="s">
        <v>2870</v>
      </c>
      <c r="F2797" s="17">
        <v>10</v>
      </c>
      <c r="G2797" s="18" t="s">
        <v>23</v>
      </c>
      <c r="H2797" s="17">
        <v>78.36</v>
      </c>
      <c r="I2797" s="11">
        <v>103.5</v>
      </c>
      <c r="J2797" s="21">
        <f t="shared" si="129"/>
        <v>0.32082695252679938</v>
      </c>
      <c r="K2797" s="1">
        <v>2</v>
      </c>
      <c r="L2797" s="24">
        <v>10.3</v>
      </c>
      <c r="M2797" s="24">
        <v>93.15</v>
      </c>
      <c r="N2797" s="21">
        <f t="shared" si="130"/>
        <v>0.18874425727411953</v>
      </c>
      <c r="P2797" s="1">
        <v>4</v>
      </c>
      <c r="Q2797" s="24">
        <v>12.420000000000002</v>
      </c>
      <c r="R2797" s="24">
        <v>91.08</v>
      </c>
      <c r="S2797" s="21">
        <f t="shared" si="131"/>
        <v>0.16232771822358344</v>
      </c>
    </row>
    <row r="2798" spans="2:19" ht="11.4" customHeight="1" x14ac:dyDescent="0.2">
      <c r="B2798" s="24"/>
      <c r="C2798" s="10">
        <v>44581</v>
      </c>
      <c r="D2798" s="18" t="s">
        <v>2904</v>
      </c>
      <c r="E2798" s="18" t="s">
        <v>2870</v>
      </c>
      <c r="F2798" s="17">
        <v>10</v>
      </c>
      <c r="G2798" s="18" t="s">
        <v>23</v>
      </c>
      <c r="H2798" s="17">
        <v>78.36</v>
      </c>
      <c r="I2798" s="11">
        <v>103.5</v>
      </c>
      <c r="J2798" s="21">
        <f t="shared" si="129"/>
        <v>0.32082695252679938</v>
      </c>
      <c r="K2798" s="1">
        <v>2</v>
      </c>
      <c r="L2798" s="24">
        <v>10.3</v>
      </c>
      <c r="M2798" s="24">
        <v>93.15</v>
      </c>
      <c r="N2798" s="21">
        <f t="shared" si="130"/>
        <v>0.18874425727411953</v>
      </c>
      <c r="P2798" s="1">
        <v>4</v>
      </c>
      <c r="Q2798" s="24">
        <v>12.420000000000002</v>
      </c>
      <c r="R2798" s="24">
        <v>91.08</v>
      </c>
      <c r="S2798" s="21">
        <f t="shared" si="131"/>
        <v>0.16232771822358344</v>
      </c>
    </row>
    <row r="2799" spans="2:19" ht="11.4" customHeight="1" x14ac:dyDescent="0.2">
      <c r="B2799" s="24"/>
      <c r="C2799" s="10">
        <v>47384</v>
      </c>
      <c r="D2799" s="18" t="s">
        <v>2905</v>
      </c>
      <c r="E2799" s="18" t="s">
        <v>2870</v>
      </c>
      <c r="F2799" s="17">
        <v>9</v>
      </c>
      <c r="G2799" s="18" t="s">
        <v>23</v>
      </c>
      <c r="H2799" s="17">
        <v>39.9</v>
      </c>
      <c r="I2799" s="11">
        <v>61.9</v>
      </c>
      <c r="J2799" s="21">
        <f t="shared" si="129"/>
        <v>0.55137844611528819</v>
      </c>
      <c r="K2799" s="1">
        <v>2</v>
      </c>
      <c r="L2799" s="24">
        <v>6.1</v>
      </c>
      <c r="M2799" s="24">
        <v>55.71</v>
      </c>
      <c r="N2799" s="21">
        <f t="shared" si="130"/>
        <v>0.39624060150375945</v>
      </c>
      <c r="P2799" s="1">
        <v>4</v>
      </c>
      <c r="Q2799" s="24">
        <v>7.4279999999999973</v>
      </c>
      <c r="R2799" s="24">
        <v>54.472000000000001</v>
      </c>
      <c r="S2799" s="21">
        <f t="shared" si="131"/>
        <v>0.36521303258145371</v>
      </c>
    </row>
    <row r="2800" spans="2:19" ht="11.4" customHeight="1" x14ac:dyDescent="0.2">
      <c r="B2800" s="24"/>
      <c r="C2800" s="10">
        <v>47387</v>
      </c>
      <c r="D2800" s="18" t="s">
        <v>2906</v>
      </c>
      <c r="E2800" s="18" t="s">
        <v>2870</v>
      </c>
      <c r="F2800" s="17">
        <v>9</v>
      </c>
      <c r="G2800" s="18" t="s">
        <v>23</v>
      </c>
      <c r="H2800" s="17">
        <v>41.54</v>
      </c>
      <c r="I2800" s="11">
        <v>62.3</v>
      </c>
      <c r="J2800" s="21">
        <f t="shared" si="129"/>
        <v>0.49975926817525274</v>
      </c>
      <c r="K2800" s="1">
        <v>2</v>
      </c>
      <c r="L2800" s="24">
        <v>6.2</v>
      </c>
      <c r="M2800" s="24">
        <v>56.07</v>
      </c>
      <c r="N2800" s="21">
        <f t="shared" si="130"/>
        <v>0.34978334135772754</v>
      </c>
      <c r="P2800" s="1">
        <v>4</v>
      </c>
      <c r="Q2800" s="24">
        <v>7.4759999999999991</v>
      </c>
      <c r="R2800" s="24">
        <v>54.823999999999998</v>
      </c>
      <c r="S2800" s="21">
        <f t="shared" si="131"/>
        <v>0.31978815599422239</v>
      </c>
    </row>
    <row r="2801" spans="2:19" ht="11.4" customHeight="1" x14ac:dyDescent="0.2">
      <c r="B2801" s="24"/>
      <c r="C2801" s="10">
        <v>47379</v>
      </c>
      <c r="D2801" s="18" t="s">
        <v>2907</v>
      </c>
      <c r="E2801" s="18" t="s">
        <v>2870</v>
      </c>
      <c r="F2801" s="17">
        <v>12</v>
      </c>
      <c r="G2801" s="18" t="s">
        <v>23</v>
      </c>
      <c r="H2801" s="17">
        <v>11.68</v>
      </c>
      <c r="I2801" s="11">
        <v>19.5</v>
      </c>
      <c r="J2801" s="21">
        <f t="shared" si="129"/>
        <v>0.66952054794520555</v>
      </c>
      <c r="K2801" s="1">
        <v>2</v>
      </c>
      <c r="L2801" s="24">
        <v>1.9</v>
      </c>
      <c r="M2801" s="24">
        <v>17.55</v>
      </c>
      <c r="N2801" s="21">
        <f t="shared" si="130"/>
        <v>0.50256849315068508</v>
      </c>
      <c r="P2801" s="1">
        <v>4</v>
      </c>
      <c r="Q2801" s="24">
        <v>2.34</v>
      </c>
      <c r="R2801" s="24">
        <v>17.16</v>
      </c>
      <c r="S2801" s="21">
        <f t="shared" si="131"/>
        <v>0.46917808219178087</v>
      </c>
    </row>
    <row r="2802" spans="2:19" ht="11.4" customHeight="1" x14ac:dyDescent="0.2">
      <c r="B2802" s="24"/>
      <c r="C2802" s="10">
        <v>47385</v>
      </c>
      <c r="D2802" s="18" t="s">
        <v>2908</v>
      </c>
      <c r="E2802" s="18" t="s">
        <v>2870</v>
      </c>
      <c r="F2802" s="17">
        <v>9</v>
      </c>
      <c r="G2802" s="18" t="s">
        <v>23</v>
      </c>
      <c r="H2802" s="17">
        <v>41.54</v>
      </c>
      <c r="I2802" s="11">
        <v>57.2</v>
      </c>
      <c r="J2802" s="21">
        <f t="shared" si="129"/>
        <v>0.37698603755416477</v>
      </c>
      <c r="K2802" s="1">
        <v>2</v>
      </c>
      <c r="L2802" s="24">
        <v>5.7</v>
      </c>
      <c r="M2802" s="24">
        <v>51.480000000000004</v>
      </c>
      <c r="N2802" s="21">
        <f t="shared" si="130"/>
        <v>0.23928743379874831</v>
      </c>
      <c r="P2802" s="1">
        <v>4</v>
      </c>
      <c r="Q2802" s="24">
        <v>6.8639999999999972</v>
      </c>
      <c r="R2802" s="24">
        <v>50.336000000000006</v>
      </c>
      <c r="S2802" s="21">
        <f t="shared" si="131"/>
        <v>0.21174771304766507</v>
      </c>
    </row>
    <row r="2803" spans="2:19" ht="11.4" customHeight="1" x14ac:dyDescent="0.2">
      <c r="B2803" s="24"/>
      <c r="C2803" s="10">
        <v>45689</v>
      </c>
      <c r="D2803" s="18" t="s">
        <v>2909</v>
      </c>
      <c r="E2803" s="18" t="s">
        <v>2870</v>
      </c>
      <c r="F2803" s="17">
        <v>12</v>
      </c>
      <c r="G2803" s="18" t="s">
        <v>23</v>
      </c>
      <c r="H2803" s="17">
        <v>62.28</v>
      </c>
      <c r="I2803" s="11">
        <v>82.5</v>
      </c>
      <c r="J2803" s="21">
        <f t="shared" si="129"/>
        <v>0.32466281310211942</v>
      </c>
      <c r="K2803" s="1">
        <v>2</v>
      </c>
      <c r="L2803" s="24">
        <v>8.1999999999999993</v>
      </c>
      <c r="M2803" s="24">
        <v>74.25</v>
      </c>
      <c r="N2803" s="21">
        <f t="shared" si="130"/>
        <v>0.19219653179190749</v>
      </c>
      <c r="P2803" s="1">
        <v>4</v>
      </c>
      <c r="Q2803" s="24">
        <v>9.9000000000000057</v>
      </c>
      <c r="R2803" s="24">
        <v>72.599999999999994</v>
      </c>
      <c r="S2803" s="21">
        <f t="shared" si="131"/>
        <v>0.16570327552986502</v>
      </c>
    </row>
    <row r="2804" spans="2:19" ht="11.4" customHeight="1" x14ac:dyDescent="0.2">
      <c r="B2804" s="24"/>
      <c r="C2804" s="10">
        <v>44337</v>
      </c>
      <c r="D2804" s="18" t="s">
        <v>2910</v>
      </c>
      <c r="E2804" s="18" t="s">
        <v>2870</v>
      </c>
      <c r="F2804" s="17">
        <v>24</v>
      </c>
      <c r="G2804" s="18" t="s">
        <v>23</v>
      </c>
      <c r="H2804" s="17">
        <v>16.28</v>
      </c>
      <c r="I2804" s="11">
        <v>24.9</v>
      </c>
      <c r="J2804" s="21">
        <f t="shared" si="129"/>
        <v>0.52948402948402928</v>
      </c>
      <c r="K2804" s="1">
        <v>2</v>
      </c>
      <c r="L2804" s="24">
        <v>2.4</v>
      </c>
      <c r="M2804" s="24">
        <v>22.41</v>
      </c>
      <c r="N2804" s="21">
        <f t="shared" si="130"/>
        <v>0.37653562653562644</v>
      </c>
      <c r="P2804" s="1">
        <v>4</v>
      </c>
      <c r="Q2804" s="24">
        <v>2.9879999999999995</v>
      </c>
      <c r="R2804" s="24">
        <v>21.911999999999999</v>
      </c>
      <c r="S2804" s="21">
        <f t="shared" si="131"/>
        <v>0.3459459459459458</v>
      </c>
    </row>
    <row r="2805" spans="2:19" ht="11.4" customHeight="1" x14ac:dyDescent="0.2">
      <c r="B2805" s="24"/>
      <c r="C2805" s="10">
        <v>44340</v>
      </c>
      <c r="D2805" s="18" t="s">
        <v>2911</v>
      </c>
      <c r="E2805" s="18" t="s">
        <v>2870</v>
      </c>
      <c r="F2805" s="17">
        <v>24</v>
      </c>
      <c r="G2805" s="18" t="s">
        <v>23</v>
      </c>
      <c r="H2805" s="17">
        <v>16.32</v>
      </c>
      <c r="I2805" s="11">
        <v>24.9</v>
      </c>
      <c r="J2805" s="21">
        <f t="shared" si="129"/>
        <v>0.52573529411764697</v>
      </c>
      <c r="K2805" s="1">
        <v>2</v>
      </c>
      <c r="L2805" s="24">
        <v>2.4</v>
      </c>
      <c r="M2805" s="24">
        <v>22.41</v>
      </c>
      <c r="N2805" s="21">
        <f t="shared" si="130"/>
        <v>0.37316176470588236</v>
      </c>
      <c r="P2805" s="1">
        <v>4</v>
      </c>
      <c r="Q2805" s="24">
        <v>2.9879999999999995</v>
      </c>
      <c r="R2805" s="24">
        <v>21.911999999999999</v>
      </c>
      <c r="S2805" s="21">
        <f t="shared" si="131"/>
        <v>0.3426470588235293</v>
      </c>
    </row>
    <row r="2806" spans="2:19" ht="11.4" customHeight="1" x14ac:dyDescent="0.2">
      <c r="B2806" s="24"/>
      <c r="C2806" s="10">
        <v>44341</v>
      </c>
      <c r="D2806" s="18" t="s">
        <v>2912</v>
      </c>
      <c r="E2806" s="18" t="s">
        <v>2870</v>
      </c>
      <c r="F2806" s="17">
        <v>12</v>
      </c>
      <c r="G2806" s="18" t="s">
        <v>23</v>
      </c>
      <c r="H2806" s="17">
        <v>65.02</v>
      </c>
      <c r="I2806" s="11">
        <v>99</v>
      </c>
      <c r="J2806" s="21">
        <f t="shared" si="129"/>
        <v>0.52260842817594599</v>
      </c>
      <c r="K2806" s="1">
        <v>2</v>
      </c>
      <c r="L2806" s="24">
        <v>9.8000000000000007</v>
      </c>
      <c r="M2806" s="24">
        <v>89.100000000000009</v>
      </c>
      <c r="N2806" s="21">
        <f t="shared" si="130"/>
        <v>0.37034758535835149</v>
      </c>
      <c r="P2806" s="1">
        <v>4</v>
      </c>
      <c r="Q2806" s="24">
        <v>11.879999999999995</v>
      </c>
      <c r="R2806" s="24">
        <v>87.12</v>
      </c>
      <c r="S2806" s="21">
        <f t="shared" si="131"/>
        <v>0.33989541679483254</v>
      </c>
    </row>
    <row r="2807" spans="2:19" ht="11.4" customHeight="1" x14ac:dyDescent="0.2">
      <c r="B2807" s="24"/>
      <c r="C2807" s="10">
        <v>45062</v>
      </c>
      <c r="D2807" s="18" t="s">
        <v>2913</v>
      </c>
      <c r="E2807" s="18" t="s">
        <v>2870</v>
      </c>
      <c r="F2807" s="17">
        <v>10</v>
      </c>
      <c r="G2807" s="18" t="s">
        <v>23</v>
      </c>
      <c r="H2807" s="17">
        <v>78.36</v>
      </c>
      <c r="I2807" s="11">
        <v>103.5</v>
      </c>
      <c r="J2807" s="21">
        <f t="shared" si="129"/>
        <v>0.32082695252679938</v>
      </c>
      <c r="K2807" s="1">
        <v>2</v>
      </c>
      <c r="L2807" s="24">
        <v>10.3</v>
      </c>
      <c r="M2807" s="24">
        <v>93.15</v>
      </c>
      <c r="N2807" s="21">
        <f t="shared" si="130"/>
        <v>0.18874425727411953</v>
      </c>
      <c r="P2807" s="1">
        <v>4</v>
      </c>
      <c r="Q2807" s="24">
        <v>12.420000000000002</v>
      </c>
      <c r="R2807" s="24">
        <v>91.08</v>
      </c>
      <c r="S2807" s="21">
        <f t="shared" si="131"/>
        <v>0.16232771822358344</v>
      </c>
    </row>
    <row r="2808" spans="2:19" ht="11.4" customHeight="1" x14ac:dyDescent="0.2">
      <c r="B2808" s="24"/>
      <c r="C2808" s="10">
        <v>45073</v>
      </c>
      <c r="D2808" s="18" t="s">
        <v>2914</v>
      </c>
      <c r="E2808" s="18" t="s">
        <v>2870</v>
      </c>
      <c r="F2808" s="17">
        <v>10</v>
      </c>
      <c r="G2808" s="18" t="s">
        <v>23</v>
      </c>
      <c r="H2808" s="17">
        <v>78.36</v>
      </c>
      <c r="I2808" s="11">
        <v>103.5</v>
      </c>
      <c r="J2808" s="21">
        <f t="shared" si="129"/>
        <v>0.32082695252679938</v>
      </c>
      <c r="K2808" s="1">
        <v>2</v>
      </c>
      <c r="L2808" s="24">
        <v>10.3</v>
      </c>
      <c r="M2808" s="24">
        <v>93.15</v>
      </c>
      <c r="N2808" s="21">
        <f t="shared" si="130"/>
        <v>0.18874425727411953</v>
      </c>
      <c r="P2808" s="1">
        <v>4</v>
      </c>
      <c r="Q2808" s="24">
        <v>12.420000000000002</v>
      </c>
      <c r="R2808" s="24">
        <v>91.08</v>
      </c>
      <c r="S2808" s="21">
        <f t="shared" si="131"/>
        <v>0.16232771822358344</v>
      </c>
    </row>
    <row r="2809" spans="2:19" ht="11.4" customHeight="1" x14ac:dyDescent="0.2">
      <c r="B2809" s="24"/>
      <c r="C2809" s="10">
        <v>44346</v>
      </c>
      <c r="D2809" s="18" t="s">
        <v>2915</v>
      </c>
      <c r="E2809" s="18" t="s">
        <v>2870</v>
      </c>
      <c r="F2809" s="17">
        <v>24</v>
      </c>
      <c r="G2809" s="18" t="s">
        <v>23</v>
      </c>
      <c r="H2809" s="17">
        <v>16.32</v>
      </c>
      <c r="I2809" s="11">
        <v>24.9</v>
      </c>
      <c r="J2809" s="21">
        <f t="shared" si="129"/>
        <v>0.52573529411764697</v>
      </c>
      <c r="K2809" s="1">
        <v>2</v>
      </c>
      <c r="L2809" s="24">
        <v>2.4</v>
      </c>
      <c r="M2809" s="24">
        <v>22.41</v>
      </c>
      <c r="N2809" s="21">
        <f t="shared" si="130"/>
        <v>0.37316176470588236</v>
      </c>
      <c r="P2809" s="1">
        <v>4</v>
      </c>
      <c r="Q2809" s="24">
        <v>2.9879999999999995</v>
      </c>
      <c r="R2809" s="24">
        <v>21.911999999999999</v>
      </c>
      <c r="S2809" s="21">
        <f t="shared" si="131"/>
        <v>0.3426470588235293</v>
      </c>
    </row>
    <row r="2810" spans="2:19" ht="11.4" customHeight="1" x14ac:dyDescent="0.2">
      <c r="B2810" s="24"/>
      <c r="C2810" s="10">
        <v>47386</v>
      </c>
      <c r="D2810" s="18" t="s">
        <v>2916</v>
      </c>
      <c r="E2810" s="18" t="s">
        <v>2870</v>
      </c>
      <c r="F2810" s="17">
        <v>12</v>
      </c>
      <c r="G2810" s="18" t="s">
        <v>23</v>
      </c>
      <c r="H2810" s="17">
        <v>11.68</v>
      </c>
      <c r="I2810" s="11">
        <v>19.5</v>
      </c>
      <c r="J2810" s="21">
        <f t="shared" si="129"/>
        <v>0.66952054794520555</v>
      </c>
      <c r="K2810" s="1">
        <v>2</v>
      </c>
      <c r="L2810" s="24">
        <v>1.9</v>
      </c>
      <c r="M2810" s="24">
        <v>17.55</v>
      </c>
      <c r="N2810" s="21">
        <f t="shared" si="130"/>
        <v>0.50256849315068508</v>
      </c>
      <c r="P2810" s="1">
        <v>4</v>
      </c>
      <c r="Q2810" s="24">
        <v>2.34</v>
      </c>
      <c r="R2810" s="24">
        <v>17.16</v>
      </c>
      <c r="S2810" s="21">
        <f t="shared" si="131"/>
        <v>0.46917808219178087</v>
      </c>
    </row>
    <row r="2811" spans="2:19" ht="11.4" customHeight="1" x14ac:dyDescent="0.2">
      <c r="B2811" s="24"/>
      <c r="C2811" s="10">
        <v>47389</v>
      </c>
      <c r="D2811" s="18" t="s">
        <v>2917</v>
      </c>
      <c r="E2811" s="18" t="s">
        <v>2870</v>
      </c>
      <c r="F2811" s="17">
        <v>9</v>
      </c>
      <c r="G2811" s="18" t="s">
        <v>23</v>
      </c>
      <c r="H2811" s="17">
        <v>41.54</v>
      </c>
      <c r="I2811" s="11">
        <v>62.3</v>
      </c>
      <c r="J2811" s="21">
        <f t="shared" si="129"/>
        <v>0.49975926817525274</v>
      </c>
      <c r="K2811" s="1">
        <v>2</v>
      </c>
      <c r="L2811" s="24">
        <v>6.2</v>
      </c>
      <c r="M2811" s="24">
        <v>56.07</v>
      </c>
      <c r="N2811" s="21">
        <f t="shared" si="130"/>
        <v>0.34978334135772754</v>
      </c>
      <c r="P2811" s="1">
        <v>4</v>
      </c>
      <c r="Q2811" s="24">
        <v>7.4759999999999991</v>
      </c>
      <c r="R2811" s="24">
        <v>54.823999999999998</v>
      </c>
      <c r="S2811" s="21">
        <f t="shared" si="131"/>
        <v>0.31978815599422239</v>
      </c>
    </row>
    <row r="2812" spans="2:19" ht="11.4" customHeight="1" x14ac:dyDescent="0.2">
      <c r="B2812" s="24"/>
      <c r="C2812" s="10">
        <v>11751</v>
      </c>
      <c r="D2812" s="18" t="s">
        <v>2918</v>
      </c>
      <c r="E2812" s="18" t="s">
        <v>2919</v>
      </c>
      <c r="F2812" s="17">
        <v>12</v>
      </c>
      <c r="G2812" s="18" t="s">
        <v>23</v>
      </c>
      <c r="H2812" s="17">
        <v>73.739999999999995</v>
      </c>
      <c r="I2812" s="11">
        <v>99.5</v>
      </c>
      <c r="J2812" s="21">
        <f t="shared" si="129"/>
        <v>0.34933550311906708</v>
      </c>
      <c r="K2812" s="1">
        <v>2</v>
      </c>
      <c r="L2812" s="24">
        <v>9.9</v>
      </c>
      <c r="M2812" s="24">
        <v>89.55</v>
      </c>
      <c r="N2812" s="21">
        <f t="shared" si="130"/>
        <v>0.21440195280716035</v>
      </c>
      <c r="P2812" s="1">
        <v>4</v>
      </c>
      <c r="Q2812" s="24">
        <v>11.939999999999998</v>
      </c>
      <c r="R2812" s="24">
        <v>87.56</v>
      </c>
      <c r="S2812" s="21">
        <f t="shared" si="131"/>
        <v>0.18741524274477905</v>
      </c>
    </row>
    <row r="2813" spans="2:19" ht="11.4" customHeight="1" x14ac:dyDescent="0.2">
      <c r="B2813" s="24"/>
      <c r="C2813" s="10">
        <v>5669</v>
      </c>
      <c r="D2813" s="18" t="s">
        <v>2920</v>
      </c>
      <c r="E2813" s="18" t="s">
        <v>2919</v>
      </c>
      <c r="F2813" s="17">
        <v>10</v>
      </c>
      <c r="G2813" s="18" t="s">
        <v>23</v>
      </c>
      <c r="H2813" s="17">
        <v>75.959999999999994</v>
      </c>
      <c r="I2813" s="11">
        <v>100.4</v>
      </c>
      <c r="J2813" s="21">
        <f t="shared" si="129"/>
        <v>0.32174828857293331</v>
      </c>
      <c r="K2813" s="1">
        <v>2</v>
      </c>
      <c r="L2813" s="24">
        <v>10</v>
      </c>
      <c r="M2813" s="24">
        <v>90.360000000000014</v>
      </c>
      <c r="N2813" s="21">
        <f t="shared" si="130"/>
        <v>0.18957345971564007</v>
      </c>
      <c r="P2813" s="1">
        <v>4</v>
      </c>
      <c r="Q2813" s="24">
        <v>12.048000000000002</v>
      </c>
      <c r="R2813" s="24">
        <v>88.352000000000004</v>
      </c>
      <c r="S2813" s="21">
        <f t="shared" si="131"/>
        <v>0.16313849394418128</v>
      </c>
    </row>
    <row r="2814" spans="2:19" ht="11.4" customHeight="1" x14ac:dyDescent="0.2">
      <c r="B2814" s="24"/>
      <c r="C2814" s="10">
        <v>43181</v>
      </c>
      <c r="D2814" s="18" t="s">
        <v>2921</v>
      </c>
      <c r="E2814" s="18" t="s">
        <v>2919</v>
      </c>
      <c r="F2814" s="18"/>
      <c r="G2814" s="18" t="s">
        <v>23</v>
      </c>
      <c r="H2814" s="17">
        <v>65</v>
      </c>
      <c r="I2814" s="11">
        <v>84.5</v>
      </c>
      <c r="J2814" s="21">
        <f t="shared" si="129"/>
        <v>0.3</v>
      </c>
      <c r="K2814" s="1">
        <v>2</v>
      </c>
      <c r="L2814" s="24">
        <v>8.4</v>
      </c>
      <c r="M2814" s="24">
        <v>76.05</v>
      </c>
      <c r="N2814" s="21">
        <f t="shared" si="130"/>
        <v>0.16999999999999996</v>
      </c>
      <c r="P2814" s="1">
        <v>4</v>
      </c>
      <c r="Q2814" s="24">
        <v>10.14</v>
      </c>
      <c r="R2814" s="24">
        <v>74.36</v>
      </c>
      <c r="S2814" s="21">
        <f t="shared" si="131"/>
        <v>0.14399999999999999</v>
      </c>
    </row>
    <row r="2815" spans="2:19" ht="11.4" customHeight="1" x14ac:dyDescent="0.2">
      <c r="B2815" s="24"/>
      <c r="C2815" s="10">
        <v>11753</v>
      </c>
      <c r="D2815" s="18" t="s">
        <v>2922</v>
      </c>
      <c r="E2815" s="18" t="s">
        <v>2919</v>
      </c>
      <c r="F2815" s="17">
        <v>12</v>
      </c>
      <c r="G2815" s="18" t="s">
        <v>23</v>
      </c>
      <c r="H2815" s="17">
        <v>75.5</v>
      </c>
      <c r="I2815" s="11">
        <v>99.9</v>
      </c>
      <c r="J2815" s="21">
        <f t="shared" si="129"/>
        <v>0.32317880794701992</v>
      </c>
      <c r="K2815" s="1">
        <v>2</v>
      </c>
      <c r="L2815" s="24">
        <v>9.9</v>
      </c>
      <c r="M2815" s="24">
        <v>89.910000000000011</v>
      </c>
      <c r="N2815" s="21">
        <f t="shared" si="130"/>
        <v>0.19086092715231803</v>
      </c>
      <c r="P2815" s="1">
        <v>4</v>
      </c>
      <c r="Q2815" s="24">
        <v>11.988</v>
      </c>
      <c r="R2815" s="24">
        <v>87.912000000000006</v>
      </c>
      <c r="S2815" s="21">
        <f t="shared" si="131"/>
        <v>0.16439735099337757</v>
      </c>
    </row>
    <row r="2816" spans="2:19" ht="11.4" customHeight="1" x14ac:dyDescent="0.2">
      <c r="B2816" s="24"/>
      <c r="C2816" s="10">
        <v>8657</v>
      </c>
      <c r="D2816" s="18" t="s">
        <v>2923</v>
      </c>
      <c r="E2816" s="18" t="s">
        <v>2919</v>
      </c>
      <c r="F2816" s="17">
        <v>10</v>
      </c>
      <c r="G2816" s="18" t="s">
        <v>23</v>
      </c>
      <c r="H2816" s="17">
        <v>107.04</v>
      </c>
      <c r="I2816" s="11">
        <v>138.69999999999999</v>
      </c>
      <c r="J2816" s="21">
        <f t="shared" si="129"/>
        <v>0.29577727952167399</v>
      </c>
      <c r="K2816" s="1">
        <v>2</v>
      </c>
      <c r="L2816" s="24">
        <v>13.8</v>
      </c>
      <c r="M2816" s="24">
        <v>124.83</v>
      </c>
      <c r="N2816" s="21">
        <f t="shared" si="130"/>
        <v>0.16619955156950664</v>
      </c>
      <c r="P2816" s="1">
        <v>4</v>
      </c>
      <c r="Q2816" s="24">
        <v>16.643999999999991</v>
      </c>
      <c r="R2816" s="24">
        <v>122.056</v>
      </c>
      <c r="S2816" s="21">
        <f t="shared" si="131"/>
        <v>0.14028400597907315</v>
      </c>
    </row>
    <row r="2817" spans="2:19" ht="11.4" customHeight="1" x14ac:dyDescent="0.2">
      <c r="B2817" s="24"/>
      <c r="C2817" s="10">
        <v>9792</v>
      </c>
      <c r="D2817" s="18" t="s">
        <v>2924</v>
      </c>
      <c r="E2817" s="18" t="s">
        <v>2919</v>
      </c>
      <c r="F2817" s="17">
        <v>10</v>
      </c>
      <c r="G2817" s="18" t="s">
        <v>23</v>
      </c>
      <c r="H2817" s="17">
        <v>70.599999999999994</v>
      </c>
      <c r="I2817" s="11">
        <v>85.4</v>
      </c>
      <c r="J2817" s="21">
        <f t="shared" si="129"/>
        <v>0.20963172804532595</v>
      </c>
      <c r="K2817" s="1">
        <v>2</v>
      </c>
      <c r="L2817" s="24">
        <v>8.5</v>
      </c>
      <c r="M2817" s="24">
        <v>76.860000000000014</v>
      </c>
      <c r="N2817" s="21">
        <f t="shared" si="130"/>
        <v>8.8668555240793479E-2</v>
      </c>
      <c r="P2817" s="1">
        <v>4</v>
      </c>
      <c r="Q2817" s="24">
        <v>10.248000000000005</v>
      </c>
      <c r="R2817" s="24">
        <v>75.152000000000001</v>
      </c>
      <c r="S2817" s="21">
        <f t="shared" si="131"/>
        <v>6.4475920679886792E-2</v>
      </c>
    </row>
    <row r="2818" spans="2:19" ht="11.4" customHeight="1" x14ac:dyDescent="0.2">
      <c r="B2818" s="24"/>
      <c r="C2818" s="10">
        <v>45309</v>
      </c>
      <c r="D2818" s="18" t="s">
        <v>2925</v>
      </c>
      <c r="E2818" s="18" t="s">
        <v>2919</v>
      </c>
      <c r="F2818" s="17">
        <v>8</v>
      </c>
      <c r="G2818" s="18" t="s">
        <v>23</v>
      </c>
      <c r="H2818" s="17">
        <v>47.88</v>
      </c>
      <c r="I2818" s="11">
        <v>66.900000000000006</v>
      </c>
      <c r="J2818" s="21">
        <f t="shared" si="129"/>
        <v>0.39724310776942362</v>
      </c>
      <c r="K2818" s="1">
        <v>2</v>
      </c>
      <c r="L2818" s="24">
        <v>6.6</v>
      </c>
      <c r="M2818" s="24">
        <v>60.210000000000008</v>
      </c>
      <c r="N2818" s="21">
        <f t="shared" si="130"/>
        <v>0.25751879699248131</v>
      </c>
      <c r="P2818" s="1">
        <v>4</v>
      </c>
      <c r="Q2818" s="24">
        <v>8.0279999999999987</v>
      </c>
      <c r="R2818" s="24">
        <v>58.872000000000007</v>
      </c>
      <c r="S2818" s="21">
        <f t="shared" si="131"/>
        <v>0.22957393483709282</v>
      </c>
    </row>
    <row r="2819" spans="2:19" ht="11.4" customHeight="1" x14ac:dyDescent="0.2">
      <c r="B2819" s="24"/>
      <c r="C2819" s="10">
        <v>45308</v>
      </c>
      <c r="D2819" s="18" t="s">
        <v>2926</v>
      </c>
      <c r="E2819" s="18" t="s">
        <v>2919</v>
      </c>
      <c r="F2819" s="17">
        <v>8</v>
      </c>
      <c r="G2819" s="18" t="s">
        <v>23</v>
      </c>
      <c r="H2819" s="17">
        <v>47.88</v>
      </c>
      <c r="I2819" s="11">
        <v>66.900000000000006</v>
      </c>
      <c r="J2819" s="21">
        <f t="shared" ref="J2819:J2882" si="132">(I2819-H2819)/H2819</f>
        <v>0.39724310776942362</v>
      </c>
      <c r="K2819" s="1">
        <v>2</v>
      </c>
      <c r="L2819" s="24">
        <v>6.6</v>
      </c>
      <c r="M2819" s="24">
        <v>60.210000000000008</v>
      </c>
      <c r="N2819" s="21">
        <f t="shared" ref="N2819:N2882" si="133">(M2819-H2819)/H2819</f>
        <v>0.25751879699248131</v>
      </c>
      <c r="P2819" s="1">
        <v>4</v>
      </c>
      <c r="Q2819" s="24">
        <v>8.0279999999999987</v>
      </c>
      <c r="R2819" s="24">
        <v>58.872000000000007</v>
      </c>
      <c r="S2819" s="21">
        <f t="shared" ref="S2819:S2882" si="134">(R2819-H2819)/H2819</f>
        <v>0.22957393483709282</v>
      </c>
    </row>
    <row r="2820" spans="2:19" ht="11.4" customHeight="1" x14ac:dyDescent="0.2">
      <c r="B2820" s="24"/>
      <c r="C2820" s="10">
        <v>43180</v>
      </c>
      <c r="D2820" s="18" t="s">
        <v>2927</v>
      </c>
      <c r="E2820" s="18" t="s">
        <v>2919</v>
      </c>
      <c r="F2820" s="18"/>
      <c r="G2820" s="18" t="s">
        <v>23</v>
      </c>
      <c r="H2820" s="17">
        <v>60</v>
      </c>
      <c r="I2820" s="11">
        <v>65</v>
      </c>
      <c r="J2820" s="21">
        <f t="shared" si="132"/>
        <v>8.3333333333333329E-2</v>
      </c>
      <c r="K2820" s="1">
        <v>2</v>
      </c>
      <c r="L2820" s="24">
        <v>6.5</v>
      </c>
      <c r="M2820" s="24">
        <v>58.5</v>
      </c>
      <c r="N2820" s="21">
        <f t="shared" si="133"/>
        <v>-2.5000000000000001E-2</v>
      </c>
      <c r="P2820" s="1">
        <v>4</v>
      </c>
      <c r="Q2820" s="24">
        <v>7.7999999999999972</v>
      </c>
      <c r="R2820" s="24">
        <v>57.2</v>
      </c>
      <c r="S2820" s="21">
        <f t="shared" si="134"/>
        <v>-4.666666666666662E-2</v>
      </c>
    </row>
    <row r="2821" spans="2:19" ht="11.4" customHeight="1" x14ac:dyDescent="0.2">
      <c r="B2821" s="24"/>
      <c r="C2821" s="10">
        <v>43182</v>
      </c>
      <c r="D2821" s="18" t="s">
        <v>2928</v>
      </c>
      <c r="E2821" s="18" t="s">
        <v>2919</v>
      </c>
      <c r="F2821" s="18"/>
      <c r="G2821" s="18" t="s">
        <v>23</v>
      </c>
      <c r="H2821" s="17">
        <v>60</v>
      </c>
      <c r="I2821" s="11">
        <v>65</v>
      </c>
      <c r="J2821" s="21">
        <f t="shared" si="132"/>
        <v>8.3333333333333329E-2</v>
      </c>
      <c r="K2821" s="1">
        <v>2</v>
      </c>
      <c r="L2821" s="24">
        <v>6.5</v>
      </c>
      <c r="M2821" s="24">
        <v>58.5</v>
      </c>
      <c r="N2821" s="21">
        <f t="shared" si="133"/>
        <v>-2.5000000000000001E-2</v>
      </c>
      <c r="P2821" s="1">
        <v>4</v>
      </c>
      <c r="Q2821" s="24">
        <v>7.7999999999999972</v>
      </c>
      <c r="R2821" s="24">
        <v>57.2</v>
      </c>
      <c r="S2821" s="21">
        <f t="shared" si="134"/>
        <v>-4.666666666666662E-2</v>
      </c>
    </row>
    <row r="2822" spans="2:19" ht="11.4" customHeight="1" x14ac:dyDescent="0.2">
      <c r="B2822" s="24"/>
      <c r="C2822" s="10">
        <v>12760</v>
      </c>
      <c r="D2822" s="18" t="s">
        <v>2929</v>
      </c>
      <c r="E2822" s="18" t="s">
        <v>2919</v>
      </c>
      <c r="F2822" s="17">
        <v>12</v>
      </c>
      <c r="G2822" s="18" t="s">
        <v>23</v>
      </c>
      <c r="H2822" s="17">
        <v>63.4</v>
      </c>
      <c r="I2822" s="11">
        <v>82.5</v>
      </c>
      <c r="J2822" s="21">
        <f t="shared" si="132"/>
        <v>0.30126182965299686</v>
      </c>
      <c r="K2822" s="1">
        <v>2</v>
      </c>
      <c r="L2822" s="24">
        <v>8.1999999999999993</v>
      </c>
      <c r="M2822" s="24">
        <v>74.25</v>
      </c>
      <c r="N2822" s="21">
        <f t="shared" si="133"/>
        <v>0.17113564668769718</v>
      </c>
      <c r="P2822" s="1">
        <v>4</v>
      </c>
      <c r="Q2822" s="24">
        <v>9.9000000000000057</v>
      </c>
      <c r="R2822" s="24">
        <v>72.599999999999994</v>
      </c>
      <c r="S2822" s="21">
        <f t="shared" si="134"/>
        <v>0.14511041009463715</v>
      </c>
    </row>
    <row r="2823" spans="2:19" ht="11.4" customHeight="1" x14ac:dyDescent="0.2">
      <c r="B2823" s="24"/>
      <c r="C2823" s="10">
        <v>4085</v>
      </c>
      <c r="D2823" s="18" t="s">
        <v>2930</v>
      </c>
      <c r="E2823" s="18" t="s">
        <v>2919</v>
      </c>
      <c r="F2823" s="17">
        <v>6</v>
      </c>
      <c r="G2823" s="18" t="s">
        <v>23</v>
      </c>
      <c r="H2823" s="17">
        <v>84.5</v>
      </c>
      <c r="I2823" s="11">
        <v>106.9</v>
      </c>
      <c r="J2823" s="21">
        <f t="shared" si="132"/>
        <v>0.26508875739644977</v>
      </c>
      <c r="K2823" s="1">
        <v>2</v>
      </c>
      <c r="L2823" s="24">
        <v>10.6</v>
      </c>
      <c r="M2823" s="24">
        <v>96.210000000000008</v>
      </c>
      <c r="N2823" s="21">
        <f t="shared" si="133"/>
        <v>0.13857988165680482</v>
      </c>
      <c r="P2823" s="1">
        <v>4</v>
      </c>
      <c r="Q2823" s="24">
        <v>12.828000000000003</v>
      </c>
      <c r="R2823" s="24">
        <v>94.072000000000003</v>
      </c>
      <c r="S2823" s="21">
        <f t="shared" si="134"/>
        <v>0.11327810650887578</v>
      </c>
    </row>
    <row r="2824" spans="2:19" ht="11.4" customHeight="1" x14ac:dyDescent="0.2">
      <c r="B2824" s="24"/>
      <c r="C2824" s="10">
        <v>4099</v>
      </c>
      <c r="D2824" s="18" t="s">
        <v>2931</v>
      </c>
      <c r="E2824" s="18" t="s">
        <v>2919</v>
      </c>
      <c r="F2824" s="17">
        <v>10</v>
      </c>
      <c r="G2824" s="18" t="s">
        <v>23</v>
      </c>
      <c r="H2824" s="17">
        <v>75.400000000000006</v>
      </c>
      <c r="I2824" s="11">
        <v>92.4</v>
      </c>
      <c r="J2824" s="21">
        <f t="shared" si="132"/>
        <v>0.22546419098143233</v>
      </c>
      <c r="K2824" s="1">
        <v>2</v>
      </c>
      <c r="L2824" s="24">
        <v>9.1999999999999993</v>
      </c>
      <c r="M2824" s="24">
        <v>83.160000000000011</v>
      </c>
      <c r="N2824" s="21">
        <f t="shared" si="133"/>
        <v>0.10291777188328918</v>
      </c>
      <c r="P2824" s="1">
        <v>4</v>
      </c>
      <c r="Q2824" s="24">
        <v>11.087999999999994</v>
      </c>
      <c r="R2824" s="24">
        <v>81.312000000000012</v>
      </c>
      <c r="S2824" s="21">
        <f t="shared" si="134"/>
        <v>7.8408488063660547E-2</v>
      </c>
    </row>
    <row r="2825" spans="2:19" ht="11.4" customHeight="1" x14ac:dyDescent="0.2">
      <c r="B2825" s="24"/>
      <c r="C2825" s="10">
        <v>45310</v>
      </c>
      <c r="D2825" s="18" t="s">
        <v>2932</v>
      </c>
      <c r="E2825" s="18" t="s">
        <v>2919</v>
      </c>
      <c r="F2825" s="17">
        <v>8</v>
      </c>
      <c r="G2825" s="18" t="s">
        <v>23</v>
      </c>
      <c r="H2825" s="17">
        <v>47.88</v>
      </c>
      <c r="I2825" s="11">
        <v>66.900000000000006</v>
      </c>
      <c r="J2825" s="21">
        <f t="shared" si="132"/>
        <v>0.39724310776942362</v>
      </c>
      <c r="K2825" s="1">
        <v>2</v>
      </c>
      <c r="L2825" s="24">
        <v>6.6</v>
      </c>
      <c r="M2825" s="24">
        <v>60.210000000000008</v>
      </c>
      <c r="N2825" s="21">
        <f t="shared" si="133"/>
        <v>0.25751879699248131</v>
      </c>
      <c r="P2825" s="1">
        <v>4</v>
      </c>
      <c r="Q2825" s="24">
        <v>8.0279999999999987</v>
      </c>
      <c r="R2825" s="24">
        <v>58.872000000000007</v>
      </c>
      <c r="S2825" s="21">
        <f t="shared" si="134"/>
        <v>0.22957393483709282</v>
      </c>
    </row>
    <row r="2826" spans="2:19" ht="11.4" customHeight="1" x14ac:dyDescent="0.2">
      <c r="B2826" s="24"/>
      <c r="C2826" s="10">
        <v>5727</v>
      </c>
      <c r="D2826" s="18" t="s">
        <v>2933</v>
      </c>
      <c r="E2826" s="18" t="s">
        <v>2919</v>
      </c>
      <c r="F2826" s="18"/>
      <c r="G2826" s="18" t="s">
        <v>23</v>
      </c>
      <c r="H2826" s="17">
        <v>35</v>
      </c>
      <c r="I2826" s="11">
        <v>44.9</v>
      </c>
      <c r="J2826" s="21">
        <f t="shared" si="132"/>
        <v>0.28285714285714281</v>
      </c>
      <c r="K2826" s="1">
        <v>2</v>
      </c>
      <c r="L2826" s="24">
        <v>4.4000000000000004</v>
      </c>
      <c r="M2826" s="24">
        <v>40.409999999999997</v>
      </c>
      <c r="N2826" s="21">
        <f t="shared" si="133"/>
        <v>0.15457142857142847</v>
      </c>
      <c r="P2826" s="1">
        <v>4</v>
      </c>
      <c r="Q2826" s="24">
        <v>5.3879999999999981</v>
      </c>
      <c r="R2826" s="24">
        <v>39.512</v>
      </c>
      <c r="S2826" s="21">
        <f t="shared" si="134"/>
        <v>0.12891428571428573</v>
      </c>
    </row>
    <row r="2827" spans="2:19" ht="11.4" customHeight="1" x14ac:dyDescent="0.2">
      <c r="B2827" s="24"/>
      <c r="C2827" s="10">
        <v>995</v>
      </c>
      <c r="D2827" s="18" t="s">
        <v>2934</v>
      </c>
      <c r="E2827" s="18" t="s">
        <v>2919</v>
      </c>
      <c r="F2827" s="18"/>
      <c r="G2827" s="18" t="s">
        <v>23</v>
      </c>
      <c r="H2827" s="17">
        <v>84.9</v>
      </c>
      <c r="I2827" s="11">
        <v>97.9</v>
      </c>
      <c r="J2827" s="21">
        <f t="shared" si="132"/>
        <v>0.15312131919905769</v>
      </c>
      <c r="K2827" s="1">
        <v>2</v>
      </c>
      <c r="L2827" s="24">
        <v>9.6999999999999993</v>
      </c>
      <c r="M2827" s="24">
        <v>88.110000000000014</v>
      </c>
      <c r="N2827" s="21">
        <f t="shared" si="133"/>
        <v>3.7809187279152036E-2</v>
      </c>
      <c r="P2827" s="1">
        <v>4</v>
      </c>
      <c r="Q2827" s="24">
        <v>11.748000000000005</v>
      </c>
      <c r="R2827" s="24">
        <v>86.152000000000001</v>
      </c>
      <c r="S2827" s="21">
        <f t="shared" si="134"/>
        <v>1.4746760895170734E-2</v>
      </c>
    </row>
    <row r="2828" spans="2:19" ht="11.4" customHeight="1" x14ac:dyDescent="0.2">
      <c r="B2828" s="24"/>
      <c r="C2828" s="10">
        <v>12704</v>
      </c>
      <c r="D2828" s="18" t="s">
        <v>2935</v>
      </c>
      <c r="E2828" s="18" t="s">
        <v>2919</v>
      </c>
      <c r="F2828" s="17">
        <v>12</v>
      </c>
      <c r="G2828" s="18" t="s">
        <v>23</v>
      </c>
      <c r="H2828" s="17">
        <v>41.6</v>
      </c>
      <c r="I2828" s="11">
        <v>54.5</v>
      </c>
      <c r="J2828" s="21">
        <f t="shared" si="132"/>
        <v>0.3100961538461538</v>
      </c>
      <c r="K2828" s="1">
        <v>2</v>
      </c>
      <c r="L2828" s="24">
        <v>5.4</v>
      </c>
      <c r="M2828" s="24">
        <v>49.050000000000004</v>
      </c>
      <c r="N2828" s="21">
        <f t="shared" si="133"/>
        <v>0.17908653846153852</v>
      </c>
      <c r="P2828" s="1">
        <v>4</v>
      </c>
      <c r="Q2828" s="24">
        <v>6.5399999999999991</v>
      </c>
      <c r="R2828" s="24">
        <v>47.96</v>
      </c>
      <c r="S2828" s="21">
        <f t="shared" si="134"/>
        <v>0.15288461538461537</v>
      </c>
    </row>
    <row r="2829" spans="2:19" ht="11.4" customHeight="1" x14ac:dyDescent="0.2">
      <c r="B2829" s="24"/>
      <c r="C2829" s="10">
        <v>9489</v>
      </c>
      <c r="D2829" s="18" t="s">
        <v>2936</v>
      </c>
      <c r="E2829" s="18" t="s">
        <v>2919</v>
      </c>
      <c r="F2829" s="17">
        <v>12</v>
      </c>
      <c r="G2829" s="18" t="s">
        <v>23</v>
      </c>
      <c r="H2829" s="17">
        <v>53.16</v>
      </c>
      <c r="I2829" s="11">
        <v>70.900000000000006</v>
      </c>
      <c r="J2829" s="21">
        <f t="shared" si="132"/>
        <v>0.33370955605718605</v>
      </c>
      <c r="K2829" s="1">
        <v>2</v>
      </c>
      <c r="L2829" s="24">
        <v>7</v>
      </c>
      <c r="M2829" s="24">
        <v>63.810000000000009</v>
      </c>
      <c r="N2829" s="21">
        <f t="shared" si="133"/>
        <v>0.20033860045146754</v>
      </c>
      <c r="P2829" s="1">
        <v>4</v>
      </c>
      <c r="Q2829" s="24">
        <v>8.5080000000000027</v>
      </c>
      <c r="R2829" s="24">
        <v>62.392000000000003</v>
      </c>
      <c r="S2829" s="21">
        <f t="shared" si="134"/>
        <v>0.17366440933032368</v>
      </c>
    </row>
    <row r="2830" spans="2:19" ht="11.4" customHeight="1" x14ac:dyDescent="0.2">
      <c r="B2830" s="24"/>
      <c r="C2830" s="10">
        <v>8497</v>
      </c>
      <c r="D2830" s="18" t="s">
        <v>2937</v>
      </c>
      <c r="E2830" s="18" t="s">
        <v>2919</v>
      </c>
      <c r="F2830" s="17">
        <v>10</v>
      </c>
      <c r="G2830" s="18" t="s">
        <v>23</v>
      </c>
      <c r="H2830" s="17">
        <v>70.599999999999994</v>
      </c>
      <c r="I2830" s="11">
        <v>89.3</v>
      </c>
      <c r="J2830" s="21">
        <f t="shared" si="132"/>
        <v>0.26487252124645899</v>
      </c>
      <c r="K2830" s="1">
        <v>2</v>
      </c>
      <c r="L2830" s="24">
        <v>8.9</v>
      </c>
      <c r="M2830" s="24">
        <v>80.37</v>
      </c>
      <c r="N2830" s="21">
        <f t="shared" si="133"/>
        <v>0.13838526912181318</v>
      </c>
      <c r="P2830" s="1">
        <v>4</v>
      </c>
      <c r="Q2830" s="24">
        <v>10.715999999999994</v>
      </c>
      <c r="R2830" s="24">
        <v>78.584000000000003</v>
      </c>
      <c r="S2830" s="21">
        <f t="shared" si="134"/>
        <v>0.11308781869688399</v>
      </c>
    </row>
    <row r="2831" spans="2:19" ht="11.4" customHeight="1" x14ac:dyDescent="0.2">
      <c r="B2831" s="24"/>
      <c r="C2831" s="10">
        <v>47183</v>
      </c>
      <c r="D2831" s="18" t="s">
        <v>2938</v>
      </c>
      <c r="E2831" s="18" t="s">
        <v>2919</v>
      </c>
      <c r="F2831" s="17">
        <v>8</v>
      </c>
      <c r="G2831" s="18" t="s">
        <v>23</v>
      </c>
      <c r="H2831" s="17">
        <v>45</v>
      </c>
      <c r="I2831" s="11">
        <v>74.5</v>
      </c>
      <c r="J2831" s="21">
        <f t="shared" si="132"/>
        <v>0.65555555555555556</v>
      </c>
      <c r="K2831" s="1">
        <v>2</v>
      </c>
      <c r="L2831" s="24">
        <v>7.4</v>
      </c>
      <c r="M2831" s="24">
        <v>67.05</v>
      </c>
      <c r="N2831" s="21">
        <f t="shared" si="133"/>
        <v>0.48999999999999994</v>
      </c>
      <c r="P2831" s="1">
        <v>4</v>
      </c>
      <c r="Q2831" s="24">
        <v>8.9399999999999977</v>
      </c>
      <c r="R2831" s="24">
        <v>65.56</v>
      </c>
      <c r="S2831" s="21">
        <f t="shared" si="134"/>
        <v>0.45688888888888896</v>
      </c>
    </row>
    <row r="2832" spans="2:19" ht="11.4" customHeight="1" x14ac:dyDescent="0.2">
      <c r="B2832" s="24"/>
      <c r="C2832" s="10">
        <v>45312</v>
      </c>
      <c r="D2832" s="18" t="s">
        <v>2939</v>
      </c>
      <c r="E2832" s="18" t="s">
        <v>2919</v>
      </c>
      <c r="F2832" s="17">
        <v>8</v>
      </c>
      <c r="G2832" s="18" t="s">
        <v>23</v>
      </c>
      <c r="H2832" s="17">
        <v>47.88</v>
      </c>
      <c r="I2832" s="11">
        <v>66.900000000000006</v>
      </c>
      <c r="J2832" s="21">
        <f t="shared" si="132"/>
        <v>0.39724310776942362</v>
      </c>
      <c r="K2832" s="1">
        <v>2</v>
      </c>
      <c r="L2832" s="24">
        <v>6.6</v>
      </c>
      <c r="M2832" s="24">
        <v>60.210000000000008</v>
      </c>
      <c r="N2832" s="21">
        <f t="shared" si="133"/>
        <v>0.25751879699248131</v>
      </c>
      <c r="P2832" s="1">
        <v>4</v>
      </c>
      <c r="Q2832" s="24">
        <v>8.0279999999999987</v>
      </c>
      <c r="R2832" s="24">
        <v>58.872000000000007</v>
      </c>
      <c r="S2832" s="21">
        <f t="shared" si="134"/>
        <v>0.22957393483709282</v>
      </c>
    </row>
    <row r="2833" spans="2:19" ht="11.4" customHeight="1" x14ac:dyDescent="0.2">
      <c r="B2833" s="24"/>
      <c r="C2833" s="10">
        <v>13656</v>
      </c>
      <c r="D2833" s="18" t="s">
        <v>2940</v>
      </c>
      <c r="E2833" s="18" t="s">
        <v>2919</v>
      </c>
      <c r="F2833" s="17">
        <v>27</v>
      </c>
      <c r="G2833" s="18" t="s">
        <v>23</v>
      </c>
      <c r="H2833" s="17">
        <v>13.6</v>
      </c>
      <c r="I2833" s="11">
        <v>16.899999999999999</v>
      </c>
      <c r="J2833" s="21">
        <f t="shared" si="132"/>
        <v>0.24264705882352933</v>
      </c>
      <c r="K2833" s="1">
        <v>2</v>
      </c>
      <c r="L2833" s="24">
        <v>1.6</v>
      </c>
      <c r="M2833" s="24">
        <v>15.209999999999999</v>
      </c>
      <c r="N2833" s="21">
        <f t="shared" si="133"/>
        <v>0.11838235294117644</v>
      </c>
      <c r="P2833" s="1">
        <v>4</v>
      </c>
      <c r="Q2833" s="24">
        <v>2.0280000000000005</v>
      </c>
      <c r="R2833" s="24">
        <v>14.871999999999998</v>
      </c>
      <c r="S2833" s="21">
        <f t="shared" si="134"/>
        <v>9.3529411764705778E-2</v>
      </c>
    </row>
    <row r="2834" spans="2:19" ht="11.4" customHeight="1" x14ac:dyDescent="0.2">
      <c r="B2834" s="24"/>
      <c r="C2834" s="10">
        <v>6511</v>
      </c>
      <c r="D2834" s="18" t="s">
        <v>2941</v>
      </c>
      <c r="E2834" s="18" t="s">
        <v>2919</v>
      </c>
      <c r="F2834" s="18"/>
      <c r="G2834" s="18" t="s">
        <v>23</v>
      </c>
      <c r="H2834" s="17">
        <v>15.2</v>
      </c>
      <c r="I2834" s="11">
        <v>17.7</v>
      </c>
      <c r="J2834" s="21">
        <f t="shared" si="132"/>
        <v>0.16447368421052633</v>
      </c>
      <c r="K2834" s="1">
        <v>2</v>
      </c>
      <c r="L2834" s="24">
        <v>1.7</v>
      </c>
      <c r="M2834" s="24">
        <v>15.93</v>
      </c>
      <c r="N2834" s="21">
        <f t="shared" si="133"/>
        <v>4.8026315789473716E-2</v>
      </c>
      <c r="P2834" s="1">
        <v>4</v>
      </c>
      <c r="Q2834" s="24">
        <v>2.1240000000000006</v>
      </c>
      <c r="R2834" s="24">
        <v>15.575999999999999</v>
      </c>
      <c r="S2834" s="21">
        <f t="shared" si="134"/>
        <v>2.4736842105263123E-2</v>
      </c>
    </row>
    <row r="2835" spans="2:19" ht="11.4" customHeight="1" x14ac:dyDescent="0.2">
      <c r="B2835" s="24"/>
      <c r="C2835" s="10">
        <v>5676</v>
      </c>
      <c r="D2835" s="18" t="s">
        <v>2942</v>
      </c>
      <c r="E2835" s="18" t="s">
        <v>2919</v>
      </c>
      <c r="F2835" s="17">
        <v>12</v>
      </c>
      <c r="G2835" s="18" t="s">
        <v>23</v>
      </c>
      <c r="H2835" s="17">
        <v>46.3</v>
      </c>
      <c r="I2835" s="11">
        <v>55.6</v>
      </c>
      <c r="J2835" s="21">
        <f t="shared" si="132"/>
        <v>0.20086393088552926</v>
      </c>
      <c r="K2835" s="1">
        <v>2</v>
      </c>
      <c r="L2835" s="24">
        <v>5.5</v>
      </c>
      <c r="M2835" s="24">
        <v>50.04</v>
      </c>
      <c r="N2835" s="21">
        <f t="shared" si="133"/>
        <v>8.0777537796976287E-2</v>
      </c>
      <c r="P2835" s="1">
        <v>4</v>
      </c>
      <c r="Q2835" s="24">
        <v>6.671999999999997</v>
      </c>
      <c r="R2835" s="24">
        <v>48.928000000000004</v>
      </c>
      <c r="S2835" s="21">
        <f t="shared" si="134"/>
        <v>5.6760259179265818E-2</v>
      </c>
    </row>
    <row r="2836" spans="2:19" ht="11.4" customHeight="1" x14ac:dyDescent="0.2">
      <c r="B2836" s="24"/>
      <c r="C2836" s="10">
        <v>39337</v>
      </c>
      <c r="D2836" s="18" t="s">
        <v>2943</v>
      </c>
      <c r="E2836" s="18" t="s">
        <v>2919</v>
      </c>
      <c r="F2836" s="17">
        <v>27</v>
      </c>
      <c r="G2836" s="18" t="s">
        <v>23</v>
      </c>
      <c r="H2836" s="17">
        <v>18.2</v>
      </c>
      <c r="I2836" s="11">
        <v>27.1</v>
      </c>
      <c r="J2836" s="21">
        <f t="shared" si="132"/>
        <v>0.48901098901098916</v>
      </c>
      <c r="K2836" s="1">
        <v>2</v>
      </c>
      <c r="L2836" s="24">
        <v>2.7</v>
      </c>
      <c r="M2836" s="24">
        <v>24.39</v>
      </c>
      <c r="N2836" s="21">
        <f t="shared" si="133"/>
        <v>0.34010989010989018</v>
      </c>
      <c r="P2836" s="1">
        <v>4</v>
      </c>
      <c r="Q2836" s="24">
        <v>3.2519999999999989</v>
      </c>
      <c r="R2836" s="24">
        <v>23.848000000000003</v>
      </c>
      <c r="S2836" s="21">
        <f t="shared" si="134"/>
        <v>0.31032967032967052</v>
      </c>
    </row>
    <row r="2837" spans="2:19" ht="11.4" customHeight="1" x14ac:dyDescent="0.2">
      <c r="B2837" s="24"/>
      <c r="C2837" s="10">
        <v>39335</v>
      </c>
      <c r="D2837" s="18" t="s">
        <v>2944</v>
      </c>
      <c r="E2837" s="18" t="s">
        <v>2919</v>
      </c>
      <c r="F2837" s="17">
        <v>6</v>
      </c>
      <c r="G2837" s="18" t="s">
        <v>23</v>
      </c>
      <c r="H2837" s="17">
        <v>81</v>
      </c>
      <c r="I2837" s="11">
        <v>87.5</v>
      </c>
      <c r="J2837" s="21">
        <f t="shared" si="132"/>
        <v>8.0246913580246909E-2</v>
      </c>
      <c r="K2837" s="1">
        <v>2</v>
      </c>
      <c r="L2837" s="24">
        <v>8.6999999999999993</v>
      </c>
      <c r="M2837" s="24">
        <v>78.75</v>
      </c>
      <c r="N2837" s="21">
        <f t="shared" si="133"/>
        <v>-2.7777777777777776E-2</v>
      </c>
      <c r="P2837" s="1">
        <v>4</v>
      </c>
      <c r="Q2837" s="24">
        <v>10.5</v>
      </c>
      <c r="R2837" s="24">
        <v>77</v>
      </c>
      <c r="S2837" s="21">
        <f t="shared" si="134"/>
        <v>-4.9382716049382713E-2</v>
      </c>
    </row>
    <row r="2838" spans="2:19" ht="11.4" customHeight="1" x14ac:dyDescent="0.2">
      <c r="B2838" s="24"/>
      <c r="C2838" s="10">
        <v>13557</v>
      </c>
      <c r="D2838" s="18" t="s">
        <v>2945</v>
      </c>
      <c r="E2838" s="18" t="s">
        <v>2919</v>
      </c>
      <c r="F2838" s="17">
        <v>27</v>
      </c>
      <c r="G2838" s="18" t="s">
        <v>23</v>
      </c>
      <c r="H2838" s="17">
        <v>13.6</v>
      </c>
      <c r="I2838" s="11">
        <v>16.899999999999999</v>
      </c>
      <c r="J2838" s="21">
        <f t="shared" si="132"/>
        <v>0.24264705882352933</v>
      </c>
      <c r="K2838" s="1">
        <v>2</v>
      </c>
      <c r="L2838" s="24">
        <v>1.6</v>
      </c>
      <c r="M2838" s="24">
        <v>15.209999999999999</v>
      </c>
      <c r="N2838" s="21">
        <f t="shared" si="133"/>
        <v>0.11838235294117644</v>
      </c>
      <c r="P2838" s="1">
        <v>4</v>
      </c>
      <c r="Q2838" s="24">
        <v>2.0280000000000005</v>
      </c>
      <c r="R2838" s="24">
        <v>14.871999999999998</v>
      </c>
      <c r="S2838" s="21">
        <f t="shared" si="134"/>
        <v>9.3529411764705778E-2</v>
      </c>
    </row>
    <row r="2839" spans="2:19" ht="11.4" customHeight="1" x14ac:dyDescent="0.2">
      <c r="B2839" s="24"/>
      <c r="C2839" s="10">
        <v>5672</v>
      </c>
      <c r="D2839" s="18" t="s">
        <v>2946</v>
      </c>
      <c r="E2839" s="18" t="s">
        <v>2919</v>
      </c>
      <c r="F2839" s="17">
        <v>12</v>
      </c>
      <c r="G2839" s="18" t="s">
        <v>23</v>
      </c>
      <c r="H2839" s="17">
        <v>41.6</v>
      </c>
      <c r="I2839" s="11">
        <v>54.9</v>
      </c>
      <c r="J2839" s="21">
        <f t="shared" si="132"/>
        <v>0.31971153846153838</v>
      </c>
      <c r="K2839" s="1">
        <v>2</v>
      </c>
      <c r="L2839" s="24">
        <v>5.4</v>
      </c>
      <c r="M2839" s="24">
        <v>49.41</v>
      </c>
      <c r="N2839" s="21">
        <f t="shared" si="133"/>
        <v>0.1877403846153845</v>
      </c>
      <c r="P2839" s="1">
        <v>4</v>
      </c>
      <c r="Q2839" s="24">
        <v>6.588000000000001</v>
      </c>
      <c r="R2839" s="24">
        <v>48.311999999999998</v>
      </c>
      <c r="S2839" s="21">
        <f t="shared" si="134"/>
        <v>0.16134615384615375</v>
      </c>
    </row>
    <row r="2840" spans="2:19" ht="11.4" customHeight="1" x14ac:dyDescent="0.2">
      <c r="B2840" s="24"/>
      <c r="C2840" s="10">
        <v>5748</v>
      </c>
      <c r="D2840" s="18" t="s">
        <v>2947</v>
      </c>
      <c r="E2840" s="18" t="s">
        <v>2919</v>
      </c>
      <c r="F2840" s="17">
        <v>6</v>
      </c>
      <c r="G2840" s="18" t="s">
        <v>23</v>
      </c>
      <c r="H2840" s="17">
        <v>81.599999999999994</v>
      </c>
      <c r="I2840" s="11">
        <v>103.2</v>
      </c>
      <c r="J2840" s="21">
        <f t="shared" si="132"/>
        <v>0.26470588235294129</v>
      </c>
      <c r="K2840" s="1">
        <v>2</v>
      </c>
      <c r="L2840" s="24">
        <v>10.3</v>
      </c>
      <c r="M2840" s="24">
        <v>92.88000000000001</v>
      </c>
      <c r="N2840" s="21">
        <f t="shared" si="133"/>
        <v>0.13823529411764726</v>
      </c>
      <c r="P2840" s="1">
        <v>4</v>
      </c>
      <c r="Q2840" s="24">
        <v>12.384</v>
      </c>
      <c r="R2840" s="24">
        <v>90.816000000000003</v>
      </c>
      <c r="S2840" s="21">
        <f t="shared" si="134"/>
        <v>0.11294117647058835</v>
      </c>
    </row>
    <row r="2841" spans="2:19" ht="11.4" customHeight="1" x14ac:dyDescent="0.2">
      <c r="B2841" s="24"/>
      <c r="C2841" s="10">
        <v>5495</v>
      </c>
      <c r="D2841" s="18" t="s">
        <v>2948</v>
      </c>
      <c r="E2841" s="18" t="s">
        <v>2919</v>
      </c>
      <c r="F2841" s="18"/>
      <c r="G2841" s="18" t="s">
        <v>23</v>
      </c>
      <c r="H2841" s="17">
        <v>15.2</v>
      </c>
      <c r="I2841" s="11">
        <v>17.7</v>
      </c>
      <c r="J2841" s="21">
        <f t="shared" si="132"/>
        <v>0.16447368421052633</v>
      </c>
      <c r="K2841" s="1">
        <v>2</v>
      </c>
      <c r="L2841" s="24">
        <v>1.7</v>
      </c>
      <c r="M2841" s="24">
        <v>15.93</v>
      </c>
      <c r="N2841" s="21">
        <f t="shared" si="133"/>
        <v>4.8026315789473716E-2</v>
      </c>
      <c r="P2841" s="1">
        <v>4</v>
      </c>
      <c r="Q2841" s="24">
        <v>2.1240000000000006</v>
      </c>
      <c r="R2841" s="24">
        <v>15.575999999999999</v>
      </c>
      <c r="S2841" s="21">
        <f t="shared" si="134"/>
        <v>2.4736842105263123E-2</v>
      </c>
    </row>
    <row r="2842" spans="2:19" ht="11.4" customHeight="1" x14ac:dyDescent="0.2">
      <c r="B2842" s="24"/>
      <c r="C2842" s="10">
        <v>39336</v>
      </c>
      <c r="D2842" s="18" t="s">
        <v>2949</v>
      </c>
      <c r="E2842" s="18" t="s">
        <v>2919</v>
      </c>
      <c r="F2842" s="17">
        <v>6</v>
      </c>
      <c r="G2842" s="18" t="s">
        <v>23</v>
      </c>
      <c r="H2842" s="17">
        <v>99.72</v>
      </c>
      <c r="I2842" s="11">
        <v>129.69999999999999</v>
      </c>
      <c r="J2842" s="21">
        <f t="shared" si="132"/>
        <v>0.30064179703168864</v>
      </c>
      <c r="K2842" s="1">
        <v>2</v>
      </c>
      <c r="L2842" s="24">
        <v>12.9</v>
      </c>
      <c r="M2842" s="24">
        <v>116.72999999999999</v>
      </c>
      <c r="N2842" s="21">
        <f t="shared" si="133"/>
        <v>0.17057761732851975</v>
      </c>
      <c r="P2842" s="1">
        <v>4</v>
      </c>
      <c r="Q2842" s="24">
        <v>15.563999999999993</v>
      </c>
      <c r="R2842" s="24">
        <v>114.136</v>
      </c>
      <c r="S2842" s="21">
        <f t="shared" si="134"/>
        <v>0.14456478138788606</v>
      </c>
    </row>
    <row r="2843" spans="2:19" ht="11.4" customHeight="1" x14ac:dyDescent="0.2">
      <c r="B2843" s="24"/>
      <c r="C2843" s="10">
        <v>39333</v>
      </c>
      <c r="D2843" s="18" t="s">
        <v>2950</v>
      </c>
      <c r="E2843" s="18" t="s">
        <v>2919</v>
      </c>
      <c r="F2843" s="17">
        <v>12</v>
      </c>
      <c r="G2843" s="18" t="s">
        <v>23</v>
      </c>
      <c r="H2843" s="17">
        <v>47.2</v>
      </c>
      <c r="I2843" s="11">
        <v>56.5</v>
      </c>
      <c r="J2843" s="21">
        <f t="shared" si="132"/>
        <v>0.19703389830508466</v>
      </c>
      <c r="K2843" s="1">
        <v>2</v>
      </c>
      <c r="L2843" s="24">
        <v>5.6</v>
      </c>
      <c r="M2843" s="24">
        <v>50.85</v>
      </c>
      <c r="N2843" s="21">
        <f t="shared" si="133"/>
        <v>7.7330508474576232E-2</v>
      </c>
      <c r="P2843" s="1">
        <v>4</v>
      </c>
      <c r="Q2843" s="24">
        <v>6.7800000000000011</v>
      </c>
      <c r="R2843" s="24">
        <v>49.72</v>
      </c>
      <c r="S2843" s="21">
        <f t="shared" si="134"/>
        <v>5.3389830508474491E-2</v>
      </c>
    </row>
    <row r="2844" spans="2:19" ht="11.4" customHeight="1" x14ac:dyDescent="0.2">
      <c r="B2844" s="24"/>
      <c r="C2844" s="10">
        <v>39332</v>
      </c>
      <c r="D2844" s="18" t="s">
        <v>2951</v>
      </c>
      <c r="E2844" s="18" t="s">
        <v>2919</v>
      </c>
      <c r="F2844" s="17">
        <v>6</v>
      </c>
      <c r="G2844" s="18" t="s">
        <v>23</v>
      </c>
      <c r="H2844" s="17">
        <v>116.6</v>
      </c>
      <c r="I2844" s="11">
        <v>143.5</v>
      </c>
      <c r="J2844" s="21">
        <f t="shared" si="132"/>
        <v>0.23070325900514585</v>
      </c>
      <c r="K2844" s="1">
        <v>2</v>
      </c>
      <c r="L2844" s="24">
        <v>14.3</v>
      </c>
      <c r="M2844" s="24">
        <v>129.15</v>
      </c>
      <c r="N2844" s="21">
        <f t="shared" si="133"/>
        <v>0.10763293310463132</v>
      </c>
      <c r="P2844" s="1">
        <v>4</v>
      </c>
      <c r="Q2844" s="24">
        <v>17.22</v>
      </c>
      <c r="R2844" s="24">
        <v>126.28</v>
      </c>
      <c r="S2844" s="21">
        <f t="shared" si="134"/>
        <v>8.3018867924528367E-2</v>
      </c>
    </row>
    <row r="2845" spans="2:19" ht="11.4" customHeight="1" x14ac:dyDescent="0.2">
      <c r="B2845" s="24"/>
      <c r="C2845" s="10">
        <v>25428</v>
      </c>
      <c r="D2845" s="18" t="s">
        <v>2952</v>
      </c>
      <c r="E2845" s="18" t="s">
        <v>2919</v>
      </c>
      <c r="F2845" s="17">
        <v>6</v>
      </c>
      <c r="G2845" s="18" t="s">
        <v>23</v>
      </c>
      <c r="H2845" s="17">
        <v>109.7</v>
      </c>
      <c r="I2845" s="11">
        <v>137.5</v>
      </c>
      <c r="J2845" s="21">
        <f t="shared" si="132"/>
        <v>0.2534184138559708</v>
      </c>
      <c r="K2845" s="1">
        <v>2</v>
      </c>
      <c r="L2845" s="24">
        <v>13.7</v>
      </c>
      <c r="M2845" s="24">
        <v>123.75</v>
      </c>
      <c r="N2845" s="21">
        <f t="shared" si="133"/>
        <v>0.12807657247037371</v>
      </c>
      <c r="P2845" s="1">
        <v>4</v>
      </c>
      <c r="Q2845" s="24">
        <v>16.5</v>
      </c>
      <c r="R2845" s="24">
        <v>121</v>
      </c>
      <c r="S2845" s="21">
        <f t="shared" si="134"/>
        <v>0.10300820419325431</v>
      </c>
    </row>
    <row r="2846" spans="2:19" ht="11.4" customHeight="1" x14ac:dyDescent="0.2">
      <c r="B2846" s="24"/>
      <c r="C2846" s="10">
        <v>39334</v>
      </c>
      <c r="D2846" s="18" t="s">
        <v>2953</v>
      </c>
      <c r="E2846" s="18" t="s">
        <v>2919</v>
      </c>
      <c r="F2846" s="17">
        <v>12</v>
      </c>
      <c r="G2846" s="18" t="s">
        <v>23</v>
      </c>
      <c r="H2846" s="17">
        <v>52.1</v>
      </c>
      <c r="I2846" s="11">
        <v>65.2</v>
      </c>
      <c r="J2846" s="21">
        <f t="shared" si="132"/>
        <v>0.25143953934740887</v>
      </c>
      <c r="K2846" s="1">
        <v>2</v>
      </c>
      <c r="L2846" s="24">
        <v>6.5</v>
      </c>
      <c r="M2846" s="24">
        <v>58.680000000000007</v>
      </c>
      <c r="N2846" s="21">
        <f t="shared" si="133"/>
        <v>0.12629558541266805</v>
      </c>
      <c r="P2846" s="1">
        <v>4</v>
      </c>
      <c r="Q2846" s="24">
        <v>7.8239999999999981</v>
      </c>
      <c r="R2846" s="24">
        <v>57.376000000000005</v>
      </c>
      <c r="S2846" s="21">
        <f t="shared" si="134"/>
        <v>0.10126679462571983</v>
      </c>
    </row>
    <row r="2847" spans="2:19" ht="11.4" customHeight="1" x14ac:dyDescent="0.2">
      <c r="B2847" s="24"/>
      <c r="C2847" s="10">
        <v>8499</v>
      </c>
      <c r="D2847" s="18" t="s">
        <v>2954</v>
      </c>
      <c r="E2847" s="18" t="s">
        <v>2919</v>
      </c>
      <c r="F2847" s="17">
        <v>10</v>
      </c>
      <c r="G2847" s="18" t="s">
        <v>23</v>
      </c>
      <c r="H2847" s="17">
        <v>70.599999999999994</v>
      </c>
      <c r="I2847" s="11">
        <v>84.9</v>
      </c>
      <c r="J2847" s="21">
        <f t="shared" si="132"/>
        <v>0.20254957507082172</v>
      </c>
      <c r="K2847" s="1">
        <v>2</v>
      </c>
      <c r="L2847" s="24">
        <v>8.4</v>
      </c>
      <c r="M2847" s="24">
        <v>76.410000000000011</v>
      </c>
      <c r="N2847" s="21">
        <f t="shared" si="133"/>
        <v>8.2294617563739611E-2</v>
      </c>
      <c r="P2847" s="1">
        <v>4</v>
      </c>
      <c r="Q2847" s="24">
        <v>10.188000000000002</v>
      </c>
      <c r="R2847" s="24">
        <v>74.712000000000003</v>
      </c>
      <c r="S2847" s="21">
        <f t="shared" si="134"/>
        <v>5.8243626062323077E-2</v>
      </c>
    </row>
    <row r="2848" spans="2:19" ht="11.4" customHeight="1" x14ac:dyDescent="0.2">
      <c r="B2848" s="24"/>
      <c r="C2848" s="10">
        <v>45072</v>
      </c>
      <c r="D2848" s="18" t="s">
        <v>2955</v>
      </c>
      <c r="E2848" s="18" t="s">
        <v>2919</v>
      </c>
      <c r="F2848" s="17">
        <v>18</v>
      </c>
      <c r="G2848" s="18" t="s">
        <v>23</v>
      </c>
      <c r="H2848" s="17">
        <v>11.64</v>
      </c>
      <c r="I2848" s="11">
        <v>17.7</v>
      </c>
      <c r="J2848" s="21">
        <f t="shared" si="132"/>
        <v>0.52061855670103074</v>
      </c>
      <c r="K2848" s="1">
        <v>2</v>
      </c>
      <c r="L2848" s="24">
        <v>1.7</v>
      </c>
      <c r="M2848" s="24">
        <v>15.93</v>
      </c>
      <c r="N2848" s="21">
        <f t="shared" si="133"/>
        <v>0.36855670103092775</v>
      </c>
      <c r="P2848" s="1">
        <v>4</v>
      </c>
      <c r="Q2848" s="24">
        <v>2.1240000000000006</v>
      </c>
      <c r="R2848" s="24">
        <v>15.575999999999999</v>
      </c>
      <c r="S2848" s="21">
        <f t="shared" si="134"/>
        <v>0.33814432989690707</v>
      </c>
    </row>
    <row r="2849" spans="2:19" ht="11.4" customHeight="1" x14ac:dyDescent="0.2">
      <c r="B2849" s="24"/>
      <c r="C2849" s="10">
        <v>8641</v>
      </c>
      <c r="D2849" s="18" t="s">
        <v>2956</v>
      </c>
      <c r="E2849" s="18" t="s">
        <v>2919</v>
      </c>
      <c r="F2849" s="18"/>
      <c r="G2849" s="18" t="s">
        <v>23</v>
      </c>
      <c r="H2849" s="17">
        <v>13.8</v>
      </c>
      <c r="I2849" s="11">
        <v>19.100000000000001</v>
      </c>
      <c r="J2849" s="21">
        <f t="shared" si="132"/>
        <v>0.38405797101449279</v>
      </c>
      <c r="K2849" s="1">
        <v>2</v>
      </c>
      <c r="L2849" s="24">
        <v>1.9</v>
      </c>
      <c r="M2849" s="24">
        <v>17.190000000000001</v>
      </c>
      <c r="N2849" s="21">
        <f t="shared" si="133"/>
        <v>0.2456521739130435</v>
      </c>
      <c r="P2849" s="1">
        <v>4</v>
      </c>
      <c r="Q2849" s="24">
        <v>2.2920000000000016</v>
      </c>
      <c r="R2849" s="24">
        <v>16.808</v>
      </c>
      <c r="S2849" s="21">
        <f t="shared" si="134"/>
        <v>0.21797101449275355</v>
      </c>
    </row>
    <row r="2850" spans="2:19" ht="11.4" customHeight="1" x14ac:dyDescent="0.2">
      <c r="B2850" s="24"/>
      <c r="C2850" s="10">
        <v>8121</v>
      </c>
      <c r="D2850" s="18" t="s">
        <v>2957</v>
      </c>
      <c r="E2850" s="18" t="s">
        <v>2919</v>
      </c>
      <c r="F2850" s="18"/>
      <c r="G2850" s="18" t="s">
        <v>23</v>
      </c>
      <c r="H2850" s="17">
        <v>58</v>
      </c>
      <c r="I2850" s="11">
        <v>72.900000000000006</v>
      </c>
      <c r="J2850" s="21">
        <f t="shared" si="132"/>
        <v>0.25689655172413806</v>
      </c>
      <c r="K2850" s="1">
        <v>2</v>
      </c>
      <c r="L2850" s="24">
        <v>7.2</v>
      </c>
      <c r="M2850" s="24">
        <v>65.610000000000014</v>
      </c>
      <c r="N2850" s="21">
        <f t="shared" si="133"/>
        <v>0.13120689655172438</v>
      </c>
      <c r="P2850" s="1">
        <v>4</v>
      </c>
      <c r="Q2850" s="24">
        <v>8.7480000000000047</v>
      </c>
      <c r="R2850" s="24">
        <v>64.152000000000001</v>
      </c>
      <c r="S2850" s="21">
        <f t="shared" si="134"/>
        <v>0.1060689655172414</v>
      </c>
    </row>
    <row r="2851" spans="2:19" ht="11.4" customHeight="1" x14ac:dyDescent="0.2">
      <c r="B2851" s="24"/>
      <c r="C2851" s="10">
        <v>8732</v>
      </c>
      <c r="D2851" s="18" t="s">
        <v>2958</v>
      </c>
      <c r="E2851" s="18" t="s">
        <v>2919</v>
      </c>
      <c r="F2851" s="18"/>
      <c r="G2851" s="18" t="s">
        <v>23</v>
      </c>
      <c r="H2851" s="17">
        <v>33.4</v>
      </c>
      <c r="I2851" s="11">
        <v>41.5</v>
      </c>
      <c r="J2851" s="21">
        <f t="shared" si="132"/>
        <v>0.24251497005988029</v>
      </c>
      <c r="K2851" s="1">
        <v>2</v>
      </c>
      <c r="L2851" s="24">
        <v>4.0999999999999996</v>
      </c>
      <c r="M2851" s="24">
        <v>37.35</v>
      </c>
      <c r="N2851" s="21">
        <f t="shared" si="133"/>
        <v>0.1182634730538923</v>
      </c>
      <c r="P2851" s="1">
        <v>4</v>
      </c>
      <c r="Q2851" s="24">
        <v>4.9799999999999969</v>
      </c>
      <c r="R2851" s="24">
        <v>36.520000000000003</v>
      </c>
      <c r="S2851" s="21">
        <f t="shared" si="134"/>
        <v>9.3413173652694748E-2</v>
      </c>
    </row>
    <row r="2852" spans="2:19" ht="11.4" customHeight="1" x14ac:dyDescent="0.2">
      <c r="B2852" s="24"/>
      <c r="C2852" s="10">
        <v>8851</v>
      </c>
      <c r="D2852" s="18" t="s">
        <v>2959</v>
      </c>
      <c r="E2852" s="18" t="s">
        <v>2919</v>
      </c>
      <c r="F2852" s="18"/>
      <c r="G2852" s="18" t="s">
        <v>23</v>
      </c>
      <c r="H2852" s="17">
        <v>33.4</v>
      </c>
      <c r="I2852" s="11">
        <v>40.700000000000003</v>
      </c>
      <c r="J2852" s="21">
        <f t="shared" si="132"/>
        <v>0.21856287425149715</v>
      </c>
      <c r="K2852" s="1">
        <v>2</v>
      </c>
      <c r="L2852" s="24">
        <v>4</v>
      </c>
      <c r="M2852" s="24">
        <v>36.630000000000003</v>
      </c>
      <c r="N2852" s="21">
        <f t="shared" si="133"/>
        <v>9.6706586826347432E-2</v>
      </c>
      <c r="P2852" s="1">
        <v>4</v>
      </c>
      <c r="Q2852" s="24">
        <v>4.8840000000000003</v>
      </c>
      <c r="R2852" s="24">
        <v>35.816000000000003</v>
      </c>
      <c r="S2852" s="21">
        <f t="shared" si="134"/>
        <v>7.2335329341317492E-2</v>
      </c>
    </row>
    <row r="2853" spans="2:19" ht="11.4" customHeight="1" x14ac:dyDescent="0.2">
      <c r="B2853" s="24"/>
      <c r="C2853" s="10">
        <v>6017</v>
      </c>
      <c r="D2853" s="18" t="s">
        <v>2960</v>
      </c>
      <c r="E2853" s="18" t="s">
        <v>2919</v>
      </c>
      <c r="F2853" s="18"/>
      <c r="G2853" s="18" t="s">
        <v>23</v>
      </c>
      <c r="H2853" s="17">
        <v>11.64</v>
      </c>
      <c r="I2853" s="11">
        <v>17.7</v>
      </c>
      <c r="J2853" s="21">
        <f t="shared" si="132"/>
        <v>0.52061855670103074</v>
      </c>
      <c r="K2853" s="1">
        <v>2</v>
      </c>
      <c r="L2853" s="24">
        <v>1.7</v>
      </c>
      <c r="M2853" s="24">
        <v>15.93</v>
      </c>
      <c r="N2853" s="21">
        <f t="shared" si="133"/>
        <v>0.36855670103092775</v>
      </c>
      <c r="P2853" s="1">
        <v>4</v>
      </c>
      <c r="Q2853" s="24">
        <v>2.1240000000000006</v>
      </c>
      <c r="R2853" s="24">
        <v>15.575999999999999</v>
      </c>
      <c r="S2853" s="21">
        <f t="shared" si="134"/>
        <v>0.33814432989690707</v>
      </c>
    </row>
    <row r="2854" spans="2:19" ht="11.4" customHeight="1" x14ac:dyDescent="0.2">
      <c r="B2854" s="24"/>
      <c r="C2854" s="10">
        <v>2195</v>
      </c>
      <c r="D2854" s="18" t="s">
        <v>2961</v>
      </c>
      <c r="E2854" s="18" t="s">
        <v>2919</v>
      </c>
      <c r="F2854" s="18"/>
      <c r="G2854" s="18" t="s">
        <v>23</v>
      </c>
      <c r="H2854" s="17">
        <v>41.2</v>
      </c>
      <c r="I2854" s="11">
        <v>50.3</v>
      </c>
      <c r="J2854" s="21">
        <f t="shared" si="132"/>
        <v>0.22087378640776684</v>
      </c>
      <c r="K2854" s="1">
        <v>2</v>
      </c>
      <c r="L2854" s="24">
        <v>5</v>
      </c>
      <c r="M2854" s="24">
        <v>45.269999999999996</v>
      </c>
      <c r="N2854" s="21">
        <f t="shared" si="133"/>
        <v>9.8786407766990117E-2</v>
      </c>
      <c r="P2854" s="1">
        <v>4</v>
      </c>
      <c r="Q2854" s="24">
        <v>6.0360000000000014</v>
      </c>
      <c r="R2854" s="24">
        <v>44.263999999999996</v>
      </c>
      <c r="S2854" s="21">
        <f t="shared" si="134"/>
        <v>7.4368932038834781E-2</v>
      </c>
    </row>
    <row r="2855" spans="2:19" ht="11.4" customHeight="1" x14ac:dyDescent="0.2">
      <c r="B2855" s="24"/>
      <c r="C2855" s="10">
        <v>34066</v>
      </c>
      <c r="D2855" s="18" t="s">
        <v>2962</v>
      </c>
      <c r="E2855" s="18" t="s">
        <v>2919</v>
      </c>
      <c r="F2855" s="17">
        <v>10</v>
      </c>
      <c r="G2855" s="18" t="s">
        <v>23</v>
      </c>
      <c r="H2855" s="17">
        <v>70.599999999999994</v>
      </c>
      <c r="I2855" s="11">
        <v>86.4</v>
      </c>
      <c r="J2855" s="21">
        <f t="shared" si="132"/>
        <v>0.22379603399433445</v>
      </c>
      <c r="K2855" s="1">
        <v>2</v>
      </c>
      <c r="L2855" s="24">
        <v>8.6</v>
      </c>
      <c r="M2855" s="24">
        <v>77.760000000000005</v>
      </c>
      <c r="N2855" s="21">
        <f t="shared" si="133"/>
        <v>0.10141643059490101</v>
      </c>
      <c r="P2855" s="1">
        <v>4</v>
      </c>
      <c r="Q2855" s="24">
        <v>10.367999999999995</v>
      </c>
      <c r="R2855" s="24">
        <v>76.032000000000011</v>
      </c>
      <c r="S2855" s="21">
        <f t="shared" si="134"/>
        <v>7.6940509915014402E-2</v>
      </c>
    </row>
    <row r="2856" spans="2:19" ht="11.4" customHeight="1" x14ac:dyDescent="0.2">
      <c r="B2856" s="24"/>
      <c r="C2856" s="10">
        <v>10658</v>
      </c>
      <c r="D2856" s="18" t="s">
        <v>2963</v>
      </c>
      <c r="E2856" s="18" t="s">
        <v>2919</v>
      </c>
      <c r="F2856" s="18"/>
      <c r="G2856" s="18" t="s">
        <v>23</v>
      </c>
      <c r="H2856" s="17">
        <v>41.2</v>
      </c>
      <c r="I2856" s="11">
        <v>50.3</v>
      </c>
      <c r="J2856" s="21">
        <f t="shared" si="132"/>
        <v>0.22087378640776684</v>
      </c>
      <c r="K2856" s="1">
        <v>2</v>
      </c>
      <c r="L2856" s="24">
        <v>5</v>
      </c>
      <c r="M2856" s="24">
        <v>45.269999999999996</v>
      </c>
      <c r="N2856" s="21">
        <f t="shared" si="133"/>
        <v>9.8786407766990117E-2</v>
      </c>
      <c r="P2856" s="1">
        <v>4</v>
      </c>
      <c r="Q2856" s="24">
        <v>6.0360000000000014</v>
      </c>
      <c r="R2856" s="24">
        <v>44.263999999999996</v>
      </c>
      <c r="S2856" s="21">
        <f t="shared" si="134"/>
        <v>7.4368932038834781E-2</v>
      </c>
    </row>
    <row r="2857" spans="2:19" ht="11.4" customHeight="1" x14ac:dyDescent="0.2">
      <c r="B2857" s="24"/>
      <c r="C2857" s="10">
        <v>34067</v>
      </c>
      <c r="D2857" s="18" t="s">
        <v>2964</v>
      </c>
      <c r="E2857" s="18" t="s">
        <v>2919</v>
      </c>
      <c r="F2857" s="17">
        <v>10</v>
      </c>
      <c r="G2857" s="18" t="s">
        <v>23</v>
      </c>
      <c r="H2857" s="17">
        <v>70.599999999999994</v>
      </c>
      <c r="I2857" s="11">
        <v>92.4</v>
      </c>
      <c r="J2857" s="21">
        <f t="shared" si="132"/>
        <v>0.30878186968838545</v>
      </c>
      <c r="K2857" s="1">
        <v>2</v>
      </c>
      <c r="L2857" s="24">
        <v>9.1999999999999993</v>
      </c>
      <c r="M2857" s="24">
        <v>83.160000000000011</v>
      </c>
      <c r="N2857" s="21">
        <f t="shared" si="133"/>
        <v>0.17790368271954698</v>
      </c>
      <c r="P2857" s="1">
        <v>4</v>
      </c>
      <c r="Q2857" s="24">
        <v>11.087999999999994</v>
      </c>
      <c r="R2857" s="24">
        <v>81.312000000000012</v>
      </c>
      <c r="S2857" s="21">
        <f t="shared" si="134"/>
        <v>0.1517280453257793</v>
      </c>
    </row>
    <row r="2858" spans="2:19" ht="11.4" customHeight="1" x14ac:dyDescent="0.2">
      <c r="B2858" s="24"/>
      <c r="C2858" s="10">
        <v>34068</v>
      </c>
      <c r="D2858" s="18" t="s">
        <v>2965</v>
      </c>
      <c r="E2858" s="18" t="s">
        <v>2919</v>
      </c>
      <c r="F2858" s="17">
        <v>10</v>
      </c>
      <c r="G2858" s="18" t="s">
        <v>23</v>
      </c>
      <c r="H2858" s="17">
        <v>70.680000000000007</v>
      </c>
      <c r="I2858" s="11">
        <v>94.4</v>
      </c>
      <c r="J2858" s="21">
        <f t="shared" si="132"/>
        <v>0.33559705715902655</v>
      </c>
      <c r="K2858" s="1">
        <v>2</v>
      </c>
      <c r="L2858" s="24">
        <v>9.4</v>
      </c>
      <c r="M2858" s="24">
        <v>84.960000000000008</v>
      </c>
      <c r="N2858" s="21">
        <f t="shared" si="133"/>
        <v>0.20203735144312393</v>
      </c>
      <c r="P2858" s="1">
        <v>4</v>
      </c>
      <c r="Q2858" s="24">
        <v>11.328000000000003</v>
      </c>
      <c r="R2858" s="24">
        <v>83.072000000000003</v>
      </c>
      <c r="S2858" s="21">
        <f t="shared" si="134"/>
        <v>0.17532541029994334</v>
      </c>
    </row>
    <row r="2859" spans="2:19" ht="11.4" customHeight="1" x14ac:dyDescent="0.2">
      <c r="B2859" s="24"/>
      <c r="C2859" s="10">
        <v>39338</v>
      </c>
      <c r="D2859" s="18" t="s">
        <v>2966</v>
      </c>
      <c r="E2859" s="18" t="s">
        <v>2919</v>
      </c>
      <c r="F2859" s="17">
        <v>27</v>
      </c>
      <c r="G2859" s="18" t="s">
        <v>23</v>
      </c>
      <c r="H2859" s="17">
        <v>20.58</v>
      </c>
      <c r="I2859" s="11">
        <v>26.8</v>
      </c>
      <c r="J2859" s="21">
        <f t="shared" si="132"/>
        <v>0.30223517978620035</v>
      </c>
      <c r="K2859" s="1">
        <v>2</v>
      </c>
      <c r="L2859" s="24">
        <v>2.6</v>
      </c>
      <c r="M2859" s="24">
        <v>24.12</v>
      </c>
      <c r="N2859" s="21">
        <f t="shared" si="133"/>
        <v>0.17201166180758032</v>
      </c>
      <c r="P2859" s="1">
        <v>4</v>
      </c>
      <c r="Q2859" s="24">
        <v>3.2160000000000011</v>
      </c>
      <c r="R2859" s="24">
        <v>23.584</v>
      </c>
      <c r="S2859" s="21">
        <f t="shared" si="134"/>
        <v>0.14596695821185623</v>
      </c>
    </row>
    <row r="2860" spans="2:19" ht="11.4" customHeight="1" x14ac:dyDescent="0.2">
      <c r="B2860" s="24"/>
      <c r="C2860" s="10">
        <v>39339</v>
      </c>
      <c r="D2860" s="18" t="s">
        <v>2967</v>
      </c>
      <c r="E2860" s="18" t="s">
        <v>2919</v>
      </c>
      <c r="F2860" s="17">
        <v>27</v>
      </c>
      <c r="G2860" s="18" t="s">
        <v>23</v>
      </c>
      <c r="H2860" s="17">
        <v>20.58</v>
      </c>
      <c r="I2860" s="11">
        <v>26.8</v>
      </c>
      <c r="J2860" s="21">
        <f t="shared" si="132"/>
        <v>0.30223517978620035</v>
      </c>
      <c r="K2860" s="1">
        <v>2</v>
      </c>
      <c r="L2860" s="24">
        <v>2.6</v>
      </c>
      <c r="M2860" s="24">
        <v>24.12</v>
      </c>
      <c r="N2860" s="21">
        <f t="shared" si="133"/>
        <v>0.17201166180758032</v>
      </c>
      <c r="P2860" s="1">
        <v>4</v>
      </c>
      <c r="Q2860" s="24">
        <v>3.2160000000000011</v>
      </c>
      <c r="R2860" s="24">
        <v>23.584</v>
      </c>
      <c r="S2860" s="21">
        <f t="shared" si="134"/>
        <v>0.14596695821185623</v>
      </c>
    </row>
    <row r="2861" spans="2:19" ht="11.4" customHeight="1" x14ac:dyDescent="0.2">
      <c r="B2861" s="24"/>
      <c r="C2861" s="10">
        <v>2472</v>
      </c>
      <c r="D2861" s="18" t="s">
        <v>2968</v>
      </c>
      <c r="E2861" s="18" t="s">
        <v>2919</v>
      </c>
      <c r="F2861" s="17">
        <v>6</v>
      </c>
      <c r="G2861" s="18" t="s">
        <v>23</v>
      </c>
      <c r="H2861" s="17">
        <v>102.8</v>
      </c>
      <c r="I2861" s="11">
        <v>124.9</v>
      </c>
      <c r="J2861" s="21">
        <f t="shared" si="132"/>
        <v>0.21498054474708181</v>
      </c>
      <c r="K2861" s="1">
        <v>2</v>
      </c>
      <c r="L2861" s="24">
        <v>12.4</v>
      </c>
      <c r="M2861" s="24">
        <v>112.41000000000001</v>
      </c>
      <c r="N2861" s="21">
        <f t="shared" si="133"/>
        <v>9.3482490272373681E-2</v>
      </c>
      <c r="P2861" s="1">
        <v>4</v>
      </c>
      <c r="Q2861" s="24">
        <v>14.988</v>
      </c>
      <c r="R2861" s="24">
        <v>109.91200000000001</v>
      </c>
      <c r="S2861" s="21">
        <f t="shared" si="134"/>
        <v>6.9182879377431991E-2</v>
      </c>
    </row>
    <row r="2862" spans="2:19" ht="11.4" customHeight="1" x14ac:dyDescent="0.2">
      <c r="B2862" s="24"/>
      <c r="C2862" s="10">
        <v>44578</v>
      </c>
      <c r="D2862" s="18" t="s">
        <v>2969</v>
      </c>
      <c r="E2862" s="18" t="s">
        <v>2919</v>
      </c>
      <c r="F2862" s="17">
        <v>10</v>
      </c>
      <c r="G2862" s="18" t="s">
        <v>23</v>
      </c>
      <c r="H2862" s="17">
        <v>68.7</v>
      </c>
      <c r="I2862" s="11">
        <v>92.4</v>
      </c>
      <c r="J2862" s="21">
        <f t="shared" si="132"/>
        <v>0.34497816593886466</v>
      </c>
      <c r="K2862" s="1">
        <v>2</v>
      </c>
      <c r="L2862" s="24">
        <v>9.1999999999999993</v>
      </c>
      <c r="M2862" s="24">
        <v>83.160000000000011</v>
      </c>
      <c r="N2862" s="21">
        <f t="shared" si="133"/>
        <v>0.21048034934497828</v>
      </c>
      <c r="P2862" s="1">
        <v>4</v>
      </c>
      <c r="Q2862" s="24">
        <v>11.087999999999994</v>
      </c>
      <c r="R2862" s="24">
        <v>81.312000000000012</v>
      </c>
      <c r="S2862" s="21">
        <f t="shared" si="134"/>
        <v>0.18358078602620101</v>
      </c>
    </row>
    <row r="2863" spans="2:19" ht="11.4" customHeight="1" x14ac:dyDescent="0.2">
      <c r="B2863" s="24"/>
      <c r="C2863" s="10">
        <v>47383</v>
      </c>
      <c r="D2863" s="18" t="s">
        <v>2970</v>
      </c>
      <c r="E2863" s="18" t="s">
        <v>2919</v>
      </c>
      <c r="F2863" s="17">
        <v>9</v>
      </c>
      <c r="G2863" s="18" t="s">
        <v>23</v>
      </c>
      <c r="H2863" s="17">
        <v>42.68</v>
      </c>
      <c r="I2863" s="11">
        <v>70.900000000000006</v>
      </c>
      <c r="J2863" s="21">
        <f t="shared" si="132"/>
        <v>0.66119962511715102</v>
      </c>
      <c r="K2863" s="1">
        <v>2</v>
      </c>
      <c r="L2863" s="24">
        <v>7</v>
      </c>
      <c r="M2863" s="24">
        <v>63.810000000000009</v>
      </c>
      <c r="N2863" s="21">
        <f t="shared" si="133"/>
        <v>0.49507966260543601</v>
      </c>
      <c r="P2863" s="1">
        <v>4</v>
      </c>
      <c r="Q2863" s="24">
        <v>8.5080000000000027</v>
      </c>
      <c r="R2863" s="24">
        <v>62.392000000000003</v>
      </c>
      <c r="S2863" s="21">
        <f t="shared" si="134"/>
        <v>0.46185567010309286</v>
      </c>
    </row>
    <row r="2864" spans="2:19" ht="11.4" customHeight="1" x14ac:dyDescent="0.2">
      <c r="B2864" s="24"/>
      <c r="C2864" s="10">
        <v>28820</v>
      </c>
      <c r="D2864" s="18" t="s">
        <v>2971</v>
      </c>
      <c r="E2864" s="18" t="s">
        <v>2919</v>
      </c>
      <c r="F2864" s="17">
        <v>12</v>
      </c>
      <c r="G2864" s="18" t="s">
        <v>23</v>
      </c>
      <c r="H2864" s="17">
        <v>47.2</v>
      </c>
      <c r="I2864" s="11">
        <v>56.5</v>
      </c>
      <c r="J2864" s="21">
        <f t="shared" si="132"/>
        <v>0.19703389830508466</v>
      </c>
      <c r="K2864" s="1">
        <v>2</v>
      </c>
      <c r="L2864" s="24">
        <v>5.6</v>
      </c>
      <c r="M2864" s="24">
        <v>50.85</v>
      </c>
      <c r="N2864" s="21">
        <f t="shared" si="133"/>
        <v>7.7330508474576232E-2</v>
      </c>
      <c r="P2864" s="1">
        <v>4</v>
      </c>
      <c r="Q2864" s="24">
        <v>6.7800000000000011</v>
      </c>
      <c r="R2864" s="24">
        <v>49.72</v>
      </c>
      <c r="S2864" s="21">
        <f t="shared" si="134"/>
        <v>5.3389830508474491E-2</v>
      </c>
    </row>
    <row r="2865" spans="2:19" ht="11.4" customHeight="1" x14ac:dyDescent="0.2">
      <c r="B2865" s="24"/>
      <c r="C2865" s="10">
        <v>47182</v>
      </c>
      <c r="D2865" s="18" t="s">
        <v>2972</v>
      </c>
      <c r="E2865" s="18" t="s">
        <v>2919</v>
      </c>
      <c r="F2865" s="17">
        <v>8</v>
      </c>
      <c r="G2865" s="18" t="s">
        <v>23</v>
      </c>
      <c r="H2865" s="17">
        <v>49.98</v>
      </c>
      <c r="I2865" s="11">
        <v>82.5</v>
      </c>
      <c r="J2865" s="21">
        <f t="shared" si="132"/>
        <v>0.65066026410564237</v>
      </c>
      <c r="K2865" s="1">
        <v>2</v>
      </c>
      <c r="L2865" s="24">
        <v>8.1999999999999993</v>
      </c>
      <c r="M2865" s="24">
        <v>74.25</v>
      </c>
      <c r="N2865" s="21">
        <f t="shared" si="133"/>
        <v>0.48559423769507815</v>
      </c>
      <c r="P2865" s="1">
        <v>4</v>
      </c>
      <c r="Q2865" s="24">
        <v>9.9000000000000057</v>
      </c>
      <c r="R2865" s="24">
        <v>72.599999999999994</v>
      </c>
      <c r="S2865" s="21">
        <f t="shared" si="134"/>
        <v>0.45258103241296516</v>
      </c>
    </row>
    <row r="2866" spans="2:19" ht="11.4" customHeight="1" x14ac:dyDescent="0.2">
      <c r="B2866" s="24"/>
      <c r="C2866" s="10">
        <v>44345</v>
      </c>
      <c r="D2866" s="18" t="s">
        <v>2973</v>
      </c>
      <c r="E2866" s="18" t="s">
        <v>2919</v>
      </c>
      <c r="F2866" s="17">
        <v>12</v>
      </c>
      <c r="G2866" s="18" t="s">
        <v>23</v>
      </c>
      <c r="H2866" s="17">
        <v>65.02</v>
      </c>
      <c r="I2866" s="11">
        <v>99</v>
      </c>
      <c r="J2866" s="21">
        <f t="shared" si="132"/>
        <v>0.52260842817594599</v>
      </c>
      <c r="K2866" s="1">
        <v>2</v>
      </c>
      <c r="L2866" s="24">
        <v>9.8000000000000007</v>
      </c>
      <c r="M2866" s="24">
        <v>89.100000000000009</v>
      </c>
      <c r="N2866" s="21">
        <f t="shared" si="133"/>
        <v>0.37034758535835149</v>
      </c>
      <c r="P2866" s="1">
        <v>4</v>
      </c>
      <c r="Q2866" s="24">
        <v>11.879999999999995</v>
      </c>
      <c r="R2866" s="24">
        <v>87.12</v>
      </c>
      <c r="S2866" s="21">
        <f t="shared" si="134"/>
        <v>0.33989541679483254</v>
      </c>
    </row>
    <row r="2867" spans="2:19" ht="11.4" customHeight="1" x14ac:dyDescent="0.2">
      <c r="B2867" s="24"/>
      <c r="C2867" s="10">
        <v>2563</v>
      </c>
      <c r="D2867" s="18" t="s">
        <v>2974</v>
      </c>
      <c r="E2867" s="18" t="s">
        <v>2919</v>
      </c>
      <c r="F2867" s="17">
        <v>10</v>
      </c>
      <c r="G2867" s="18" t="s">
        <v>23</v>
      </c>
      <c r="H2867" s="17">
        <v>75.400000000000006</v>
      </c>
      <c r="I2867" s="11">
        <v>88.5</v>
      </c>
      <c r="J2867" s="21">
        <f t="shared" si="132"/>
        <v>0.1737400530503978</v>
      </c>
      <c r="K2867" s="1">
        <v>2</v>
      </c>
      <c r="L2867" s="24">
        <v>8.8000000000000007</v>
      </c>
      <c r="M2867" s="24">
        <v>79.650000000000006</v>
      </c>
      <c r="N2867" s="21">
        <f t="shared" si="133"/>
        <v>5.6366047745358083E-2</v>
      </c>
      <c r="P2867" s="1">
        <v>4</v>
      </c>
      <c r="Q2867" s="24">
        <v>10.620000000000005</v>
      </c>
      <c r="R2867" s="24">
        <v>77.88</v>
      </c>
      <c r="S2867" s="21">
        <f t="shared" si="134"/>
        <v>3.2891246684349992E-2</v>
      </c>
    </row>
    <row r="2868" spans="2:19" ht="11.4" customHeight="1" x14ac:dyDescent="0.2">
      <c r="B2868" s="24"/>
      <c r="C2868" s="10">
        <v>11754</v>
      </c>
      <c r="D2868" s="18" t="s">
        <v>2975</v>
      </c>
      <c r="E2868" s="18" t="s">
        <v>2919</v>
      </c>
      <c r="F2868" s="17">
        <v>12</v>
      </c>
      <c r="G2868" s="18" t="s">
        <v>23</v>
      </c>
      <c r="H2868" s="17">
        <v>67.900000000000006</v>
      </c>
      <c r="I2868" s="11">
        <v>82.9</v>
      </c>
      <c r="J2868" s="21">
        <f t="shared" si="132"/>
        <v>0.22091310751104565</v>
      </c>
      <c r="K2868" s="1">
        <v>2</v>
      </c>
      <c r="L2868" s="24">
        <v>8.1999999999999993</v>
      </c>
      <c r="M2868" s="24">
        <v>74.610000000000014</v>
      </c>
      <c r="N2868" s="21">
        <f t="shared" si="133"/>
        <v>9.8821796759941197E-2</v>
      </c>
      <c r="P2868" s="1">
        <v>4</v>
      </c>
      <c r="Q2868" s="24">
        <v>9.9479999999999933</v>
      </c>
      <c r="R2868" s="24">
        <v>72.952000000000012</v>
      </c>
      <c r="S2868" s="21">
        <f t="shared" si="134"/>
        <v>7.4403534609720268E-2</v>
      </c>
    </row>
    <row r="2869" spans="2:19" ht="11.4" customHeight="1" x14ac:dyDescent="0.2">
      <c r="B2869" s="24"/>
      <c r="C2869" s="10">
        <v>28819</v>
      </c>
      <c r="D2869" s="18" t="s">
        <v>2976</v>
      </c>
      <c r="E2869" s="18" t="s">
        <v>2919</v>
      </c>
      <c r="F2869" s="17">
        <v>12</v>
      </c>
      <c r="G2869" s="18" t="s">
        <v>23</v>
      </c>
      <c r="H2869" s="17">
        <v>45.3</v>
      </c>
      <c r="I2869" s="11">
        <v>56.5</v>
      </c>
      <c r="J2869" s="21">
        <f t="shared" si="132"/>
        <v>0.24724061810154532</v>
      </c>
      <c r="K2869" s="1">
        <v>2</v>
      </c>
      <c r="L2869" s="24">
        <v>5.6</v>
      </c>
      <c r="M2869" s="24">
        <v>50.85</v>
      </c>
      <c r="N2869" s="21">
        <f t="shared" si="133"/>
        <v>0.12251655629139083</v>
      </c>
      <c r="P2869" s="1">
        <v>4</v>
      </c>
      <c r="Q2869" s="24">
        <v>6.7800000000000011</v>
      </c>
      <c r="R2869" s="24">
        <v>49.72</v>
      </c>
      <c r="S2869" s="21">
        <f t="shared" si="134"/>
        <v>9.7571743929359869E-2</v>
      </c>
    </row>
    <row r="2870" spans="2:19" ht="11.4" customHeight="1" x14ac:dyDescent="0.2">
      <c r="B2870" s="24"/>
      <c r="C2870" s="10">
        <v>18355</v>
      </c>
      <c r="D2870" s="18" t="s">
        <v>2977</v>
      </c>
      <c r="E2870" s="18" t="s">
        <v>2919</v>
      </c>
      <c r="F2870" s="17">
        <v>27</v>
      </c>
      <c r="G2870" s="18" t="s">
        <v>23</v>
      </c>
      <c r="H2870" s="17">
        <v>19.170000000000002</v>
      </c>
      <c r="I2870" s="11">
        <v>24.9</v>
      </c>
      <c r="J2870" s="21">
        <f t="shared" si="132"/>
        <v>0.29890453834115788</v>
      </c>
      <c r="K2870" s="1">
        <v>2</v>
      </c>
      <c r="L2870" s="24">
        <v>2.4</v>
      </c>
      <c r="M2870" s="24">
        <v>22.41</v>
      </c>
      <c r="N2870" s="21">
        <f t="shared" si="133"/>
        <v>0.16901408450704217</v>
      </c>
      <c r="P2870" s="1">
        <v>4</v>
      </c>
      <c r="Q2870" s="24">
        <v>2.9879999999999995</v>
      </c>
      <c r="R2870" s="24">
        <v>21.911999999999999</v>
      </c>
      <c r="S2870" s="21">
        <f t="shared" si="134"/>
        <v>0.14303599374021894</v>
      </c>
    </row>
    <row r="2871" spans="2:19" ht="11.4" customHeight="1" x14ac:dyDescent="0.2">
      <c r="B2871" s="24"/>
      <c r="C2871" s="10">
        <v>12997</v>
      </c>
      <c r="D2871" s="18" t="s">
        <v>2978</v>
      </c>
      <c r="E2871" s="18" t="s">
        <v>2919</v>
      </c>
      <c r="F2871" s="17">
        <v>6</v>
      </c>
      <c r="G2871" s="18" t="s">
        <v>23</v>
      </c>
      <c r="H2871" s="17">
        <v>77.53</v>
      </c>
      <c r="I2871" s="11">
        <v>80.8</v>
      </c>
      <c r="J2871" s="21">
        <f t="shared" si="132"/>
        <v>4.2177221720624221E-2</v>
      </c>
      <c r="K2871" s="1">
        <v>2</v>
      </c>
      <c r="L2871" s="24">
        <v>8</v>
      </c>
      <c r="M2871" s="24">
        <v>72.72</v>
      </c>
      <c r="N2871" s="21">
        <f t="shared" si="133"/>
        <v>-6.2040500451438184E-2</v>
      </c>
      <c r="P2871" s="1">
        <v>4</v>
      </c>
      <c r="Q2871" s="24">
        <v>9.695999999999998</v>
      </c>
      <c r="R2871" s="24">
        <v>71.103999999999999</v>
      </c>
      <c r="S2871" s="21">
        <f t="shared" si="134"/>
        <v>-8.2884044885850661E-2</v>
      </c>
    </row>
    <row r="2872" spans="2:19" ht="11.4" customHeight="1" x14ac:dyDescent="0.2">
      <c r="B2872" s="24"/>
      <c r="C2872" s="10">
        <v>44343</v>
      </c>
      <c r="D2872" s="18" t="s">
        <v>2979</v>
      </c>
      <c r="E2872" s="18" t="s">
        <v>2919</v>
      </c>
      <c r="F2872" s="17">
        <v>12</v>
      </c>
      <c r="G2872" s="18" t="s">
        <v>23</v>
      </c>
      <c r="H2872" s="17">
        <v>65.02</v>
      </c>
      <c r="I2872" s="11">
        <v>99</v>
      </c>
      <c r="J2872" s="21">
        <f t="shared" si="132"/>
        <v>0.52260842817594599</v>
      </c>
      <c r="K2872" s="1">
        <v>2</v>
      </c>
      <c r="L2872" s="24">
        <v>9.8000000000000007</v>
      </c>
      <c r="M2872" s="24">
        <v>89.100000000000009</v>
      </c>
      <c r="N2872" s="21">
        <f t="shared" si="133"/>
        <v>0.37034758535835149</v>
      </c>
      <c r="P2872" s="1">
        <v>4</v>
      </c>
      <c r="Q2872" s="24">
        <v>11.879999999999995</v>
      </c>
      <c r="R2872" s="24">
        <v>87.12</v>
      </c>
      <c r="S2872" s="21">
        <f t="shared" si="134"/>
        <v>0.33989541679483254</v>
      </c>
    </row>
    <row r="2873" spans="2:19" ht="11.4" customHeight="1" x14ac:dyDescent="0.2">
      <c r="B2873" s="24"/>
      <c r="C2873" s="10">
        <v>14565</v>
      </c>
      <c r="D2873" s="18" t="s">
        <v>2980</v>
      </c>
      <c r="E2873" s="18" t="s">
        <v>2919</v>
      </c>
      <c r="F2873" s="17">
        <v>6</v>
      </c>
      <c r="G2873" s="18" t="s">
        <v>23</v>
      </c>
      <c r="H2873" s="17">
        <v>90.3</v>
      </c>
      <c r="I2873" s="11">
        <v>104.5</v>
      </c>
      <c r="J2873" s="21">
        <f t="shared" si="132"/>
        <v>0.15725359911406428</v>
      </c>
      <c r="K2873" s="1">
        <v>2</v>
      </c>
      <c r="L2873" s="24">
        <v>10.4</v>
      </c>
      <c r="M2873" s="24">
        <v>94.05</v>
      </c>
      <c r="N2873" s="21">
        <f t="shared" si="133"/>
        <v>4.1528239202657809E-2</v>
      </c>
      <c r="P2873" s="1">
        <v>4</v>
      </c>
      <c r="Q2873" s="24">
        <v>12.540000000000006</v>
      </c>
      <c r="R2873" s="24">
        <v>91.96</v>
      </c>
      <c r="S2873" s="21">
        <f t="shared" si="134"/>
        <v>1.8383167220376487E-2</v>
      </c>
    </row>
    <row r="2874" spans="2:19" ht="11.4" customHeight="1" x14ac:dyDescent="0.2">
      <c r="B2874" s="24"/>
      <c r="C2874" s="10">
        <v>5408</v>
      </c>
      <c r="D2874" s="18" t="s">
        <v>2981</v>
      </c>
      <c r="E2874" s="18" t="s">
        <v>2919</v>
      </c>
      <c r="F2874" s="17">
        <v>27</v>
      </c>
      <c r="G2874" s="18" t="s">
        <v>23</v>
      </c>
      <c r="H2874" s="17">
        <v>13.6</v>
      </c>
      <c r="I2874" s="11">
        <v>16.899999999999999</v>
      </c>
      <c r="J2874" s="21">
        <f t="shared" si="132"/>
        <v>0.24264705882352933</v>
      </c>
      <c r="K2874" s="1">
        <v>2</v>
      </c>
      <c r="L2874" s="24">
        <v>1.6</v>
      </c>
      <c r="M2874" s="24">
        <v>15.209999999999999</v>
      </c>
      <c r="N2874" s="21">
        <f t="shared" si="133"/>
        <v>0.11838235294117644</v>
      </c>
      <c r="P2874" s="1">
        <v>4</v>
      </c>
      <c r="Q2874" s="24">
        <v>2.0280000000000005</v>
      </c>
      <c r="R2874" s="24">
        <v>14.871999999999998</v>
      </c>
      <c r="S2874" s="21">
        <f t="shared" si="134"/>
        <v>9.3529411764705778E-2</v>
      </c>
    </row>
    <row r="2875" spans="2:19" ht="11.4" customHeight="1" x14ac:dyDescent="0.2">
      <c r="B2875" s="24"/>
      <c r="C2875" s="10">
        <v>5747</v>
      </c>
      <c r="D2875" s="18" t="s">
        <v>2982</v>
      </c>
      <c r="E2875" s="18" t="s">
        <v>2919</v>
      </c>
      <c r="F2875" s="17">
        <v>12</v>
      </c>
      <c r="G2875" s="18" t="s">
        <v>23</v>
      </c>
      <c r="H2875" s="17">
        <v>53.16</v>
      </c>
      <c r="I2875" s="11">
        <v>70.900000000000006</v>
      </c>
      <c r="J2875" s="21">
        <f t="shared" si="132"/>
        <v>0.33370955605718605</v>
      </c>
      <c r="K2875" s="1">
        <v>2</v>
      </c>
      <c r="L2875" s="24">
        <v>7</v>
      </c>
      <c r="M2875" s="24">
        <v>63.810000000000009</v>
      </c>
      <c r="N2875" s="21">
        <f t="shared" si="133"/>
        <v>0.20033860045146754</v>
      </c>
      <c r="P2875" s="1">
        <v>4</v>
      </c>
      <c r="Q2875" s="24">
        <v>8.5080000000000027</v>
      </c>
      <c r="R2875" s="24">
        <v>62.392000000000003</v>
      </c>
      <c r="S2875" s="21">
        <f t="shared" si="134"/>
        <v>0.17366440933032368</v>
      </c>
    </row>
    <row r="2876" spans="2:19" ht="11.4" customHeight="1" x14ac:dyDescent="0.2">
      <c r="B2876" s="24"/>
      <c r="C2876" s="10">
        <v>5679</v>
      </c>
      <c r="D2876" s="18" t="s">
        <v>2983</v>
      </c>
      <c r="E2876" s="18" t="s">
        <v>2919</v>
      </c>
      <c r="F2876" s="17">
        <v>12</v>
      </c>
      <c r="G2876" s="18" t="s">
        <v>23</v>
      </c>
      <c r="H2876" s="17">
        <v>58</v>
      </c>
      <c r="I2876" s="11">
        <v>66.7</v>
      </c>
      <c r="J2876" s="21">
        <f t="shared" si="132"/>
        <v>0.15000000000000005</v>
      </c>
      <c r="K2876" s="1">
        <v>2</v>
      </c>
      <c r="L2876" s="24">
        <v>6.6</v>
      </c>
      <c r="M2876" s="24">
        <v>60.03</v>
      </c>
      <c r="N2876" s="21">
        <f t="shared" si="133"/>
        <v>3.5000000000000017E-2</v>
      </c>
      <c r="P2876" s="1">
        <v>4</v>
      </c>
      <c r="Q2876" s="24">
        <v>8.0039999999999978</v>
      </c>
      <c r="R2876" s="24">
        <v>58.696000000000005</v>
      </c>
      <c r="S2876" s="21">
        <f t="shared" si="134"/>
        <v>1.2000000000000087E-2</v>
      </c>
    </row>
    <row r="2877" spans="2:19" ht="11.4" customHeight="1" x14ac:dyDescent="0.2">
      <c r="B2877" s="24"/>
      <c r="C2877" s="10">
        <v>8664</v>
      </c>
      <c r="D2877" s="18" t="s">
        <v>2984</v>
      </c>
      <c r="E2877" s="18" t="s">
        <v>2919</v>
      </c>
      <c r="F2877" s="17">
        <v>10</v>
      </c>
      <c r="G2877" s="18" t="s">
        <v>23</v>
      </c>
      <c r="H2877" s="17">
        <v>70.599999999999994</v>
      </c>
      <c r="I2877" s="11">
        <v>92.4</v>
      </c>
      <c r="J2877" s="21">
        <f t="shared" si="132"/>
        <v>0.30878186968838545</v>
      </c>
      <c r="K2877" s="1">
        <v>2</v>
      </c>
      <c r="L2877" s="24">
        <v>9.1999999999999993</v>
      </c>
      <c r="M2877" s="24">
        <v>83.160000000000011</v>
      </c>
      <c r="N2877" s="21">
        <f t="shared" si="133"/>
        <v>0.17790368271954698</v>
      </c>
      <c r="P2877" s="1">
        <v>4</v>
      </c>
      <c r="Q2877" s="24">
        <v>11.087999999999994</v>
      </c>
      <c r="R2877" s="24">
        <v>81.312000000000012</v>
      </c>
      <c r="S2877" s="21">
        <f t="shared" si="134"/>
        <v>0.1517280453257793</v>
      </c>
    </row>
    <row r="2878" spans="2:19" ht="11.4" customHeight="1" x14ac:dyDescent="0.2">
      <c r="B2878" s="24"/>
      <c r="C2878" s="10">
        <v>6885</v>
      </c>
      <c r="D2878" s="18" t="s">
        <v>2985</v>
      </c>
      <c r="E2878" s="18" t="s">
        <v>2919</v>
      </c>
      <c r="F2878" s="17">
        <v>27</v>
      </c>
      <c r="G2878" s="18" t="s">
        <v>23</v>
      </c>
      <c r="H2878" s="17">
        <v>13.6</v>
      </c>
      <c r="I2878" s="11">
        <v>16.899999999999999</v>
      </c>
      <c r="J2878" s="21">
        <f t="shared" si="132"/>
        <v>0.24264705882352933</v>
      </c>
      <c r="K2878" s="1">
        <v>2</v>
      </c>
      <c r="L2878" s="24">
        <v>1.6</v>
      </c>
      <c r="M2878" s="24">
        <v>15.209999999999999</v>
      </c>
      <c r="N2878" s="21">
        <f t="shared" si="133"/>
        <v>0.11838235294117644</v>
      </c>
      <c r="P2878" s="1">
        <v>4</v>
      </c>
      <c r="Q2878" s="24">
        <v>2.0280000000000005</v>
      </c>
      <c r="R2878" s="24">
        <v>14.871999999999998</v>
      </c>
      <c r="S2878" s="21">
        <f t="shared" si="134"/>
        <v>9.3529411764705778E-2</v>
      </c>
    </row>
    <row r="2879" spans="2:19" ht="11.4" customHeight="1" x14ac:dyDescent="0.2">
      <c r="B2879" s="24"/>
      <c r="C2879" s="10">
        <v>10578</v>
      </c>
      <c r="D2879" s="18" t="s">
        <v>2986</v>
      </c>
      <c r="E2879" s="18" t="s">
        <v>2919</v>
      </c>
      <c r="F2879" s="17">
        <v>12</v>
      </c>
      <c r="G2879" s="18" t="s">
        <v>23</v>
      </c>
      <c r="H2879" s="17">
        <v>41.6</v>
      </c>
      <c r="I2879" s="11">
        <v>55.5</v>
      </c>
      <c r="J2879" s="21">
        <f t="shared" si="132"/>
        <v>0.33413461538461536</v>
      </c>
      <c r="K2879" s="1">
        <v>2</v>
      </c>
      <c r="L2879" s="24">
        <v>5.5</v>
      </c>
      <c r="M2879" s="24">
        <v>49.95</v>
      </c>
      <c r="N2879" s="21">
        <f t="shared" si="133"/>
        <v>0.20072115384615388</v>
      </c>
      <c r="P2879" s="1">
        <v>4</v>
      </c>
      <c r="Q2879" s="24">
        <v>6.6599999999999966</v>
      </c>
      <c r="R2879" s="24">
        <v>48.84</v>
      </c>
      <c r="S2879" s="21">
        <f t="shared" si="134"/>
        <v>0.17403846153846159</v>
      </c>
    </row>
    <row r="2880" spans="2:19" ht="11.4" customHeight="1" x14ac:dyDescent="0.2">
      <c r="B2880" s="24"/>
      <c r="C2880" s="10">
        <v>5680</v>
      </c>
      <c r="D2880" s="18" t="s">
        <v>2987</v>
      </c>
      <c r="E2880" s="18" t="s">
        <v>2919</v>
      </c>
      <c r="F2880" s="18"/>
      <c r="G2880" s="18" t="s">
        <v>23</v>
      </c>
      <c r="H2880" s="17">
        <v>15.2</v>
      </c>
      <c r="I2880" s="11">
        <v>17.7</v>
      </c>
      <c r="J2880" s="21">
        <f t="shared" si="132"/>
        <v>0.16447368421052633</v>
      </c>
      <c r="K2880" s="1">
        <v>2</v>
      </c>
      <c r="L2880" s="24">
        <v>1.7</v>
      </c>
      <c r="M2880" s="24">
        <v>15.93</v>
      </c>
      <c r="N2880" s="21">
        <f t="shared" si="133"/>
        <v>4.8026315789473716E-2</v>
      </c>
      <c r="P2880" s="1">
        <v>4</v>
      </c>
      <c r="Q2880" s="24">
        <v>2.1240000000000006</v>
      </c>
      <c r="R2880" s="24">
        <v>15.575999999999999</v>
      </c>
      <c r="S2880" s="21">
        <f t="shared" si="134"/>
        <v>2.4736842105263123E-2</v>
      </c>
    </row>
    <row r="2881" spans="2:19" ht="11.4" customHeight="1" x14ac:dyDescent="0.2">
      <c r="B2881" s="24"/>
      <c r="C2881" s="10">
        <v>4089</v>
      </c>
      <c r="D2881" s="18" t="s">
        <v>2988</v>
      </c>
      <c r="E2881" s="18" t="s">
        <v>2919</v>
      </c>
      <c r="F2881" s="17">
        <v>12</v>
      </c>
      <c r="G2881" s="18" t="s">
        <v>23</v>
      </c>
      <c r="H2881" s="17">
        <v>46.3</v>
      </c>
      <c r="I2881" s="11">
        <v>55.9</v>
      </c>
      <c r="J2881" s="21">
        <f t="shared" si="132"/>
        <v>0.20734341252699789</v>
      </c>
      <c r="K2881" s="1">
        <v>2</v>
      </c>
      <c r="L2881" s="24">
        <v>5.5</v>
      </c>
      <c r="M2881" s="24">
        <v>50.31</v>
      </c>
      <c r="N2881" s="21">
        <f t="shared" si="133"/>
        <v>8.6609071274298177E-2</v>
      </c>
      <c r="P2881" s="1">
        <v>4</v>
      </c>
      <c r="Q2881" s="24">
        <v>6.7079999999999984</v>
      </c>
      <c r="R2881" s="24">
        <v>49.192</v>
      </c>
      <c r="S2881" s="21">
        <f t="shared" si="134"/>
        <v>6.246220302375817E-2</v>
      </c>
    </row>
    <row r="2882" spans="2:19" ht="11.4" customHeight="1" x14ac:dyDescent="0.2">
      <c r="B2882" s="24"/>
      <c r="C2882" s="10">
        <v>19333</v>
      </c>
      <c r="D2882" s="18" t="s">
        <v>2989</v>
      </c>
      <c r="E2882" s="18" t="s">
        <v>2919</v>
      </c>
      <c r="F2882" s="17">
        <v>6</v>
      </c>
      <c r="G2882" s="18" t="s">
        <v>23</v>
      </c>
      <c r="H2882" s="17">
        <v>81</v>
      </c>
      <c r="I2882" s="11">
        <v>105.3</v>
      </c>
      <c r="J2882" s="21">
        <f t="shared" si="132"/>
        <v>0.3</v>
      </c>
      <c r="K2882" s="1">
        <v>2</v>
      </c>
      <c r="L2882" s="24">
        <v>10.5</v>
      </c>
      <c r="M2882" s="24">
        <v>94.77</v>
      </c>
      <c r="N2882" s="21">
        <f t="shared" si="133"/>
        <v>0.16999999999999996</v>
      </c>
      <c r="P2882" s="1">
        <v>4</v>
      </c>
      <c r="Q2882" s="24">
        <v>12.635999999999996</v>
      </c>
      <c r="R2882" s="24">
        <v>92.664000000000001</v>
      </c>
      <c r="S2882" s="21">
        <f t="shared" si="134"/>
        <v>0.14400000000000002</v>
      </c>
    </row>
    <row r="2883" spans="2:19" ht="11.4" customHeight="1" x14ac:dyDescent="0.2">
      <c r="B2883" s="24"/>
      <c r="C2883" s="10">
        <v>5300</v>
      </c>
      <c r="D2883" s="18" t="s">
        <v>2990</v>
      </c>
      <c r="E2883" s="18" t="s">
        <v>2919</v>
      </c>
      <c r="F2883" s="17">
        <v>12</v>
      </c>
      <c r="G2883" s="18" t="s">
        <v>23</v>
      </c>
      <c r="H2883" s="17">
        <v>46.3</v>
      </c>
      <c r="I2883" s="11">
        <v>58.3</v>
      </c>
      <c r="J2883" s="21">
        <f t="shared" ref="J2883:J2946" si="135">(I2883-H2883)/H2883</f>
        <v>0.25917926565874733</v>
      </c>
      <c r="K2883" s="1">
        <v>2</v>
      </c>
      <c r="L2883" s="24">
        <v>5.8</v>
      </c>
      <c r="M2883" s="24">
        <v>52.47</v>
      </c>
      <c r="N2883" s="21">
        <f t="shared" ref="N2883:N2946" si="136">(M2883-H2883)/H2883</f>
        <v>0.1332613390928726</v>
      </c>
      <c r="P2883" s="1">
        <v>4</v>
      </c>
      <c r="Q2883" s="24">
        <v>6.9960000000000022</v>
      </c>
      <c r="R2883" s="24">
        <v>51.303999999999995</v>
      </c>
      <c r="S2883" s="21">
        <f t="shared" ref="S2883:S2946" si="137">(R2883-H2883)/H2883</f>
        <v>0.10807775377969758</v>
      </c>
    </row>
    <row r="2884" spans="2:19" ht="11.4" customHeight="1" x14ac:dyDescent="0.2">
      <c r="B2884" s="24"/>
      <c r="C2884" s="10">
        <v>28818</v>
      </c>
      <c r="D2884" s="18" t="s">
        <v>2991</v>
      </c>
      <c r="E2884" s="18" t="s">
        <v>2919</v>
      </c>
      <c r="F2884" s="17">
        <v>12</v>
      </c>
      <c r="G2884" s="18" t="s">
        <v>23</v>
      </c>
      <c r="H2884" s="17">
        <v>47.2</v>
      </c>
      <c r="I2884" s="11">
        <v>56.5</v>
      </c>
      <c r="J2884" s="21">
        <f t="shared" si="135"/>
        <v>0.19703389830508466</v>
      </c>
      <c r="K2884" s="1">
        <v>2</v>
      </c>
      <c r="L2884" s="24">
        <v>5.6</v>
      </c>
      <c r="M2884" s="24">
        <v>50.85</v>
      </c>
      <c r="N2884" s="21">
        <f t="shared" si="136"/>
        <v>7.7330508474576232E-2</v>
      </c>
      <c r="P2884" s="1">
        <v>4</v>
      </c>
      <c r="Q2884" s="24">
        <v>6.7800000000000011</v>
      </c>
      <c r="R2884" s="24">
        <v>49.72</v>
      </c>
      <c r="S2884" s="21">
        <f t="shared" si="137"/>
        <v>5.3389830508474491E-2</v>
      </c>
    </row>
    <row r="2885" spans="2:19" ht="11.4" customHeight="1" x14ac:dyDescent="0.2">
      <c r="B2885" s="24"/>
      <c r="C2885" s="10">
        <v>16817</v>
      </c>
      <c r="D2885" s="18" t="s">
        <v>2992</v>
      </c>
      <c r="E2885" s="18" t="s">
        <v>2919</v>
      </c>
      <c r="F2885" s="17">
        <v>27</v>
      </c>
      <c r="G2885" s="18" t="s">
        <v>23</v>
      </c>
      <c r="H2885" s="17">
        <v>19.170000000000002</v>
      </c>
      <c r="I2885" s="11">
        <v>24.9</v>
      </c>
      <c r="J2885" s="21">
        <f t="shared" si="135"/>
        <v>0.29890453834115788</v>
      </c>
      <c r="K2885" s="1">
        <v>2</v>
      </c>
      <c r="L2885" s="24">
        <v>2.4</v>
      </c>
      <c r="M2885" s="24">
        <v>22.41</v>
      </c>
      <c r="N2885" s="21">
        <f t="shared" si="136"/>
        <v>0.16901408450704217</v>
      </c>
      <c r="P2885" s="1">
        <v>4</v>
      </c>
      <c r="Q2885" s="24">
        <v>2.9879999999999995</v>
      </c>
      <c r="R2885" s="24">
        <v>21.911999999999999</v>
      </c>
      <c r="S2885" s="21">
        <f t="shared" si="137"/>
        <v>0.14303599374021894</v>
      </c>
    </row>
    <row r="2886" spans="2:19" ht="11.4" customHeight="1" x14ac:dyDescent="0.2">
      <c r="B2886" s="24"/>
      <c r="C2886" s="10">
        <v>10881</v>
      </c>
      <c r="D2886" s="18" t="s">
        <v>2993</v>
      </c>
      <c r="E2886" s="18" t="s">
        <v>2919</v>
      </c>
      <c r="F2886" s="17">
        <v>6</v>
      </c>
      <c r="G2886" s="18" t="s">
        <v>23</v>
      </c>
      <c r="H2886" s="17">
        <v>72.5</v>
      </c>
      <c r="I2886" s="11">
        <v>86.9</v>
      </c>
      <c r="J2886" s="21">
        <f t="shared" si="135"/>
        <v>0.19862068965517249</v>
      </c>
      <c r="K2886" s="1">
        <v>2</v>
      </c>
      <c r="L2886" s="24">
        <v>8.6</v>
      </c>
      <c r="M2886" s="24">
        <v>78.210000000000008</v>
      </c>
      <c r="N2886" s="21">
        <f t="shared" si="136"/>
        <v>7.8758620689655279E-2</v>
      </c>
      <c r="P2886" s="1">
        <v>4</v>
      </c>
      <c r="Q2886" s="24">
        <v>10.427999999999997</v>
      </c>
      <c r="R2886" s="24">
        <v>76.472000000000008</v>
      </c>
      <c r="S2886" s="21">
        <f t="shared" si="137"/>
        <v>5.4786206896551837E-2</v>
      </c>
    </row>
    <row r="2887" spans="2:19" ht="11.4" customHeight="1" x14ac:dyDescent="0.2">
      <c r="B2887" s="24"/>
      <c r="C2887" s="10">
        <v>32403</v>
      </c>
      <c r="D2887" s="18" t="s">
        <v>2994</v>
      </c>
      <c r="E2887" s="18" t="s">
        <v>2919</v>
      </c>
      <c r="F2887" s="17">
        <v>27</v>
      </c>
      <c r="G2887" s="18" t="s">
        <v>23</v>
      </c>
      <c r="H2887" s="17">
        <v>13.6</v>
      </c>
      <c r="I2887" s="11">
        <v>16.899999999999999</v>
      </c>
      <c r="J2887" s="21">
        <f t="shared" si="135"/>
        <v>0.24264705882352933</v>
      </c>
      <c r="K2887" s="1">
        <v>2</v>
      </c>
      <c r="L2887" s="24">
        <v>1.6</v>
      </c>
      <c r="M2887" s="24">
        <v>15.209999999999999</v>
      </c>
      <c r="N2887" s="21">
        <f t="shared" si="136"/>
        <v>0.11838235294117644</v>
      </c>
      <c r="P2887" s="1">
        <v>4</v>
      </c>
      <c r="Q2887" s="24">
        <v>2.0280000000000005</v>
      </c>
      <c r="R2887" s="24">
        <v>14.871999999999998</v>
      </c>
      <c r="S2887" s="21">
        <f t="shared" si="137"/>
        <v>9.3529411764705778E-2</v>
      </c>
    </row>
    <row r="2888" spans="2:19" ht="11.4" customHeight="1" x14ac:dyDescent="0.2">
      <c r="B2888" s="24"/>
      <c r="C2888" s="10">
        <v>12763</v>
      </c>
      <c r="D2888" s="18" t="s">
        <v>2995</v>
      </c>
      <c r="E2888" s="18" t="s">
        <v>2919</v>
      </c>
      <c r="F2888" s="17">
        <v>27</v>
      </c>
      <c r="G2888" s="18" t="s">
        <v>23</v>
      </c>
      <c r="H2888" s="17">
        <v>13.6</v>
      </c>
      <c r="I2888" s="11">
        <v>16.899999999999999</v>
      </c>
      <c r="J2888" s="21">
        <f t="shared" si="135"/>
        <v>0.24264705882352933</v>
      </c>
      <c r="K2888" s="1">
        <v>2</v>
      </c>
      <c r="L2888" s="24">
        <v>1.6</v>
      </c>
      <c r="M2888" s="24">
        <v>15.209999999999999</v>
      </c>
      <c r="N2888" s="21">
        <f t="shared" si="136"/>
        <v>0.11838235294117644</v>
      </c>
      <c r="P2888" s="1">
        <v>4</v>
      </c>
      <c r="Q2888" s="24">
        <v>2.0280000000000005</v>
      </c>
      <c r="R2888" s="24">
        <v>14.871999999999998</v>
      </c>
      <c r="S2888" s="21">
        <f t="shared" si="137"/>
        <v>9.3529411764705778E-2</v>
      </c>
    </row>
    <row r="2889" spans="2:19" ht="11.4" customHeight="1" x14ac:dyDescent="0.2">
      <c r="B2889" s="24"/>
      <c r="C2889" s="10">
        <v>45313</v>
      </c>
      <c r="D2889" s="18" t="s">
        <v>2996</v>
      </c>
      <c r="E2889" s="18" t="s">
        <v>2919</v>
      </c>
      <c r="F2889" s="17">
        <v>8</v>
      </c>
      <c r="G2889" s="18" t="s">
        <v>23</v>
      </c>
      <c r="H2889" s="17">
        <v>54.54</v>
      </c>
      <c r="I2889" s="11">
        <v>76.5</v>
      </c>
      <c r="J2889" s="21">
        <f t="shared" si="135"/>
        <v>0.40264026402640268</v>
      </c>
      <c r="K2889" s="1">
        <v>2</v>
      </c>
      <c r="L2889" s="24">
        <v>7.6</v>
      </c>
      <c r="M2889" s="24">
        <v>68.850000000000009</v>
      </c>
      <c r="N2889" s="21">
        <f t="shared" si="136"/>
        <v>0.26237623762376255</v>
      </c>
      <c r="P2889" s="1">
        <v>4</v>
      </c>
      <c r="Q2889" s="24">
        <v>9.1799999999999926</v>
      </c>
      <c r="R2889" s="24">
        <v>67.320000000000007</v>
      </c>
      <c r="S2889" s="21">
        <f t="shared" si="137"/>
        <v>0.23432343234323447</v>
      </c>
    </row>
    <row r="2890" spans="2:19" ht="11.4" customHeight="1" x14ac:dyDescent="0.2">
      <c r="B2890" s="24"/>
      <c r="C2890" s="10">
        <v>47186</v>
      </c>
      <c r="D2890" s="18" t="s">
        <v>2997</v>
      </c>
      <c r="E2890" s="18" t="s">
        <v>2919</v>
      </c>
      <c r="F2890" s="17">
        <v>8</v>
      </c>
      <c r="G2890" s="18" t="s">
        <v>23</v>
      </c>
      <c r="H2890" s="17">
        <v>48</v>
      </c>
      <c r="I2890" s="11">
        <v>79.5</v>
      </c>
      <c r="J2890" s="21">
        <f t="shared" si="135"/>
        <v>0.65625</v>
      </c>
      <c r="K2890" s="1">
        <v>2</v>
      </c>
      <c r="L2890" s="24">
        <v>7.9</v>
      </c>
      <c r="M2890" s="24">
        <v>71.55</v>
      </c>
      <c r="N2890" s="21">
        <f t="shared" si="136"/>
        <v>0.49062499999999992</v>
      </c>
      <c r="P2890" s="1">
        <v>4</v>
      </c>
      <c r="Q2890" s="24">
        <v>9.5400000000000063</v>
      </c>
      <c r="R2890" s="24">
        <v>69.959999999999994</v>
      </c>
      <c r="S2890" s="21">
        <f t="shared" si="137"/>
        <v>0.45749999999999985</v>
      </c>
    </row>
    <row r="2891" spans="2:19" ht="11.4" customHeight="1" x14ac:dyDescent="0.2">
      <c r="B2891" s="24"/>
      <c r="C2891" s="10">
        <v>47341</v>
      </c>
      <c r="D2891" s="18" t="s">
        <v>2998</v>
      </c>
      <c r="E2891" s="18" t="s">
        <v>2919</v>
      </c>
      <c r="F2891" s="17">
        <v>6</v>
      </c>
      <c r="G2891" s="18" t="s">
        <v>23</v>
      </c>
      <c r="H2891" s="17">
        <v>62.28</v>
      </c>
      <c r="I2891" s="11">
        <v>82.9</v>
      </c>
      <c r="J2891" s="21">
        <f t="shared" si="135"/>
        <v>0.33108542068079649</v>
      </c>
      <c r="K2891" s="1">
        <v>2</v>
      </c>
      <c r="L2891" s="24">
        <v>8.1999999999999993</v>
      </c>
      <c r="M2891" s="24">
        <v>74.610000000000014</v>
      </c>
      <c r="N2891" s="21">
        <f t="shared" si="136"/>
        <v>0.19797687861271696</v>
      </c>
      <c r="P2891" s="1">
        <v>4</v>
      </c>
      <c r="Q2891" s="24">
        <v>9.9479999999999933</v>
      </c>
      <c r="R2891" s="24">
        <v>72.952000000000012</v>
      </c>
      <c r="S2891" s="21">
        <f t="shared" si="137"/>
        <v>0.17135517019910101</v>
      </c>
    </row>
    <row r="2892" spans="2:19" ht="11.4" customHeight="1" x14ac:dyDescent="0.2">
      <c r="B2892" s="24"/>
      <c r="C2892" s="10">
        <v>47187</v>
      </c>
      <c r="D2892" s="18" t="s">
        <v>2999</v>
      </c>
      <c r="E2892" s="18" t="s">
        <v>2919</v>
      </c>
      <c r="F2892" s="17">
        <v>8</v>
      </c>
      <c r="G2892" s="18" t="s">
        <v>23</v>
      </c>
      <c r="H2892" s="17">
        <v>45</v>
      </c>
      <c r="I2892" s="11">
        <v>74.5</v>
      </c>
      <c r="J2892" s="21">
        <f t="shared" si="135"/>
        <v>0.65555555555555556</v>
      </c>
      <c r="K2892" s="1">
        <v>2</v>
      </c>
      <c r="L2892" s="24">
        <v>7.4</v>
      </c>
      <c r="M2892" s="24">
        <v>67.05</v>
      </c>
      <c r="N2892" s="21">
        <f t="shared" si="136"/>
        <v>0.48999999999999994</v>
      </c>
      <c r="P2892" s="1">
        <v>4</v>
      </c>
      <c r="Q2892" s="24">
        <v>8.9399999999999977</v>
      </c>
      <c r="R2892" s="24">
        <v>65.56</v>
      </c>
      <c r="S2892" s="21">
        <f t="shared" si="137"/>
        <v>0.45688888888888896</v>
      </c>
    </row>
    <row r="2893" spans="2:19" ht="11.4" customHeight="1" x14ac:dyDescent="0.2">
      <c r="B2893" s="24"/>
      <c r="C2893" s="10">
        <v>47185</v>
      </c>
      <c r="D2893" s="18" t="s">
        <v>3000</v>
      </c>
      <c r="E2893" s="18" t="s">
        <v>2919</v>
      </c>
      <c r="F2893" s="17">
        <v>8</v>
      </c>
      <c r="G2893" s="18" t="s">
        <v>23</v>
      </c>
      <c r="H2893" s="17">
        <v>45</v>
      </c>
      <c r="I2893" s="11">
        <v>74.5</v>
      </c>
      <c r="J2893" s="21">
        <f t="shared" si="135"/>
        <v>0.65555555555555556</v>
      </c>
      <c r="K2893" s="1">
        <v>2</v>
      </c>
      <c r="L2893" s="24">
        <v>7.4</v>
      </c>
      <c r="M2893" s="24">
        <v>67.05</v>
      </c>
      <c r="N2893" s="21">
        <f t="shared" si="136"/>
        <v>0.48999999999999994</v>
      </c>
      <c r="P2893" s="1">
        <v>4</v>
      </c>
      <c r="Q2893" s="24">
        <v>8.9399999999999977</v>
      </c>
      <c r="R2893" s="24">
        <v>65.56</v>
      </c>
      <c r="S2893" s="21">
        <f t="shared" si="137"/>
        <v>0.45688888888888896</v>
      </c>
    </row>
    <row r="2894" spans="2:19" ht="11.4" customHeight="1" x14ac:dyDescent="0.2">
      <c r="B2894" s="24"/>
      <c r="C2894" s="10">
        <v>47184</v>
      </c>
      <c r="D2894" s="18" t="s">
        <v>3001</v>
      </c>
      <c r="E2894" s="18" t="s">
        <v>2919</v>
      </c>
      <c r="F2894" s="17">
        <v>8</v>
      </c>
      <c r="G2894" s="18" t="s">
        <v>23</v>
      </c>
      <c r="H2894" s="17">
        <v>45</v>
      </c>
      <c r="I2894" s="11">
        <v>74.5</v>
      </c>
      <c r="J2894" s="21">
        <f t="shared" si="135"/>
        <v>0.65555555555555556</v>
      </c>
      <c r="K2894" s="1">
        <v>2</v>
      </c>
      <c r="L2894" s="24">
        <v>7.4</v>
      </c>
      <c r="M2894" s="24">
        <v>67.05</v>
      </c>
      <c r="N2894" s="21">
        <f t="shared" si="136"/>
        <v>0.48999999999999994</v>
      </c>
      <c r="P2894" s="1">
        <v>4</v>
      </c>
      <c r="Q2894" s="24">
        <v>8.9399999999999977</v>
      </c>
      <c r="R2894" s="24">
        <v>65.56</v>
      </c>
      <c r="S2894" s="21">
        <f t="shared" si="137"/>
        <v>0.45688888888888896</v>
      </c>
    </row>
    <row r="2895" spans="2:19" ht="11.4" customHeight="1" x14ac:dyDescent="0.2">
      <c r="B2895" s="24"/>
      <c r="C2895" s="10">
        <v>45321</v>
      </c>
      <c r="D2895" s="18" t="s">
        <v>3002</v>
      </c>
      <c r="E2895" s="18" t="s">
        <v>2919</v>
      </c>
      <c r="F2895" s="17">
        <v>8</v>
      </c>
      <c r="G2895" s="18" t="s">
        <v>23</v>
      </c>
      <c r="H2895" s="17">
        <v>47.88</v>
      </c>
      <c r="I2895" s="11">
        <v>66.900000000000006</v>
      </c>
      <c r="J2895" s="21">
        <f t="shared" si="135"/>
        <v>0.39724310776942362</v>
      </c>
      <c r="K2895" s="1">
        <v>2</v>
      </c>
      <c r="L2895" s="24">
        <v>6.6</v>
      </c>
      <c r="M2895" s="24">
        <v>60.210000000000008</v>
      </c>
      <c r="N2895" s="21">
        <f t="shared" si="136"/>
        <v>0.25751879699248131</v>
      </c>
      <c r="P2895" s="1">
        <v>4</v>
      </c>
      <c r="Q2895" s="24">
        <v>8.0279999999999987</v>
      </c>
      <c r="R2895" s="24">
        <v>58.872000000000007</v>
      </c>
      <c r="S2895" s="21">
        <f t="shared" si="137"/>
        <v>0.22957393483709282</v>
      </c>
    </row>
    <row r="2896" spans="2:19" ht="11.4" customHeight="1" x14ac:dyDescent="0.2">
      <c r="B2896" s="24"/>
      <c r="C2896" s="10">
        <v>45314</v>
      </c>
      <c r="D2896" s="18" t="s">
        <v>3003</v>
      </c>
      <c r="E2896" s="18" t="s">
        <v>2919</v>
      </c>
      <c r="F2896" s="17">
        <v>8</v>
      </c>
      <c r="G2896" s="18" t="s">
        <v>23</v>
      </c>
      <c r="H2896" s="17">
        <v>47.88</v>
      </c>
      <c r="I2896" s="11">
        <v>66.900000000000006</v>
      </c>
      <c r="J2896" s="21">
        <f t="shared" si="135"/>
        <v>0.39724310776942362</v>
      </c>
      <c r="K2896" s="1">
        <v>2</v>
      </c>
      <c r="L2896" s="24">
        <v>6.6</v>
      </c>
      <c r="M2896" s="24">
        <v>60.210000000000008</v>
      </c>
      <c r="N2896" s="21">
        <f t="shared" si="136"/>
        <v>0.25751879699248131</v>
      </c>
      <c r="P2896" s="1">
        <v>4</v>
      </c>
      <c r="Q2896" s="24">
        <v>8.0279999999999987</v>
      </c>
      <c r="R2896" s="24">
        <v>58.872000000000007</v>
      </c>
      <c r="S2896" s="21">
        <f t="shared" si="137"/>
        <v>0.22957393483709282</v>
      </c>
    </row>
    <row r="2897" spans="2:19" ht="11.4" customHeight="1" x14ac:dyDescent="0.2">
      <c r="B2897" s="24"/>
      <c r="C2897" s="10">
        <v>45307</v>
      </c>
      <c r="D2897" s="18" t="s">
        <v>3004</v>
      </c>
      <c r="E2897" s="18" t="s">
        <v>2919</v>
      </c>
      <c r="F2897" s="17">
        <v>8</v>
      </c>
      <c r="G2897" s="18" t="s">
        <v>23</v>
      </c>
      <c r="H2897" s="17">
        <v>47.88</v>
      </c>
      <c r="I2897" s="11">
        <v>66.900000000000006</v>
      </c>
      <c r="J2897" s="21">
        <f t="shared" si="135"/>
        <v>0.39724310776942362</v>
      </c>
      <c r="K2897" s="1">
        <v>2</v>
      </c>
      <c r="L2897" s="24">
        <v>6.6</v>
      </c>
      <c r="M2897" s="24">
        <v>60.210000000000008</v>
      </c>
      <c r="N2897" s="21">
        <f t="shared" si="136"/>
        <v>0.25751879699248131</v>
      </c>
      <c r="P2897" s="1">
        <v>4</v>
      </c>
      <c r="Q2897" s="24">
        <v>8.0279999999999987</v>
      </c>
      <c r="R2897" s="24">
        <v>58.872000000000007</v>
      </c>
      <c r="S2897" s="21">
        <f t="shared" si="137"/>
        <v>0.22957393483709282</v>
      </c>
    </row>
    <row r="2898" spans="2:19" ht="11.4" customHeight="1" x14ac:dyDescent="0.2">
      <c r="B2898" s="24"/>
      <c r="C2898" s="10">
        <v>45311</v>
      </c>
      <c r="D2898" s="18" t="s">
        <v>3005</v>
      </c>
      <c r="E2898" s="18" t="s">
        <v>2919</v>
      </c>
      <c r="F2898" s="17">
        <v>8</v>
      </c>
      <c r="G2898" s="18" t="s">
        <v>23</v>
      </c>
      <c r="H2898" s="17">
        <v>54.54</v>
      </c>
      <c r="I2898" s="11">
        <v>76.5</v>
      </c>
      <c r="J2898" s="21">
        <f t="shared" si="135"/>
        <v>0.40264026402640268</v>
      </c>
      <c r="K2898" s="1">
        <v>2</v>
      </c>
      <c r="L2898" s="24">
        <v>7.6</v>
      </c>
      <c r="M2898" s="24">
        <v>68.850000000000009</v>
      </c>
      <c r="N2898" s="21">
        <f t="shared" si="136"/>
        <v>0.26237623762376255</v>
      </c>
      <c r="P2898" s="1">
        <v>4</v>
      </c>
      <c r="Q2898" s="24">
        <v>9.1799999999999926</v>
      </c>
      <c r="R2898" s="24">
        <v>67.320000000000007</v>
      </c>
      <c r="S2898" s="21">
        <f t="shared" si="137"/>
        <v>0.23432343234323447</v>
      </c>
    </row>
    <row r="2899" spans="2:19" ht="11.4" customHeight="1" x14ac:dyDescent="0.2">
      <c r="B2899" s="24"/>
      <c r="C2899" s="10">
        <v>45322</v>
      </c>
      <c r="D2899" s="18" t="s">
        <v>3006</v>
      </c>
      <c r="E2899" s="18" t="s">
        <v>2919</v>
      </c>
      <c r="F2899" s="17">
        <v>8</v>
      </c>
      <c r="G2899" s="18" t="s">
        <v>23</v>
      </c>
      <c r="H2899" s="17">
        <v>47.88</v>
      </c>
      <c r="I2899" s="11">
        <v>66.900000000000006</v>
      </c>
      <c r="J2899" s="21">
        <f t="shared" si="135"/>
        <v>0.39724310776942362</v>
      </c>
      <c r="K2899" s="1">
        <v>2</v>
      </c>
      <c r="L2899" s="24">
        <v>6.6</v>
      </c>
      <c r="M2899" s="24">
        <v>60.210000000000008</v>
      </c>
      <c r="N2899" s="21">
        <f t="shared" si="136"/>
        <v>0.25751879699248131</v>
      </c>
      <c r="P2899" s="1">
        <v>4</v>
      </c>
      <c r="Q2899" s="24">
        <v>8.0279999999999987</v>
      </c>
      <c r="R2899" s="24">
        <v>58.872000000000007</v>
      </c>
      <c r="S2899" s="21">
        <f t="shared" si="137"/>
        <v>0.22957393483709282</v>
      </c>
    </row>
    <row r="2900" spans="2:19" ht="11.4" customHeight="1" x14ac:dyDescent="0.2">
      <c r="B2900" s="24"/>
      <c r="C2900" s="10">
        <v>47337</v>
      </c>
      <c r="D2900" s="18" t="s">
        <v>3007</v>
      </c>
      <c r="E2900" s="18" t="s">
        <v>2919</v>
      </c>
      <c r="F2900" s="17">
        <v>2</v>
      </c>
      <c r="G2900" s="18" t="s">
        <v>23</v>
      </c>
      <c r="H2900" s="17">
        <v>198.3</v>
      </c>
      <c r="I2900" s="11">
        <v>264</v>
      </c>
      <c r="J2900" s="21">
        <f t="shared" si="135"/>
        <v>0.33131618759455361</v>
      </c>
      <c r="K2900" s="1">
        <v>2</v>
      </c>
      <c r="L2900" s="24">
        <v>26.4</v>
      </c>
      <c r="M2900" s="24">
        <v>237.6</v>
      </c>
      <c r="N2900" s="21">
        <f t="shared" si="136"/>
        <v>0.19818456883509825</v>
      </c>
      <c r="P2900" s="1">
        <v>4</v>
      </c>
      <c r="Q2900" s="24">
        <v>31.680000000000007</v>
      </c>
      <c r="R2900" s="24">
        <v>232.32</v>
      </c>
      <c r="S2900" s="21">
        <f t="shared" si="137"/>
        <v>0.17155824508320716</v>
      </c>
    </row>
    <row r="2901" spans="2:19" ht="11.4" customHeight="1" x14ac:dyDescent="0.2">
      <c r="B2901" s="24"/>
      <c r="C2901" s="10">
        <v>47348</v>
      </c>
      <c r="D2901" s="18" t="s">
        <v>3008</v>
      </c>
      <c r="E2901" s="18" t="s">
        <v>2919</v>
      </c>
      <c r="F2901" s="17">
        <v>10</v>
      </c>
      <c r="G2901" s="18" t="s">
        <v>23</v>
      </c>
      <c r="H2901" s="17">
        <v>21.48</v>
      </c>
      <c r="I2901" s="11">
        <v>28.6</v>
      </c>
      <c r="J2901" s="21">
        <f t="shared" si="135"/>
        <v>0.33147113594040972</v>
      </c>
      <c r="K2901" s="1">
        <v>2</v>
      </c>
      <c r="L2901" s="24">
        <v>2.8</v>
      </c>
      <c r="M2901" s="24">
        <v>25.740000000000002</v>
      </c>
      <c r="N2901" s="21">
        <f t="shared" si="136"/>
        <v>0.19832402234636878</v>
      </c>
      <c r="P2901" s="1">
        <v>4</v>
      </c>
      <c r="Q2901" s="24">
        <v>3.4319999999999986</v>
      </c>
      <c r="R2901" s="24">
        <v>25.168000000000003</v>
      </c>
      <c r="S2901" s="21">
        <f t="shared" si="137"/>
        <v>0.17169459962756062</v>
      </c>
    </row>
    <row r="2902" spans="2:19" ht="11.4" customHeight="1" x14ac:dyDescent="0.2">
      <c r="B2902" s="24"/>
      <c r="C2902" s="10">
        <v>47347</v>
      </c>
      <c r="D2902" s="18" t="s">
        <v>3009</v>
      </c>
      <c r="E2902" s="18" t="s">
        <v>2919</v>
      </c>
      <c r="F2902" s="17">
        <v>10</v>
      </c>
      <c r="G2902" s="18" t="s">
        <v>23</v>
      </c>
      <c r="H2902" s="17">
        <v>21.48</v>
      </c>
      <c r="I2902" s="11">
        <v>28.6</v>
      </c>
      <c r="J2902" s="21">
        <f t="shared" si="135"/>
        <v>0.33147113594040972</v>
      </c>
      <c r="K2902" s="1">
        <v>2</v>
      </c>
      <c r="L2902" s="24">
        <v>2.8</v>
      </c>
      <c r="M2902" s="24">
        <v>25.740000000000002</v>
      </c>
      <c r="N2902" s="21">
        <f t="shared" si="136"/>
        <v>0.19832402234636878</v>
      </c>
      <c r="P2902" s="1">
        <v>4</v>
      </c>
      <c r="Q2902" s="24">
        <v>3.4319999999999986</v>
      </c>
      <c r="R2902" s="24">
        <v>25.168000000000003</v>
      </c>
      <c r="S2902" s="21">
        <f t="shared" si="137"/>
        <v>0.17169459962756062</v>
      </c>
    </row>
    <row r="2903" spans="2:19" ht="11.4" customHeight="1" x14ac:dyDescent="0.2">
      <c r="B2903" s="24"/>
      <c r="C2903" s="10">
        <v>47338</v>
      </c>
      <c r="D2903" s="18" t="s">
        <v>3010</v>
      </c>
      <c r="E2903" s="18" t="s">
        <v>2919</v>
      </c>
      <c r="F2903" s="17">
        <v>2</v>
      </c>
      <c r="G2903" s="18" t="s">
        <v>23</v>
      </c>
      <c r="H2903" s="17">
        <v>193.14</v>
      </c>
      <c r="I2903" s="11">
        <v>256</v>
      </c>
      <c r="J2903" s="21">
        <f t="shared" si="135"/>
        <v>0.32546339442891176</v>
      </c>
      <c r="K2903" s="1">
        <v>2</v>
      </c>
      <c r="L2903" s="24">
        <v>25.6</v>
      </c>
      <c r="M2903" s="24">
        <v>230.4</v>
      </c>
      <c r="N2903" s="21">
        <f t="shared" si="136"/>
        <v>0.19291705498602063</v>
      </c>
      <c r="P2903" s="1">
        <v>4</v>
      </c>
      <c r="Q2903" s="24">
        <v>30.72</v>
      </c>
      <c r="R2903" s="24">
        <v>225.28</v>
      </c>
      <c r="S2903" s="21">
        <f t="shared" si="137"/>
        <v>0.16640778709744236</v>
      </c>
    </row>
    <row r="2904" spans="2:19" ht="11.4" customHeight="1" x14ac:dyDescent="0.2">
      <c r="B2904" s="24"/>
      <c r="C2904" s="10">
        <v>47344</v>
      </c>
      <c r="D2904" s="18" t="s">
        <v>3011</v>
      </c>
      <c r="E2904" s="18" t="s">
        <v>2919</v>
      </c>
      <c r="F2904" s="17">
        <v>6</v>
      </c>
      <c r="G2904" s="18" t="s">
        <v>23</v>
      </c>
      <c r="H2904" s="17">
        <v>70.16</v>
      </c>
      <c r="I2904" s="11">
        <v>93.3</v>
      </c>
      <c r="J2904" s="21">
        <f t="shared" si="135"/>
        <v>0.32981755986316991</v>
      </c>
      <c r="K2904" s="1">
        <v>2</v>
      </c>
      <c r="L2904" s="24">
        <v>9.3000000000000007</v>
      </c>
      <c r="M2904" s="24">
        <v>83.97</v>
      </c>
      <c r="N2904" s="21">
        <f t="shared" si="136"/>
        <v>0.19683580387685295</v>
      </c>
      <c r="P2904" s="1">
        <v>4</v>
      </c>
      <c r="Q2904" s="24">
        <v>11.195999999999998</v>
      </c>
      <c r="R2904" s="24">
        <v>82.103999999999999</v>
      </c>
      <c r="S2904" s="21">
        <f t="shared" si="137"/>
        <v>0.17023945267958956</v>
      </c>
    </row>
    <row r="2905" spans="2:19" ht="11.4" customHeight="1" x14ac:dyDescent="0.2">
      <c r="B2905" s="24"/>
      <c r="C2905" s="10">
        <v>41144</v>
      </c>
      <c r="D2905" s="18" t="s">
        <v>3012</v>
      </c>
      <c r="E2905" s="18" t="s">
        <v>3013</v>
      </c>
      <c r="F2905" s="18"/>
      <c r="G2905" s="18" t="s">
        <v>23</v>
      </c>
      <c r="H2905" s="17">
        <v>51</v>
      </c>
      <c r="I2905" s="11">
        <v>72.900000000000006</v>
      </c>
      <c r="J2905" s="21">
        <f t="shared" si="135"/>
        <v>0.42941176470588244</v>
      </c>
      <c r="K2905" s="1">
        <v>2</v>
      </c>
      <c r="L2905" s="24">
        <v>7.2</v>
      </c>
      <c r="M2905" s="24">
        <v>65.610000000000014</v>
      </c>
      <c r="N2905" s="21">
        <f t="shared" si="136"/>
        <v>0.28647058823529437</v>
      </c>
      <c r="P2905" s="1">
        <v>4</v>
      </c>
      <c r="Q2905" s="24">
        <v>8.7480000000000047</v>
      </c>
      <c r="R2905" s="24">
        <v>64.152000000000001</v>
      </c>
      <c r="S2905" s="21">
        <f t="shared" si="137"/>
        <v>0.25788235294117651</v>
      </c>
    </row>
    <row r="2906" spans="2:19" ht="11.4" customHeight="1" x14ac:dyDescent="0.2">
      <c r="B2906" s="24"/>
      <c r="C2906" s="10">
        <v>46004</v>
      </c>
      <c r="D2906" s="18" t="s">
        <v>3014</v>
      </c>
      <c r="E2906" s="18" t="s">
        <v>3013</v>
      </c>
      <c r="F2906" s="17">
        <v>35</v>
      </c>
      <c r="G2906" s="18" t="s">
        <v>23</v>
      </c>
      <c r="H2906" s="17">
        <v>51</v>
      </c>
      <c r="I2906" s="11">
        <v>72.900000000000006</v>
      </c>
      <c r="J2906" s="21">
        <f t="shared" si="135"/>
        <v>0.42941176470588244</v>
      </c>
      <c r="K2906" s="1">
        <v>2</v>
      </c>
      <c r="L2906" s="24">
        <v>7.2</v>
      </c>
      <c r="M2906" s="24">
        <v>65.610000000000014</v>
      </c>
      <c r="N2906" s="21">
        <f t="shared" si="136"/>
        <v>0.28647058823529437</v>
      </c>
      <c r="P2906" s="1">
        <v>4</v>
      </c>
      <c r="Q2906" s="24">
        <v>8.7480000000000047</v>
      </c>
      <c r="R2906" s="24">
        <v>64.152000000000001</v>
      </c>
      <c r="S2906" s="21">
        <f t="shared" si="137"/>
        <v>0.25788235294117651</v>
      </c>
    </row>
    <row r="2907" spans="2:19" ht="11.4" customHeight="1" x14ac:dyDescent="0.2">
      <c r="B2907" s="24"/>
      <c r="C2907" s="10">
        <v>41141</v>
      </c>
      <c r="D2907" s="18" t="s">
        <v>3015</v>
      </c>
      <c r="E2907" s="18" t="s">
        <v>3013</v>
      </c>
      <c r="F2907" s="18"/>
      <c r="G2907" s="18" t="s">
        <v>23</v>
      </c>
      <c r="H2907" s="17">
        <v>51</v>
      </c>
      <c r="I2907" s="11">
        <v>72.900000000000006</v>
      </c>
      <c r="J2907" s="21">
        <f t="shared" si="135"/>
        <v>0.42941176470588244</v>
      </c>
      <c r="K2907" s="1">
        <v>2</v>
      </c>
      <c r="L2907" s="24">
        <v>7.2</v>
      </c>
      <c r="M2907" s="24">
        <v>65.610000000000014</v>
      </c>
      <c r="N2907" s="21">
        <f t="shared" si="136"/>
        <v>0.28647058823529437</v>
      </c>
      <c r="P2907" s="1">
        <v>4</v>
      </c>
      <c r="Q2907" s="24">
        <v>8.7480000000000047</v>
      </c>
      <c r="R2907" s="24">
        <v>64.152000000000001</v>
      </c>
      <c r="S2907" s="21">
        <f t="shared" si="137"/>
        <v>0.25788235294117651</v>
      </c>
    </row>
    <row r="2908" spans="2:19" ht="11.4" customHeight="1" x14ac:dyDescent="0.2">
      <c r="B2908" s="24"/>
      <c r="C2908" s="10">
        <v>42069</v>
      </c>
      <c r="D2908" s="18" t="s">
        <v>3016</v>
      </c>
      <c r="E2908" s="18" t="s">
        <v>3013</v>
      </c>
      <c r="F2908" s="18"/>
      <c r="G2908" s="18" t="s">
        <v>23</v>
      </c>
      <c r="H2908" s="17">
        <v>105</v>
      </c>
      <c r="I2908" s="11">
        <v>136.9</v>
      </c>
      <c r="J2908" s="21">
        <f t="shared" si="135"/>
        <v>0.30380952380952386</v>
      </c>
      <c r="K2908" s="1">
        <v>2</v>
      </c>
      <c r="L2908" s="24">
        <v>13.6</v>
      </c>
      <c r="M2908" s="24">
        <v>123.21000000000001</v>
      </c>
      <c r="N2908" s="21">
        <f t="shared" si="136"/>
        <v>0.17342857142857152</v>
      </c>
      <c r="P2908" s="1">
        <v>4</v>
      </c>
      <c r="Q2908" s="24">
        <v>16.427999999999997</v>
      </c>
      <c r="R2908" s="24">
        <v>120.47200000000001</v>
      </c>
      <c r="S2908" s="21">
        <f t="shared" si="137"/>
        <v>0.14735238095238104</v>
      </c>
    </row>
    <row r="2909" spans="2:19" ht="11.4" customHeight="1" x14ac:dyDescent="0.2">
      <c r="B2909" s="24"/>
      <c r="C2909" s="10">
        <v>41139</v>
      </c>
      <c r="D2909" s="18" t="s">
        <v>3017</v>
      </c>
      <c r="E2909" s="18" t="s">
        <v>3013</v>
      </c>
      <c r="F2909" s="18"/>
      <c r="G2909" s="18" t="s">
        <v>23</v>
      </c>
      <c r="H2909" s="17">
        <v>51</v>
      </c>
      <c r="I2909" s="11">
        <v>72.900000000000006</v>
      </c>
      <c r="J2909" s="21">
        <f t="shared" si="135"/>
        <v>0.42941176470588244</v>
      </c>
      <c r="K2909" s="1">
        <v>2</v>
      </c>
      <c r="L2909" s="24">
        <v>7.2</v>
      </c>
      <c r="M2909" s="24">
        <v>65.610000000000014</v>
      </c>
      <c r="N2909" s="21">
        <f t="shared" si="136"/>
        <v>0.28647058823529437</v>
      </c>
      <c r="P2909" s="1">
        <v>4</v>
      </c>
      <c r="Q2909" s="24">
        <v>8.7480000000000047</v>
      </c>
      <c r="R2909" s="24">
        <v>64.152000000000001</v>
      </c>
      <c r="S2909" s="21">
        <f t="shared" si="137"/>
        <v>0.25788235294117651</v>
      </c>
    </row>
    <row r="2910" spans="2:19" ht="11.4" customHeight="1" x14ac:dyDescent="0.2">
      <c r="B2910" s="24"/>
      <c r="C2910" s="10">
        <v>42068</v>
      </c>
      <c r="D2910" s="18" t="s">
        <v>3018</v>
      </c>
      <c r="E2910" s="18" t="s">
        <v>3013</v>
      </c>
      <c r="F2910" s="18"/>
      <c r="G2910" s="18" t="s">
        <v>23</v>
      </c>
      <c r="H2910" s="17">
        <v>105</v>
      </c>
      <c r="I2910" s="11">
        <v>136.9</v>
      </c>
      <c r="J2910" s="21">
        <f t="shared" si="135"/>
        <v>0.30380952380952386</v>
      </c>
      <c r="K2910" s="1">
        <v>2</v>
      </c>
      <c r="L2910" s="24">
        <v>13.6</v>
      </c>
      <c r="M2910" s="24">
        <v>123.21000000000001</v>
      </c>
      <c r="N2910" s="21">
        <f t="shared" si="136"/>
        <v>0.17342857142857152</v>
      </c>
      <c r="P2910" s="1">
        <v>4</v>
      </c>
      <c r="Q2910" s="24">
        <v>16.427999999999997</v>
      </c>
      <c r="R2910" s="24">
        <v>120.47200000000001</v>
      </c>
      <c r="S2910" s="21">
        <f t="shared" si="137"/>
        <v>0.14735238095238104</v>
      </c>
    </row>
    <row r="2911" spans="2:19" ht="11.4" customHeight="1" x14ac:dyDescent="0.2">
      <c r="B2911" s="24"/>
      <c r="C2911" s="10">
        <v>41140</v>
      </c>
      <c r="D2911" s="18" t="s">
        <v>3019</v>
      </c>
      <c r="E2911" s="18" t="s">
        <v>3013</v>
      </c>
      <c r="F2911" s="18"/>
      <c r="G2911" s="18" t="s">
        <v>23</v>
      </c>
      <c r="H2911" s="17">
        <v>51</v>
      </c>
      <c r="I2911" s="11">
        <v>72.900000000000006</v>
      </c>
      <c r="J2911" s="21">
        <f t="shared" si="135"/>
        <v>0.42941176470588244</v>
      </c>
      <c r="K2911" s="1">
        <v>2</v>
      </c>
      <c r="L2911" s="24">
        <v>7.2</v>
      </c>
      <c r="M2911" s="24">
        <v>65.610000000000014</v>
      </c>
      <c r="N2911" s="21">
        <f t="shared" si="136"/>
        <v>0.28647058823529437</v>
      </c>
      <c r="P2911" s="1">
        <v>4</v>
      </c>
      <c r="Q2911" s="24">
        <v>8.7480000000000047</v>
      </c>
      <c r="R2911" s="24">
        <v>64.152000000000001</v>
      </c>
      <c r="S2911" s="21">
        <f t="shared" si="137"/>
        <v>0.25788235294117651</v>
      </c>
    </row>
    <row r="2912" spans="2:19" ht="11.4" customHeight="1" x14ac:dyDescent="0.2">
      <c r="B2912" s="24"/>
      <c r="C2912" s="10">
        <v>41143</v>
      </c>
      <c r="D2912" s="18" t="s">
        <v>3020</v>
      </c>
      <c r="E2912" s="18" t="s">
        <v>3013</v>
      </c>
      <c r="F2912" s="18"/>
      <c r="G2912" s="18" t="s">
        <v>23</v>
      </c>
      <c r="H2912" s="17">
        <v>51</v>
      </c>
      <c r="I2912" s="11">
        <v>72.900000000000006</v>
      </c>
      <c r="J2912" s="21">
        <f t="shared" si="135"/>
        <v>0.42941176470588244</v>
      </c>
      <c r="K2912" s="1">
        <v>2</v>
      </c>
      <c r="L2912" s="24">
        <v>7.2</v>
      </c>
      <c r="M2912" s="24">
        <v>65.610000000000014</v>
      </c>
      <c r="N2912" s="21">
        <f t="shared" si="136"/>
        <v>0.28647058823529437</v>
      </c>
      <c r="P2912" s="1">
        <v>4</v>
      </c>
      <c r="Q2912" s="24">
        <v>8.7480000000000047</v>
      </c>
      <c r="R2912" s="24">
        <v>64.152000000000001</v>
      </c>
      <c r="S2912" s="21">
        <f t="shared" si="137"/>
        <v>0.25788235294117651</v>
      </c>
    </row>
    <row r="2913" spans="2:19" ht="11.4" customHeight="1" x14ac:dyDescent="0.2">
      <c r="B2913" s="24"/>
      <c r="C2913" s="10">
        <v>41142</v>
      </c>
      <c r="D2913" s="18" t="s">
        <v>3021</v>
      </c>
      <c r="E2913" s="18" t="s">
        <v>3013</v>
      </c>
      <c r="F2913" s="18"/>
      <c r="G2913" s="18" t="s">
        <v>23</v>
      </c>
      <c r="H2913" s="17">
        <v>51</v>
      </c>
      <c r="I2913" s="11">
        <v>72.900000000000006</v>
      </c>
      <c r="J2913" s="21">
        <f t="shared" si="135"/>
        <v>0.42941176470588244</v>
      </c>
      <c r="K2913" s="1">
        <v>2</v>
      </c>
      <c r="L2913" s="24">
        <v>7.2</v>
      </c>
      <c r="M2913" s="24">
        <v>65.610000000000014</v>
      </c>
      <c r="N2913" s="21">
        <f t="shared" si="136"/>
        <v>0.28647058823529437</v>
      </c>
      <c r="P2913" s="1">
        <v>4</v>
      </c>
      <c r="Q2913" s="24">
        <v>8.7480000000000047</v>
      </c>
      <c r="R2913" s="24">
        <v>64.152000000000001</v>
      </c>
      <c r="S2913" s="21">
        <f t="shared" si="137"/>
        <v>0.25788235294117651</v>
      </c>
    </row>
    <row r="2914" spans="2:19" ht="11.4" customHeight="1" x14ac:dyDescent="0.2">
      <c r="B2914" s="24"/>
      <c r="C2914" s="10">
        <v>46081</v>
      </c>
      <c r="D2914" s="18" t="s">
        <v>3022</v>
      </c>
      <c r="E2914" s="18" t="s">
        <v>3013</v>
      </c>
      <c r="F2914" s="17">
        <v>24</v>
      </c>
      <c r="G2914" s="18" t="s">
        <v>23</v>
      </c>
      <c r="H2914" s="17">
        <v>104.5</v>
      </c>
      <c r="I2914" s="11">
        <v>139.9</v>
      </c>
      <c r="J2914" s="21">
        <f t="shared" si="135"/>
        <v>0.33875598086124409</v>
      </c>
      <c r="K2914" s="1">
        <v>2</v>
      </c>
      <c r="L2914" s="24">
        <v>13.9</v>
      </c>
      <c r="M2914" s="24">
        <v>125.91000000000001</v>
      </c>
      <c r="N2914" s="21">
        <f t="shared" si="136"/>
        <v>0.20488038277511972</v>
      </c>
      <c r="P2914" s="1">
        <v>4</v>
      </c>
      <c r="Q2914" s="24">
        <v>16.787999999999997</v>
      </c>
      <c r="R2914" s="24">
        <v>123.11200000000001</v>
      </c>
      <c r="S2914" s="21">
        <f t="shared" si="137"/>
        <v>0.17810526315789482</v>
      </c>
    </row>
    <row r="2915" spans="2:19" ht="11.4" customHeight="1" x14ac:dyDescent="0.2">
      <c r="B2915" s="24"/>
      <c r="C2915" s="10">
        <v>42268</v>
      </c>
      <c r="D2915" s="18" t="s">
        <v>3023</v>
      </c>
      <c r="E2915" s="18" t="s">
        <v>2919</v>
      </c>
      <c r="F2915" s="18"/>
      <c r="G2915" s="18" t="s">
        <v>23</v>
      </c>
      <c r="H2915" s="17">
        <v>56</v>
      </c>
      <c r="I2915" s="11">
        <v>72.900000000000006</v>
      </c>
      <c r="J2915" s="21">
        <f t="shared" si="135"/>
        <v>0.30178571428571438</v>
      </c>
      <c r="K2915" s="1">
        <v>2</v>
      </c>
      <c r="L2915" s="24">
        <v>7.2</v>
      </c>
      <c r="M2915" s="24">
        <v>65.610000000000014</v>
      </c>
      <c r="N2915" s="21">
        <f t="shared" si="136"/>
        <v>0.1716071428571431</v>
      </c>
      <c r="P2915" s="1">
        <v>4</v>
      </c>
      <c r="Q2915" s="24">
        <v>8.7480000000000047</v>
      </c>
      <c r="R2915" s="24">
        <v>64.152000000000001</v>
      </c>
      <c r="S2915" s="21">
        <f t="shared" si="137"/>
        <v>0.1455714285714286</v>
      </c>
    </row>
    <row r="2916" spans="2:19" ht="11.4" customHeight="1" x14ac:dyDescent="0.2">
      <c r="B2916" s="24"/>
      <c r="C2916" s="10">
        <v>2948</v>
      </c>
      <c r="D2916" s="18" t="s">
        <v>3024</v>
      </c>
      <c r="E2916" s="18" t="s">
        <v>3025</v>
      </c>
      <c r="F2916" s="17">
        <v>12</v>
      </c>
      <c r="G2916" s="18" t="s">
        <v>23</v>
      </c>
      <c r="H2916" s="17">
        <v>27.3</v>
      </c>
      <c r="I2916" s="11">
        <v>28.2</v>
      </c>
      <c r="J2916" s="21">
        <f t="shared" si="135"/>
        <v>3.2967032967032912E-2</v>
      </c>
      <c r="K2916" s="1">
        <v>2</v>
      </c>
      <c r="L2916" s="24">
        <v>2.8</v>
      </c>
      <c r="M2916" s="24">
        <v>25.38</v>
      </c>
      <c r="N2916" s="21">
        <f t="shared" si="136"/>
        <v>-7.0329670329670385E-2</v>
      </c>
      <c r="P2916" s="1">
        <v>4</v>
      </c>
      <c r="Q2916" s="24">
        <v>3.3840000000000003</v>
      </c>
      <c r="R2916" s="24">
        <v>24.815999999999999</v>
      </c>
      <c r="S2916" s="21">
        <f t="shared" si="137"/>
        <v>-9.0989010989011049E-2</v>
      </c>
    </row>
    <row r="2917" spans="2:19" ht="11.4" customHeight="1" x14ac:dyDescent="0.2">
      <c r="B2917" s="24"/>
      <c r="C2917" s="10">
        <v>6704</v>
      </c>
      <c r="D2917" s="18" t="s">
        <v>3026</v>
      </c>
      <c r="E2917" s="18" t="s">
        <v>3025</v>
      </c>
      <c r="F2917" s="17">
        <v>1</v>
      </c>
      <c r="G2917" s="18" t="s">
        <v>23</v>
      </c>
      <c r="H2917" s="17">
        <v>31.08</v>
      </c>
      <c r="I2917" s="11">
        <v>42.9</v>
      </c>
      <c r="J2917" s="21">
        <f t="shared" si="135"/>
        <v>0.38030888030888033</v>
      </c>
      <c r="K2917" s="1">
        <v>2</v>
      </c>
      <c r="L2917" s="24">
        <v>4.2</v>
      </c>
      <c r="M2917" s="24">
        <v>38.61</v>
      </c>
      <c r="N2917" s="21">
        <f t="shared" si="136"/>
        <v>0.24227799227799232</v>
      </c>
      <c r="P2917" s="1">
        <v>4</v>
      </c>
      <c r="Q2917" s="24">
        <v>5.1479999999999961</v>
      </c>
      <c r="R2917" s="24">
        <v>37.752000000000002</v>
      </c>
      <c r="S2917" s="21">
        <f t="shared" si="137"/>
        <v>0.21467181467181481</v>
      </c>
    </row>
    <row r="2918" spans="2:19" ht="11.4" customHeight="1" x14ac:dyDescent="0.2">
      <c r="B2918" s="24"/>
      <c r="C2918" s="10">
        <v>46871</v>
      </c>
      <c r="D2918" s="18" t="s">
        <v>3027</v>
      </c>
      <c r="E2918" s="18" t="s">
        <v>3025</v>
      </c>
      <c r="F2918" s="17">
        <v>12</v>
      </c>
      <c r="G2918" s="18" t="s">
        <v>23</v>
      </c>
      <c r="H2918" s="17">
        <v>20.55</v>
      </c>
      <c r="I2918" s="11">
        <v>27.9</v>
      </c>
      <c r="J2918" s="21">
        <f t="shared" si="135"/>
        <v>0.35766423357664223</v>
      </c>
      <c r="K2918" s="1">
        <v>2</v>
      </c>
      <c r="L2918" s="24">
        <v>2.7</v>
      </c>
      <c r="M2918" s="24">
        <v>25.11</v>
      </c>
      <c r="N2918" s="21">
        <f t="shared" si="136"/>
        <v>0.22189781021897803</v>
      </c>
      <c r="P2918" s="1">
        <v>4</v>
      </c>
      <c r="Q2918" s="24">
        <v>3.347999999999999</v>
      </c>
      <c r="R2918" s="24">
        <v>24.552</v>
      </c>
      <c r="S2918" s="21">
        <f t="shared" si="137"/>
        <v>0.1947445255474452</v>
      </c>
    </row>
    <row r="2919" spans="2:19" ht="11.4" customHeight="1" x14ac:dyDescent="0.2">
      <c r="B2919" s="24"/>
      <c r="C2919" s="10">
        <v>46870</v>
      </c>
      <c r="D2919" s="18" t="s">
        <v>3028</v>
      </c>
      <c r="E2919" s="18" t="s">
        <v>3025</v>
      </c>
      <c r="F2919" s="17">
        <v>6</v>
      </c>
      <c r="G2919" s="18" t="s">
        <v>23</v>
      </c>
      <c r="H2919" s="17">
        <v>34.76</v>
      </c>
      <c r="I2919" s="11">
        <v>50.9</v>
      </c>
      <c r="J2919" s="21">
        <f t="shared" si="135"/>
        <v>0.46432681242807827</v>
      </c>
      <c r="K2919" s="1">
        <v>2</v>
      </c>
      <c r="L2919" s="24">
        <v>5</v>
      </c>
      <c r="M2919" s="24">
        <v>45.81</v>
      </c>
      <c r="N2919" s="21">
        <f t="shared" si="136"/>
        <v>0.31789413118527055</v>
      </c>
      <c r="P2919" s="1">
        <v>4</v>
      </c>
      <c r="Q2919" s="24">
        <v>6.107999999999997</v>
      </c>
      <c r="R2919" s="24">
        <v>44.792000000000002</v>
      </c>
      <c r="S2919" s="21">
        <f t="shared" si="137"/>
        <v>0.28860759493670896</v>
      </c>
    </row>
    <row r="2920" spans="2:19" ht="11.4" customHeight="1" x14ac:dyDescent="0.2">
      <c r="B2920" s="24"/>
      <c r="C2920" s="10">
        <v>2718</v>
      </c>
      <c r="D2920" s="18" t="s">
        <v>3029</v>
      </c>
      <c r="E2920" s="18" t="s">
        <v>3025</v>
      </c>
      <c r="F2920" s="17">
        <v>12</v>
      </c>
      <c r="G2920" s="18" t="s">
        <v>23</v>
      </c>
      <c r="H2920" s="17">
        <v>27.3</v>
      </c>
      <c r="I2920" s="11">
        <v>28.2</v>
      </c>
      <c r="J2920" s="21">
        <f t="shared" si="135"/>
        <v>3.2967032967032912E-2</v>
      </c>
      <c r="K2920" s="1">
        <v>2</v>
      </c>
      <c r="L2920" s="24">
        <v>2.8</v>
      </c>
      <c r="M2920" s="24">
        <v>25.38</v>
      </c>
      <c r="N2920" s="21">
        <f t="shared" si="136"/>
        <v>-7.0329670329670385E-2</v>
      </c>
      <c r="P2920" s="1">
        <v>4</v>
      </c>
      <c r="Q2920" s="24">
        <v>3.3840000000000003</v>
      </c>
      <c r="R2920" s="24">
        <v>24.815999999999999</v>
      </c>
      <c r="S2920" s="21">
        <f t="shared" si="137"/>
        <v>-9.0989010989011049E-2</v>
      </c>
    </row>
    <row r="2921" spans="2:19" ht="11.4" customHeight="1" x14ac:dyDescent="0.2">
      <c r="B2921" s="24"/>
      <c r="C2921" s="10">
        <v>6745</v>
      </c>
      <c r="D2921" s="18" t="s">
        <v>3030</v>
      </c>
      <c r="E2921" s="18" t="s">
        <v>3025</v>
      </c>
      <c r="F2921" s="17">
        <v>1</v>
      </c>
      <c r="G2921" s="18" t="s">
        <v>23</v>
      </c>
      <c r="H2921" s="17">
        <v>31.08</v>
      </c>
      <c r="I2921" s="11">
        <v>42.9</v>
      </c>
      <c r="J2921" s="21">
        <f t="shared" si="135"/>
        <v>0.38030888030888033</v>
      </c>
      <c r="K2921" s="1">
        <v>2</v>
      </c>
      <c r="L2921" s="24">
        <v>4.2</v>
      </c>
      <c r="M2921" s="24">
        <v>38.61</v>
      </c>
      <c r="N2921" s="21">
        <f t="shared" si="136"/>
        <v>0.24227799227799232</v>
      </c>
      <c r="P2921" s="1">
        <v>4</v>
      </c>
      <c r="Q2921" s="24">
        <v>5.1479999999999961</v>
      </c>
      <c r="R2921" s="24">
        <v>37.752000000000002</v>
      </c>
      <c r="S2921" s="21">
        <f t="shared" si="137"/>
        <v>0.21467181467181481</v>
      </c>
    </row>
    <row r="2922" spans="2:19" ht="11.4" customHeight="1" x14ac:dyDescent="0.2">
      <c r="B2922" s="24"/>
      <c r="C2922" s="10">
        <v>37957</v>
      </c>
      <c r="D2922" s="18" t="s">
        <v>3031</v>
      </c>
      <c r="E2922" s="18" t="s">
        <v>3025</v>
      </c>
      <c r="F2922" s="17">
        <v>12</v>
      </c>
      <c r="G2922" s="18" t="s">
        <v>23</v>
      </c>
      <c r="H2922" s="17">
        <v>28.5</v>
      </c>
      <c r="I2922" s="11">
        <v>27.9</v>
      </c>
      <c r="J2922" s="21">
        <f t="shared" si="135"/>
        <v>-2.105263157894742E-2</v>
      </c>
      <c r="K2922" s="1">
        <v>2</v>
      </c>
      <c r="L2922" s="24">
        <v>2.7</v>
      </c>
      <c r="M2922" s="24">
        <v>25.11</v>
      </c>
      <c r="N2922" s="21">
        <f t="shared" si="136"/>
        <v>-0.11894736842105265</v>
      </c>
      <c r="P2922" s="1">
        <v>4</v>
      </c>
      <c r="Q2922" s="24">
        <v>3.347999999999999</v>
      </c>
      <c r="R2922" s="24">
        <v>24.552</v>
      </c>
      <c r="S2922" s="21">
        <f t="shared" si="137"/>
        <v>-0.13852631578947369</v>
      </c>
    </row>
    <row r="2923" spans="2:19" ht="11.4" customHeight="1" x14ac:dyDescent="0.2">
      <c r="B2923" s="24"/>
      <c r="C2923" s="10">
        <v>37958</v>
      </c>
      <c r="D2923" s="18" t="s">
        <v>3032</v>
      </c>
      <c r="E2923" s="18" t="s">
        <v>3025</v>
      </c>
      <c r="F2923" s="17">
        <v>6</v>
      </c>
      <c r="G2923" s="18" t="s">
        <v>23</v>
      </c>
      <c r="H2923" s="17">
        <v>45.8</v>
      </c>
      <c r="I2923" s="11">
        <v>50.9</v>
      </c>
      <c r="J2923" s="21">
        <f t="shared" si="135"/>
        <v>0.11135371179039305</v>
      </c>
      <c r="K2923" s="1">
        <v>2</v>
      </c>
      <c r="L2923" s="24">
        <v>5</v>
      </c>
      <c r="M2923" s="24">
        <v>45.81</v>
      </c>
      <c r="N2923" s="21">
        <f t="shared" si="136"/>
        <v>2.183406113538235E-4</v>
      </c>
      <c r="P2923" s="1">
        <v>4</v>
      </c>
      <c r="Q2923" s="24">
        <v>6.107999999999997</v>
      </c>
      <c r="R2923" s="24">
        <v>44.792000000000002</v>
      </c>
      <c r="S2923" s="21">
        <f t="shared" si="137"/>
        <v>-2.2008733624454054E-2</v>
      </c>
    </row>
    <row r="2924" spans="2:19" ht="11.4" customHeight="1" x14ac:dyDescent="0.2">
      <c r="B2924" s="24"/>
      <c r="C2924" s="10">
        <v>37959</v>
      </c>
      <c r="D2924" s="18" t="s">
        <v>3033</v>
      </c>
      <c r="E2924" s="18" t="s">
        <v>3025</v>
      </c>
      <c r="F2924" s="17">
        <v>12</v>
      </c>
      <c r="G2924" s="18" t="s">
        <v>23</v>
      </c>
      <c r="H2924" s="17">
        <v>28.5</v>
      </c>
      <c r="I2924" s="11">
        <v>27.9</v>
      </c>
      <c r="J2924" s="21">
        <f t="shared" si="135"/>
        <v>-2.105263157894742E-2</v>
      </c>
      <c r="K2924" s="1">
        <v>2</v>
      </c>
      <c r="L2924" s="24">
        <v>2.7</v>
      </c>
      <c r="M2924" s="24">
        <v>25.11</v>
      </c>
      <c r="N2924" s="21">
        <f t="shared" si="136"/>
        <v>-0.11894736842105265</v>
      </c>
      <c r="P2924" s="1">
        <v>4</v>
      </c>
      <c r="Q2924" s="24">
        <v>3.347999999999999</v>
      </c>
      <c r="R2924" s="24">
        <v>24.552</v>
      </c>
      <c r="S2924" s="21">
        <f t="shared" si="137"/>
        <v>-0.13852631578947369</v>
      </c>
    </row>
    <row r="2925" spans="2:19" ht="11.4" customHeight="1" x14ac:dyDescent="0.2">
      <c r="B2925" s="24"/>
      <c r="C2925" s="10">
        <v>37960</v>
      </c>
      <c r="D2925" s="18" t="s">
        <v>3034</v>
      </c>
      <c r="E2925" s="18" t="s">
        <v>3025</v>
      </c>
      <c r="F2925" s="17">
        <v>6</v>
      </c>
      <c r="G2925" s="18" t="s">
        <v>23</v>
      </c>
      <c r="H2925" s="17">
        <v>45.8</v>
      </c>
      <c r="I2925" s="11">
        <v>50.9</v>
      </c>
      <c r="J2925" s="21">
        <f t="shared" si="135"/>
        <v>0.11135371179039305</v>
      </c>
      <c r="K2925" s="1">
        <v>2</v>
      </c>
      <c r="L2925" s="24">
        <v>5</v>
      </c>
      <c r="M2925" s="24">
        <v>45.81</v>
      </c>
      <c r="N2925" s="21">
        <f t="shared" si="136"/>
        <v>2.183406113538235E-4</v>
      </c>
      <c r="P2925" s="1">
        <v>4</v>
      </c>
      <c r="Q2925" s="24">
        <v>6.107999999999997</v>
      </c>
      <c r="R2925" s="24">
        <v>44.792000000000002</v>
      </c>
      <c r="S2925" s="21">
        <f t="shared" si="137"/>
        <v>-2.2008733624454054E-2</v>
      </c>
    </row>
    <row r="2926" spans="2:19" ht="11.4" customHeight="1" x14ac:dyDescent="0.2">
      <c r="B2926" s="24"/>
      <c r="C2926" s="10">
        <v>45066</v>
      </c>
      <c r="D2926" s="18" t="s">
        <v>3035</v>
      </c>
      <c r="E2926" s="18" t="s">
        <v>3025</v>
      </c>
      <c r="F2926" s="17">
        <v>12</v>
      </c>
      <c r="G2926" s="18" t="s">
        <v>23</v>
      </c>
      <c r="H2926" s="17">
        <v>21.6</v>
      </c>
      <c r="I2926" s="11">
        <v>28.2</v>
      </c>
      <c r="J2926" s="21">
        <f t="shared" si="135"/>
        <v>0.30555555555555541</v>
      </c>
      <c r="K2926" s="1">
        <v>2</v>
      </c>
      <c r="L2926" s="24">
        <v>2.8</v>
      </c>
      <c r="M2926" s="24">
        <v>25.38</v>
      </c>
      <c r="N2926" s="21">
        <f t="shared" si="136"/>
        <v>0.17499999999999988</v>
      </c>
      <c r="P2926" s="1">
        <v>4</v>
      </c>
      <c r="Q2926" s="24">
        <v>3.3840000000000003</v>
      </c>
      <c r="R2926" s="24">
        <v>24.815999999999999</v>
      </c>
      <c r="S2926" s="21">
        <f t="shared" si="137"/>
        <v>0.14888888888888877</v>
      </c>
    </row>
    <row r="2927" spans="2:19" ht="11.4" customHeight="1" x14ac:dyDescent="0.2">
      <c r="B2927" s="24"/>
      <c r="C2927" s="10">
        <v>45068</v>
      </c>
      <c r="D2927" s="18" t="s">
        <v>3036</v>
      </c>
      <c r="E2927" s="18" t="s">
        <v>3025</v>
      </c>
      <c r="F2927" s="17">
        <v>6</v>
      </c>
      <c r="G2927" s="18" t="s">
        <v>23</v>
      </c>
      <c r="H2927" s="17">
        <v>31.08</v>
      </c>
      <c r="I2927" s="11">
        <v>42.9</v>
      </c>
      <c r="J2927" s="21">
        <f t="shared" si="135"/>
        <v>0.38030888030888033</v>
      </c>
      <c r="K2927" s="1">
        <v>2</v>
      </c>
      <c r="L2927" s="24">
        <v>4.2</v>
      </c>
      <c r="M2927" s="24">
        <v>38.61</v>
      </c>
      <c r="N2927" s="21">
        <f t="shared" si="136"/>
        <v>0.24227799227799232</v>
      </c>
      <c r="P2927" s="1">
        <v>4</v>
      </c>
      <c r="Q2927" s="24">
        <v>5.1479999999999961</v>
      </c>
      <c r="R2927" s="24">
        <v>37.752000000000002</v>
      </c>
      <c r="S2927" s="21">
        <f t="shared" si="137"/>
        <v>0.21467181467181481</v>
      </c>
    </row>
    <row r="2928" spans="2:19" ht="11.4" customHeight="1" x14ac:dyDescent="0.2">
      <c r="B2928" s="24"/>
      <c r="C2928" s="10">
        <v>41508</v>
      </c>
      <c r="D2928" s="18" t="s">
        <v>3037</v>
      </c>
      <c r="E2928" s="18" t="s">
        <v>3025</v>
      </c>
      <c r="F2928" s="17">
        <v>12</v>
      </c>
      <c r="G2928" s="18" t="s">
        <v>23</v>
      </c>
      <c r="H2928" s="17">
        <v>20.55</v>
      </c>
      <c r="I2928" s="11">
        <v>27.9</v>
      </c>
      <c r="J2928" s="21">
        <f t="shared" si="135"/>
        <v>0.35766423357664223</v>
      </c>
      <c r="K2928" s="1">
        <v>2</v>
      </c>
      <c r="L2928" s="24">
        <v>2.7</v>
      </c>
      <c r="M2928" s="24">
        <v>25.11</v>
      </c>
      <c r="N2928" s="21">
        <f t="shared" si="136"/>
        <v>0.22189781021897803</v>
      </c>
      <c r="P2928" s="1">
        <v>4</v>
      </c>
      <c r="Q2928" s="24">
        <v>3.347999999999999</v>
      </c>
      <c r="R2928" s="24">
        <v>24.552</v>
      </c>
      <c r="S2928" s="21">
        <f t="shared" si="137"/>
        <v>0.1947445255474452</v>
      </c>
    </row>
    <row r="2929" spans="2:19" ht="11.4" customHeight="1" x14ac:dyDescent="0.2">
      <c r="B2929" s="24"/>
      <c r="C2929" s="10">
        <v>41509</v>
      </c>
      <c r="D2929" s="18" t="s">
        <v>3038</v>
      </c>
      <c r="E2929" s="18" t="s">
        <v>3025</v>
      </c>
      <c r="F2929" s="17">
        <v>6</v>
      </c>
      <c r="G2929" s="18" t="s">
        <v>23</v>
      </c>
      <c r="H2929" s="17">
        <v>34.76</v>
      </c>
      <c r="I2929" s="11">
        <v>50.9</v>
      </c>
      <c r="J2929" s="21">
        <f t="shared" si="135"/>
        <v>0.46432681242807827</v>
      </c>
      <c r="K2929" s="1">
        <v>2</v>
      </c>
      <c r="L2929" s="24">
        <v>5</v>
      </c>
      <c r="M2929" s="24">
        <v>45.81</v>
      </c>
      <c r="N2929" s="21">
        <f t="shared" si="136"/>
        <v>0.31789413118527055</v>
      </c>
      <c r="P2929" s="1">
        <v>4</v>
      </c>
      <c r="Q2929" s="24">
        <v>6.107999999999997</v>
      </c>
      <c r="R2929" s="24">
        <v>44.792000000000002</v>
      </c>
      <c r="S2929" s="21">
        <f t="shared" si="137"/>
        <v>0.28860759493670896</v>
      </c>
    </row>
    <row r="2930" spans="2:19" ht="11.4" customHeight="1" x14ac:dyDescent="0.2">
      <c r="B2930" s="24"/>
      <c r="C2930" s="10">
        <v>2949</v>
      </c>
      <c r="D2930" s="18" t="s">
        <v>3039</v>
      </c>
      <c r="E2930" s="18" t="s">
        <v>3025</v>
      </c>
      <c r="F2930" s="17">
        <v>12</v>
      </c>
      <c r="G2930" s="18" t="s">
        <v>23</v>
      </c>
      <c r="H2930" s="17">
        <v>27.3</v>
      </c>
      <c r="I2930" s="11">
        <v>28.2</v>
      </c>
      <c r="J2930" s="21">
        <f t="shared" si="135"/>
        <v>3.2967032967032912E-2</v>
      </c>
      <c r="K2930" s="1">
        <v>2</v>
      </c>
      <c r="L2930" s="24">
        <v>2.8</v>
      </c>
      <c r="M2930" s="24">
        <v>25.38</v>
      </c>
      <c r="N2930" s="21">
        <f t="shared" si="136"/>
        <v>-7.0329670329670385E-2</v>
      </c>
      <c r="P2930" s="1">
        <v>4</v>
      </c>
      <c r="Q2930" s="24">
        <v>3.3840000000000003</v>
      </c>
      <c r="R2930" s="24">
        <v>24.815999999999999</v>
      </c>
      <c r="S2930" s="21">
        <f t="shared" si="137"/>
        <v>-9.0989010989011049E-2</v>
      </c>
    </row>
    <row r="2931" spans="2:19" ht="11.4" customHeight="1" x14ac:dyDescent="0.2">
      <c r="B2931" s="24"/>
      <c r="C2931" s="10">
        <v>6756</v>
      </c>
      <c r="D2931" s="18" t="s">
        <v>3040</v>
      </c>
      <c r="E2931" s="18" t="s">
        <v>3025</v>
      </c>
      <c r="F2931" s="18"/>
      <c r="G2931" s="18" t="s">
        <v>23</v>
      </c>
      <c r="H2931" s="17">
        <v>31.08</v>
      </c>
      <c r="I2931" s="11">
        <v>42.9</v>
      </c>
      <c r="J2931" s="21">
        <f t="shared" si="135"/>
        <v>0.38030888030888033</v>
      </c>
      <c r="K2931" s="1">
        <v>2</v>
      </c>
      <c r="L2931" s="24">
        <v>4.2</v>
      </c>
      <c r="M2931" s="24">
        <v>38.61</v>
      </c>
      <c r="N2931" s="21">
        <f t="shared" si="136"/>
        <v>0.24227799227799232</v>
      </c>
      <c r="P2931" s="1">
        <v>4</v>
      </c>
      <c r="Q2931" s="24">
        <v>5.1479999999999961</v>
      </c>
      <c r="R2931" s="24">
        <v>37.752000000000002</v>
      </c>
      <c r="S2931" s="21">
        <f t="shared" si="137"/>
        <v>0.21467181467181481</v>
      </c>
    </row>
    <row r="2932" spans="2:19" ht="11.4" customHeight="1" x14ac:dyDescent="0.2">
      <c r="B2932" s="24"/>
      <c r="C2932" s="12">
        <v>31303</v>
      </c>
      <c r="D2932" s="18" t="s">
        <v>3041</v>
      </c>
      <c r="E2932" s="18" t="s">
        <v>3042</v>
      </c>
      <c r="F2932" s="18"/>
      <c r="G2932" s="18" t="s">
        <v>902</v>
      </c>
      <c r="H2932" s="17">
        <v>147.30000000000001</v>
      </c>
      <c r="I2932" s="13">
        <v>156.9</v>
      </c>
      <c r="J2932" s="21">
        <f t="shared" si="135"/>
        <v>6.5173116089612987E-2</v>
      </c>
      <c r="K2932" s="1">
        <v>1</v>
      </c>
      <c r="L2932" s="24">
        <v>7.8</v>
      </c>
      <c r="M2932" s="24">
        <v>149.05500000000001</v>
      </c>
      <c r="N2932" s="21">
        <f t="shared" si="136"/>
        <v>1.1914460285132352E-2</v>
      </c>
      <c r="P2932" s="1">
        <v>4</v>
      </c>
      <c r="Q2932" s="24">
        <v>15.689999999999998</v>
      </c>
      <c r="R2932" s="24">
        <v>141.21</v>
      </c>
      <c r="S2932" s="21">
        <f t="shared" si="137"/>
        <v>-4.1344195519348287E-2</v>
      </c>
    </row>
    <row r="2933" spans="2:19" ht="11.4" customHeight="1" x14ac:dyDescent="0.2">
      <c r="B2933" s="24"/>
      <c r="C2933" s="12">
        <v>39199</v>
      </c>
      <c r="D2933" s="18" t="s">
        <v>3043</v>
      </c>
      <c r="E2933" s="18" t="s">
        <v>3042</v>
      </c>
      <c r="F2933" s="17">
        <v>10</v>
      </c>
      <c r="G2933" s="18" t="s">
        <v>902</v>
      </c>
      <c r="H2933" s="17">
        <v>102.9</v>
      </c>
      <c r="I2933" s="13">
        <v>99.9</v>
      </c>
      <c r="J2933" s="21">
        <f t="shared" si="135"/>
        <v>-2.9154518950437316E-2</v>
      </c>
      <c r="K2933" s="1">
        <v>1</v>
      </c>
      <c r="L2933" s="24">
        <v>4.9000000000000004</v>
      </c>
      <c r="M2933" s="24">
        <v>94.905000000000001</v>
      </c>
      <c r="N2933" s="21">
        <f t="shared" si="136"/>
        <v>-7.7696793002915487E-2</v>
      </c>
      <c r="P2933" s="1">
        <v>4</v>
      </c>
      <c r="Q2933" s="24">
        <v>9.9899999999999949</v>
      </c>
      <c r="R2933" s="24">
        <v>89.910000000000011</v>
      </c>
      <c r="S2933" s="21">
        <f t="shared" si="137"/>
        <v>-0.12623906705539353</v>
      </c>
    </row>
    <row r="2934" spans="2:19" ht="11.4" customHeight="1" x14ac:dyDescent="0.2">
      <c r="B2934" s="24"/>
      <c r="C2934" s="12">
        <v>39573</v>
      </c>
      <c r="D2934" s="18" t="s">
        <v>3044</v>
      </c>
      <c r="E2934" s="18" t="s">
        <v>3042</v>
      </c>
      <c r="F2934" s="18"/>
      <c r="G2934" s="18" t="s">
        <v>23</v>
      </c>
      <c r="H2934" s="17">
        <v>70.3</v>
      </c>
      <c r="I2934" s="13">
        <v>77.900000000000006</v>
      </c>
      <c r="J2934" s="21">
        <f t="shared" si="135"/>
        <v>0.10810810810810824</v>
      </c>
      <c r="K2934" s="1">
        <v>2</v>
      </c>
      <c r="L2934" s="24">
        <v>7.7</v>
      </c>
      <c r="M2934" s="24">
        <v>70.110000000000014</v>
      </c>
      <c r="N2934" s="21">
        <f t="shared" si="136"/>
        <v>-2.7027027027024682E-3</v>
      </c>
      <c r="P2934" s="1">
        <v>4</v>
      </c>
      <c r="Q2934" s="24">
        <v>9.347999999999999</v>
      </c>
      <c r="R2934" s="24">
        <v>68.552000000000007</v>
      </c>
      <c r="S2934" s="21">
        <f t="shared" si="137"/>
        <v>-2.4864864864864729E-2</v>
      </c>
    </row>
    <row r="2935" spans="2:19" ht="11.4" customHeight="1" x14ac:dyDescent="0.2">
      <c r="B2935" s="24"/>
      <c r="C2935" s="12">
        <v>39554</v>
      </c>
      <c r="D2935" s="18" t="s">
        <v>3045</v>
      </c>
      <c r="E2935" s="18" t="s">
        <v>3046</v>
      </c>
      <c r="F2935" s="18"/>
      <c r="G2935" s="18" t="s">
        <v>23</v>
      </c>
      <c r="H2935" s="17">
        <v>160.30000000000001</v>
      </c>
      <c r="I2935" s="13">
        <v>196.1</v>
      </c>
      <c r="J2935" s="21">
        <f t="shared" si="135"/>
        <v>0.22333125389893937</v>
      </c>
      <c r="K2935" s="1">
        <v>2</v>
      </c>
      <c r="L2935" s="24">
        <v>19.600000000000001</v>
      </c>
      <c r="M2935" s="24">
        <v>176.49</v>
      </c>
      <c r="N2935" s="21">
        <f t="shared" si="136"/>
        <v>0.10099812850904552</v>
      </c>
      <c r="P2935" s="1">
        <v>4</v>
      </c>
      <c r="Q2935" s="24">
        <v>23.532000000000011</v>
      </c>
      <c r="R2935" s="24">
        <v>172.56799999999998</v>
      </c>
      <c r="S2935" s="21">
        <f t="shared" si="137"/>
        <v>7.6531503431066572E-2</v>
      </c>
    </row>
    <row r="2936" spans="2:19" ht="11.4" customHeight="1" x14ac:dyDescent="0.2">
      <c r="B2936" s="24"/>
      <c r="C2936" s="12">
        <v>39588</v>
      </c>
      <c r="D2936" s="18" t="s">
        <v>3047</v>
      </c>
      <c r="E2936" s="18" t="s">
        <v>3048</v>
      </c>
      <c r="F2936" s="18"/>
      <c r="G2936" s="18" t="s">
        <v>23</v>
      </c>
      <c r="H2936" s="17">
        <v>102.72</v>
      </c>
      <c r="I2936" s="13">
        <v>149.9</v>
      </c>
      <c r="J2936" s="21">
        <f t="shared" si="135"/>
        <v>0.45930685358255458</v>
      </c>
      <c r="K2936" s="1">
        <v>2</v>
      </c>
      <c r="L2936" s="24">
        <v>14.9</v>
      </c>
      <c r="M2936" s="24">
        <v>134.91</v>
      </c>
      <c r="N2936" s="21">
        <f t="shared" si="136"/>
        <v>0.31337616822429903</v>
      </c>
      <c r="P2936" s="1">
        <v>4</v>
      </c>
      <c r="Q2936" s="24">
        <v>17.988</v>
      </c>
      <c r="R2936" s="24">
        <v>131.91200000000001</v>
      </c>
      <c r="S2936" s="21">
        <f t="shared" si="137"/>
        <v>0.28419003115264807</v>
      </c>
    </row>
    <row r="2937" spans="2:19" ht="11.4" customHeight="1" x14ac:dyDescent="0.2">
      <c r="B2937" s="24"/>
      <c r="C2937" s="12">
        <v>39575</v>
      </c>
      <c r="D2937" s="18" t="s">
        <v>3049</v>
      </c>
      <c r="E2937" s="18" t="s">
        <v>3042</v>
      </c>
      <c r="F2937" s="18"/>
      <c r="G2937" s="18" t="s">
        <v>23</v>
      </c>
      <c r="H2937" s="17">
        <v>68.3</v>
      </c>
      <c r="I2937" s="13">
        <v>83.9</v>
      </c>
      <c r="J2937" s="21">
        <f t="shared" si="135"/>
        <v>0.22840409956076149</v>
      </c>
      <c r="K2937" s="1">
        <v>2</v>
      </c>
      <c r="L2937" s="24">
        <v>8.3000000000000007</v>
      </c>
      <c r="M2937" s="24">
        <v>75.510000000000005</v>
      </c>
      <c r="N2937" s="21">
        <f t="shared" si="136"/>
        <v>0.10556368960468533</v>
      </c>
      <c r="P2937" s="1">
        <v>4</v>
      </c>
      <c r="Q2937" s="24">
        <v>10.067999999999998</v>
      </c>
      <c r="R2937" s="24">
        <v>73.832000000000008</v>
      </c>
      <c r="S2937" s="21">
        <f t="shared" si="137"/>
        <v>8.0995607613470147E-2</v>
      </c>
    </row>
    <row r="2938" spans="2:19" ht="11.4" customHeight="1" x14ac:dyDescent="0.2">
      <c r="B2938" s="24"/>
      <c r="C2938" s="12">
        <v>1442</v>
      </c>
      <c r="D2938" s="18" t="s">
        <v>3050</v>
      </c>
      <c r="E2938" s="18" t="s">
        <v>3042</v>
      </c>
      <c r="F2938" s="17">
        <v>10</v>
      </c>
      <c r="G2938" s="18" t="s">
        <v>902</v>
      </c>
      <c r="H2938" s="17">
        <v>84</v>
      </c>
      <c r="I2938" s="13">
        <v>99.9</v>
      </c>
      <c r="J2938" s="21">
        <f t="shared" si="135"/>
        <v>0.18928571428571436</v>
      </c>
      <c r="K2938" s="1">
        <v>1</v>
      </c>
      <c r="L2938" s="24">
        <v>4.9000000000000004</v>
      </c>
      <c r="M2938" s="24">
        <v>94.905000000000001</v>
      </c>
      <c r="N2938" s="21">
        <f t="shared" si="136"/>
        <v>0.12982142857142859</v>
      </c>
      <c r="P2938" s="1">
        <v>4</v>
      </c>
      <c r="Q2938" s="24">
        <v>9.9899999999999949</v>
      </c>
      <c r="R2938" s="24">
        <v>89.910000000000011</v>
      </c>
      <c r="S2938" s="21">
        <f t="shared" si="137"/>
        <v>7.0357142857142979E-2</v>
      </c>
    </row>
    <row r="2939" spans="2:19" ht="11.4" customHeight="1" x14ac:dyDescent="0.2">
      <c r="B2939" s="24"/>
      <c r="C2939" s="12">
        <v>39553</v>
      </c>
      <c r="D2939" s="18" t="s">
        <v>3051</v>
      </c>
      <c r="E2939" s="18" t="s">
        <v>3046</v>
      </c>
      <c r="F2939" s="18"/>
      <c r="G2939" s="18" t="s">
        <v>23</v>
      </c>
      <c r="H2939" s="17">
        <v>85.1</v>
      </c>
      <c r="I2939" s="13">
        <v>105.9</v>
      </c>
      <c r="J2939" s="21">
        <f t="shared" si="135"/>
        <v>0.24441833137485328</v>
      </c>
      <c r="K2939" s="1">
        <v>2</v>
      </c>
      <c r="L2939" s="24">
        <v>10.5</v>
      </c>
      <c r="M2939" s="24">
        <v>95.31</v>
      </c>
      <c r="N2939" s="21">
        <f t="shared" si="136"/>
        <v>0.1199764982373679</v>
      </c>
      <c r="P2939" s="1">
        <v>4</v>
      </c>
      <c r="Q2939" s="24">
        <v>12.707999999999998</v>
      </c>
      <c r="R2939" s="24">
        <v>93.192000000000007</v>
      </c>
      <c r="S2939" s="21">
        <f t="shared" si="137"/>
        <v>9.5088131609870896E-2</v>
      </c>
    </row>
    <row r="2940" spans="2:19" ht="11.4" customHeight="1" x14ac:dyDescent="0.2">
      <c r="B2940" s="24"/>
      <c r="C2940" s="12">
        <v>39570</v>
      </c>
      <c r="D2940" s="18" t="s">
        <v>3052</v>
      </c>
      <c r="E2940" s="18" t="s">
        <v>3046</v>
      </c>
      <c r="F2940" s="18"/>
      <c r="G2940" s="18" t="s">
        <v>23</v>
      </c>
      <c r="H2940" s="17">
        <v>61.9</v>
      </c>
      <c r="I2940" s="13">
        <v>78.5</v>
      </c>
      <c r="J2940" s="21">
        <f t="shared" si="135"/>
        <v>0.26817447495961233</v>
      </c>
      <c r="K2940" s="1">
        <v>2</v>
      </c>
      <c r="L2940" s="24">
        <v>7.8</v>
      </c>
      <c r="M2940" s="24">
        <v>70.650000000000006</v>
      </c>
      <c r="N2940" s="21">
        <f t="shared" si="136"/>
        <v>0.14135702746365117</v>
      </c>
      <c r="P2940" s="1">
        <v>4</v>
      </c>
      <c r="Q2940" s="24">
        <v>9.4200000000000017</v>
      </c>
      <c r="R2940" s="24">
        <v>69.08</v>
      </c>
      <c r="S2940" s="21">
        <f t="shared" si="137"/>
        <v>0.1159935379644588</v>
      </c>
    </row>
    <row r="2941" spans="2:19" ht="11.4" customHeight="1" x14ac:dyDescent="0.2">
      <c r="B2941" s="24"/>
      <c r="C2941" s="12">
        <v>39572</v>
      </c>
      <c r="D2941" s="18" t="s">
        <v>3053</v>
      </c>
      <c r="E2941" s="18" t="s">
        <v>3046</v>
      </c>
      <c r="F2941" s="18"/>
      <c r="G2941" s="18" t="s">
        <v>23</v>
      </c>
      <c r="H2941" s="17">
        <v>80.099999999999994</v>
      </c>
      <c r="I2941" s="13">
        <v>85.7</v>
      </c>
      <c r="J2941" s="21">
        <f t="shared" si="135"/>
        <v>6.991260923845205E-2</v>
      </c>
      <c r="K2941" s="1">
        <v>2</v>
      </c>
      <c r="L2941" s="24">
        <v>8.5</v>
      </c>
      <c r="M2941" s="24">
        <v>77.13000000000001</v>
      </c>
      <c r="N2941" s="21">
        <f t="shared" si="136"/>
        <v>-3.7078651685393073E-2</v>
      </c>
      <c r="P2941" s="1">
        <v>4</v>
      </c>
      <c r="Q2941" s="24">
        <v>10.284000000000006</v>
      </c>
      <c r="R2941" s="24">
        <v>75.415999999999997</v>
      </c>
      <c r="S2941" s="21">
        <f t="shared" si="137"/>
        <v>-5.8476903870162272E-2</v>
      </c>
    </row>
    <row r="2942" spans="2:19" ht="11.4" customHeight="1" x14ac:dyDescent="0.2">
      <c r="B2942" s="24"/>
      <c r="C2942" s="12">
        <v>39555</v>
      </c>
      <c r="D2942" s="18" t="s">
        <v>3054</v>
      </c>
      <c r="E2942" s="18" t="s">
        <v>3046</v>
      </c>
      <c r="F2942" s="18"/>
      <c r="G2942" s="18" t="s">
        <v>23</v>
      </c>
      <c r="H2942" s="17">
        <v>86.88</v>
      </c>
      <c r="I2942" s="13">
        <v>125.9</v>
      </c>
      <c r="J2942" s="21">
        <f t="shared" si="135"/>
        <v>0.44912523020257838</v>
      </c>
      <c r="K2942" s="1">
        <v>2</v>
      </c>
      <c r="L2942" s="24">
        <v>12.5</v>
      </c>
      <c r="M2942" s="24">
        <v>113.31</v>
      </c>
      <c r="N2942" s="21">
        <f t="shared" si="136"/>
        <v>0.30421270718232052</v>
      </c>
      <c r="P2942" s="1">
        <v>4</v>
      </c>
      <c r="Q2942" s="24">
        <v>15.108000000000004</v>
      </c>
      <c r="R2942" s="24">
        <v>110.792</v>
      </c>
      <c r="S2942" s="21">
        <f t="shared" si="137"/>
        <v>0.27523020257826897</v>
      </c>
    </row>
    <row r="2943" spans="2:19" ht="11.4" customHeight="1" x14ac:dyDescent="0.2">
      <c r="B2943" s="24"/>
      <c r="C2943" s="12">
        <v>5200</v>
      </c>
      <c r="D2943" s="18" t="s">
        <v>3055</v>
      </c>
      <c r="E2943" s="18" t="s">
        <v>3046</v>
      </c>
      <c r="F2943" s="18"/>
      <c r="G2943" s="18" t="s">
        <v>902</v>
      </c>
      <c r="H2943" s="17">
        <v>117.9</v>
      </c>
      <c r="I2943" s="13">
        <v>139.9</v>
      </c>
      <c r="J2943" s="21">
        <f t="shared" si="135"/>
        <v>0.18659881255301103</v>
      </c>
      <c r="K2943" s="1">
        <v>1</v>
      </c>
      <c r="L2943" s="24">
        <v>6.9</v>
      </c>
      <c r="M2943" s="24">
        <v>132.905</v>
      </c>
      <c r="N2943" s="21">
        <f t="shared" si="136"/>
        <v>0.12726887192536043</v>
      </c>
      <c r="P2943" s="1">
        <v>4</v>
      </c>
      <c r="Q2943" s="24">
        <v>13.989999999999995</v>
      </c>
      <c r="R2943" s="24">
        <v>125.91000000000001</v>
      </c>
      <c r="S2943" s="21">
        <f t="shared" si="137"/>
        <v>6.7938931297709962E-2</v>
      </c>
    </row>
    <row r="2944" spans="2:19" ht="11.4" customHeight="1" x14ac:dyDescent="0.2">
      <c r="B2944" s="24"/>
      <c r="C2944" s="12">
        <v>39558</v>
      </c>
      <c r="D2944" s="18" t="s">
        <v>3056</v>
      </c>
      <c r="E2944" s="18" t="s">
        <v>3046</v>
      </c>
      <c r="F2944" s="18"/>
      <c r="G2944" s="18" t="s">
        <v>23</v>
      </c>
      <c r="H2944" s="17">
        <v>85.08</v>
      </c>
      <c r="I2944" s="13">
        <v>123.5</v>
      </c>
      <c r="J2944" s="21">
        <f t="shared" si="135"/>
        <v>0.45157498824635639</v>
      </c>
      <c r="K2944" s="1">
        <v>2</v>
      </c>
      <c r="L2944" s="24">
        <v>12.3</v>
      </c>
      <c r="M2944" s="24">
        <v>111.15</v>
      </c>
      <c r="N2944" s="21">
        <f t="shared" si="136"/>
        <v>0.30641748942172081</v>
      </c>
      <c r="P2944" s="1">
        <v>4</v>
      </c>
      <c r="Q2944" s="24">
        <v>14.819999999999993</v>
      </c>
      <c r="R2944" s="24">
        <v>108.68</v>
      </c>
      <c r="S2944" s="21">
        <f t="shared" si="137"/>
        <v>0.27738598965679373</v>
      </c>
    </row>
    <row r="2945" spans="2:19" ht="11.4" customHeight="1" x14ac:dyDescent="0.2">
      <c r="B2945" s="24"/>
      <c r="C2945" s="12">
        <v>16564</v>
      </c>
      <c r="D2945" s="18" t="s">
        <v>3057</v>
      </c>
      <c r="E2945" s="18" t="s">
        <v>3046</v>
      </c>
      <c r="F2945" s="18"/>
      <c r="G2945" s="18" t="s">
        <v>902</v>
      </c>
      <c r="H2945" s="17">
        <v>106.5</v>
      </c>
      <c r="I2945" s="13">
        <v>133.9</v>
      </c>
      <c r="J2945" s="21">
        <f t="shared" si="135"/>
        <v>0.25727699530516435</v>
      </c>
      <c r="K2945" s="1">
        <v>1</v>
      </c>
      <c r="L2945" s="24">
        <v>6.6</v>
      </c>
      <c r="M2945" s="24">
        <v>127.205</v>
      </c>
      <c r="N2945" s="21">
        <f t="shared" si="136"/>
        <v>0.19441314553990607</v>
      </c>
      <c r="P2945" s="1">
        <v>4</v>
      </c>
      <c r="Q2945" s="24">
        <v>13.39</v>
      </c>
      <c r="R2945" s="24">
        <v>120.51</v>
      </c>
      <c r="S2945" s="21">
        <f t="shared" si="137"/>
        <v>0.13154929577464794</v>
      </c>
    </row>
    <row r="2946" spans="2:19" ht="11.4" customHeight="1" x14ac:dyDescent="0.2">
      <c r="B2946" s="24"/>
      <c r="C2946" s="12">
        <v>39561</v>
      </c>
      <c r="D2946" s="18" t="s">
        <v>3058</v>
      </c>
      <c r="E2946" s="18" t="s">
        <v>3046</v>
      </c>
      <c r="F2946" s="18"/>
      <c r="G2946" s="18" t="s">
        <v>23</v>
      </c>
      <c r="H2946" s="17">
        <v>110.04</v>
      </c>
      <c r="I2946" s="13">
        <v>159.9</v>
      </c>
      <c r="J2946" s="21">
        <f t="shared" si="135"/>
        <v>0.45310796074154852</v>
      </c>
      <c r="K2946" s="1">
        <v>2</v>
      </c>
      <c r="L2946" s="24">
        <v>15.9</v>
      </c>
      <c r="M2946" s="24">
        <v>143.91</v>
      </c>
      <c r="N2946" s="21">
        <f t="shared" si="136"/>
        <v>0.3077971646673936</v>
      </c>
      <c r="P2946" s="1">
        <v>4</v>
      </c>
      <c r="Q2946" s="24">
        <v>19.187999999999988</v>
      </c>
      <c r="R2946" s="24">
        <v>140.71200000000002</v>
      </c>
      <c r="S2946" s="21">
        <f t="shared" si="137"/>
        <v>0.2787350054525628</v>
      </c>
    </row>
    <row r="2947" spans="2:19" ht="11.4" customHeight="1" x14ac:dyDescent="0.2">
      <c r="B2947" s="24"/>
      <c r="C2947" s="12">
        <v>18805</v>
      </c>
      <c r="D2947" s="18" t="s">
        <v>3059</v>
      </c>
      <c r="E2947" s="18" t="s">
        <v>3046</v>
      </c>
      <c r="F2947" s="18"/>
      <c r="G2947" s="18" t="s">
        <v>902</v>
      </c>
      <c r="H2947" s="17">
        <v>91.68</v>
      </c>
      <c r="I2947" s="13">
        <v>142.9</v>
      </c>
      <c r="J2947" s="21">
        <f t="shared" ref="J2947:J3010" si="138">(I2947-H2947)/H2947</f>
        <v>0.55868237347294936</v>
      </c>
      <c r="K2947" s="1">
        <v>1</v>
      </c>
      <c r="L2947" s="24">
        <v>7.1</v>
      </c>
      <c r="M2947" s="24">
        <v>135.755</v>
      </c>
      <c r="N2947" s="21">
        <f t="shared" ref="N2947:N3010" si="139">(M2947-H2947)/H2947</f>
        <v>0.48074825479930178</v>
      </c>
      <c r="P2947" s="1">
        <v>4</v>
      </c>
      <c r="Q2947" s="24">
        <v>14.289999999999992</v>
      </c>
      <c r="R2947" s="24">
        <v>128.61000000000001</v>
      </c>
      <c r="S2947" s="21">
        <f t="shared" ref="S2947:S3010" si="140">(R2947-H2947)/H2947</f>
        <v>0.40281413612565448</v>
      </c>
    </row>
    <row r="2948" spans="2:19" ht="11.4" customHeight="1" x14ac:dyDescent="0.2">
      <c r="B2948" s="24"/>
      <c r="C2948" s="12">
        <v>39200</v>
      </c>
      <c r="D2948" s="18" t="s">
        <v>3060</v>
      </c>
      <c r="E2948" s="18" t="s">
        <v>3042</v>
      </c>
      <c r="F2948" s="18"/>
      <c r="G2948" s="18" t="s">
        <v>902</v>
      </c>
      <c r="H2948" s="17">
        <v>132.5</v>
      </c>
      <c r="I2948" s="13">
        <v>132.5</v>
      </c>
      <c r="J2948" s="21">
        <f t="shared" si="138"/>
        <v>0</v>
      </c>
      <c r="K2948" s="1">
        <v>1</v>
      </c>
      <c r="L2948" s="24">
        <v>6.6</v>
      </c>
      <c r="M2948" s="24">
        <v>125.875</v>
      </c>
      <c r="N2948" s="21">
        <f t="shared" si="139"/>
        <v>-0.05</v>
      </c>
      <c r="P2948" s="1">
        <v>4</v>
      </c>
      <c r="Q2948" s="24">
        <v>13.25</v>
      </c>
      <c r="R2948" s="24">
        <v>119.25</v>
      </c>
      <c r="S2948" s="21">
        <f t="shared" si="140"/>
        <v>-0.1</v>
      </c>
    </row>
    <row r="2949" spans="2:19" ht="11.4" customHeight="1" x14ac:dyDescent="0.2">
      <c r="B2949" s="24"/>
      <c r="C2949" s="12">
        <v>17099</v>
      </c>
      <c r="D2949" s="18" t="s">
        <v>3061</v>
      </c>
      <c r="E2949" s="18" t="s">
        <v>3062</v>
      </c>
      <c r="F2949" s="18"/>
      <c r="G2949" s="18" t="s">
        <v>902</v>
      </c>
      <c r="H2949" s="17">
        <v>412.68</v>
      </c>
      <c r="I2949" s="13">
        <v>499.9</v>
      </c>
      <c r="J2949" s="21">
        <f t="shared" si="138"/>
        <v>0.21135019870117275</v>
      </c>
      <c r="K2949" s="1">
        <v>1</v>
      </c>
      <c r="L2949" s="24">
        <v>24.9</v>
      </c>
      <c r="M2949" s="24">
        <v>474.90499999999997</v>
      </c>
      <c r="N2949" s="21">
        <f t="shared" si="139"/>
        <v>0.15078268876611409</v>
      </c>
      <c r="P2949" s="1">
        <v>4</v>
      </c>
      <c r="Q2949" s="24">
        <v>49.990000000000009</v>
      </c>
      <c r="R2949" s="24">
        <v>449.90999999999997</v>
      </c>
      <c r="S2949" s="21">
        <f t="shared" si="140"/>
        <v>9.021517883105544E-2</v>
      </c>
    </row>
    <row r="2950" spans="2:19" ht="11.4" customHeight="1" x14ac:dyDescent="0.2">
      <c r="B2950" s="24"/>
      <c r="C2950" s="12">
        <v>39552</v>
      </c>
      <c r="D2950" s="18" t="s">
        <v>3063</v>
      </c>
      <c r="E2950" s="18" t="s">
        <v>3062</v>
      </c>
      <c r="F2950" s="18"/>
      <c r="G2950" s="18" t="s">
        <v>23</v>
      </c>
      <c r="H2950" s="17">
        <v>127.8</v>
      </c>
      <c r="I2950" s="13">
        <v>185.5</v>
      </c>
      <c r="J2950" s="21">
        <f t="shared" si="138"/>
        <v>0.45148669796557123</v>
      </c>
      <c r="K2950" s="1">
        <v>2</v>
      </c>
      <c r="L2950" s="24">
        <v>18.5</v>
      </c>
      <c r="M2950" s="24">
        <v>166.95000000000002</v>
      </c>
      <c r="N2950" s="21">
        <f t="shared" si="139"/>
        <v>0.30633802816901423</v>
      </c>
      <c r="P2950" s="1">
        <v>4</v>
      </c>
      <c r="Q2950" s="24">
        <v>22.259999999999991</v>
      </c>
      <c r="R2950" s="24">
        <v>163.24</v>
      </c>
      <c r="S2950" s="21">
        <f t="shared" si="140"/>
        <v>0.27730829420970277</v>
      </c>
    </row>
    <row r="2951" spans="2:19" ht="11.4" customHeight="1" x14ac:dyDescent="0.2">
      <c r="B2951" s="24"/>
      <c r="C2951" s="12">
        <v>43348</v>
      </c>
      <c r="D2951" s="18" t="s">
        <v>3064</v>
      </c>
      <c r="E2951" s="18" t="s">
        <v>3062</v>
      </c>
      <c r="F2951" s="17">
        <v>20</v>
      </c>
      <c r="G2951" s="18" t="s">
        <v>23</v>
      </c>
      <c r="H2951" s="17">
        <v>81</v>
      </c>
      <c r="I2951" s="13">
        <v>129.9</v>
      </c>
      <c r="J2951" s="21">
        <f t="shared" si="138"/>
        <v>0.60370370370370374</v>
      </c>
      <c r="K2951" s="1">
        <v>2</v>
      </c>
      <c r="L2951" s="24">
        <v>12.9</v>
      </c>
      <c r="M2951" s="24">
        <v>116.91000000000001</v>
      </c>
      <c r="N2951" s="21">
        <f t="shared" si="139"/>
        <v>0.44333333333333347</v>
      </c>
      <c r="P2951" s="1">
        <v>4</v>
      </c>
      <c r="Q2951" s="24">
        <v>15.587999999999994</v>
      </c>
      <c r="R2951" s="24">
        <v>114.31200000000001</v>
      </c>
      <c r="S2951" s="21">
        <f t="shared" si="140"/>
        <v>0.41125925925925938</v>
      </c>
    </row>
    <row r="2952" spans="2:19" ht="11.4" customHeight="1" x14ac:dyDescent="0.2">
      <c r="B2952" s="24"/>
      <c r="C2952" s="12">
        <v>2379</v>
      </c>
      <c r="D2952" s="18" t="s">
        <v>3065</v>
      </c>
      <c r="E2952" s="18" t="s">
        <v>3062</v>
      </c>
      <c r="F2952" s="18"/>
      <c r="G2952" s="18" t="s">
        <v>902</v>
      </c>
      <c r="H2952" s="17">
        <v>103.8</v>
      </c>
      <c r="I2952" s="13">
        <v>103.8</v>
      </c>
      <c r="J2952" s="21">
        <f t="shared" si="138"/>
        <v>0</v>
      </c>
      <c r="K2952" s="1">
        <v>1</v>
      </c>
      <c r="L2952" s="24">
        <v>5.0999999999999996</v>
      </c>
      <c r="M2952" s="24">
        <v>98.61</v>
      </c>
      <c r="N2952" s="21">
        <f t="shared" si="139"/>
        <v>-4.9999999999999982E-2</v>
      </c>
      <c r="P2952" s="1">
        <v>4</v>
      </c>
      <c r="Q2952" s="24">
        <v>10.379999999999995</v>
      </c>
      <c r="R2952" s="24">
        <v>93.42</v>
      </c>
      <c r="S2952" s="21">
        <f t="shared" si="140"/>
        <v>-9.9999999999999964E-2</v>
      </c>
    </row>
    <row r="2953" spans="2:19" ht="11.4" customHeight="1" x14ac:dyDescent="0.2">
      <c r="B2953" s="24"/>
      <c r="C2953" s="12">
        <v>8035</v>
      </c>
      <c r="D2953" s="18" t="s">
        <v>3066</v>
      </c>
      <c r="E2953" s="18" t="s">
        <v>3062</v>
      </c>
      <c r="F2953" s="18"/>
      <c r="G2953" s="18" t="s">
        <v>902</v>
      </c>
      <c r="H2953" s="17">
        <v>155.9</v>
      </c>
      <c r="I2953" s="13">
        <v>209.9</v>
      </c>
      <c r="J2953" s="21">
        <f t="shared" si="138"/>
        <v>0.34637588197562541</v>
      </c>
      <c r="K2953" s="1">
        <v>1</v>
      </c>
      <c r="L2953" s="24">
        <v>10.4</v>
      </c>
      <c r="M2953" s="24">
        <v>199.405</v>
      </c>
      <c r="N2953" s="21">
        <f t="shared" si="139"/>
        <v>0.27905708787684408</v>
      </c>
      <c r="P2953" s="1">
        <v>4</v>
      </c>
      <c r="Q2953" s="24">
        <v>20.990000000000009</v>
      </c>
      <c r="R2953" s="24">
        <v>188.91</v>
      </c>
      <c r="S2953" s="21">
        <f t="shared" si="140"/>
        <v>0.2117382937780628</v>
      </c>
    </row>
    <row r="2954" spans="2:19" ht="11.4" customHeight="1" x14ac:dyDescent="0.2">
      <c r="B2954" s="24"/>
      <c r="C2954" s="12">
        <v>43455</v>
      </c>
      <c r="D2954" s="18" t="s">
        <v>3067</v>
      </c>
      <c r="E2954" s="18" t="s">
        <v>3062</v>
      </c>
      <c r="F2954" s="17">
        <v>10</v>
      </c>
      <c r="G2954" s="18" t="s">
        <v>902</v>
      </c>
      <c r="H2954" s="17">
        <v>200.94</v>
      </c>
      <c r="I2954" s="13">
        <v>269.89999999999998</v>
      </c>
      <c r="J2954" s="21">
        <f t="shared" si="138"/>
        <v>0.34318702100129383</v>
      </c>
      <c r="K2954" s="1">
        <v>1</v>
      </c>
      <c r="L2954" s="24">
        <v>13.4</v>
      </c>
      <c r="M2954" s="24">
        <v>256.40499999999997</v>
      </c>
      <c r="N2954" s="21">
        <f t="shared" si="139"/>
        <v>0.27602766995122913</v>
      </c>
      <c r="P2954" s="1">
        <v>4</v>
      </c>
      <c r="Q2954" s="24">
        <v>26.989999999999981</v>
      </c>
      <c r="R2954" s="24">
        <v>242.91</v>
      </c>
      <c r="S2954" s="21">
        <f t="shared" si="140"/>
        <v>0.20886831890116453</v>
      </c>
    </row>
    <row r="2955" spans="2:19" ht="11.4" customHeight="1" x14ac:dyDescent="0.2">
      <c r="B2955" s="24"/>
      <c r="C2955" s="12">
        <v>39567</v>
      </c>
      <c r="D2955" s="18" t="s">
        <v>3068</v>
      </c>
      <c r="E2955" s="18" t="s">
        <v>3062</v>
      </c>
      <c r="F2955" s="18"/>
      <c r="G2955" s="18" t="s">
        <v>23</v>
      </c>
      <c r="H2955" s="17">
        <v>177.6</v>
      </c>
      <c r="I2955" s="13">
        <v>195.9</v>
      </c>
      <c r="J2955" s="21">
        <f t="shared" si="138"/>
        <v>0.10304054054054061</v>
      </c>
      <c r="K2955" s="1">
        <v>2</v>
      </c>
      <c r="L2955" s="24">
        <v>19.5</v>
      </c>
      <c r="M2955" s="24">
        <v>176.31</v>
      </c>
      <c r="N2955" s="21">
        <f t="shared" si="139"/>
        <v>-7.2635135135134688E-3</v>
      </c>
      <c r="P2955" s="1">
        <v>4</v>
      </c>
      <c r="Q2955" s="24">
        <v>23.50800000000001</v>
      </c>
      <c r="R2955" s="24">
        <v>172.392</v>
      </c>
      <c r="S2955" s="21">
        <f t="shared" si="140"/>
        <v>-2.9324324324324316E-2</v>
      </c>
    </row>
    <row r="2956" spans="2:19" ht="11.4" customHeight="1" x14ac:dyDescent="0.2">
      <c r="B2956" s="24"/>
      <c r="C2956" s="12">
        <v>8036</v>
      </c>
      <c r="D2956" s="18" t="s">
        <v>3069</v>
      </c>
      <c r="E2956" s="18" t="s">
        <v>3062</v>
      </c>
      <c r="F2956" s="18"/>
      <c r="G2956" s="18" t="s">
        <v>902</v>
      </c>
      <c r="H2956" s="17">
        <v>159.9</v>
      </c>
      <c r="I2956" s="13">
        <v>162.5</v>
      </c>
      <c r="J2956" s="21">
        <f t="shared" si="138"/>
        <v>1.626016260162598E-2</v>
      </c>
      <c r="K2956" s="1">
        <v>1</v>
      </c>
      <c r="L2956" s="24">
        <v>8.1</v>
      </c>
      <c r="M2956" s="24">
        <v>154.375</v>
      </c>
      <c r="N2956" s="21">
        <f t="shared" si="139"/>
        <v>-3.455284552845532E-2</v>
      </c>
      <c r="P2956" s="1">
        <v>4</v>
      </c>
      <c r="Q2956" s="24">
        <v>16.25</v>
      </c>
      <c r="R2956" s="24">
        <v>146.25</v>
      </c>
      <c r="S2956" s="21">
        <f t="shared" si="140"/>
        <v>-8.536585365853662E-2</v>
      </c>
    </row>
    <row r="2957" spans="2:19" ht="11.4" customHeight="1" x14ac:dyDescent="0.2">
      <c r="B2957" s="24"/>
      <c r="C2957" s="12">
        <v>39566</v>
      </c>
      <c r="D2957" s="18" t="s">
        <v>3070</v>
      </c>
      <c r="E2957" s="18" t="s">
        <v>3062</v>
      </c>
      <c r="F2957" s="18"/>
      <c r="G2957" s="18" t="s">
        <v>23</v>
      </c>
      <c r="H2957" s="17">
        <v>123.84</v>
      </c>
      <c r="I2957" s="13">
        <v>198.9</v>
      </c>
      <c r="J2957" s="21">
        <f t="shared" si="138"/>
        <v>0.60610465116279066</v>
      </c>
      <c r="K2957" s="1">
        <v>2</v>
      </c>
      <c r="L2957" s="24">
        <v>19.8</v>
      </c>
      <c r="M2957" s="24">
        <v>179.01000000000002</v>
      </c>
      <c r="N2957" s="21">
        <f t="shared" si="139"/>
        <v>0.44549418604651175</v>
      </c>
      <c r="P2957" s="1">
        <v>4</v>
      </c>
      <c r="Q2957" s="24">
        <v>23.867999999999995</v>
      </c>
      <c r="R2957" s="24">
        <v>175.03200000000001</v>
      </c>
      <c r="S2957" s="21">
        <f t="shared" si="140"/>
        <v>0.41337209302325584</v>
      </c>
    </row>
    <row r="2958" spans="2:19" ht="11.4" customHeight="1" x14ac:dyDescent="0.2">
      <c r="B2958" s="24"/>
      <c r="C2958" s="12">
        <v>39568</v>
      </c>
      <c r="D2958" s="18" t="s">
        <v>3071</v>
      </c>
      <c r="E2958" s="18" t="s">
        <v>3062</v>
      </c>
      <c r="F2958" s="18"/>
      <c r="G2958" s="18" t="s">
        <v>23</v>
      </c>
      <c r="H2958" s="17">
        <v>169.9</v>
      </c>
      <c r="I2958" s="13">
        <v>186.5</v>
      </c>
      <c r="J2958" s="21">
        <f t="shared" si="138"/>
        <v>9.7704532077692724E-2</v>
      </c>
      <c r="K2958" s="1">
        <v>2</v>
      </c>
      <c r="L2958" s="24">
        <v>18.600000000000001</v>
      </c>
      <c r="M2958" s="24">
        <v>167.85</v>
      </c>
      <c r="N2958" s="21">
        <f t="shared" si="139"/>
        <v>-1.2065921130076582E-2</v>
      </c>
      <c r="P2958" s="1">
        <v>4</v>
      </c>
      <c r="Q2958" s="24">
        <v>22.379999999999995</v>
      </c>
      <c r="R2958" s="24">
        <v>164.12</v>
      </c>
      <c r="S2958" s="21">
        <f t="shared" si="140"/>
        <v>-3.4020011771630373E-2</v>
      </c>
    </row>
    <row r="2959" spans="2:19" ht="11.4" customHeight="1" x14ac:dyDescent="0.2">
      <c r="B2959" s="24"/>
      <c r="C2959" s="12">
        <v>39974</v>
      </c>
      <c r="D2959" s="18" t="s">
        <v>3072</v>
      </c>
      <c r="E2959" s="18" t="s">
        <v>3073</v>
      </c>
      <c r="F2959" s="18"/>
      <c r="G2959" s="18" t="s">
        <v>23</v>
      </c>
      <c r="H2959" s="17">
        <v>103.56</v>
      </c>
      <c r="I2959" s="13">
        <v>159.9</v>
      </c>
      <c r="J2959" s="21">
        <f t="shared" si="138"/>
        <v>0.54403244495944381</v>
      </c>
      <c r="K2959" s="1">
        <v>2</v>
      </c>
      <c r="L2959" s="24">
        <v>15.9</v>
      </c>
      <c r="M2959" s="24">
        <v>143.91</v>
      </c>
      <c r="N2959" s="21">
        <f t="shared" si="139"/>
        <v>0.38962920046349936</v>
      </c>
      <c r="P2959" s="1">
        <v>4</v>
      </c>
      <c r="Q2959" s="24">
        <v>19.187999999999988</v>
      </c>
      <c r="R2959" s="24">
        <v>140.71200000000002</v>
      </c>
      <c r="S2959" s="21">
        <f t="shared" si="140"/>
        <v>0.35874855156431068</v>
      </c>
    </row>
    <row r="2960" spans="2:19" ht="11.4" customHeight="1" x14ac:dyDescent="0.2">
      <c r="B2960" s="24"/>
      <c r="C2960" s="12">
        <v>42283</v>
      </c>
      <c r="D2960" s="18" t="s">
        <v>3074</v>
      </c>
      <c r="E2960" s="18" t="s">
        <v>3075</v>
      </c>
      <c r="F2960" s="18"/>
      <c r="G2960" s="18" t="s">
        <v>23</v>
      </c>
      <c r="H2960" s="17">
        <v>93.42</v>
      </c>
      <c r="I2960" s="13">
        <v>159.9</v>
      </c>
      <c r="J2960" s="21">
        <f t="shared" si="138"/>
        <v>0.71162491971740527</v>
      </c>
      <c r="K2960" s="1">
        <v>2</v>
      </c>
      <c r="L2960" s="24">
        <v>15.9</v>
      </c>
      <c r="M2960" s="24">
        <v>143.91</v>
      </c>
      <c r="N2960" s="21">
        <f t="shared" si="139"/>
        <v>0.54046242774566466</v>
      </c>
      <c r="P2960" s="1">
        <v>4</v>
      </c>
      <c r="Q2960" s="24">
        <v>19.187999999999988</v>
      </c>
      <c r="R2960" s="24">
        <v>140.71200000000002</v>
      </c>
      <c r="S2960" s="21">
        <f t="shared" si="140"/>
        <v>0.50622992935131683</v>
      </c>
    </row>
    <row r="2961" spans="2:19" ht="11.4" customHeight="1" x14ac:dyDescent="0.2">
      <c r="B2961" s="24"/>
      <c r="C2961" s="12">
        <v>760</v>
      </c>
      <c r="D2961" s="18" t="s">
        <v>3076</v>
      </c>
      <c r="E2961" s="18" t="s">
        <v>3077</v>
      </c>
      <c r="F2961" s="17">
        <v>30</v>
      </c>
      <c r="G2961" s="18" t="s">
        <v>23</v>
      </c>
      <c r="H2961" s="17">
        <v>21.6</v>
      </c>
      <c r="I2961" s="13">
        <v>27.9</v>
      </c>
      <c r="J2961" s="21">
        <f t="shared" si="138"/>
        <v>0.29166666666666652</v>
      </c>
      <c r="K2961" s="1">
        <v>2</v>
      </c>
      <c r="L2961" s="24">
        <v>2.7</v>
      </c>
      <c r="M2961" s="24">
        <v>25.11</v>
      </c>
      <c r="N2961" s="21">
        <f t="shared" si="139"/>
        <v>0.16249999999999989</v>
      </c>
      <c r="P2961" s="1">
        <v>4</v>
      </c>
      <c r="Q2961" s="24">
        <v>3.347999999999999</v>
      </c>
      <c r="R2961" s="24">
        <v>24.552</v>
      </c>
      <c r="S2961" s="21">
        <f t="shared" si="140"/>
        <v>0.13666666666666658</v>
      </c>
    </row>
    <row r="2962" spans="2:19" ht="11.4" customHeight="1" x14ac:dyDescent="0.2">
      <c r="B2962" s="24"/>
      <c r="C2962" s="12">
        <v>1482</v>
      </c>
      <c r="D2962" s="18" t="s">
        <v>3078</v>
      </c>
      <c r="E2962" s="18" t="s">
        <v>3075</v>
      </c>
      <c r="F2962" s="17">
        <v>6</v>
      </c>
      <c r="G2962" s="18" t="s">
        <v>23</v>
      </c>
      <c r="H2962" s="17">
        <v>182.4</v>
      </c>
      <c r="I2962" s="13">
        <v>279.89999999999998</v>
      </c>
      <c r="J2962" s="21">
        <f t="shared" si="138"/>
        <v>0.5345394736842104</v>
      </c>
      <c r="K2962" s="1">
        <v>2</v>
      </c>
      <c r="L2962" s="24">
        <v>27.9</v>
      </c>
      <c r="M2962" s="24">
        <v>251.91</v>
      </c>
      <c r="N2962" s="21">
        <f t="shared" si="139"/>
        <v>0.3810855263157894</v>
      </c>
      <c r="P2962" s="1">
        <v>4</v>
      </c>
      <c r="Q2962" s="24">
        <v>33.587999999999994</v>
      </c>
      <c r="R2962" s="24">
        <v>246.31199999999998</v>
      </c>
      <c r="S2962" s="21">
        <f t="shared" si="140"/>
        <v>0.35039473684210515</v>
      </c>
    </row>
    <row r="2963" spans="2:19" ht="11.4" customHeight="1" x14ac:dyDescent="0.2">
      <c r="B2963" s="24"/>
      <c r="C2963" s="12">
        <v>33058</v>
      </c>
      <c r="D2963" s="18" t="s">
        <v>3079</v>
      </c>
      <c r="E2963" s="18" t="s">
        <v>3077</v>
      </c>
      <c r="F2963" s="18"/>
      <c r="G2963" s="18" t="s">
        <v>23</v>
      </c>
      <c r="H2963" s="17">
        <v>20.3</v>
      </c>
      <c r="I2963" s="13">
        <v>24.5</v>
      </c>
      <c r="J2963" s="21">
        <f t="shared" si="138"/>
        <v>0.2068965517241379</v>
      </c>
      <c r="K2963" s="1">
        <v>2</v>
      </c>
      <c r="L2963" s="24">
        <v>2.4</v>
      </c>
      <c r="M2963" s="24">
        <v>22.05</v>
      </c>
      <c r="N2963" s="21">
        <f t="shared" si="139"/>
        <v>8.620689655172413E-2</v>
      </c>
      <c r="P2963" s="1">
        <v>4</v>
      </c>
      <c r="Q2963" s="24">
        <v>2.9400000000000013</v>
      </c>
      <c r="R2963" s="24">
        <v>21.56</v>
      </c>
      <c r="S2963" s="21">
        <f t="shared" si="140"/>
        <v>6.2068965517241281E-2</v>
      </c>
    </row>
    <row r="2964" spans="2:19" ht="11.4" customHeight="1" x14ac:dyDescent="0.2">
      <c r="B2964" s="24"/>
      <c r="C2964" s="12">
        <v>45408</v>
      </c>
      <c r="D2964" s="18" t="s">
        <v>3080</v>
      </c>
      <c r="E2964" s="18" t="s">
        <v>3075</v>
      </c>
      <c r="F2964" s="17">
        <v>8</v>
      </c>
      <c r="G2964" s="18" t="s">
        <v>23</v>
      </c>
      <c r="H2964" s="17">
        <v>108</v>
      </c>
      <c r="I2964" s="13">
        <v>142.9</v>
      </c>
      <c r="J2964" s="21">
        <f t="shared" si="138"/>
        <v>0.32314814814814818</v>
      </c>
      <c r="K2964" s="1">
        <v>2</v>
      </c>
      <c r="L2964" s="24">
        <v>14.2</v>
      </c>
      <c r="M2964" s="24">
        <v>128.61000000000001</v>
      </c>
      <c r="N2964" s="21">
        <f t="shared" si="139"/>
        <v>0.19083333333333347</v>
      </c>
      <c r="P2964" s="1">
        <v>4</v>
      </c>
      <c r="Q2964" s="24">
        <v>17.147999999999996</v>
      </c>
      <c r="R2964" s="24">
        <v>125.75200000000001</v>
      </c>
      <c r="S2964" s="21">
        <f t="shared" si="140"/>
        <v>0.16437037037037047</v>
      </c>
    </row>
    <row r="2965" spans="2:19" ht="11.4" customHeight="1" x14ac:dyDescent="0.2">
      <c r="B2965" s="24"/>
      <c r="C2965" s="12">
        <v>41708</v>
      </c>
      <c r="D2965" s="18" t="s">
        <v>3081</v>
      </c>
      <c r="E2965" s="18" t="s">
        <v>3077</v>
      </c>
      <c r="F2965" s="18"/>
      <c r="G2965" s="18" t="s">
        <v>23</v>
      </c>
      <c r="H2965" s="17">
        <v>22.26</v>
      </c>
      <c r="I2965" s="13">
        <v>29.5</v>
      </c>
      <c r="J2965" s="21">
        <f t="shared" si="138"/>
        <v>0.32524707996406099</v>
      </c>
      <c r="K2965" s="1">
        <v>2</v>
      </c>
      <c r="L2965" s="24">
        <v>2.9</v>
      </c>
      <c r="M2965" s="24">
        <v>26.55</v>
      </c>
      <c r="N2965" s="21">
        <f t="shared" si="139"/>
        <v>0.19272237196765493</v>
      </c>
      <c r="P2965" s="1">
        <v>4</v>
      </c>
      <c r="Q2965" s="24">
        <v>3.5399999999999991</v>
      </c>
      <c r="R2965" s="24">
        <v>25.96</v>
      </c>
      <c r="S2965" s="21">
        <f t="shared" si="140"/>
        <v>0.16621743036837372</v>
      </c>
    </row>
    <row r="2966" spans="2:19" ht="11.4" customHeight="1" x14ac:dyDescent="0.2">
      <c r="B2966" s="24"/>
      <c r="C2966" s="12">
        <v>10327</v>
      </c>
      <c r="D2966" s="18" t="s">
        <v>3082</v>
      </c>
      <c r="E2966" s="18" t="s">
        <v>3075</v>
      </c>
      <c r="F2966" s="18"/>
      <c r="G2966" s="18" t="s">
        <v>23</v>
      </c>
      <c r="H2966" s="17">
        <v>187.9</v>
      </c>
      <c r="I2966" s="13">
        <v>228.5</v>
      </c>
      <c r="J2966" s="21">
        <f t="shared" si="138"/>
        <v>0.21607237892496003</v>
      </c>
      <c r="K2966" s="1">
        <v>2</v>
      </c>
      <c r="L2966" s="24">
        <v>22.8</v>
      </c>
      <c r="M2966" s="24">
        <v>205.65</v>
      </c>
      <c r="N2966" s="21">
        <f t="shared" si="139"/>
        <v>9.4465141032464076E-2</v>
      </c>
      <c r="P2966" s="1">
        <v>4</v>
      </c>
      <c r="Q2966" s="24">
        <v>27.419999999999987</v>
      </c>
      <c r="R2966" s="24">
        <v>201.08</v>
      </c>
      <c r="S2966" s="21">
        <f t="shared" si="140"/>
        <v>7.0143693453964914E-2</v>
      </c>
    </row>
    <row r="2967" spans="2:19" ht="11.4" customHeight="1" x14ac:dyDescent="0.2">
      <c r="B2967" s="24"/>
      <c r="C2967" s="12">
        <v>31737</v>
      </c>
      <c r="D2967" s="18" t="s">
        <v>3083</v>
      </c>
      <c r="E2967" s="18" t="s">
        <v>3075</v>
      </c>
      <c r="F2967" s="18"/>
      <c r="G2967" s="18" t="s">
        <v>23</v>
      </c>
      <c r="H2967" s="17">
        <v>121.9</v>
      </c>
      <c r="I2967" s="13">
        <v>147.5</v>
      </c>
      <c r="J2967" s="21">
        <f t="shared" si="138"/>
        <v>0.21000820344544704</v>
      </c>
      <c r="K2967" s="1">
        <v>2</v>
      </c>
      <c r="L2967" s="24">
        <v>14.7</v>
      </c>
      <c r="M2967" s="24">
        <v>132.75</v>
      </c>
      <c r="N2967" s="21">
        <f t="shared" si="139"/>
        <v>8.9007383100902324E-2</v>
      </c>
      <c r="P2967" s="1">
        <v>4</v>
      </c>
      <c r="Q2967" s="24">
        <v>17.699999999999989</v>
      </c>
      <c r="R2967" s="24">
        <v>129.80000000000001</v>
      </c>
      <c r="S2967" s="21">
        <f t="shared" si="140"/>
        <v>6.4807219031993477E-2</v>
      </c>
    </row>
    <row r="2968" spans="2:19" ht="11.4" customHeight="1" x14ac:dyDescent="0.2">
      <c r="B2968" s="24"/>
      <c r="C2968" s="12">
        <v>28122</v>
      </c>
      <c r="D2968" s="18" t="s">
        <v>3084</v>
      </c>
      <c r="E2968" s="18" t="s">
        <v>3075</v>
      </c>
      <c r="F2968" s="18"/>
      <c r="G2968" s="18" t="s">
        <v>23</v>
      </c>
      <c r="H2968" s="17">
        <v>187.9</v>
      </c>
      <c r="I2968" s="13">
        <v>218.5</v>
      </c>
      <c r="J2968" s="21">
        <f t="shared" si="138"/>
        <v>0.16285258116019155</v>
      </c>
      <c r="K2968" s="1">
        <v>2</v>
      </c>
      <c r="L2968" s="24">
        <v>21.8</v>
      </c>
      <c r="M2968" s="24">
        <v>196.65</v>
      </c>
      <c r="N2968" s="21">
        <f t="shared" si="139"/>
        <v>4.656732304417243E-2</v>
      </c>
      <c r="P2968" s="1">
        <v>4</v>
      </c>
      <c r="Q2968" s="24">
        <v>26.22</v>
      </c>
      <c r="R2968" s="24">
        <v>192.28</v>
      </c>
      <c r="S2968" s="21">
        <f t="shared" si="140"/>
        <v>2.3310271420968576E-2</v>
      </c>
    </row>
    <row r="2969" spans="2:19" ht="11.4" customHeight="1" x14ac:dyDescent="0.2">
      <c r="B2969" s="24"/>
      <c r="C2969" s="12">
        <v>44659</v>
      </c>
      <c r="D2969" s="18" t="s">
        <v>3085</v>
      </c>
      <c r="E2969" s="18" t="s">
        <v>3077</v>
      </c>
      <c r="F2969" s="17">
        <v>28</v>
      </c>
      <c r="G2969" s="18" t="s">
        <v>23</v>
      </c>
      <c r="H2969" s="17">
        <v>31.8</v>
      </c>
      <c r="I2969" s="13">
        <v>41.9</v>
      </c>
      <c r="J2969" s="21">
        <f t="shared" si="138"/>
        <v>0.31761006289308169</v>
      </c>
      <c r="K2969" s="1">
        <v>2</v>
      </c>
      <c r="L2969" s="24">
        <v>4.0999999999999996</v>
      </c>
      <c r="M2969" s="24">
        <v>37.71</v>
      </c>
      <c r="N2969" s="21">
        <f t="shared" si="139"/>
        <v>0.18584905660377357</v>
      </c>
      <c r="P2969" s="1">
        <v>4</v>
      </c>
      <c r="Q2969" s="24">
        <v>5.0279999999999987</v>
      </c>
      <c r="R2969" s="24">
        <v>36.872</v>
      </c>
      <c r="S2969" s="21">
        <f t="shared" si="140"/>
        <v>0.15949685534591193</v>
      </c>
    </row>
    <row r="2970" spans="2:19" ht="11.4" customHeight="1" x14ac:dyDescent="0.2">
      <c r="B2970" s="24"/>
      <c r="C2970" s="12">
        <v>42282</v>
      </c>
      <c r="D2970" s="18" t="s">
        <v>3086</v>
      </c>
      <c r="E2970" s="18" t="s">
        <v>3075</v>
      </c>
      <c r="F2970" s="18"/>
      <c r="G2970" s="18" t="s">
        <v>23</v>
      </c>
      <c r="H2970" s="17">
        <v>55.62</v>
      </c>
      <c r="I2970" s="13">
        <v>84.9</v>
      </c>
      <c r="J2970" s="21">
        <f t="shared" si="138"/>
        <v>0.52642934196332269</v>
      </c>
      <c r="K2970" s="1">
        <v>2</v>
      </c>
      <c r="L2970" s="24">
        <v>8.4</v>
      </c>
      <c r="M2970" s="24">
        <v>76.410000000000011</v>
      </c>
      <c r="N2970" s="21">
        <f t="shared" si="139"/>
        <v>0.37378640776699057</v>
      </c>
      <c r="P2970" s="1">
        <v>4</v>
      </c>
      <c r="Q2970" s="24">
        <v>10.188000000000002</v>
      </c>
      <c r="R2970" s="24">
        <v>74.712000000000003</v>
      </c>
      <c r="S2970" s="21">
        <f t="shared" si="140"/>
        <v>0.34325782092772394</v>
      </c>
    </row>
    <row r="2971" spans="2:19" ht="11.4" customHeight="1" x14ac:dyDescent="0.2">
      <c r="B2971" s="24"/>
      <c r="C2971" s="12">
        <v>8601</v>
      </c>
      <c r="D2971" s="18" t="s">
        <v>3087</v>
      </c>
      <c r="E2971" s="18" t="s">
        <v>3077</v>
      </c>
      <c r="F2971" s="18"/>
      <c r="G2971" s="18" t="s">
        <v>23</v>
      </c>
      <c r="H2971" s="17">
        <v>37.5</v>
      </c>
      <c r="I2971" s="13">
        <v>45.9</v>
      </c>
      <c r="J2971" s="21">
        <f t="shared" si="138"/>
        <v>0.22399999999999995</v>
      </c>
      <c r="K2971" s="1">
        <v>2</v>
      </c>
      <c r="L2971" s="24">
        <v>4.5</v>
      </c>
      <c r="M2971" s="24">
        <v>41.31</v>
      </c>
      <c r="N2971" s="21">
        <f t="shared" si="139"/>
        <v>0.10160000000000007</v>
      </c>
      <c r="P2971" s="1">
        <v>4</v>
      </c>
      <c r="Q2971" s="24">
        <v>5.5080000000000027</v>
      </c>
      <c r="R2971" s="24">
        <v>40.391999999999996</v>
      </c>
      <c r="S2971" s="21">
        <f t="shared" si="140"/>
        <v>7.7119999999999897E-2</v>
      </c>
    </row>
    <row r="2972" spans="2:19" ht="11.4" customHeight="1" x14ac:dyDescent="0.2">
      <c r="B2972" s="24"/>
      <c r="C2972" s="12">
        <v>10322</v>
      </c>
      <c r="D2972" s="18" t="s">
        <v>3088</v>
      </c>
      <c r="E2972" s="18" t="s">
        <v>3075</v>
      </c>
      <c r="F2972" s="18"/>
      <c r="G2972" s="18" t="s">
        <v>23</v>
      </c>
      <c r="H2972" s="17">
        <v>187.9</v>
      </c>
      <c r="I2972" s="13">
        <v>228.5</v>
      </c>
      <c r="J2972" s="21">
        <f t="shared" si="138"/>
        <v>0.21607237892496003</v>
      </c>
      <c r="K2972" s="1">
        <v>2</v>
      </c>
      <c r="L2972" s="24">
        <v>22.8</v>
      </c>
      <c r="M2972" s="24">
        <v>205.65</v>
      </c>
      <c r="N2972" s="21">
        <f t="shared" si="139"/>
        <v>9.4465141032464076E-2</v>
      </c>
      <c r="P2972" s="1">
        <v>4</v>
      </c>
      <c r="Q2972" s="24">
        <v>27.419999999999987</v>
      </c>
      <c r="R2972" s="24">
        <v>201.08</v>
      </c>
      <c r="S2972" s="21">
        <f t="shared" si="140"/>
        <v>7.0143693453964914E-2</v>
      </c>
    </row>
    <row r="2973" spans="2:19" ht="11.4" customHeight="1" x14ac:dyDescent="0.2">
      <c r="B2973" s="24"/>
      <c r="C2973" s="12">
        <v>22554</v>
      </c>
      <c r="D2973" s="18" t="s">
        <v>3089</v>
      </c>
      <c r="E2973" s="18" t="s">
        <v>3077</v>
      </c>
      <c r="F2973" s="18"/>
      <c r="G2973" s="18" t="s">
        <v>23</v>
      </c>
      <c r="H2973" s="17">
        <v>34.5</v>
      </c>
      <c r="I2973" s="13">
        <v>39.9</v>
      </c>
      <c r="J2973" s="21">
        <f t="shared" si="138"/>
        <v>0.15652173913043474</v>
      </c>
      <c r="K2973" s="1">
        <v>2</v>
      </c>
      <c r="L2973" s="24">
        <v>3.9</v>
      </c>
      <c r="M2973" s="24">
        <v>35.909999999999997</v>
      </c>
      <c r="N2973" s="21">
        <f t="shared" si="139"/>
        <v>4.0869565217391206E-2</v>
      </c>
      <c r="P2973" s="1">
        <v>4</v>
      </c>
      <c r="Q2973" s="24">
        <v>4.7879999999999967</v>
      </c>
      <c r="R2973" s="24">
        <v>35.112000000000002</v>
      </c>
      <c r="S2973" s="21">
        <f t="shared" si="140"/>
        <v>1.7739130434782664E-2</v>
      </c>
    </row>
    <row r="2974" spans="2:19" ht="11.4" customHeight="1" x14ac:dyDescent="0.2">
      <c r="B2974" s="24"/>
      <c r="C2974" s="12">
        <v>21930</v>
      </c>
      <c r="D2974" s="18" t="s">
        <v>3090</v>
      </c>
      <c r="E2974" s="18" t="s">
        <v>3075</v>
      </c>
      <c r="F2974" s="18"/>
      <c r="G2974" s="18" t="s">
        <v>23</v>
      </c>
      <c r="H2974" s="17">
        <v>158.4</v>
      </c>
      <c r="I2974" s="13">
        <v>198</v>
      </c>
      <c r="J2974" s="21">
        <f t="shared" si="138"/>
        <v>0.24999999999999994</v>
      </c>
      <c r="K2974" s="1">
        <v>2</v>
      </c>
      <c r="L2974" s="24">
        <v>19.8</v>
      </c>
      <c r="M2974" s="24">
        <v>178.20000000000002</v>
      </c>
      <c r="N2974" s="21">
        <f t="shared" si="139"/>
        <v>0.12500000000000006</v>
      </c>
      <c r="P2974" s="1">
        <v>4</v>
      </c>
      <c r="Q2974" s="24">
        <v>23.759999999999991</v>
      </c>
      <c r="R2974" s="24">
        <v>174.24</v>
      </c>
      <c r="S2974" s="21">
        <f t="shared" si="140"/>
        <v>0.10000000000000002</v>
      </c>
    </row>
    <row r="2975" spans="2:19" ht="11.4" customHeight="1" x14ac:dyDescent="0.2">
      <c r="B2975" s="24"/>
      <c r="C2975" s="12">
        <v>39880</v>
      </c>
      <c r="D2975" s="18" t="s">
        <v>3091</v>
      </c>
      <c r="E2975" s="18" t="s">
        <v>3075</v>
      </c>
      <c r="F2975" s="18"/>
      <c r="G2975" s="18" t="s">
        <v>23</v>
      </c>
      <c r="H2975" s="17">
        <v>187.9</v>
      </c>
      <c r="I2975" s="13">
        <v>218.5</v>
      </c>
      <c r="J2975" s="21">
        <f t="shared" si="138"/>
        <v>0.16285258116019155</v>
      </c>
      <c r="K2975" s="1">
        <v>2</v>
      </c>
      <c r="L2975" s="24">
        <v>21.8</v>
      </c>
      <c r="M2975" s="24">
        <v>196.65</v>
      </c>
      <c r="N2975" s="21">
        <f t="shared" si="139"/>
        <v>4.656732304417243E-2</v>
      </c>
      <c r="P2975" s="1">
        <v>4</v>
      </c>
      <c r="Q2975" s="24">
        <v>26.22</v>
      </c>
      <c r="R2975" s="24">
        <v>192.28</v>
      </c>
      <c r="S2975" s="21">
        <f t="shared" si="140"/>
        <v>2.3310271420968576E-2</v>
      </c>
    </row>
    <row r="2976" spans="2:19" ht="11.4" customHeight="1" x14ac:dyDescent="0.2">
      <c r="B2976" s="24"/>
      <c r="C2976" s="12">
        <v>45410</v>
      </c>
      <c r="D2976" s="18" t="s">
        <v>3092</v>
      </c>
      <c r="E2976" s="18" t="s">
        <v>3075</v>
      </c>
      <c r="F2976" s="17">
        <v>8</v>
      </c>
      <c r="G2976" s="18" t="s">
        <v>23</v>
      </c>
      <c r="H2976" s="17">
        <v>108</v>
      </c>
      <c r="I2976" s="13">
        <v>142.9</v>
      </c>
      <c r="J2976" s="21">
        <f t="shared" si="138"/>
        <v>0.32314814814814818</v>
      </c>
      <c r="K2976" s="1">
        <v>2</v>
      </c>
      <c r="L2976" s="24">
        <v>14.2</v>
      </c>
      <c r="M2976" s="24">
        <v>128.61000000000001</v>
      </c>
      <c r="N2976" s="21">
        <f t="shared" si="139"/>
        <v>0.19083333333333347</v>
      </c>
      <c r="P2976" s="1">
        <v>4</v>
      </c>
      <c r="Q2976" s="24">
        <v>17.147999999999996</v>
      </c>
      <c r="R2976" s="24">
        <v>125.75200000000001</v>
      </c>
      <c r="S2976" s="21">
        <f t="shared" si="140"/>
        <v>0.16437037037037047</v>
      </c>
    </row>
    <row r="2977" spans="2:19" ht="11.4" customHeight="1" x14ac:dyDescent="0.2">
      <c r="B2977" s="24"/>
      <c r="C2977" s="12">
        <v>35801</v>
      </c>
      <c r="D2977" s="18" t="s">
        <v>3093</v>
      </c>
      <c r="E2977" s="18" t="s">
        <v>3077</v>
      </c>
      <c r="F2977" s="17">
        <v>30</v>
      </c>
      <c r="G2977" s="18" t="s">
        <v>23</v>
      </c>
      <c r="H2977" s="17">
        <v>15.2</v>
      </c>
      <c r="I2977" s="13">
        <v>18.899999999999999</v>
      </c>
      <c r="J2977" s="21">
        <f t="shared" si="138"/>
        <v>0.2434210526315789</v>
      </c>
      <c r="K2977" s="1">
        <v>2</v>
      </c>
      <c r="L2977" s="24">
        <v>1.8</v>
      </c>
      <c r="M2977" s="24">
        <v>17.009999999999998</v>
      </c>
      <c r="N2977" s="21">
        <f t="shared" si="139"/>
        <v>0.11907894736842098</v>
      </c>
      <c r="P2977" s="1">
        <v>4</v>
      </c>
      <c r="Q2977" s="24">
        <v>2.2680000000000007</v>
      </c>
      <c r="R2977" s="24">
        <v>16.631999999999998</v>
      </c>
      <c r="S2977" s="21">
        <f t="shared" si="140"/>
        <v>9.4210526315789384E-2</v>
      </c>
    </row>
    <row r="2978" spans="2:19" ht="11.4" customHeight="1" x14ac:dyDescent="0.2">
      <c r="B2978" s="24"/>
      <c r="C2978" s="12">
        <v>44774</v>
      </c>
      <c r="D2978" s="18" t="s">
        <v>3094</v>
      </c>
      <c r="E2978" s="18" t="s">
        <v>3077</v>
      </c>
      <c r="F2978" s="17">
        <v>20</v>
      </c>
      <c r="G2978" s="18" t="s">
        <v>23</v>
      </c>
      <c r="H2978" s="17">
        <v>44.46</v>
      </c>
      <c r="I2978" s="13">
        <v>59.9</v>
      </c>
      <c r="J2978" s="21">
        <f t="shared" si="138"/>
        <v>0.34727845254161038</v>
      </c>
      <c r="K2978" s="1">
        <v>2</v>
      </c>
      <c r="L2978" s="24">
        <v>5.9</v>
      </c>
      <c r="M2978" s="24">
        <v>53.91</v>
      </c>
      <c r="N2978" s="21">
        <f t="shared" si="139"/>
        <v>0.21255060728744929</v>
      </c>
      <c r="P2978" s="1">
        <v>4</v>
      </c>
      <c r="Q2978" s="24">
        <v>7.1880000000000024</v>
      </c>
      <c r="R2978" s="24">
        <v>52.711999999999996</v>
      </c>
      <c r="S2978" s="21">
        <f t="shared" si="140"/>
        <v>0.18560503823661709</v>
      </c>
    </row>
    <row r="2979" spans="2:19" ht="11.4" customHeight="1" x14ac:dyDescent="0.2">
      <c r="B2979" s="24"/>
      <c r="C2979" s="12">
        <v>44773</v>
      </c>
      <c r="D2979" s="18" t="s">
        <v>3095</v>
      </c>
      <c r="E2979" s="18" t="s">
        <v>3077</v>
      </c>
      <c r="F2979" s="17">
        <v>20</v>
      </c>
      <c r="G2979" s="18" t="s">
        <v>23</v>
      </c>
      <c r="H2979" s="17">
        <v>44.46</v>
      </c>
      <c r="I2979" s="13">
        <v>59.9</v>
      </c>
      <c r="J2979" s="21">
        <f t="shared" si="138"/>
        <v>0.34727845254161038</v>
      </c>
      <c r="K2979" s="1">
        <v>2</v>
      </c>
      <c r="L2979" s="24">
        <v>5.9</v>
      </c>
      <c r="M2979" s="24">
        <v>53.91</v>
      </c>
      <c r="N2979" s="21">
        <f t="shared" si="139"/>
        <v>0.21255060728744929</v>
      </c>
      <c r="P2979" s="1">
        <v>4</v>
      </c>
      <c r="Q2979" s="24">
        <v>7.1880000000000024</v>
      </c>
      <c r="R2979" s="24">
        <v>52.711999999999996</v>
      </c>
      <c r="S2979" s="21">
        <f t="shared" si="140"/>
        <v>0.18560503823661709</v>
      </c>
    </row>
    <row r="2980" spans="2:19" ht="11.4" customHeight="1" x14ac:dyDescent="0.2">
      <c r="B2980" s="24"/>
      <c r="C2980" s="12">
        <v>39637</v>
      </c>
      <c r="D2980" s="18" t="s">
        <v>3096</v>
      </c>
      <c r="E2980" s="18" t="s">
        <v>3077</v>
      </c>
      <c r="F2980" s="18"/>
      <c r="G2980" s="18" t="s">
        <v>23</v>
      </c>
      <c r="H2980" s="17">
        <v>55.8</v>
      </c>
      <c r="I2980" s="13">
        <v>66.900000000000006</v>
      </c>
      <c r="J2980" s="21">
        <f t="shared" si="138"/>
        <v>0.19892473118279586</v>
      </c>
      <c r="K2980" s="1">
        <v>2</v>
      </c>
      <c r="L2980" s="24">
        <v>6.6</v>
      </c>
      <c r="M2980" s="24">
        <v>60.210000000000008</v>
      </c>
      <c r="N2980" s="21">
        <f t="shared" si="139"/>
        <v>7.9032258064516331E-2</v>
      </c>
      <c r="P2980" s="1">
        <v>4</v>
      </c>
      <c r="Q2980" s="24">
        <v>8.0279999999999987</v>
      </c>
      <c r="R2980" s="24">
        <v>58.872000000000007</v>
      </c>
      <c r="S2980" s="21">
        <f t="shared" si="140"/>
        <v>5.5053763440860395E-2</v>
      </c>
    </row>
    <row r="2981" spans="2:19" ht="11.4" customHeight="1" x14ac:dyDescent="0.2">
      <c r="B2981" s="24"/>
      <c r="C2981" s="12">
        <v>22533</v>
      </c>
      <c r="D2981" s="18" t="s">
        <v>3097</v>
      </c>
      <c r="E2981" s="18" t="s">
        <v>3077</v>
      </c>
      <c r="F2981" s="18"/>
      <c r="G2981" s="18" t="s">
        <v>23</v>
      </c>
      <c r="H2981" s="17">
        <v>28.5</v>
      </c>
      <c r="I2981" s="13">
        <v>34.5</v>
      </c>
      <c r="J2981" s="21">
        <f t="shared" si="138"/>
        <v>0.21052631578947367</v>
      </c>
      <c r="K2981" s="1">
        <v>2</v>
      </c>
      <c r="L2981" s="24">
        <v>3.4</v>
      </c>
      <c r="M2981" s="24">
        <v>31.05</v>
      </c>
      <c r="N2981" s="21">
        <f t="shared" si="139"/>
        <v>8.9473684210526344E-2</v>
      </c>
      <c r="P2981" s="1">
        <v>4</v>
      </c>
      <c r="Q2981" s="24">
        <v>4.1400000000000006</v>
      </c>
      <c r="R2981" s="24">
        <v>30.36</v>
      </c>
      <c r="S2981" s="21">
        <f t="shared" si="140"/>
        <v>6.5263157894736828E-2</v>
      </c>
    </row>
    <row r="2982" spans="2:19" ht="11.4" customHeight="1" x14ac:dyDescent="0.2">
      <c r="B2982" s="24"/>
      <c r="C2982" s="12">
        <v>3691</v>
      </c>
      <c r="D2982" s="18" t="s">
        <v>3098</v>
      </c>
      <c r="E2982" s="18" t="s">
        <v>3075</v>
      </c>
      <c r="F2982" s="18"/>
      <c r="G2982" s="18" t="s">
        <v>23</v>
      </c>
      <c r="H2982" s="17">
        <v>158.4</v>
      </c>
      <c r="I2982" s="13">
        <v>198</v>
      </c>
      <c r="J2982" s="21">
        <f t="shared" si="138"/>
        <v>0.24999999999999994</v>
      </c>
      <c r="K2982" s="1">
        <v>2</v>
      </c>
      <c r="L2982" s="24">
        <v>19.8</v>
      </c>
      <c r="M2982" s="24">
        <v>178.20000000000002</v>
      </c>
      <c r="N2982" s="21">
        <f t="shared" si="139"/>
        <v>0.12500000000000006</v>
      </c>
      <c r="P2982" s="1">
        <v>4</v>
      </c>
      <c r="Q2982" s="24">
        <v>23.759999999999991</v>
      </c>
      <c r="R2982" s="24">
        <v>174.24</v>
      </c>
      <c r="S2982" s="21">
        <f t="shared" si="140"/>
        <v>0.10000000000000002</v>
      </c>
    </row>
    <row r="2983" spans="2:19" ht="11.4" customHeight="1" x14ac:dyDescent="0.2">
      <c r="B2983" s="24"/>
      <c r="C2983" s="12">
        <v>6351</v>
      </c>
      <c r="D2983" s="18" t="s">
        <v>3099</v>
      </c>
      <c r="E2983" s="18" t="s">
        <v>3077</v>
      </c>
      <c r="F2983" s="18"/>
      <c r="G2983" s="18" t="s">
        <v>23</v>
      </c>
      <c r="H2983" s="17">
        <v>25.3</v>
      </c>
      <c r="I2983" s="13">
        <v>29.5</v>
      </c>
      <c r="J2983" s="21">
        <f t="shared" si="138"/>
        <v>0.16600790513833988</v>
      </c>
      <c r="K2983" s="1">
        <v>2</v>
      </c>
      <c r="L2983" s="24">
        <v>2.9</v>
      </c>
      <c r="M2983" s="24">
        <v>26.55</v>
      </c>
      <c r="N2983" s="21">
        <f t="shared" si="139"/>
        <v>4.9407114624505928E-2</v>
      </c>
      <c r="P2983" s="1">
        <v>4</v>
      </c>
      <c r="Q2983" s="24">
        <v>3.5399999999999991</v>
      </c>
      <c r="R2983" s="24">
        <v>25.96</v>
      </c>
      <c r="S2983" s="21">
        <f t="shared" si="140"/>
        <v>2.6086956521739136E-2</v>
      </c>
    </row>
    <row r="2984" spans="2:19" ht="11.4" customHeight="1" x14ac:dyDescent="0.2">
      <c r="B2984" s="24"/>
      <c r="C2984" s="12">
        <v>1529</v>
      </c>
      <c r="D2984" s="18" t="s">
        <v>3100</v>
      </c>
      <c r="E2984" s="18" t="s">
        <v>3077</v>
      </c>
      <c r="F2984" s="17">
        <v>50</v>
      </c>
      <c r="G2984" s="18" t="s">
        <v>23</v>
      </c>
      <c r="H2984" s="17">
        <v>9.7799999999999994</v>
      </c>
      <c r="I2984" s="13">
        <v>12.9</v>
      </c>
      <c r="J2984" s="21">
        <f t="shared" si="138"/>
        <v>0.31901840490797556</v>
      </c>
      <c r="K2984" s="1">
        <v>2</v>
      </c>
      <c r="L2984" s="24">
        <v>1.2</v>
      </c>
      <c r="M2984" s="24">
        <v>11.610000000000001</v>
      </c>
      <c r="N2984" s="21">
        <f t="shared" si="139"/>
        <v>0.18711656441717811</v>
      </c>
      <c r="P2984" s="1">
        <v>4</v>
      </c>
      <c r="Q2984" s="24">
        <v>1.548</v>
      </c>
      <c r="R2984" s="24">
        <v>11.352</v>
      </c>
      <c r="S2984" s="21">
        <f t="shared" si="140"/>
        <v>0.1607361963190185</v>
      </c>
    </row>
    <row r="2985" spans="2:19" ht="11.4" customHeight="1" x14ac:dyDescent="0.2">
      <c r="B2985" s="24"/>
      <c r="C2985" s="12">
        <v>11910</v>
      </c>
      <c r="D2985" s="18" t="s">
        <v>3101</v>
      </c>
      <c r="E2985" s="18" t="s">
        <v>3077</v>
      </c>
      <c r="F2985" s="18"/>
      <c r="G2985" s="18" t="s">
        <v>23</v>
      </c>
      <c r="H2985" s="17">
        <v>55.8</v>
      </c>
      <c r="I2985" s="13">
        <v>66.900000000000006</v>
      </c>
      <c r="J2985" s="21">
        <f t="shared" si="138"/>
        <v>0.19892473118279586</v>
      </c>
      <c r="K2985" s="1">
        <v>2</v>
      </c>
      <c r="L2985" s="24">
        <v>6.6</v>
      </c>
      <c r="M2985" s="24">
        <v>60.210000000000008</v>
      </c>
      <c r="N2985" s="21">
        <f t="shared" si="139"/>
        <v>7.9032258064516331E-2</v>
      </c>
      <c r="P2985" s="1">
        <v>4</v>
      </c>
      <c r="Q2985" s="24">
        <v>8.0279999999999987</v>
      </c>
      <c r="R2985" s="24">
        <v>58.872000000000007</v>
      </c>
      <c r="S2985" s="21">
        <f t="shared" si="140"/>
        <v>5.5053763440860395E-2</v>
      </c>
    </row>
    <row r="2986" spans="2:19" ht="11.4" customHeight="1" x14ac:dyDescent="0.2">
      <c r="B2986" s="24"/>
      <c r="C2986" s="12">
        <v>45409</v>
      </c>
      <c r="D2986" s="18" t="s">
        <v>3102</v>
      </c>
      <c r="E2986" s="18" t="s">
        <v>3075</v>
      </c>
      <c r="F2986" s="17">
        <v>8</v>
      </c>
      <c r="G2986" s="18" t="s">
        <v>23</v>
      </c>
      <c r="H2986" s="17">
        <v>108</v>
      </c>
      <c r="I2986" s="13">
        <v>142.9</v>
      </c>
      <c r="J2986" s="21">
        <f t="shared" si="138"/>
        <v>0.32314814814814818</v>
      </c>
      <c r="K2986" s="1">
        <v>2</v>
      </c>
      <c r="L2986" s="24">
        <v>14.2</v>
      </c>
      <c r="M2986" s="24">
        <v>128.61000000000001</v>
      </c>
      <c r="N2986" s="21">
        <f t="shared" si="139"/>
        <v>0.19083333333333347</v>
      </c>
      <c r="P2986" s="1">
        <v>4</v>
      </c>
      <c r="Q2986" s="24">
        <v>17.147999999999996</v>
      </c>
      <c r="R2986" s="24">
        <v>125.75200000000001</v>
      </c>
      <c r="S2986" s="21">
        <f t="shared" si="140"/>
        <v>0.16437037037037047</v>
      </c>
    </row>
    <row r="2987" spans="2:19" ht="11.4" customHeight="1" x14ac:dyDescent="0.2">
      <c r="B2987" s="24"/>
      <c r="C2987" s="12">
        <v>22912</v>
      </c>
      <c r="D2987" s="18" t="s">
        <v>3103</v>
      </c>
      <c r="E2987" s="18" t="s">
        <v>3077</v>
      </c>
      <c r="F2987" s="18"/>
      <c r="G2987" s="18" t="s">
        <v>23</v>
      </c>
      <c r="H2987" s="17">
        <v>28.5</v>
      </c>
      <c r="I2987" s="13">
        <v>34.5</v>
      </c>
      <c r="J2987" s="21">
        <f t="shared" si="138"/>
        <v>0.21052631578947367</v>
      </c>
      <c r="K2987" s="1">
        <v>2</v>
      </c>
      <c r="L2987" s="24">
        <v>3.4</v>
      </c>
      <c r="M2987" s="24">
        <v>31.05</v>
      </c>
      <c r="N2987" s="21">
        <f t="shared" si="139"/>
        <v>8.9473684210526344E-2</v>
      </c>
      <c r="P2987" s="1">
        <v>4</v>
      </c>
      <c r="Q2987" s="24">
        <v>4.1400000000000006</v>
      </c>
      <c r="R2987" s="24">
        <v>30.36</v>
      </c>
      <c r="S2987" s="21">
        <f t="shared" si="140"/>
        <v>6.5263157894736828E-2</v>
      </c>
    </row>
    <row r="2988" spans="2:19" ht="11.4" customHeight="1" x14ac:dyDescent="0.2">
      <c r="B2988" s="24"/>
      <c r="C2988" s="12">
        <v>35807</v>
      </c>
      <c r="D2988" s="18" t="s">
        <v>3104</v>
      </c>
      <c r="E2988" s="18" t="s">
        <v>3077</v>
      </c>
      <c r="F2988" s="17">
        <v>24</v>
      </c>
      <c r="G2988" s="18" t="s">
        <v>23</v>
      </c>
      <c r="H2988" s="17">
        <v>42.3</v>
      </c>
      <c r="I2988" s="13">
        <v>48.9</v>
      </c>
      <c r="J2988" s="21">
        <f t="shared" si="138"/>
        <v>0.15602836879432627</v>
      </c>
      <c r="K2988" s="1">
        <v>2</v>
      </c>
      <c r="L2988" s="24">
        <v>4.8</v>
      </c>
      <c r="M2988" s="24">
        <v>44.01</v>
      </c>
      <c r="N2988" s="21">
        <f t="shared" si="139"/>
        <v>4.0425531914893641E-2</v>
      </c>
      <c r="P2988" s="1">
        <v>4</v>
      </c>
      <c r="Q2988" s="24">
        <v>5.8680000000000021</v>
      </c>
      <c r="R2988" s="24">
        <v>43.031999999999996</v>
      </c>
      <c r="S2988" s="21">
        <f t="shared" si="140"/>
        <v>1.7304964539007078E-2</v>
      </c>
    </row>
    <row r="2989" spans="2:19" ht="11.4" customHeight="1" x14ac:dyDescent="0.2">
      <c r="B2989" s="24"/>
      <c r="C2989" s="12">
        <v>7660</v>
      </c>
      <c r="D2989" s="18" t="s">
        <v>3105</v>
      </c>
      <c r="E2989" s="18" t="s">
        <v>3077</v>
      </c>
      <c r="F2989" s="17">
        <v>24</v>
      </c>
      <c r="G2989" s="18" t="s">
        <v>23</v>
      </c>
      <c r="H2989" s="17">
        <v>42.3</v>
      </c>
      <c r="I2989" s="13">
        <v>48.9</v>
      </c>
      <c r="J2989" s="21">
        <f t="shared" si="138"/>
        <v>0.15602836879432627</v>
      </c>
      <c r="K2989" s="1">
        <v>2</v>
      </c>
      <c r="L2989" s="24">
        <v>4.8</v>
      </c>
      <c r="M2989" s="24">
        <v>44.01</v>
      </c>
      <c r="N2989" s="21">
        <f t="shared" si="139"/>
        <v>4.0425531914893641E-2</v>
      </c>
      <c r="P2989" s="1">
        <v>4</v>
      </c>
      <c r="Q2989" s="24">
        <v>5.8680000000000021</v>
      </c>
      <c r="R2989" s="24">
        <v>43.031999999999996</v>
      </c>
      <c r="S2989" s="21">
        <f t="shared" si="140"/>
        <v>1.7304964539007078E-2</v>
      </c>
    </row>
    <row r="2990" spans="2:19" ht="11.4" customHeight="1" x14ac:dyDescent="0.2">
      <c r="B2990" s="24"/>
      <c r="C2990" s="12">
        <v>18369</v>
      </c>
      <c r="D2990" s="18" t="s">
        <v>3106</v>
      </c>
      <c r="E2990" s="18" t="s">
        <v>3077</v>
      </c>
      <c r="F2990" s="17">
        <v>24</v>
      </c>
      <c r="G2990" s="18" t="s">
        <v>23</v>
      </c>
      <c r="H2990" s="17">
        <v>42.3</v>
      </c>
      <c r="I2990" s="13">
        <v>51.5</v>
      </c>
      <c r="J2990" s="21">
        <f t="shared" si="138"/>
        <v>0.21749408983451546</v>
      </c>
      <c r="K2990" s="1">
        <v>2</v>
      </c>
      <c r="L2990" s="24">
        <v>5.0999999999999996</v>
      </c>
      <c r="M2990" s="24">
        <v>46.35</v>
      </c>
      <c r="N2990" s="21">
        <f t="shared" si="139"/>
        <v>9.574468085106394E-2</v>
      </c>
      <c r="P2990" s="1">
        <v>4</v>
      </c>
      <c r="Q2990" s="24">
        <v>6.18</v>
      </c>
      <c r="R2990" s="24">
        <v>45.32</v>
      </c>
      <c r="S2990" s="21">
        <f t="shared" si="140"/>
        <v>7.1394799054373598E-2</v>
      </c>
    </row>
    <row r="2991" spans="2:19" ht="11.4" customHeight="1" x14ac:dyDescent="0.2">
      <c r="B2991" s="24"/>
      <c r="C2991" s="12">
        <v>14608</v>
      </c>
      <c r="D2991" s="18" t="s">
        <v>3107</v>
      </c>
      <c r="E2991" s="18" t="s">
        <v>3077</v>
      </c>
      <c r="F2991" s="17">
        <v>24</v>
      </c>
      <c r="G2991" s="18" t="s">
        <v>23</v>
      </c>
      <c r="H2991" s="17">
        <v>42.3</v>
      </c>
      <c r="I2991" s="13">
        <v>48.9</v>
      </c>
      <c r="J2991" s="21">
        <f t="shared" si="138"/>
        <v>0.15602836879432627</v>
      </c>
      <c r="K2991" s="1">
        <v>2</v>
      </c>
      <c r="L2991" s="24">
        <v>4.8</v>
      </c>
      <c r="M2991" s="24">
        <v>44.01</v>
      </c>
      <c r="N2991" s="21">
        <f t="shared" si="139"/>
        <v>4.0425531914893641E-2</v>
      </c>
      <c r="P2991" s="1">
        <v>4</v>
      </c>
      <c r="Q2991" s="24">
        <v>5.8680000000000021</v>
      </c>
      <c r="R2991" s="24">
        <v>43.031999999999996</v>
      </c>
      <c r="S2991" s="21">
        <f t="shared" si="140"/>
        <v>1.7304964539007078E-2</v>
      </c>
    </row>
    <row r="2992" spans="2:19" ht="11.4" customHeight="1" x14ac:dyDescent="0.2">
      <c r="B2992" s="24"/>
      <c r="C2992" s="12">
        <v>12018</v>
      </c>
      <c r="D2992" s="18" t="s">
        <v>3108</v>
      </c>
      <c r="E2992" s="18" t="s">
        <v>3075</v>
      </c>
      <c r="F2992" s="18"/>
      <c r="G2992" s="18" t="s">
        <v>23</v>
      </c>
      <c r="H2992" s="17">
        <v>122.8</v>
      </c>
      <c r="I2992" s="13">
        <v>139.9</v>
      </c>
      <c r="J2992" s="21">
        <f t="shared" si="138"/>
        <v>0.13925081433224762</v>
      </c>
      <c r="K2992" s="1">
        <v>2</v>
      </c>
      <c r="L2992" s="24">
        <v>13.9</v>
      </c>
      <c r="M2992" s="24">
        <v>125.91000000000001</v>
      </c>
      <c r="N2992" s="21">
        <f t="shared" si="139"/>
        <v>2.5325732899022912E-2</v>
      </c>
      <c r="P2992" s="1">
        <v>4</v>
      </c>
      <c r="Q2992" s="24">
        <v>16.787999999999997</v>
      </c>
      <c r="R2992" s="24">
        <v>123.11200000000001</v>
      </c>
      <c r="S2992" s="21">
        <f t="shared" si="140"/>
        <v>2.5407166123779467E-3</v>
      </c>
    </row>
    <row r="2993" spans="2:19" ht="11.4" customHeight="1" x14ac:dyDescent="0.2">
      <c r="B2993" s="24"/>
      <c r="C2993" s="12">
        <v>39997</v>
      </c>
      <c r="D2993" s="18" t="s">
        <v>3109</v>
      </c>
      <c r="E2993" s="18" t="s">
        <v>3077</v>
      </c>
      <c r="F2993" s="17">
        <v>6</v>
      </c>
      <c r="G2993" s="18" t="s">
        <v>23</v>
      </c>
      <c r="H2993" s="17">
        <v>123.6</v>
      </c>
      <c r="I2993" s="13">
        <v>163.9</v>
      </c>
      <c r="J2993" s="21">
        <f t="shared" si="138"/>
        <v>0.32605177993527518</v>
      </c>
      <c r="K2993" s="1">
        <v>2</v>
      </c>
      <c r="L2993" s="24">
        <v>16.3</v>
      </c>
      <c r="M2993" s="24">
        <v>147.51000000000002</v>
      </c>
      <c r="N2993" s="21">
        <f t="shared" si="139"/>
        <v>0.19344660194174779</v>
      </c>
      <c r="P2993" s="1">
        <v>4</v>
      </c>
      <c r="Q2993" s="24">
        <v>19.668000000000006</v>
      </c>
      <c r="R2993" s="24">
        <v>144.232</v>
      </c>
      <c r="S2993" s="21">
        <f t="shared" si="140"/>
        <v>0.16692556634304212</v>
      </c>
    </row>
    <row r="2994" spans="2:19" ht="11.4" customHeight="1" x14ac:dyDescent="0.2">
      <c r="B2994" s="24"/>
      <c r="C2994" s="12">
        <v>3688</v>
      </c>
      <c r="D2994" s="18" t="s">
        <v>3110</v>
      </c>
      <c r="E2994" s="18" t="s">
        <v>3077</v>
      </c>
      <c r="F2994" s="18"/>
      <c r="G2994" s="18" t="s">
        <v>23</v>
      </c>
      <c r="H2994" s="17">
        <v>30.6</v>
      </c>
      <c r="I2994" s="13">
        <v>40.5</v>
      </c>
      <c r="J2994" s="21">
        <f t="shared" si="138"/>
        <v>0.32352941176470584</v>
      </c>
      <c r="K2994" s="1">
        <v>2</v>
      </c>
      <c r="L2994" s="24">
        <v>4</v>
      </c>
      <c r="M2994" s="24">
        <v>36.450000000000003</v>
      </c>
      <c r="N2994" s="21">
        <f t="shared" si="139"/>
        <v>0.19117647058823534</v>
      </c>
      <c r="P2994" s="1">
        <v>4</v>
      </c>
      <c r="Q2994" s="24">
        <v>4.8599999999999994</v>
      </c>
      <c r="R2994" s="24">
        <v>35.64</v>
      </c>
      <c r="S2994" s="21">
        <f t="shared" si="140"/>
        <v>0.16470588235294115</v>
      </c>
    </row>
    <row r="2995" spans="2:19" ht="11.4" customHeight="1" x14ac:dyDescent="0.2">
      <c r="B2995" s="24"/>
      <c r="C2995" s="12">
        <v>17300</v>
      </c>
      <c r="D2995" s="18" t="s">
        <v>3111</v>
      </c>
      <c r="E2995" s="18" t="s">
        <v>3077</v>
      </c>
      <c r="F2995" s="18"/>
      <c r="G2995" s="18" t="s">
        <v>23</v>
      </c>
      <c r="H2995" s="17">
        <v>24.6</v>
      </c>
      <c r="I2995" s="13">
        <v>31.9</v>
      </c>
      <c r="J2995" s="21">
        <f t="shared" si="138"/>
        <v>0.29674796747967469</v>
      </c>
      <c r="K2995" s="1">
        <v>2</v>
      </c>
      <c r="L2995" s="24">
        <v>3.1</v>
      </c>
      <c r="M2995" s="24">
        <v>28.71</v>
      </c>
      <c r="N2995" s="21">
        <f t="shared" si="139"/>
        <v>0.16707317073170727</v>
      </c>
      <c r="P2995" s="1">
        <v>4</v>
      </c>
      <c r="Q2995" s="24">
        <v>3.8279999999999994</v>
      </c>
      <c r="R2995" s="24">
        <v>28.071999999999999</v>
      </c>
      <c r="S2995" s="21">
        <f t="shared" si="140"/>
        <v>0.14113821138211372</v>
      </c>
    </row>
    <row r="2996" spans="2:19" ht="11.4" customHeight="1" x14ac:dyDescent="0.2">
      <c r="B2996" s="24"/>
      <c r="C2996" s="12">
        <v>9203</v>
      </c>
      <c r="D2996" s="18" t="s">
        <v>3112</v>
      </c>
      <c r="E2996" s="18" t="s">
        <v>3077</v>
      </c>
      <c r="F2996" s="18"/>
      <c r="G2996" s="18" t="s">
        <v>23</v>
      </c>
      <c r="H2996" s="17">
        <v>34.5</v>
      </c>
      <c r="I2996" s="13">
        <v>40.5</v>
      </c>
      <c r="J2996" s="21">
        <f t="shared" si="138"/>
        <v>0.17391304347826086</v>
      </c>
      <c r="K2996" s="1">
        <v>2</v>
      </c>
      <c r="L2996" s="24">
        <v>4</v>
      </c>
      <c r="M2996" s="24">
        <v>36.450000000000003</v>
      </c>
      <c r="N2996" s="21">
        <f t="shared" si="139"/>
        <v>5.6521739130434866E-2</v>
      </c>
      <c r="P2996" s="1">
        <v>4</v>
      </c>
      <c r="Q2996" s="24">
        <v>4.8599999999999994</v>
      </c>
      <c r="R2996" s="24">
        <v>35.64</v>
      </c>
      <c r="S2996" s="21">
        <f t="shared" si="140"/>
        <v>3.3043478260869584E-2</v>
      </c>
    </row>
    <row r="2997" spans="2:19" ht="11.4" customHeight="1" x14ac:dyDescent="0.2">
      <c r="B2997" s="24"/>
      <c r="C2997" s="12">
        <v>3585</v>
      </c>
      <c r="D2997" s="18" t="s">
        <v>3113</v>
      </c>
      <c r="E2997" s="18" t="s">
        <v>3077</v>
      </c>
      <c r="F2997" s="18"/>
      <c r="G2997" s="18" t="s">
        <v>23</v>
      </c>
      <c r="H2997" s="17">
        <v>33</v>
      </c>
      <c r="I2997" s="13">
        <v>41.9</v>
      </c>
      <c r="J2997" s="21">
        <f t="shared" si="138"/>
        <v>0.26969696969696966</v>
      </c>
      <c r="K2997" s="1">
        <v>2</v>
      </c>
      <c r="L2997" s="24">
        <v>4.0999999999999996</v>
      </c>
      <c r="M2997" s="24">
        <v>37.71</v>
      </c>
      <c r="N2997" s="21">
        <f t="shared" si="139"/>
        <v>0.14272727272727276</v>
      </c>
      <c r="P2997" s="1">
        <v>4</v>
      </c>
      <c r="Q2997" s="24">
        <v>5.0279999999999987</v>
      </c>
      <c r="R2997" s="24">
        <v>36.872</v>
      </c>
      <c r="S2997" s="21">
        <f t="shared" si="140"/>
        <v>0.11733333333333333</v>
      </c>
    </row>
    <row r="2998" spans="2:19" ht="11.4" customHeight="1" x14ac:dyDescent="0.2">
      <c r="B2998" s="24"/>
      <c r="C2998" s="12">
        <v>44661</v>
      </c>
      <c r="D2998" s="18" t="s">
        <v>3114</v>
      </c>
      <c r="E2998" s="18" t="s">
        <v>3077</v>
      </c>
      <c r="F2998" s="17">
        <v>28</v>
      </c>
      <c r="G2998" s="18" t="s">
        <v>23</v>
      </c>
      <c r="H2998" s="17">
        <v>37.5</v>
      </c>
      <c r="I2998" s="13">
        <v>49.5</v>
      </c>
      <c r="J2998" s="21">
        <f t="shared" si="138"/>
        <v>0.32</v>
      </c>
      <c r="K2998" s="1">
        <v>2</v>
      </c>
      <c r="L2998" s="24">
        <v>4.9000000000000004</v>
      </c>
      <c r="M2998" s="24">
        <v>44.550000000000004</v>
      </c>
      <c r="N2998" s="21">
        <f t="shared" si="139"/>
        <v>0.18800000000000011</v>
      </c>
      <c r="P2998" s="1">
        <v>4</v>
      </c>
      <c r="Q2998" s="24">
        <v>5.9399999999999977</v>
      </c>
      <c r="R2998" s="24">
        <v>43.56</v>
      </c>
      <c r="S2998" s="21">
        <f t="shared" si="140"/>
        <v>0.16160000000000005</v>
      </c>
    </row>
    <row r="2999" spans="2:19" ht="11.4" customHeight="1" x14ac:dyDescent="0.2">
      <c r="B2999" s="24"/>
      <c r="C2999" s="12">
        <v>41711</v>
      </c>
      <c r="D2999" s="18" t="s">
        <v>3115</v>
      </c>
      <c r="E2999" s="18" t="s">
        <v>3077</v>
      </c>
      <c r="F2999" s="18"/>
      <c r="G2999" s="18" t="s">
        <v>23</v>
      </c>
      <c r="H2999" s="17">
        <v>29.1</v>
      </c>
      <c r="I2999" s="13">
        <v>37.9</v>
      </c>
      <c r="J2999" s="21">
        <f t="shared" si="138"/>
        <v>0.30240549828178681</v>
      </c>
      <c r="K2999" s="1">
        <v>2</v>
      </c>
      <c r="L2999" s="24">
        <v>3.7</v>
      </c>
      <c r="M2999" s="24">
        <v>34.11</v>
      </c>
      <c r="N2999" s="21">
        <f t="shared" si="139"/>
        <v>0.17216494845360816</v>
      </c>
      <c r="P2999" s="1">
        <v>4</v>
      </c>
      <c r="Q2999" s="24">
        <v>4.5480000000000018</v>
      </c>
      <c r="R2999" s="24">
        <v>33.351999999999997</v>
      </c>
      <c r="S2999" s="21">
        <f t="shared" si="140"/>
        <v>0.14611683848797233</v>
      </c>
    </row>
    <row r="3000" spans="2:19" ht="11.4" customHeight="1" x14ac:dyDescent="0.2">
      <c r="B3000" s="24"/>
      <c r="C3000" s="12">
        <v>8606</v>
      </c>
      <c r="D3000" s="18" t="s">
        <v>3116</v>
      </c>
      <c r="E3000" s="18" t="s">
        <v>3077</v>
      </c>
      <c r="F3000" s="18"/>
      <c r="G3000" s="18" t="s">
        <v>23</v>
      </c>
      <c r="H3000" s="17">
        <v>34.5</v>
      </c>
      <c r="I3000" s="13">
        <v>41.9</v>
      </c>
      <c r="J3000" s="21">
        <f t="shared" si="138"/>
        <v>0.21449275362318837</v>
      </c>
      <c r="K3000" s="1">
        <v>2</v>
      </c>
      <c r="L3000" s="24">
        <v>4.0999999999999996</v>
      </c>
      <c r="M3000" s="24">
        <v>37.71</v>
      </c>
      <c r="N3000" s="21">
        <f t="shared" si="139"/>
        <v>9.3043478260869589E-2</v>
      </c>
      <c r="P3000" s="1">
        <v>4</v>
      </c>
      <c r="Q3000" s="24">
        <v>5.0279999999999987</v>
      </c>
      <c r="R3000" s="24">
        <v>36.872</v>
      </c>
      <c r="S3000" s="21">
        <f t="shared" si="140"/>
        <v>6.8753623188405791E-2</v>
      </c>
    </row>
    <row r="3001" spans="2:19" ht="11.4" customHeight="1" x14ac:dyDescent="0.2">
      <c r="B3001" s="24"/>
      <c r="C3001" s="12">
        <v>45405</v>
      </c>
      <c r="D3001" s="18" t="s">
        <v>3117</v>
      </c>
      <c r="E3001" s="18" t="s">
        <v>3077</v>
      </c>
      <c r="F3001" s="17">
        <v>16</v>
      </c>
      <c r="G3001" s="18" t="s">
        <v>23</v>
      </c>
      <c r="H3001" s="18"/>
      <c r="I3001" s="13">
        <v>39.5</v>
      </c>
      <c r="J3001" s="21" t="e">
        <f t="shared" si="138"/>
        <v>#DIV/0!</v>
      </c>
      <c r="K3001" s="1">
        <v>2</v>
      </c>
      <c r="L3001" s="24">
        <v>3.9</v>
      </c>
      <c r="M3001" s="24">
        <v>35.550000000000004</v>
      </c>
      <c r="N3001" s="21" t="e">
        <f t="shared" si="139"/>
        <v>#DIV/0!</v>
      </c>
      <c r="P3001" s="1">
        <v>4</v>
      </c>
      <c r="Q3001" s="24">
        <v>4.740000000000002</v>
      </c>
      <c r="R3001" s="24">
        <v>34.76</v>
      </c>
      <c r="S3001" s="21" t="e">
        <f t="shared" si="140"/>
        <v>#DIV/0!</v>
      </c>
    </row>
    <row r="3002" spans="2:19" ht="11.4" customHeight="1" x14ac:dyDescent="0.2">
      <c r="B3002" s="24"/>
      <c r="C3002" s="12">
        <v>29178</v>
      </c>
      <c r="D3002" s="18" t="s">
        <v>3118</v>
      </c>
      <c r="E3002" s="18" t="s">
        <v>3077</v>
      </c>
      <c r="F3002" s="18"/>
      <c r="G3002" s="18" t="s">
        <v>23</v>
      </c>
      <c r="H3002" s="17">
        <v>31.7</v>
      </c>
      <c r="I3002" s="13">
        <v>39.5</v>
      </c>
      <c r="J3002" s="21">
        <f t="shared" si="138"/>
        <v>0.24605678233438488</v>
      </c>
      <c r="K3002" s="1">
        <v>2</v>
      </c>
      <c r="L3002" s="24">
        <v>3.9</v>
      </c>
      <c r="M3002" s="24">
        <v>35.550000000000004</v>
      </c>
      <c r="N3002" s="21">
        <f t="shared" si="139"/>
        <v>0.12145110410094653</v>
      </c>
      <c r="P3002" s="1">
        <v>4</v>
      </c>
      <c r="Q3002" s="24">
        <v>4.740000000000002</v>
      </c>
      <c r="R3002" s="24">
        <v>34.76</v>
      </c>
      <c r="S3002" s="21">
        <f t="shared" si="140"/>
        <v>9.6529968454258638E-2</v>
      </c>
    </row>
    <row r="3003" spans="2:19" ht="11.4" customHeight="1" x14ac:dyDescent="0.2">
      <c r="B3003" s="24"/>
      <c r="C3003" s="12">
        <v>23556</v>
      </c>
      <c r="D3003" s="18" t="s">
        <v>3119</v>
      </c>
      <c r="E3003" s="18" t="s">
        <v>3075</v>
      </c>
      <c r="F3003" s="18"/>
      <c r="G3003" s="18" t="s">
        <v>23</v>
      </c>
      <c r="H3003" s="17">
        <v>229.7</v>
      </c>
      <c r="I3003" s="13">
        <v>239.9</v>
      </c>
      <c r="J3003" s="21">
        <f t="shared" si="138"/>
        <v>4.4405746626034033E-2</v>
      </c>
      <c r="K3003" s="1">
        <v>2</v>
      </c>
      <c r="L3003" s="24">
        <v>23.9</v>
      </c>
      <c r="M3003" s="24">
        <v>215.91</v>
      </c>
      <c r="N3003" s="21">
        <f t="shared" si="139"/>
        <v>-6.0034828036569406E-2</v>
      </c>
      <c r="P3003" s="1">
        <v>4</v>
      </c>
      <c r="Q3003" s="24">
        <v>28.788000000000011</v>
      </c>
      <c r="R3003" s="24">
        <v>211.11199999999999</v>
      </c>
      <c r="S3003" s="21">
        <f t="shared" si="140"/>
        <v>-8.0922942969090098E-2</v>
      </c>
    </row>
    <row r="3004" spans="2:19" ht="11.4" customHeight="1" x14ac:dyDescent="0.2">
      <c r="B3004" s="24"/>
      <c r="C3004" s="12">
        <v>11818</v>
      </c>
      <c r="D3004" s="18" t="s">
        <v>3120</v>
      </c>
      <c r="E3004" s="18" t="s">
        <v>3077</v>
      </c>
      <c r="F3004" s="18"/>
      <c r="G3004" s="18" t="s">
        <v>23</v>
      </c>
      <c r="H3004" s="17">
        <v>59.5</v>
      </c>
      <c r="I3004" s="13">
        <v>69.5</v>
      </c>
      <c r="J3004" s="21">
        <f t="shared" si="138"/>
        <v>0.16806722689075632</v>
      </c>
      <c r="K3004" s="1">
        <v>2</v>
      </c>
      <c r="L3004" s="24">
        <v>6.9</v>
      </c>
      <c r="M3004" s="24">
        <v>62.550000000000004</v>
      </c>
      <c r="N3004" s="21">
        <f t="shared" si="139"/>
        <v>5.1260504201680747E-2</v>
      </c>
      <c r="P3004" s="1">
        <v>4</v>
      </c>
      <c r="Q3004" s="24">
        <v>8.3399999999999963</v>
      </c>
      <c r="R3004" s="24">
        <v>61.160000000000004</v>
      </c>
      <c r="S3004" s="21">
        <f t="shared" si="140"/>
        <v>2.7899159663865608E-2</v>
      </c>
    </row>
    <row r="3005" spans="2:19" ht="11.4" customHeight="1" x14ac:dyDescent="0.2">
      <c r="B3005" s="24"/>
      <c r="C3005" s="12">
        <v>29339</v>
      </c>
      <c r="D3005" s="18" t="s">
        <v>3121</v>
      </c>
      <c r="E3005" s="18" t="s">
        <v>3077</v>
      </c>
      <c r="F3005" s="18"/>
      <c r="G3005" s="18" t="s">
        <v>23</v>
      </c>
      <c r="H3005" s="17">
        <v>31.7</v>
      </c>
      <c r="I3005" s="13">
        <v>39.5</v>
      </c>
      <c r="J3005" s="21">
        <f t="shared" si="138"/>
        <v>0.24605678233438488</v>
      </c>
      <c r="K3005" s="1">
        <v>2</v>
      </c>
      <c r="L3005" s="24">
        <v>3.9</v>
      </c>
      <c r="M3005" s="24">
        <v>35.550000000000004</v>
      </c>
      <c r="N3005" s="21">
        <f t="shared" si="139"/>
        <v>0.12145110410094653</v>
      </c>
      <c r="P3005" s="1">
        <v>4</v>
      </c>
      <c r="Q3005" s="24">
        <v>4.740000000000002</v>
      </c>
      <c r="R3005" s="24">
        <v>34.76</v>
      </c>
      <c r="S3005" s="21">
        <f t="shared" si="140"/>
        <v>9.6529968454258638E-2</v>
      </c>
    </row>
    <row r="3006" spans="2:19" ht="11.4" customHeight="1" x14ac:dyDescent="0.2">
      <c r="B3006" s="24"/>
      <c r="C3006" s="12">
        <v>41710</v>
      </c>
      <c r="D3006" s="18" t="s">
        <v>3122</v>
      </c>
      <c r="E3006" s="18" t="s">
        <v>3077</v>
      </c>
      <c r="F3006" s="18"/>
      <c r="G3006" s="18" t="s">
        <v>23</v>
      </c>
      <c r="H3006" s="17">
        <v>29.1</v>
      </c>
      <c r="I3006" s="13">
        <v>37.9</v>
      </c>
      <c r="J3006" s="21">
        <f t="shared" si="138"/>
        <v>0.30240549828178681</v>
      </c>
      <c r="K3006" s="1">
        <v>2</v>
      </c>
      <c r="L3006" s="24">
        <v>3.7</v>
      </c>
      <c r="M3006" s="24">
        <v>34.11</v>
      </c>
      <c r="N3006" s="21">
        <f t="shared" si="139"/>
        <v>0.17216494845360816</v>
      </c>
      <c r="P3006" s="1">
        <v>4</v>
      </c>
      <c r="Q3006" s="24">
        <v>4.5480000000000018</v>
      </c>
      <c r="R3006" s="24">
        <v>33.351999999999997</v>
      </c>
      <c r="S3006" s="21">
        <f t="shared" si="140"/>
        <v>0.14611683848797233</v>
      </c>
    </row>
    <row r="3007" spans="2:19" ht="11.4" customHeight="1" x14ac:dyDescent="0.2">
      <c r="B3007" s="24"/>
      <c r="C3007" s="12">
        <v>23558</v>
      </c>
      <c r="D3007" s="18" t="s">
        <v>3123</v>
      </c>
      <c r="E3007" s="18" t="s">
        <v>3075</v>
      </c>
      <c r="F3007" s="18"/>
      <c r="G3007" s="18" t="s">
        <v>23</v>
      </c>
      <c r="H3007" s="17">
        <v>229.7</v>
      </c>
      <c r="I3007" s="13">
        <v>239.9</v>
      </c>
      <c r="J3007" s="21">
        <f t="shared" si="138"/>
        <v>4.4405746626034033E-2</v>
      </c>
      <c r="K3007" s="1">
        <v>2</v>
      </c>
      <c r="L3007" s="24">
        <v>23.9</v>
      </c>
      <c r="M3007" s="24">
        <v>215.91</v>
      </c>
      <c r="N3007" s="21">
        <f t="shared" si="139"/>
        <v>-6.0034828036569406E-2</v>
      </c>
      <c r="P3007" s="1">
        <v>4</v>
      </c>
      <c r="Q3007" s="24">
        <v>28.788000000000011</v>
      </c>
      <c r="R3007" s="24">
        <v>211.11199999999999</v>
      </c>
      <c r="S3007" s="21">
        <f t="shared" si="140"/>
        <v>-8.0922942969090098E-2</v>
      </c>
    </row>
    <row r="3008" spans="2:19" ht="11.4" customHeight="1" x14ac:dyDescent="0.2">
      <c r="B3008" s="24"/>
      <c r="C3008" s="12">
        <v>23557</v>
      </c>
      <c r="D3008" s="18" t="s">
        <v>3124</v>
      </c>
      <c r="E3008" s="18" t="s">
        <v>3075</v>
      </c>
      <c r="F3008" s="18"/>
      <c r="G3008" s="18" t="s">
        <v>23</v>
      </c>
      <c r="H3008" s="17">
        <v>229.7</v>
      </c>
      <c r="I3008" s="13">
        <v>239.9</v>
      </c>
      <c r="J3008" s="21">
        <f t="shared" si="138"/>
        <v>4.4405746626034033E-2</v>
      </c>
      <c r="K3008" s="1">
        <v>2</v>
      </c>
      <c r="L3008" s="24">
        <v>23.9</v>
      </c>
      <c r="M3008" s="24">
        <v>215.91</v>
      </c>
      <c r="N3008" s="21">
        <f t="shared" si="139"/>
        <v>-6.0034828036569406E-2</v>
      </c>
      <c r="P3008" s="1">
        <v>4</v>
      </c>
      <c r="Q3008" s="24">
        <v>28.788000000000011</v>
      </c>
      <c r="R3008" s="24">
        <v>211.11199999999999</v>
      </c>
      <c r="S3008" s="21">
        <f t="shared" si="140"/>
        <v>-8.0922942969090098E-2</v>
      </c>
    </row>
    <row r="3009" spans="2:19" ht="11.4" customHeight="1" x14ac:dyDescent="0.2">
      <c r="B3009" s="24"/>
      <c r="C3009" s="12">
        <v>16636</v>
      </c>
      <c r="D3009" s="18" t="s">
        <v>3125</v>
      </c>
      <c r="E3009" s="18" t="s">
        <v>3077</v>
      </c>
      <c r="F3009" s="18"/>
      <c r="G3009" s="18" t="s">
        <v>23</v>
      </c>
      <c r="H3009" s="17">
        <v>59.5</v>
      </c>
      <c r="I3009" s="13">
        <v>69.5</v>
      </c>
      <c r="J3009" s="21">
        <f t="shared" si="138"/>
        <v>0.16806722689075632</v>
      </c>
      <c r="K3009" s="1">
        <v>2</v>
      </c>
      <c r="L3009" s="24">
        <v>6.9</v>
      </c>
      <c r="M3009" s="24">
        <v>62.550000000000004</v>
      </c>
      <c r="N3009" s="21">
        <f t="shared" si="139"/>
        <v>5.1260504201680747E-2</v>
      </c>
      <c r="P3009" s="1">
        <v>4</v>
      </c>
      <c r="Q3009" s="24">
        <v>8.3399999999999963</v>
      </c>
      <c r="R3009" s="24">
        <v>61.160000000000004</v>
      </c>
      <c r="S3009" s="21">
        <f t="shared" si="140"/>
        <v>2.7899159663865608E-2</v>
      </c>
    </row>
    <row r="3010" spans="2:19" ht="11.4" customHeight="1" x14ac:dyDescent="0.2">
      <c r="B3010" s="24"/>
      <c r="C3010" s="12">
        <v>40802</v>
      </c>
      <c r="D3010" s="18" t="s">
        <v>3126</v>
      </c>
      <c r="E3010" s="18" t="s">
        <v>3077</v>
      </c>
      <c r="F3010" s="18"/>
      <c r="G3010" s="18" t="s">
        <v>23</v>
      </c>
      <c r="H3010" s="17">
        <v>34.200000000000003</v>
      </c>
      <c r="I3010" s="13">
        <v>45.5</v>
      </c>
      <c r="J3010" s="21">
        <f t="shared" si="138"/>
        <v>0.3304093567251461</v>
      </c>
      <c r="K3010" s="1">
        <v>2</v>
      </c>
      <c r="L3010" s="24">
        <v>4.5</v>
      </c>
      <c r="M3010" s="24">
        <v>40.950000000000003</v>
      </c>
      <c r="N3010" s="21">
        <f t="shared" si="139"/>
        <v>0.19736842105263155</v>
      </c>
      <c r="P3010" s="1">
        <v>4</v>
      </c>
      <c r="Q3010" s="24">
        <v>5.4600000000000009</v>
      </c>
      <c r="R3010" s="24">
        <v>40.04</v>
      </c>
      <c r="S3010" s="21">
        <f t="shared" si="140"/>
        <v>0.17076023391812853</v>
      </c>
    </row>
    <row r="3011" spans="2:19" ht="11.4" customHeight="1" x14ac:dyDescent="0.2">
      <c r="B3011" s="24"/>
      <c r="C3011" s="12">
        <v>18751</v>
      </c>
      <c r="D3011" s="18" t="s">
        <v>3127</v>
      </c>
      <c r="E3011" s="18" t="s">
        <v>3077</v>
      </c>
      <c r="F3011" s="18"/>
      <c r="G3011" s="18" t="s">
        <v>23</v>
      </c>
      <c r="H3011" s="17">
        <v>34.9</v>
      </c>
      <c r="I3011" s="13">
        <v>41.9</v>
      </c>
      <c r="J3011" s="21">
        <f t="shared" ref="J3011:J3074" si="141">(I3011-H3011)/H3011</f>
        <v>0.20057306590257881</v>
      </c>
      <c r="K3011" s="1">
        <v>2</v>
      </c>
      <c r="L3011" s="24">
        <v>4.0999999999999996</v>
      </c>
      <c r="M3011" s="24">
        <v>37.71</v>
      </c>
      <c r="N3011" s="21">
        <f t="shared" ref="N3011:N3074" si="142">(M3011-H3011)/H3011</f>
        <v>8.0515759312320981E-2</v>
      </c>
      <c r="P3011" s="1">
        <v>4</v>
      </c>
      <c r="Q3011" s="24">
        <v>5.0279999999999987</v>
      </c>
      <c r="R3011" s="24">
        <v>36.872</v>
      </c>
      <c r="S3011" s="21">
        <f t="shared" ref="S3011:S3074" si="143">(R3011-H3011)/H3011</f>
        <v>5.6504297994269384E-2</v>
      </c>
    </row>
    <row r="3012" spans="2:19" ht="11.4" customHeight="1" x14ac:dyDescent="0.2">
      <c r="B3012" s="24"/>
      <c r="C3012" s="12">
        <v>11687</v>
      </c>
      <c r="D3012" s="18" t="s">
        <v>3128</v>
      </c>
      <c r="E3012" s="18" t="s">
        <v>3077</v>
      </c>
      <c r="F3012" s="18"/>
      <c r="G3012" s="18" t="s">
        <v>23</v>
      </c>
      <c r="H3012" s="17">
        <v>37.200000000000003</v>
      </c>
      <c r="I3012" s="13">
        <v>43.5</v>
      </c>
      <c r="J3012" s="21">
        <f t="shared" si="141"/>
        <v>0.16935483870967732</v>
      </c>
      <c r="K3012" s="1">
        <v>2</v>
      </c>
      <c r="L3012" s="24">
        <v>4.3</v>
      </c>
      <c r="M3012" s="24">
        <v>39.15</v>
      </c>
      <c r="N3012" s="21">
        <f t="shared" si="142"/>
        <v>5.2419354838709561E-2</v>
      </c>
      <c r="P3012" s="1">
        <v>4</v>
      </c>
      <c r="Q3012" s="24">
        <v>5.2199999999999989</v>
      </c>
      <c r="R3012" s="24">
        <v>38.28</v>
      </c>
      <c r="S3012" s="21">
        <f t="shared" si="143"/>
        <v>2.9032258064516082E-2</v>
      </c>
    </row>
    <row r="3013" spans="2:19" ht="11.4" customHeight="1" x14ac:dyDescent="0.2">
      <c r="B3013" s="24"/>
      <c r="C3013" s="12">
        <v>32922</v>
      </c>
      <c r="D3013" s="18" t="s">
        <v>3129</v>
      </c>
      <c r="E3013" s="18" t="s">
        <v>3077</v>
      </c>
      <c r="F3013" s="18"/>
      <c r="G3013" s="18" t="s">
        <v>23</v>
      </c>
      <c r="H3013" s="17">
        <v>34.5</v>
      </c>
      <c r="I3013" s="13">
        <v>39.9</v>
      </c>
      <c r="J3013" s="21">
        <f t="shared" si="141"/>
        <v>0.15652173913043474</v>
      </c>
      <c r="K3013" s="1">
        <v>2</v>
      </c>
      <c r="L3013" s="24">
        <v>3.9</v>
      </c>
      <c r="M3013" s="24">
        <v>35.909999999999997</v>
      </c>
      <c r="N3013" s="21">
        <f t="shared" si="142"/>
        <v>4.0869565217391206E-2</v>
      </c>
      <c r="P3013" s="1">
        <v>4</v>
      </c>
      <c r="Q3013" s="24">
        <v>4.7879999999999967</v>
      </c>
      <c r="R3013" s="24">
        <v>35.112000000000002</v>
      </c>
      <c r="S3013" s="21">
        <f t="shared" si="143"/>
        <v>1.7739130434782664E-2</v>
      </c>
    </row>
    <row r="3014" spans="2:19" ht="11.4" customHeight="1" x14ac:dyDescent="0.2">
      <c r="B3014" s="24"/>
      <c r="C3014" s="12">
        <v>39638</v>
      </c>
      <c r="D3014" s="18" t="s">
        <v>3130</v>
      </c>
      <c r="E3014" s="18" t="s">
        <v>3077</v>
      </c>
      <c r="F3014" s="18"/>
      <c r="G3014" s="18" t="s">
        <v>23</v>
      </c>
      <c r="H3014" s="17">
        <v>30.5</v>
      </c>
      <c r="I3014" s="13">
        <v>35.5</v>
      </c>
      <c r="J3014" s="21">
        <f t="shared" si="141"/>
        <v>0.16393442622950818</v>
      </c>
      <c r="K3014" s="1">
        <v>2</v>
      </c>
      <c r="L3014" s="24">
        <v>3.5</v>
      </c>
      <c r="M3014" s="24">
        <v>31.95</v>
      </c>
      <c r="N3014" s="21">
        <f t="shared" si="142"/>
        <v>4.7540983606557355E-2</v>
      </c>
      <c r="P3014" s="1">
        <v>4</v>
      </c>
      <c r="Q3014" s="24">
        <v>4.2600000000000016</v>
      </c>
      <c r="R3014" s="24">
        <v>31.24</v>
      </c>
      <c r="S3014" s="21">
        <f t="shared" si="143"/>
        <v>2.4262295081967162E-2</v>
      </c>
    </row>
    <row r="3015" spans="2:19" ht="11.4" customHeight="1" x14ac:dyDescent="0.2">
      <c r="B3015" s="24"/>
      <c r="C3015" s="12">
        <v>8605</v>
      </c>
      <c r="D3015" s="18" t="s">
        <v>3131</v>
      </c>
      <c r="E3015" s="18" t="s">
        <v>3077</v>
      </c>
      <c r="F3015" s="18"/>
      <c r="G3015" s="18" t="s">
        <v>23</v>
      </c>
      <c r="H3015" s="17">
        <v>28.44</v>
      </c>
      <c r="I3015" s="13">
        <v>37.5</v>
      </c>
      <c r="J3015" s="21">
        <f t="shared" si="141"/>
        <v>0.3185654008438818</v>
      </c>
      <c r="K3015" s="1">
        <v>2</v>
      </c>
      <c r="L3015" s="24">
        <v>3.7</v>
      </c>
      <c r="M3015" s="24">
        <v>33.75</v>
      </c>
      <c r="N3015" s="21">
        <f t="shared" si="142"/>
        <v>0.18670886075949361</v>
      </c>
      <c r="P3015" s="1">
        <v>4</v>
      </c>
      <c r="Q3015" s="24">
        <v>4.5</v>
      </c>
      <c r="R3015" s="24">
        <v>33</v>
      </c>
      <c r="S3015" s="21">
        <f t="shared" si="143"/>
        <v>0.16033755274261599</v>
      </c>
    </row>
    <row r="3016" spans="2:19" ht="11.4" customHeight="1" x14ac:dyDescent="0.2">
      <c r="B3016" s="24"/>
      <c r="C3016" s="12">
        <v>3584</v>
      </c>
      <c r="D3016" s="18" t="s">
        <v>3132</v>
      </c>
      <c r="E3016" s="18" t="s">
        <v>3077</v>
      </c>
      <c r="F3016" s="18"/>
      <c r="G3016" s="18" t="s">
        <v>23</v>
      </c>
      <c r="H3016" s="17">
        <v>39.200000000000003</v>
      </c>
      <c r="I3016" s="13">
        <v>47.9</v>
      </c>
      <c r="J3016" s="21">
        <f t="shared" si="141"/>
        <v>0.22193877551020397</v>
      </c>
      <c r="K3016" s="1">
        <v>2</v>
      </c>
      <c r="L3016" s="24">
        <v>4.7</v>
      </c>
      <c r="M3016" s="24">
        <v>43.11</v>
      </c>
      <c r="N3016" s="21">
        <f t="shared" si="142"/>
        <v>9.9744897959183579E-2</v>
      </c>
      <c r="P3016" s="1">
        <v>4</v>
      </c>
      <c r="Q3016" s="24">
        <v>5.7479999999999976</v>
      </c>
      <c r="R3016" s="24">
        <v>42.152000000000001</v>
      </c>
      <c r="S3016" s="21">
        <f t="shared" si="143"/>
        <v>7.5306122448979537E-2</v>
      </c>
    </row>
    <row r="3017" spans="2:19" ht="11.4" customHeight="1" x14ac:dyDescent="0.2">
      <c r="B3017" s="24"/>
      <c r="C3017" s="12">
        <v>6372</v>
      </c>
      <c r="D3017" s="18" t="s">
        <v>3133</v>
      </c>
      <c r="E3017" s="18" t="s">
        <v>3077</v>
      </c>
      <c r="F3017" s="18"/>
      <c r="G3017" s="18" t="s">
        <v>23</v>
      </c>
      <c r="H3017" s="17">
        <v>11.9</v>
      </c>
      <c r="I3017" s="13">
        <v>15.9</v>
      </c>
      <c r="J3017" s="21">
        <f t="shared" si="141"/>
        <v>0.33613445378151258</v>
      </c>
      <c r="K3017" s="1">
        <v>2</v>
      </c>
      <c r="L3017" s="24">
        <v>1.5</v>
      </c>
      <c r="M3017" s="24">
        <v>14.31</v>
      </c>
      <c r="N3017" s="21">
        <f t="shared" si="142"/>
        <v>0.20252100840336135</v>
      </c>
      <c r="P3017" s="1">
        <v>4</v>
      </c>
      <c r="Q3017" s="24">
        <v>1.9079999999999995</v>
      </c>
      <c r="R3017" s="24">
        <v>13.992000000000001</v>
      </c>
      <c r="S3017" s="21">
        <f t="shared" si="143"/>
        <v>0.17579831932773113</v>
      </c>
    </row>
    <row r="3018" spans="2:19" ht="11.4" customHeight="1" x14ac:dyDescent="0.2">
      <c r="B3018" s="24"/>
      <c r="C3018" s="12">
        <v>7815</v>
      </c>
      <c r="D3018" s="18" t="s">
        <v>3134</v>
      </c>
      <c r="E3018" s="18" t="s">
        <v>3077</v>
      </c>
      <c r="F3018" s="18"/>
      <c r="G3018" s="18" t="s">
        <v>23</v>
      </c>
      <c r="H3018" s="17">
        <v>39.200000000000003</v>
      </c>
      <c r="I3018" s="13">
        <v>47.9</v>
      </c>
      <c r="J3018" s="21">
        <f t="shared" si="141"/>
        <v>0.22193877551020397</v>
      </c>
      <c r="K3018" s="1">
        <v>2</v>
      </c>
      <c r="L3018" s="24">
        <v>4.7</v>
      </c>
      <c r="M3018" s="24">
        <v>43.11</v>
      </c>
      <c r="N3018" s="21">
        <f t="shared" si="142"/>
        <v>9.9744897959183579E-2</v>
      </c>
      <c r="P3018" s="1">
        <v>4</v>
      </c>
      <c r="Q3018" s="24">
        <v>5.7479999999999976</v>
      </c>
      <c r="R3018" s="24">
        <v>42.152000000000001</v>
      </c>
      <c r="S3018" s="21">
        <f t="shared" si="143"/>
        <v>7.5306122448979537E-2</v>
      </c>
    </row>
    <row r="3019" spans="2:19" ht="11.4" customHeight="1" x14ac:dyDescent="0.2">
      <c r="B3019" s="24"/>
      <c r="C3019" s="12">
        <v>4597</v>
      </c>
      <c r="D3019" s="18" t="s">
        <v>3135</v>
      </c>
      <c r="E3019" s="18" t="s">
        <v>3077</v>
      </c>
      <c r="F3019" s="18"/>
      <c r="G3019" s="18" t="s">
        <v>23</v>
      </c>
      <c r="H3019" s="17">
        <v>34.9</v>
      </c>
      <c r="I3019" s="13">
        <v>41.9</v>
      </c>
      <c r="J3019" s="21">
        <f t="shared" si="141"/>
        <v>0.20057306590257881</v>
      </c>
      <c r="K3019" s="1">
        <v>2</v>
      </c>
      <c r="L3019" s="24">
        <v>4.0999999999999996</v>
      </c>
      <c r="M3019" s="24">
        <v>37.71</v>
      </c>
      <c r="N3019" s="21">
        <f t="shared" si="142"/>
        <v>8.0515759312320981E-2</v>
      </c>
      <c r="P3019" s="1">
        <v>4</v>
      </c>
      <c r="Q3019" s="24">
        <v>5.0279999999999987</v>
      </c>
      <c r="R3019" s="24">
        <v>36.872</v>
      </c>
      <c r="S3019" s="21">
        <f t="shared" si="143"/>
        <v>5.6504297994269384E-2</v>
      </c>
    </row>
    <row r="3020" spans="2:19" ht="11.4" customHeight="1" x14ac:dyDescent="0.2">
      <c r="B3020" s="24"/>
      <c r="C3020" s="12">
        <v>29340</v>
      </c>
      <c r="D3020" s="18" t="s">
        <v>3136</v>
      </c>
      <c r="E3020" s="18" t="s">
        <v>3077</v>
      </c>
      <c r="F3020" s="18"/>
      <c r="G3020" s="18" t="s">
        <v>23</v>
      </c>
      <c r="H3020" s="17">
        <v>31.7</v>
      </c>
      <c r="I3020" s="13">
        <v>39.5</v>
      </c>
      <c r="J3020" s="21">
        <f t="shared" si="141"/>
        <v>0.24605678233438488</v>
      </c>
      <c r="K3020" s="1">
        <v>2</v>
      </c>
      <c r="L3020" s="24">
        <v>3.9</v>
      </c>
      <c r="M3020" s="24">
        <v>35.550000000000004</v>
      </c>
      <c r="N3020" s="21">
        <f t="shared" si="142"/>
        <v>0.12145110410094653</v>
      </c>
      <c r="P3020" s="1">
        <v>4</v>
      </c>
      <c r="Q3020" s="24">
        <v>4.740000000000002</v>
      </c>
      <c r="R3020" s="24">
        <v>34.76</v>
      </c>
      <c r="S3020" s="21">
        <f t="shared" si="143"/>
        <v>9.6529968454258638E-2</v>
      </c>
    </row>
    <row r="3021" spans="2:19" ht="11.4" customHeight="1" x14ac:dyDescent="0.2">
      <c r="B3021" s="24"/>
      <c r="C3021" s="12">
        <v>42096</v>
      </c>
      <c r="D3021" s="18" t="s">
        <v>3137</v>
      </c>
      <c r="E3021" s="18" t="s">
        <v>3077</v>
      </c>
      <c r="F3021" s="18"/>
      <c r="G3021" s="18" t="s">
        <v>23</v>
      </c>
      <c r="H3021" s="17">
        <v>24.18</v>
      </c>
      <c r="I3021" s="13">
        <v>31.9</v>
      </c>
      <c r="J3021" s="21">
        <f t="shared" si="141"/>
        <v>0.31927212572373859</v>
      </c>
      <c r="K3021" s="1">
        <v>2</v>
      </c>
      <c r="L3021" s="24">
        <v>3.1</v>
      </c>
      <c r="M3021" s="24">
        <v>28.71</v>
      </c>
      <c r="N3021" s="21">
        <f t="shared" si="142"/>
        <v>0.18734491315136481</v>
      </c>
      <c r="P3021" s="1">
        <v>4</v>
      </c>
      <c r="Q3021" s="24">
        <v>3.8279999999999994</v>
      </c>
      <c r="R3021" s="24">
        <v>28.071999999999999</v>
      </c>
      <c r="S3021" s="21">
        <f t="shared" si="143"/>
        <v>0.16095947063688998</v>
      </c>
    </row>
    <row r="3022" spans="2:19" ht="11.4" customHeight="1" x14ac:dyDescent="0.2">
      <c r="B3022" s="24"/>
      <c r="C3022" s="12">
        <v>42098</v>
      </c>
      <c r="D3022" s="18" t="s">
        <v>3138</v>
      </c>
      <c r="E3022" s="18" t="s">
        <v>3077</v>
      </c>
      <c r="F3022" s="18"/>
      <c r="G3022" s="18" t="s">
        <v>23</v>
      </c>
      <c r="H3022" s="17">
        <v>24.18</v>
      </c>
      <c r="I3022" s="13">
        <v>31.9</v>
      </c>
      <c r="J3022" s="21">
        <f t="shared" si="141"/>
        <v>0.31927212572373859</v>
      </c>
      <c r="K3022" s="1">
        <v>2</v>
      </c>
      <c r="L3022" s="24">
        <v>3.1</v>
      </c>
      <c r="M3022" s="24">
        <v>28.71</v>
      </c>
      <c r="N3022" s="21">
        <f t="shared" si="142"/>
        <v>0.18734491315136481</v>
      </c>
      <c r="P3022" s="1">
        <v>4</v>
      </c>
      <c r="Q3022" s="24">
        <v>3.8279999999999994</v>
      </c>
      <c r="R3022" s="24">
        <v>28.071999999999999</v>
      </c>
      <c r="S3022" s="21">
        <f t="shared" si="143"/>
        <v>0.16095947063688998</v>
      </c>
    </row>
    <row r="3023" spans="2:19" ht="11.4" customHeight="1" x14ac:dyDescent="0.2">
      <c r="B3023" s="24"/>
      <c r="C3023" s="12">
        <v>21931</v>
      </c>
      <c r="D3023" s="18" t="s">
        <v>3139</v>
      </c>
      <c r="E3023" s="18" t="s">
        <v>3075</v>
      </c>
      <c r="F3023" s="18"/>
      <c r="G3023" s="18" t="s">
        <v>23</v>
      </c>
      <c r="H3023" s="17">
        <v>158.4</v>
      </c>
      <c r="I3023" s="13">
        <v>198</v>
      </c>
      <c r="J3023" s="21">
        <f t="shared" si="141"/>
        <v>0.24999999999999994</v>
      </c>
      <c r="K3023" s="1">
        <v>2</v>
      </c>
      <c r="L3023" s="24">
        <v>19.8</v>
      </c>
      <c r="M3023" s="24">
        <v>178.20000000000002</v>
      </c>
      <c r="N3023" s="21">
        <f t="shared" si="142"/>
        <v>0.12500000000000006</v>
      </c>
      <c r="P3023" s="1">
        <v>4</v>
      </c>
      <c r="Q3023" s="24">
        <v>23.759999999999991</v>
      </c>
      <c r="R3023" s="24">
        <v>174.24</v>
      </c>
      <c r="S3023" s="21">
        <f t="shared" si="143"/>
        <v>0.10000000000000002</v>
      </c>
    </row>
    <row r="3024" spans="2:19" ht="11.4" customHeight="1" x14ac:dyDescent="0.2">
      <c r="B3024" s="24"/>
      <c r="C3024" s="12">
        <v>45197</v>
      </c>
      <c r="D3024" s="18" t="s">
        <v>3140</v>
      </c>
      <c r="E3024" s="18" t="s">
        <v>3075</v>
      </c>
      <c r="F3024" s="17">
        <v>9</v>
      </c>
      <c r="G3024" s="18" t="s">
        <v>23</v>
      </c>
      <c r="H3024" s="17">
        <v>111.12</v>
      </c>
      <c r="I3024" s="13">
        <v>169.9</v>
      </c>
      <c r="J3024" s="21">
        <f t="shared" si="141"/>
        <v>0.52897768178545712</v>
      </c>
      <c r="K3024" s="1">
        <v>2</v>
      </c>
      <c r="L3024" s="24">
        <v>16.899999999999999</v>
      </c>
      <c r="M3024" s="24">
        <v>152.91</v>
      </c>
      <c r="N3024" s="21">
        <f t="shared" si="142"/>
        <v>0.37607991360691134</v>
      </c>
      <c r="P3024" s="1">
        <v>4</v>
      </c>
      <c r="Q3024" s="24">
        <v>20.388000000000005</v>
      </c>
      <c r="R3024" s="24">
        <v>149.512</v>
      </c>
      <c r="S3024" s="21">
        <f t="shared" si="143"/>
        <v>0.34550035997120226</v>
      </c>
    </row>
    <row r="3025" spans="2:19" ht="11.4" customHeight="1" x14ac:dyDescent="0.2">
      <c r="B3025" s="24"/>
      <c r="C3025" s="12">
        <v>12668</v>
      </c>
      <c r="D3025" s="18" t="s">
        <v>3141</v>
      </c>
      <c r="E3025" s="18" t="s">
        <v>3075</v>
      </c>
      <c r="F3025" s="18"/>
      <c r="G3025" s="18" t="s">
        <v>23</v>
      </c>
      <c r="H3025" s="17">
        <v>187.9</v>
      </c>
      <c r="I3025" s="13">
        <v>228.5</v>
      </c>
      <c r="J3025" s="21">
        <f t="shared" si="141"/>
        <v>0.21607237892496003</v>
      </c>
      <c r="K3025" s="1">
        <v>2</v>
      </c>
      <c r="L3025" s="24">
        <v>22.8</v>
      </c>
      <c r="M3025" s="24">
        <v>205.65</v>
      </c>
      <c r="N3025" s="21">
        <f t="shared" si="142"/>
        <v>9.4465141032464076E-2</v>
      </c>
      <c r="P3025" s="1">
        <v>4</v>
      </c>
      <c r="Q3025" s="24">
        <v>27.419999999999987</v>
      </c>
      <c r="R3025" s="24">
        <v>201.08</v>
      </c>
      <c r="S3025" s="21">
        <f t="shared" si="143"/>
        <v>7.0143693453964914E-2</v>
      </c>
    </row>
    <row r="3026" spans="2:19" ht="11.4" customHeight="1" x14ac:dyDescent="0.2">
      <c r="B3026" s="24"/>
      <c r="C3026" s="12">
        <v>29450</v>
      </c>
      <c r="D3026" s="18" t="s">
        <v>3142</v>
      </c>
      <c r="E3026" s="18" t="s">
        <v>3077</v>
      </c>
      <c r="F3026" s="18"/>
      <c r="G3026" s="18" t="s">
        <v>23</v>
      </c>
      <c r="H3026" s="17">
        <v>55.8</v>
      </c>
      <c r="I3026" s="13">
        <v>66.900000000000006</v>
      </c>
      <c r="J3026" s="21">
        <f t="shared" si="141"/>
        <v>0.19892473118279586</v>
      </c>
      <c r="K3026" s="1">
        <v>2</v>
      </c>
      <c r="L3026" s="24">
        <v>6.6</v>
      </c>
      <c r="M3026" s="24">
        <v>60.210000000000008</v>
      </c>
      <c r="N3026" s="21">
        <f t="shared" si="142"/>
        <v>7.9032258064516331E-2</v>
      </c>
      <c r="P3026" s="1">
        <v>4</v>
      </c>
      <c r="Q3026" s="24">
        <v>8.0279999999999987</v>
      </c>
      <c r="R3026" s="24">
        <v>58.872000000000007</v>
      </c>
      <c r="S3026" s="21">
        <f t="shared" si="143"/>
        <v>5.5053763440860395E-2</v>
      </c>
    </row>
    <row r="3027" spans="2:19" ht="11.4" customHeight="1" x14ac:dyDescent="0.2">
      <c r="B3027" s="24"/>
      <c r="C3027" s="12">
        <v>39643</v>
      </c>
      <c r="D3027" s="18" t="s">
        <v>3143</v>
      </c>
      <c r="E3027" s="18" t="s">
        <v>3075</v>
      </c>
      <c r="F3027" s="17">
        <v>6</v>
      </c>
      <c r="G3027" s="18" t="s">
        <v>23</v>
      </c>
      <c r="H3027" s="17">
        <v>178.7</v>
      </c>
      <c r="I3027" s="13">
        <v>219.9</v>
      </c>
      <c r="J3027" s="21">
        <f t="shared" si="141"/>
        <v>0.2305540011191943</v>
      </c>
      <c r="K3027" s="1">
        <v>2</v>
      </c>
      <c r="L3027" s="24">
        <v>21.9</v>
      </c>
      <c r="M3027" s="24">
        <v>197.91</v>
      </c>
      <c r="N3027" s="21">
        <f t="shared" si="142"/>
        <v>0.10749860100727482</v>
      </c>
      <c r="P3027" s="1">
        <v>4</v>
      </c>
      <c r="Q3027" s="24">
        <v>26.388000000000005</v>
      </c>
      <c r="R3027" s="24">
        <v>193.512</v>
      </c>
      <c r="S3027" s="21">
        <f t="shared" si="143"/>
        <v>8.2887520984890953E-2</v>
      </c>
    </row>
    <row r="3028" spans="2:19" ht="11.4" customHeight="1" x14ac:dyDescent="0.2">
      <c r="B3028" s="24"/>
      <c r="C3028" s="12">
        <v>1522</v>
      </c>
      <c r="D3028" s="18" t="s">
        <v>3144</v>
      </c>
      <c r="E3028" s="18" t="s">
        <v>3077</v>
      </c>
      <c r="F3028" s="17">
        <v>50</v>
      </c>
      <c r="G3028" s="18" t="s">
        <v>23</v>
      </c>
      <c r="H3028" s="17">
        <v>9.7799999999999994</v>
      </c>
      <c r="I3028" s="13">
        <v>12.9</v>
      </c>
      <c r="J3028" s="21">
        <f t="shared" si="141"/>
        <v>0.31901840490797556</v>
      </c>
      <c r="K3028" s="1">
        <v>2</v>
      </c>
      <c r="L3028" s="24">
        <v>1.2</v>
      </c>
      <c r="M3028" s="24">
        <v>11.610000000000001</v>
      </c>
      <c r="N3028" s="21">
        <f t="shared" si="142"/>
        <v>0.18711656441717811</v>
      </c>
      <c r="P3028" s="1">
        <v>4</v>
      </c>
      <c r="Q3028" s="24">
        <v>1.548</v>
      </c>
      <c r="R3028" s="24">
        <v>11.352</v>
      </c>
      <c r="S3028" s="21">
        <f t="shared" si="143"/>
        <v>0.1607361963190185</v>
      </c>
    </row>
    <row r="3029" spans="2:19" ht="11.4" customHeight="1" x14ac:dyDescent="0.2">
      <c r="B3029" s="24"/>
      <c r="C3029" s="12">
        <v>1531</v>
      </c>
      <c r="D3029" s="18" t="s">
        <v>3145</v>
      </c>
      <c r="E3029" s="18" t="s">
        <v>3077</v>
      </c>
      <c r="F3029" s="17">
        <v>18</v>
      </c>
      <c r="G3029" s="18" t="s">
        <v>23</v>
      </c>
      <c r="H3029" s="17">
        <v>21.6</v>
      </c>
      <c r="I3029" s="13">
        <v>27.9</v>
      </c>
      <c r="J3029" s="21">
        <f t="shared" si="141"/>
        <v>0.29166666666666652</v>
      </c>
      <c r="K3029" s="1">
        <v>2</v>
      </c>
      <c r="L3029" s="24">
        <v>2.7</v>
      </c>
      <c r="M3029" s="24">
        <v>25.11</v>
      </c>
      <c r="N3029" s="21">
        <f t="shared" si="142"/>
        <v>0.16249999999999989</v>
      </c>
      <c r="P3029" s="1">
        <v>4</v>
      </c>
      <c r="Q3029" s="24">
        <v>3.347999999999999</v>
      </c>
      <c r="R3029" s="24">
        <v>24.552</v>
      </c>
      <c r="S3029" s="21">
        <f t="shared" si="143"/>
        <v>0.13666666666666658</v>
      </c>
    </row>
    <row r="3030" spans="2:19" ht="11.4" customHeight="1" x14ac:dyDescent="0.2">
      <c r="B3030" s="24"/>
      <c r="C3030" s="12">
        <v>35806</v>
      </c>
      <c r="D3030" s="18" t="s">
        <v>3146</v>
      </c>
      <c r="E3030" s="18" t="s">
        <v>3077</v>
      </c>
      <c r="F3030" s="17">
        <v>25</v>
      </c>
      <c r="G3030" s="18" t="s">
        <v>23</v>
      </c>
      <c r="H3030" s="17">
        <v>26.7</v>
      </c>
      <c r="I3030" s="13">
        <v>34.5</v>
      </c>
      <c r="J3030" s="21">
        <f t="shared" si="141"/>
        <v>0.2921348314606742</v>
      </c>
      <c r="K3030" s="1">
        <v>2</v>
      </c>
      <c r="L3030" s="24">
        <v>3.4</v>
      </c>
      <c r="M3030" s="24">
        <v>31.05</v>
      </c>
      <c r="N3030" s="21">
        <f t="shared" si="142"/>
        <v>0.16292134831460681</v>
      </c>
      <c r="P3030" s="1">
        <v>4</v>
      </c>
      <c r="Q3030" s="24">
        <v>4.1400000000000006</v>
      </c>
      <c r="R3030" s="24">
        <v>30.36</v>
      </c>
      <c r="S3030" s="21">
        <f t="shared" si="143"/>
        <v>0.13707865168539327</v>
      </c>
    </row>
    <row r="3031" spans="2:19" ht="11.4" customHeight="1" x14ac:dyDescent="0.2">
      <c r="B3031" s="24"/>
      <c r="C3031" s="12">
        <v>42097</v>
      </c>
      <c r="D3031" s="18" t="s">
        <v>3147</v>
      </c>
      <c r="E3031" s="18" t="s">
        <v>3077</v>
      </c>
      <c r="F3031" s="18"/>
      <c r="G3031" s="18" t="s">
        <v>23</v>
      </c>
      <c r="H3031" s="17">
        <v>24.18</v>
      </c>
      <c r="I3031" s="13">
        <v>31.9</v>
      </c>
      <c r="J3031" s="21">
        <f t="shared" si="141"/>
        <v>0.31927212572373859</v>
      </c>
      <c r="K3031" s="1">
        <v>2</v>
      </c>
      <c r="L3031" s="24">
        <v>3.1</v>
      </c>
      <c r="M3031" s="24">
        <v>28.71</v>
      </c>
      <c r="N3031" s="21">
        <f t="shared" si="142"/>
        <v>0.18734491315136481</v>
      </c>
      <c r="P3031" s="1">
        <v>4</v>
      </c>
      <c r="Q3031" s="24">
        <v>3.8279999999999994</v>
      </c>
      <c r="R3031" s="24">
        <v>28.071999999999999</v>
      </c>
      <c r="S3031" s="21">
        <f t="shared" si="143"/>
        <v>0.16095947063688998</v>
      </c>
    </row>
    <row r="3032" spans="2:19" ht="11.4" customHeight="1" x14ac:dyDescent="0.2">
      <c r="B3032" s="24"/>
      <c r="C3032" s="12">
        <v>18907</v>
      </c>
      <c r="D3032" s="18" t="s">
        <v>3148</v>
      </c>
      <c r="E3032" s="18" t="s">
        <v>3077</v>
      </c>
      <c r="F3032" s="18"/>
      <c r="G3032" s="18" t="s">
        <v>23</v>
      </c>
      <c r="H3032" s="17">
        <v>34.9</v>
      </c>
      <c r="I3032" s="13">
        <v>41.9</v>
      </c>
      <c r="J3032" s="21">
        <f t="shared" si="141"/>
        <v>0.20057306590257881</v>
      </c>
      <c r="K3032" s="1">
        <v>2</v>
      </c>
      <c r="L3032" s="24">
        <v>4.0999999999999996</v>
      </c>
      <c r="M3032" s="24">
        <v>37.71</v>
      </c>
      <c r="N3032" s="21">
        <f t="shared" si="142"/>
        <v>8.0515759312320981E-2</v>
      </c>
      <c r="P3032" s="1">
        <v>4</v>
      </c>
      <c r="Q3032" s="24">
        <v>5.0279999999999987</v>
      </c>
      <c r="R3032" s="24">
        <v>36.872</v>
      </c>
      <c r="S3032" s="21">
        <f t="shared" si="143"/>
        <v>5.6504297994269384E-2</v>
      </c>
    </row>
    <row r="3033" spans="2:19" ht="11.4" customHeight="1" x14ac:dyDescent="0.2">
      <c r="B3033" s="24"/>
      <c r="C3033" s="12">
        <v>14376</v>
      </c>
      <c r="D3033" s="18" t="s">
        <v>3149</v>
      </c>
      <c r="E3033" s="18" t="s">
        <v>3077</v>
      </c>
      <c r="F3033" s="18"/>
      <c r="G3033" s="18" t="s">
        <v>23</v>
      </c>
      <c r="H3033" s="17">
        <v>15.2</v>
      </c>
      <c r="I3033" s="13">
        <v>20.3</v>
      </c>
      <c r="J3033" s="21">
        <f t="shared" si="141"/>
        <v>0.33552631578947378</v>
      </c>
      <c r="K3033" s="1">
        <v>2</v>
      </c>
      <c r="L3033" s="24">
        <v>2</v>
      </c>
      <c r="M3033" s="24">
        <v>18.27</v>
      </c>
      <c r="N3033" s="21">
        <f t="shared" si="142"/>
        <v>0.20197368421052633</v>
      </c>
      <c r="P3033" s="1">
        <v>4</v>
      </c>
      <c r="Q3033" s="24">
        <v>2.4359999999999999</v>
      </c>
      <c r="R3033" s="24">
        <v>17.864000000000001</v>
      </c>
      <c r="S3033" s="21">
        <f t="shared" si="143"/>
        <v>0.17526315789473695</v>
      </c>
    </row>
    <row r="3034" spans="2:19" ht="11.4" customHeight="1" x14ac:dyDescent="0.2">
      <c r="B3034" s="24"/>
      <c r="C3034" s="12">
        <v>768</v>
      </c>
      <c r="D3034" s="18" t="s">
        <v>3150</v>
      </c>
      <c r="E3034" s="18" t="s">
        <v>3077</v>
      </c>
      <c r="F3034" s="17">
        <v>30</v>
      </c>
      <c r="G3034" s="18" t="s">
        <v>23</v>
      </c>
      <c r="H3034" s="17">
        <v>21.6</v>
      </c>
      <c r="I3034" s="13">
        <v>27.9</v>
      </c>
      <c r="J3034" s="21">
        <f t="shared" si="141"/>
        <v>0.29166666666666652</v>
      </c>
      <c r="K3034" s="1">
        <v>2</v>
      </c>
      <c r="L3034" s="24">
        <v>2.7</v>
      </c>
      <c r="M3034" s="24">
        <v>25.11</v>
      </c>
      <c r="N3034" s="21">
        <f t="shared" si="142"/>
        <v>0.16249999999999989</v>
      </c>
      <c r="P3034" s="1">
        <v>4</v>
      </c>
      <c r="Q3034" s="24">
        <v>3.347999999999999</v>
      </c>
      <c r="R3034" s="24">
        <v>24.552</v>
      </c>
      <c r="S3034" s="21">
        <f t="shared" si="143"/>
        <v>0.13666666666666658</v>
      </c>
    </row>
    <row r="3035" spans="2:19" ht="11.4" customHeight="1" x14ac:dyDescent="0.2">
      <c r="B3035" s="24"/>
      <c r="C3035" s="12">
        <v>1481</v>
      </c>
      <c r="D3035" s="18" t="s">
        <v>3151</v>
      </c>
      <c r="E3035" s="18" t="s">
        <v>3075</v>
      </c>
      <c r="F3035" s="17">
        <v>6</v>
      </c>
      <c r="G3035" s="18" t="s">
        <v>23</v>
      </c>
      <c r="H3035" s="17">
        <v>111.12</v>
      </c>
      <c r="I3035" s="13">
        <v>169.9</v>
      </c>
      <c r="J3035" s="21">
        <f t="shared" si="141"/>
        <v>0.52897768178545712</v>
      </c>
      <c r="K3035" s="1">
        <v>2</v>
      </c>
      <c r="L3035" s="24">
        <v>16.899999999999999</v>
      </c>
      <c r="M3035" s="24">
        <v>152.91</v>
      </c>
      <c r="N3035" s="21">
        <f t="shared" si="142"/>
        <v>0.37607991360691134</v>
      </c>
      <c r="P3035" s="1">
        <v>4</v>
      </c>
      <c r="Q3035" s="24">
        <v>20.388000000000005</v>
      </c>
      <c r="R3035" s="24">
        <v>149.512</v>
      </c>
      <c r="S3035" s="21">
        <f t="shared" si="143"/>
        <v>0.34550035997120226</v>
      </c>
    </row>
    <row r="3036" spans="2:19" ht="11.4" customHeight="1" x14ac:dyDescent="0.2">
      <c r="B3036" s="24"/>
      <c r="C3036" s="12">
        <v>39641</v>
      </c>
      <c r="D3036" s="18" t="s">
        <v>3152</v>
      </c>
      <c r="E3036" s="18" t="s">
        <v>3075</v>
      </c>
      <c r="F3036" s="17">
        <v>6</v>
      </c>
      <c r="G3036" s="18" t="s">
        <v>23</v>
      </c>
      <c r="H3036" s="17">
        <v>178.7</v>
      </c>
      <c r="I3036" s="13">
        <v>219.9</v>
      </c>
      <c r="J3036" s="21">
        <f t="shared" si="141"/>
        <v>0.2305540011191943</v>
      </c>
      <c r="K3036" s="1">
        <v>2</v>
      </c>
      <c r="L3036" s="24">
        <v>21.9</v>
      </c>
      <c r="M3036" s="24">
        <v>197.91</v>
      </c>
      <c r="N3036" s="21">
        <f t="shared" si="142"/>
        <v>0.10749860100727482</v>
      </c>
      <c r="P3036" s="1">
        <v>4</v>
      </c>
      <c r="Q3036" s="24">
        <v>26.388000000000005</v>
      </c>
      <c r="R3036" s="24">
        <v>193.512</v>
      </c>
      <c r="S3036" s="21">
        <f t="shared" si="143"/>
        <v>8.2887520984890953E-2</v>
      </c>
    </row>
    <row r="3037" spans="2:19" ht="11.4" customHeight="1" x14ac:dyDescent="0.2">
      <c r="B3037" s="24"/>
      <c r="C3037" s="12">
        <v>770</v>
      </c>
      <c r="D3037" s="18" t="s">
        <v>3153</v>
      </c>
      <c r="E3037" s="18" t="s">
        <v>3077</v>
      </c>
      <c r="F3037" s="18"/>
      <c r="G3037" s="18" t="s">
        <v>23</v>
      </c>
      <c r="H3037" s="17">
        <v>22.26</v>
      </c>
      <c r="I3037" s="13">
        <v>29.9</v>
      </c>
      <c r="J3037" s="21">
        <f t="shared" si="141"/>
        <v>0.343216531895777</v>
      </c>
      <c r="K3037" s="1">
        <v>2</v>
      </c>
      <c r="L3037" s="24">
        <v>2.9</v>
      </c>
      <c r="M3037" s="24">
        <v>26.91</v>
      </c>
      <c r="N3037" s="21">
        <f t="shared" si="142"/>
        <v>0.20889487870619938</v>
      </c>
      <c r="P3037" s="1">
        <v>4</v>
      </c>
      <c r="Q3037" s="24">
        <v>3.588000000000001</v>
      </c>
      <c r="R3037" s="24">
        <v>26.311999999999998</v>
      </c>
      <c r="S3037" s="21">
        <f t="shared" si="143"/>
        <v>0.18203054806828373</v>
      </c>
    </row>
    <row r="3038" spans="2:19" ht="11.4" customHeight="1" x14ac:dyDescent="0.2">
      <c r="B3038" s="24"/>
      <c r="C3038" s="12">
        <v>1520</v>
      </c>
      <c r="D3038" s="18" t="s">
        <v>3154</v>
      </c>
      <c r="E3038" s="18" t="s">
        <v>3077</v>
      </c>
      <c r="F3038" s="17">
        <v>18</v>
      </c>
      <c r="G3038" s="18" t="s">
        <v>23</v>
      </c>
      <c r="H3038" s="17">
        <v>22.26</v>
      </c>
      <c r="I3038" s="13">
        <v>29.9</v>
      </c>
      <c r="J3038" s="21">
        <f t="shared" si="141"/>
        <v>0.343216531895777</v>
      </c>
      <c r="K3038" s="1">
        <v>2</v>
      </c>
      <c r="L3038" s="24">
        <v>2.9</v>
      </c>
      <c r="M3038" s="24">
        <v>26.91</v>
      </c>
      <c r="N3038" s="21">
        <f t="shared" si="142"/>
        <v>0.20889487870619938</v>
      </c>
      <c r="P3038" s="1">
        <v>4</v>
      </c>
      <c r="Q3038" s="24">
        <v>3.588000000000001</v>
      </c>
      <c r="R3038" s="24">
        <v>26.311999999999998</v>
      </c>
      <c r="S3038" s="21">
        <f t="shared" si="143"/>
        <v>0.18203054806828373</v>
      </c>
    </row>
    <row r="3039" spans="2:19" ht="11.4" customHeight="1" x14ac:dyDescent="0.2">
      <c r="B3039" s="24"/>
      <c r="C3039" s="12">
        <v>21932</v>
      </c>
      <c r="D3039" s="18" t="s">
        <v>3155</v>
      </c>
      <c r="E3039" s="18" t="s">
        <v>3075</v>
      </c>
      <c r="F3039" s="18"/>
      <c r="G3039" s="18" t="s">
        <v>23</v>
      </c>
      <c r="H3039" s="17">
        <v>158.4</v>
      </c>
      <c r="I3039" s="13">
        <v>198</v>
      </c>
      <c r="J3039" s="21">
        <f t="shared" si="141"/>
        <v>0.24999999999999994</v>
      </c>
      <c r="K3039" s="1">
        <v>2</v>
      </c>
      <c r="L3039" s="24">
        <v>19.8</v>
      </c>
      <c r="M3039" s="24">
        <v>178.20000000000002</v>
      </c>
      <c r="N3039" s="21">
        <f t="shared" si="142"/>
        <v>0.12500000000000006</v>
      </c>
      <c r="P3039" s="1">
        <v>4</v>
      </c>
      <c r="Q3039" s="24">
        <v>23.759999999999991</v>
      </c>
      <c r="R3039" s="24">
        <v>174.24</v>
      </c>
      <c r="S3039" s="21">
        <f t="shared" si="143"/>
        <v>0.10000000000000002</v>
      </c>
    </row>
    <row r="3040" spans="2:19" ht="11.4" customHeight="1" x14ac:dyDescent="0.2">
      <c r="B3040" s="24"/>
      <c r="C3040" s="12">
        <v>45398</v>
      </c>
      <c r="D3040" s="18" t="s">
        <v>3156</v>
      </c>
      <c r="E3040" s="18" t="s">
        <v>3077</v>
      </c>
      <c r="F3040" s="17">
        <v>16</v>
      </c>
      <c r="G3040" s="18" t="s">
        <v>23</v>
      </c>
      <c r="H3040" s="17">
        <v>29.7</v>
      </c>
      <c r="I3040" s="13">
        <v>39.5</v>
      </c>
      <c r="J3040" s="21">
        <f t="shared" si="141"/>
        <v>0.32996632996633002</v>
      </c>
      <c r="K3040" s="1">
        <v>2</v>
      </c>
      <c r="L3040" s="24">
        <v>3.9</v>
      </c>
      <c r="M3040" s="24">
        <v>35.550000000000004</v>
      </c>
      <c r="N3040" s="21">
        <f t="shared" si="142"/>
        <v>0.19696969696969716</v>
      </c>
      <c r="P3040" s="1">
        <v>4</v>
      </c>
      <c r="Q3040" s="24">
        <v>4.740000000000002</v>
      </c>
      <c r="R3040" s="24">
        <v>34.76</v>
      </c>
      <c r="S3040" s="21">
        <f t="shared" si="143"/>
        <v>0.17037037037037034</v>
      </c>
    </row>
    <row r="3041" spans="2:19" ht="11.4" customHeight="1" x14ac:dyDescent="0.2">
      <c r="B3041" s="24"/>
      <c r="C3041" s="12">
        <v>5421</v>
      </c>
      <c r="D3041" s="18" t="s">
        <v>3157</v>
      </c>
      <c r="E3041" s="18" t="s">
        <v>3077</v>
      </c>
      <c r="F3041" s="18"/>
      <c r="G3041" s="18" t="s">
        <v>23</v>
      </c>
      <c r="H3041" s="17">
        <v>22.5</v>
      </c>
      <c r="I3041" s="13">
        <v>26.5</v>
      </c>
      <c r="J3041" s="21">
        <f t="shared" si="141"/>
        <v>0.17777777777777778</v>
      </c>
      <c r="K3041" s="1">
        <v>2</v>
      </c>
      <c r="L3041" s="24">
        <v>2.6</v>
      </c>
      <c r="M3041" s="24">
        <v>23.85</v>
      </c>
      <c r="N3041" s="21">
        <f t="shared" si="142"/>
        <v>6.000000000000006E-2</v>
      </c>
      <c r="P3041" s="1">
        <v>4</v>
      </c>
      <c r="Q3041" s="24">
        <v>3.1799999999999997</v>
      </c>
      <c r="R3041" s="24">
        <v>23.32</v>
      </c>
      <c r="S3041" s="21">
        <f t="shared" si="143"/>
        <v>3.644444444444446E-2</v>
      </c>
    </row>
    <row r="3042" spans="2:19" ht="11.4" customHeight="1" x14ac:dyDescent="0.2">
      <c r="B3042" s="24"/>
      <c r="C3042" s="12">
        <v>29367</v>
      </c>
      <c r="D3042" s="18" t="s">
        <v>3158</v>
      </c>
      <c r="E3042" s="18" t="s">
        <v>3077</v>
      </c>
      <c r="F3042" s="18"/>
      <c r="G3042" s="18" t="s">
        <v>23</v>
      </c>
      <c r="H3042" s="17">
        <v>55.8</v>
      </c>
      <c r="I3042" s="13">
        <v>63.5</v>
      </c>
      <c r="J3042" s="21">
        <f t="shared" si="141"/>
        <v>0.13799283154121869</v>
      </c>
      <c r="K3042" s="1">
        <v>2</v>
      </c>
      <c r="L3042" s="24">
        <v>6.3</v>
      </c>
      <c r="M3042" s="24">
        <v>57.15</v>
      </c>
      <c r="N3042" s="21">
        <f t="shared" si="142"/>
        <v>2.4193548387096801E-2</v>
      </c>
      <c r="P3042" s="1">
        <v>4</v>
      </c>
      <c r="Q3042" s="24">
        <v>7.6199999999999974</v>
      </c>
      <c r="R3042" s="24">
        <v>55.88</v>
      </c>
      <c r="S3042" s="21">
        <f t="shared" si="143"/>
        <v>1.4336917562724984E-3</v>
      </c>
    </row>
    <row r="3043" spans="2:19" ht="11.4" customHeight="1" x14ac:dyDescent="0.2">
      <c r="B3043" s="24"/>
      <c r="C3043" s="12">
        <v>40392</v>
      </c>
      <c r="D3043" s="18" t="s">
        <v>3159</v>
      </c>
      <c r="E3043" s="18" t="s">
        <v>3077</v>
      </c>
      <c r="F3043" s="18"/>
      <c r="G3043" s="18" t="s">
        <v>23</v>
      </c>
      <c r="H3043" s="17">
        <v>31.8</v>
      </c>
      <c r="I3043" s="13">
        <v>41.9</v>
      </c>
      <c r="J3043" s="21">
        <f t="shared" si="141"/>
        <v>0.31761006289308169</v>
      </c>
      <c r="K3043" s="1">
        <v>2</v>
      </c>
      <c r="L3043" s="24">
        <v>4.0999999999999996</v>
      </c>
      <c r="M3043" s="24">
        <v>37.71</v>
      </c>
      <c r="N3043" s="21">
        <f t="shared" si="142"/>
        <v>0.18584905660377357</v>
      </c>
      <c r="P3043" s="1">
        <v>4</v>
      </c>
      <c r="Q3043" s="24">
        <v>5.0279999999999987</v>
      </c>
      <c r="R3043" s="24">
        <v>36.872</v>
      </c>
      <c r="S3043" s="21">
        <f t="shared" si="143"/>
        <v>0.15949685534591193</v>
      </c>
    </row>
    <row r="3044" spans="2:19" ht="11.4" customHeight="1" x14ac:dyDescent="0.2">
      <c r="B3044" s="24"/>
      <c r="C3044" s="12">
        <v>29408</v>
      </c>
      <c r="D3044" s="18" t="s">
        <v>3160</v>
      </c>
      <c r="E3044" s="18" t="s">
        <v>3077</v>
      </c>
      <c r="F3044" s="18"/>
      <c r="G3044" s="18" t="s">
        <v>23</v>
      </c>
      <c r="H3044" s="17">
        <v>50.3</v>
      </c>
      <c r="I3044" s="13">
        <v>63.5</v>
      </c>
      <c r="J3044" s="21">
        <f t="shared" si="141"/>
        <v>0.26242544731610346</v>
      </c>
      <c r="K3044" s="1">
        <v>2</v>
      </c>
      <c r="L3044" s="24">
        <v>6.3</v>
      </c>
      <c r="M3044" s="24">
        <v>57.15</v>
      </c>
      <c r="N3044" s="21">
        <f t="shared" si="142"/>
        <v>0.13618290258449309</v>
      </c>
      <c r="P3044" s="1">
        <v>4</v>
      </c>
      <c r="Q3044" s="24">
        <v>7.6199999999999974</v>
      </c>
      <c r="R3044" s="24">
        <v>55.88</v>
      </c>
      <c r="S3044" s="21">
        <f t="shared" si="143"/>
        <v>0.11093439363817109</v>
      </c>
    </row>
    <row r="3045" spans="2:19" ht="11.4" customHeight="1" x14ac:dyDescent="0.2">
      <c r="B3045" s="24"/>
      <c r="C3045" s="12">
        <v>16784</v>
      </c>
      <c r="D3045" s="18" t="s">
        <v>3161</v>
      </c>
      <c r="E3045" s="18" t="s">
        <v>3077</v>
      </c>
      <c r="F3045" s="18"/>
      <c r="G3045" s="18" t="s">
        <v>23</v>
      </c>
      <c r="H3045" s="17">
        <v>59.5</v>
      </c>
      <c r="I3045" s="13">
        <v>69.5</v>
      </c>
      <c r="J3045" s="21">
        <f t="shared" si="141"/>
        <v>0.16806722689075632</v>
      </c>
      <c r="K3045" s="1">
        <v>2</v>
      </c>
      <c r="L3045" s="24">
        <v>6.9</v>
      </c>
      <c r="M3045" s="24">
        <v>62.550000000000004</v>
      </c>
      <c r="N3045" s="21">
        <f t="shared" si="142"/>
        <v>5.1260504201680747E-2</v>
      </c>
      <c r="P3045" s="1">
        <v>4</v>
      </c>
      <c r="Q3045" s="24">
        <v>8.3399999999999963</v>
      </c>
      <c r="R3045" s="24">
        <v>61.160000000000004</v>
      </c>
      <c r="S3045" s="21">
        <f t="shared" si="143"/>
        <v>2.7899159663865608E-2</v>
      </c>
    </row>
    <row r="3046" spans="2:19" ht="11.4" customHeight="1" x14ac:dyDescent="0.2">
      <c r="B3046" s="24"/>
      <c r="C3046" s="12">
        <v>28699</v>
      </c>
      <c r="D3046" s="18" t="s">
        <v>3162</v>
      </c>
      <c r="E3046" s="18" t="s">
        <v>3077</v>
      </c>
      <c r="F3046" s="18"/>
      <c r="G3046" s="18" t="s">
        <v>23</v>
      </c>
      <c r="H3046" s="17">
        <v>106.9</v>
      </c>
      <c r="I3046" s="13">
        <v>138.9</v>
      </c>
      <c r="J3046" s="21">
        <f t="shared" si="141"/>
        <v>0.29934518241347052</v>
      </c>
      <c r="K3046" s="1">
        <v>2</v>
      </c>
      <c r="L3046" s="24">
        <v>13.8</v>
      </c>
      <c r="M3046" s="24">
        <v>125.01</v>
      </c>
      <c r="N3046" s="21">
        <f t="shared" si="142"/>
        <v>0.16941066417212347</v>
      </c>
      <c r="P3046" s="1">
        <v>4</v>
      </c>
      <c r="Q3046" s="24">
        <v>16.668000000000006</v>
      </c>
      <c r="R3046" s="24">
        <v>122.232</v>
      </c>
      <c r="S3046" s="21">
        <f t="shared" si="143"/>
        <v>0.143423760523854</v>
      </c>
    </row>
    <row r="3047" spans="2:19" ht="11.4" customHeight="1" x14ac:dyDescent="0.2">
      <c r="B3047" s="24"/>
      <c r="C3047" s="12">
        <v>39642</v>
      </c>
      <c r="D3047" s="18" t="s">
        <v>3163</v>
      </c>
      <c r="E3047" s="18" t="s">
        <v>3075</v>
      </c>
      <c r="F3047" s="17">
        <v>6</v>
      </c>
      <c r="G3047" s="18" t="s">
        <v>23</v>
      </c>
      <c r="H3047" s="17">
        <v>178.7</v>
      </c>
      <c r="I3047" s="13">
        <v>219.9</v>
      </c>
      <c r="J3047" s="21">
        <f t="shared" si="141"/>
        <v>0.2305540011191943</v>
      </c>
      <c r="K3047" s="1">
        <v>2</v>
      </c>
      <c r="L3047" s="24">
        <v>21.9</v>
      </c>
      <c r="M3047" s="24">
        <v>197.91</v>
      </c>
      <c r="N3047" s="21">
        <f t="shared" si="142"/>
        <v>0.10749860100727482</v>
      </c>
      <c r="P3047" s="1">
        <v>4</v>
      </c>
      <c r="Q3047" s="24">
        <v>26.388000000000005</v>
      </c>
      <c r="R3047" s="24">
        <v>193.512</v>
      </c>
      <c r="S3047" s="21">
        <f t="shared" si="143"/>
        <v>8.2887520984890953E-2</v>
      </c>
    </row>
    <row r="3048" spans="2:19" ht="11.4" customHeight="1" x14ac:dyDescent="0.2">
      <c r="B3048" s="24"/>
      <c r="C3048" s="12">
        <v>29407</v>
      </c>
      <c r="D3048" s="18" t="s">
        <v>3164</v>
      </c>
      <c r="E3048" s="18" t="s">
        <v>3077</v>
      </c>
      <c r="F3048" s="18"/>
      <c r="G3048" s="18" t="s">
        <v>23</v>
      </c>
      <c r="H3048" s="17">
        <v>55.9</v>
      </c>
      <c r="I3048" s="13">
        <v>63.5</v>
      </c>
      <c r="J3048" s="21">
        <f t="shared" si="141"/>
        <v>0.13595706618962436</v>
      </c>
      <c r="K3048" s="1">
        <v>2</v>
      </c>
      <c r="L3048" s="24">
        <v>6.3</v>
      </c>
      <c r="M3048" s="24">
        <v>57.15</v>
      </c>
      <c r="N3048" s="21">
        <f t="shared" si="142"/>
        <v>2.2361359570661897E-2</v>
      </c>
      <c r="P3048" s="1">
        <v>4</v>
      </c>
      <c r="Q3048" s="24">
        <v>7.6199999999999974</v>
      </c>
      <c r="R3048" s="24">
        <v>55.88</v>
      </c>
      <c r="S3048" s="21">
        <f t="shared" si="143"/>
        <v>-3.5778175313051915E-4</v>
      </c>
    </row>
    <row r="3049" spans="2:19" ht="11.4" customHeight="1" x14ac:dyDescent="0.2">
      <c r="B3049" s="24"/>
      <c r="C3049" s="12">
        <v>18914</v>
      </c>
      <c r="D3049" s="18" t="s">
        <v>3165</v>
      </c>
      <c r="E3049" s="18" t="s">
        <v>3077</v>
      </c>
      <c r="F3049" s="18"/>
      <c r="G3049" s="18" t="s">
        <v>23</v>
      </c>
      <c r="H3049" s="17">
        <v>55.9</v>
      </c>
      <c r="I3049" s="13">
        <v>63.5</v>
      </c>
      <c r="J3049" s="21">
        <f t="shared" si="141"/>
        <v>0.13595706618962436</v>
      </c>
      <c r="K3049" s="1">
        <v>2</v>
      </c>
      <c r="L3049" s="24">
        <v>6.3</v>
      </c>
      <c r="M3049" s="24">
        <v>57.15</v>
      </c>
      <c r="N3049" s="21">
        <f t="shared" si="142"/>
        <v>2.2361359570661897E-2</v>
      </c>
      <c r="P3049" s="1">
        <v>4</v>
      </c>
      <c r="Q3049" s="24">
        <v>7.6199999999999974</v>
      </c>
      <c r="R3049" s="24">
        <v>55.88</v>
      </c>
      <c r="S3049" s="21">
        <f t="shared" si="143"/>
        <v>-3.5778175313051915E-4</v>
      </c>
    </row>
    <row r="3050" spans="2:19" ht="11.4" customHeight="1" x14ac:dyDescent="0.2">
      <c r="B3050" s="24"/>
      <c r="C3050" s="12">
        <v>41797</v>
      </c>
      <c r="D3050" s="18" t="s">
        <v>3166</v>
      </c>
      <c r="E3050" s="18" t="s">
        <v>3075</v>
      </c>
      <c r="F3050" s="18"/>
      <c r="G3050" s="18" t="s">
        <v>23</v>
      </c>
      <c r="H3050" s="17">
        <v>111.12</v>
      </c>
      <c r="I3050" s="13">
        <v>169.9</v>
      </c>
      <c r="J3050" s="21">
        <f t="shared" si="141"/>
        <v>0.52897768178545712</v>
      </c>
      <c r="K3050" s="1">
        <v>2</v>
      </c>
      <c r="L3050" s="24">
        <v>16.899999999999999</v>
      </c>
      <c r="M3050" s="24">
        <v>152.91</v>
      </c>
      <c r="N3050" s="21">
        <f t="shared" si="142"/>
        <v>0.37607991360691134</v>
      </c>
      <c r="P3050" s="1">
        <v>4</v>
      </c>
      <c r="Q3050" s="24">
        <v>20.388000000000005</v>
      </c>
      <c r="R3050" s="24">
        <v>149.512</v>
      </c>
      <c r="S3050" s="21">
        <f t="shared" si="143"/>
        <v>0.34550035997120226</v>
      </c>
    </row>
    <row r="3051" spans="2:19" ht="11.4" customHeight="1" x14ac:dyDescent="0.2">
      <c r="B3051" s="24"/>
      <c r="C3051" s="12">
        <v>11911</v>
      </c>
      <c r="D3051" s="18" t="s">
        <v>3167</v>
      </c>
      <c r="E3051" s="18" t="s">
        <v>3077</v>
      </c>
      <c r="F3051" s="18"/>
      <c r="G3051" s="18" t="s">
        <v>23</v>
      </c>
      <c r="H3051" s="17">
        <v>55.8</v>
      </c>
      <c r="I3051" s="13">
        <v>66.900000000000006</v>
      </c>
      <c r="J3051" s="21">
        <f t="shared" si="141"/>
        <v>0.19892473118279586</v>
      </c>
      <c r="K3051" s="1">
        <v>2</v>
      </c>
      <c r="L3051" s="24">
        <v>6.6</v>
      </c>
      <c r="M3051" s="24">
        <v>60.210000000000008</v>
      </c>
      <c r="N3051" s="21">
        <f t="shared" si="142"/>
        <v>7.9032258064516331E-2</v>
      </c>
      <c r="P3051" s="1">
        <v>4</v>
      </c>
      <c r="Q3051" s="24">
        <v>8.0279999999999987</v>
      </c>
      <c r="R3051" s="24">
        <v>58.872000000000007</v>
      </c>
      <c r="S3051" s="21">
        <f t="shared" si="143"/>
        <v>5.5053763440860395E-2</v>
      </c>
    </row>
    <row r="3052" spans="2:19" ht="11.4" customHeight="1" x14ac:dyDescent="0.2">
      <c r="B3052" s="24"/>
      <c r="C3052" s="12">
        <v>10324</v>
      </c>
      <c r="D3052" s="18" t="s">
        <v>3168</v>
      </c>
      <c r="E3052" s="18" t="s">
        <v>3075</v>
      </c>
      <c r="F3052" s="18"/>
      <c r="G3052" s="18" t="s">
        <v>23</v>
      </c>
      <c r="H3052" s="17">
        <v>187.9</v>
      </c>
      <c r="I3052" s="13">
        <v>228.5</v>
      </c>
      <c r="J3052" s="21">
        <f t="shared" si="141"/>
        <v>0.21607237892496003</v>
      </c>
      <c r="K3052" s="1">
        <v>2</v>
      </c>
      <c r="L3052" s="24">
        <v>22.8</v>
      </c>
      <c r="M3052" s="24">
        <v>205.65</v>
      </c>
      <c r="N3052" s="21">
        <f t="shared" si="142"/>
        <v>9.4465141032464076E-2</v>
      </c>
      <c r="P3052" s="1">
        <v>4</v>
      </c>
      <c r="Q3052" s="24">
        <v>27.419999999999987</v>
      </c>
      <c r="R3052" s="24">
        <v>201.08</v>
      </c>
      <c r="S3052" s="21">
        <f t="shared" si="143"/>
        <v>7.0143693453964914E-2</v>
      </c>
    </row>
    <row r="3053" spans="2:19" ht="11.4" customHeight="1" x14ac:dyDescent="0.2">
      <c r="B3053" s="24"/>
      <c r="C3053" s="12">
        <v>12017</v>
      </c>
      <c r="D3053" s="18" t="s">
        <v>3169</v>
      </c>
      <c r="E3053" s="18" t="s">
        <v>3075</v>
      </c>
      <c r="F3053" s="18"/>
      <c r="G3053" s="18" t="s">
        <v>23</v>
      </c>
      <c r="H3053" s="17">
        <v>122.8</v>
      </c>
      <c r="I3053" s="13">
        <v>139.9</v>
      </c>
      <c r="J3053" s="21">
        <f t="shared" si="141"/>
        <v>0.13925081433224762</v>
      </c>
      <c r="K3053" s="1">
        <v>2</v>
      </c>
      <c r="L3053" s="24">
        <v>13.9</v>
      </c>
      <c r="M3053" s="24">
        <v>125.91000000000001</v>
      </c>
      <c r="N3053" s="21">
        <f t="shared" si="142"/>
        <v>2.5325732899022912E-2</v>
      </c>
      <c r="P3053" s="1">
        <v>4</v>
      </c>
      <c r="Q3053" s="24">
        <v>16.787999999999997</v>
      </c>
      <c r="R3053" s="24">
        <v>123.11200000000001</v>
      </c>
      <c r="S3053" s="21">
        <f t="shared" si="143"/>
        <v>2.5407166123779467E-3</v>
      </c>
    </row>
    <row r="3054" spans="2:19" ht="11.4" customHeight="1" x14ac:dyDescent="0.2">
      <c r="B3054" s="24"/>
      <c r="C3054" s="12">
        <v>1530</v>
      </c>
      <c r="D3054" s="18" t="s">
        <v>3170</v>
      </c>
      <c r="E3054" s="18" t="s">
        <v>3077</v>
      </c>
      <c r="F3054" s="17">
        <v>50</v>
      </c>
      <c r="G3054" s="18" t="s">
        <v>23</v>
      </c>
      <c r="H3054" s="17">
        <v>9.7799999999999994</v>
      </c>
      <c r="I3054" s="13">
        <v>12.9</v>
      </c>
      <c r="J3054" s="21">
        <f t="shared" si="141"/>
        <v>0.31901840490797556</v>
      </c>
      <c r="K3054" s="1">
        <v>2</v>
      </c>
      <c r="L3054" s="24">
        <v>1.2</v>
      </c>
      <c r="M3054" s="24">
        <v>11.610000000000001</v>
      </c>
      <c r="N3054" s="21">
        <f t="shared" si="142"/>
        <v>0.18711656441717811</v>
      </c>
      <c r="P3054" s="1">
        <v>4</v>
      </c>
      <c r="Q3054" s="24">
        <v>1.548</v>
      </c>
      <c r="R3054" s="24">
        <v>11.352</v>
      </c>
      <c r="S3054" s="21">
        <f t="shared" si="143"/>
        <v>0.1607361963190185</v>
      </c>
    </row>
    <row r="3055" spans="2:19" ht="11.4" customHeight="1" x14ac:dyDescent="0.2">
      <c r="B3055" s="24"/>
      <c r="C3055" s="12">
        <v>8614</v>
      </c>
      <c r="D3055" s="18" t="s">
        <v>3171</v>
      </c>
      <c r="E3055" s="18" t="s">
        <v>3077</v>
      </c>
      <c r="F3055" s="18"/>
      <c r="G3055" s="18" t="s">
        <v>23</v>
      </c>
      <c r="H3055" s="17">
        <v>35.6</v>
      </c>
      <c r="I3055" s="13">
        <v>40.5</v>
      </c>
      <c r="J3055" s="21">
        <f t="shared" si="141"/>
        <v>0.13764044943820219</v>
      </c>
      <c r="K3055" s="1">
        <v>2</v>
      </c>
      <c r="L3055" s="24">
        <v>4</v>
      </c>
      <c r="M3055" s="24">
        <v>36.450000000000003</v>
      </c>
      <c r="N3055" s="21">
        <f t="shared" si="142"/>
        <v>2.387640449438206E-2</v>
      </c>
      <c r="P3055" s="1">
        <v>4</v>
      </c>
      <c r="Q3055" s="24">
        <v>4.8599999999999994</v>
      </c>
      <c r="R3055" s="24">
        <v>35.64</v>
      </c>
      <c r="S3055" s="21">
        <f t="shared" si="143"/>
        <v>1.1235955056179536E-3</v>
      </c>
    </row>
    <row r="3056" spans="2:19" ht="11.4" customHeight="1" x14ac:dyDescent="0.2">
      <c r="B3056" s="24"/>
      <c r="C3056" s="12">
        <v>2720</v>
      </c>
      <c r="D3056" s="18" t="s">
        <v>3172</v>
      </c>
      <c r="E3056" s="18" t="s">
        <v>3077</v>
      </c>
      <c r="F3056" s="18"/>
      <c r="G3056" s="18" t="s">
        <v>23</v>
      </c>
      <c r="H3056" s="17">
        <v>25.3</v>
      </c>
      <c r="I3056" s="13">
        <v>30.5</v>
      </c>
      <c r="J3056" s="21">
        <f t="shared" si="141"/>
        <v>0.20553359683794464</v>
      </c>
      <c r="K3056" s="1">
        <v>2</v>
      </c>
      <c r="L3056" s="24">
        <v>3</v>
      </c>
      <c r="M3056" s="24">
        <v>27.45</v>
      </c>
      <c r="N3056" s="21">
        <f t="shared" si="142"/>
        <v>8.4980237154150137E-2</v>
      </c>
      <c r="P3056" s="1">
        <v>4</v>
      </c>
      <c r="Q3056" s="24">
        <v>3.66</v>
      </c>
      <c r="R3056" s="24">
        <v>26.84</v>
      </c>
      <c r="S3056" s="21">
        <f t="shared" si="143"/>
        <v>6.0869565217391272E-2</v>
      </c>
    </row>
    <row r="3057" spans="2:19" ht="11.4" customHeight="1" x14ac:dyDescent="0.2">
      <c r="B3057" s="24"/>
      <c r="C3057" s="12">
        <v>44769</v>
      </c>
      <c r="D3057" s="18" t="s">
        <v>3173</v>
      </c>
      <c r="E3057" s="18" t="s">
        <v>3077</v>
      </c>
      <c r="F3057" s="17">
        <v>24</v>
      </c>
      <c r="G3057" s="18" t="s">
        <v>23</v>
      </c>
      <c r="H3057" s="17">
        <v>34.619999999999997</v>
      </c>
      <c r="I3057" s="13">
        <v>45.9</v>
      </c>
      <c r="J3057" s="21">
        <f t="shared" si="141"/>
        <v>0.32582322357019072</v>
      </c>
      <c r="K3057" s="1">
        <v>2</v>
      </c>
      <c r="L3057" s="24">
        <v>4.5</v>
      </c>
      <c r="M3057" s="24">
        <v>41.31</v>
      </c>
      <c r="N3057" s="21">
        <f t="shared" si="142"/>
        <v>0.19324090121317172</v>
      </c>
      <c r="P3057" s="1">
        <v>4</v>
      </c>
      <c r="Q3057" s="24">
        <v>5.5080000000000027</v>
      </c>
      <c r="R3057" s="24">
        <v>40.391999999999996</v>
      </c>
      <c r="S3057" s="21">
        <f t="shared" si="143"/>
        <v>0.16672443674176773</v>
      </c>
    </row>
    <row r="3058" spans="2:19" ht="11.4" customHeight="1" x14ac:dyDescent="0.2">
      <c r="B3058" s="24"/>
      <c r="C3058" s="12">
        <v>44768</v>
      </c>
      <c r="D3058" s="18" t="s">
        <v>3174</v>
      </c>
      <c r="E3058" s="18" t="s">
        <v>3077</v>
      </c>
      <c r="F3058" s="17">
        <v>24</v>
      </c>
      <c r="G3058" s="18" t="s">
        <v>23</v>
      </c>
      <c r="H3058" s="18"/>
      <c r="I3058" s="13">
        <v>32.5</v>
      </c>
      <c r="J3058" s="21" t="e">
        <f t="shared" si="141"/>
        <v>#DIV/0!</v>
      </c>
      <c r="K3058" s="1">
        <v>2</v>
      </c>
      <c r="L3058" s="24">
        <v>3.2</v>
      </c>
      <c r="M3058" s="24">
        <v>29.25</v>
      </c>
      <c r="N3058" s="21" t="e">
        <f t="shared" si="142"/>
        <v>#DIV/0!</v>
      </c>
      <c r="P3058" s="1">
        <v>4</v>
      </c>
      <c r="Q3058" s="24">
        <v>3.8999999999999986</v>
      </c>
      <c r="R3058" s="24">
        <v>28.6</v>
      </c>
      <c r="S3058" s="21" t="e">
        <f t="shared" si="143"/>
        <v>#DIV/0!</v>
      </c>
    </row>
    <row r="3059" spans="2:19" ht="11.4" customHeight="1" x14ac:dyDescent="0.2">
      <c r="B3059" s="24"/>
      <c r="C3059" s="12">
        <v>44767</v>
      </c>
      <c r="D3059" s="18" t="s">
        <v>3175</v>
      </c>
      <c r="E3059" s="18" t="s">
        <v>3077</v>
      </c>
      <c r="F3059" s="17">
        <v>24</v>
      </c>
      <c r="G3059" s="18" t="s">
        <v>23</v>
      </c>
      <c r="H3059" s="17">
        <v>24.78</v>
      </c>
      <c r="I3059" s="13">
        <v>32.5</v>
      </c>
      <c r="J3059" s="21">
        <f t="shared" si="141"/>
        <v>0.31154156577885384</v>
      </c>
      <c r="K3059" s="1">
        <v>2</v>
      </c>
      <c r="L3059" s="24">
        <v>3.2</v>
      </c>
      <c r="M3059" s="24">
        <v>29.25</v>
      </c>
      <c r="N3059" s="21">
        <f t="shared" si="142"/>
        <v>0.18038740920096846</v>
      </c>
      <c r="P3059" s="1">
        <v>4</v>
      </c>
      <c r="Q3059" s="24">
        <v>3.8999999999999986</v>
      </c>
      <c r="R3059" s="24">
        <v>28.6</v>
      </c>
      <c r="S3059" s="21">
        <f t="shared" si="143"/>
        <v>0.15415657788539144</v>
      </c>
    </row>
    <row r="3060" spans="2:19" ht="11.4" customHeight="1" x14ac:dyDescent="0.2">
      <c r="B3060" s="24"/>
      <c r="C3060" s="12">
        <v>44766</v>
      </c>
      <c r="D3060" s="18" t="s">
        <v>3176</v>
      </c>
      <c r="E3060" s="18" t="s">
        <v>3077</v>
      </c>
      <c r="F3060" s="17">
        <v>24</v>
      </c>
      <c r="G3060" s="18" t="s">
        <v>23</v>
      </c>
      <c r="H3060" s="17">
        <v>24.18</v>
      </c>
      <c r="I3060" s="13">
        <v>32.5</v>
      </c>
      <c r="J3060" s="21">
        <f t="shared" si="141"/>
        <v>0.34408602150537637</v>
      </c>
      <c r="K3060" s="1">
        <v>2</v>
      </c>
      <c r="L3060" s="24">
        <v>3.2</v>
      </c>
      <c r="M3060" s="24">
        <v>29.25</v>
      </c>
      <c r="N3060" s="21">
        <f t="shared" si="142"/>
        <v>0.20967741935483872</v>
      </c>
      <c r="P3060" s="1">
        <v>4</v>
      </c>
      <c r="Q3060" s="24">
        <v>3.8999999999999986</v>
      </c>
      <c r="R3060" s="24">
        <v>28.6</v>
      </c>
      <c r="S3060" s="21">
        <f t="shared" si="143"/>
        <v>0.18279569892473124</v>
      </c>
    </row>
    <row r="3061" spans="2:19" ht="11.4" customHeight="1" x14ac:dyDescent="0.2">
      <c r="B3061" s="24"/>
      <c r="C3061" s="12">
        <v>16730</v>
      </c>
      <c r="D3061" s="18" t="s">
        <v>3177</v>
      </c>
      <c r="E3061" s="18" t="s">
        <v>3073</v>
      </c>
      <c r="F3061" s="18"/>
      <c r="G3061" s="18" t="s">
        <v>902</v>
      </c>
      <c r="H3061" s="17">
        <v>125.3</v>
      </c>
      <c r="I3061" s="13">
        <v>147.5</v>
      </c>
      <c r="J3061" s="21">
        <f t="shared" si="141"/>
        <v>0.17717478052673585</v>
      </c>
      <c r="K3061" s="1">
        <v>1</v>
      </c>
      <c r="L3061" s="24">
        <v>7.3</v>
      </c>
      <c r="M3061" s="24">
        <v>140.125</v>
      </c>
      <c r="N3061" s="21">
        <f t="shared" si="142"/>
        <v>0.11831604150039907</v>
      </c>
      <c r="P3061" s="1">
        <v>4</v>
      </c>
      <c r="Q3061" s="24">
        <v>14.75</v>
      </c>
      <c r="R3061" s="24">
        <v>132.75</v>
      </c>
      <c r="S3061" s="21">
        <f t="shared" si="143"/>
        <v>5.9457302474062272E-2</v>
      </c>
    </row>
    <row r="3062" spans="2:19" ht="11.4" customHeight="1" x14ac:dyDescent="0.2">
      <c r="B3062" s="24"/>
      <c r="C3062" s="12">
        <v>39586</v>
      </c>
      <c r="D3062" s="18" t="s">
        <v>3178</v>
      </c>
      <c r="E3062" s="18" t="s">
        <v>3179</v>
      </c>
      <c r="F3062" s="18"/>
      <c r="G3062" s="18" t="s">
        <v>23</v>
      </c>
      <c r="H3062" s="17">
        <v>119.82</v>
      </c>
      <c r="I3062" s="13">
        <v>174.9</v>
      </c>
      <c r="J3062" s="21">
        <f t="shared" si="141"/>
        <v>0.45968953430145232</v>
      </c>
      <c r="K3062" s="1">
        <v>2</v>
      </c>
      <c r="L3062" s="24">
        <v>17.399999999999999</v>
      </c>
      <c r="M3062" s="24">
        <v>157.41</v>
      </c>
      <c r="N3062" s="21">
        <f t="shared" si="142"/>
        <v>0.313720580871307</v>
      </c>
      <c r="P3062" s="1">
        <v>4</v>
      </c>
      <c r="Q3062" s="24">
        <v>20.988</v>
      </c>
      <c r="R3062" s="24">
        <v>153.91200000000001</v>
      </c>
      <c r="S3062" s="21">
        <f t="shared" si="143"/>
        <v>0.28452679018527804</v>
      </c>
    </row>
    <row r="3063" spans="2:19" ht="11.4" customHeight="1" x14ac:dyDescent="0.2">
      <c r="B3063" s="24"/>
      <c r="C3063" s="12">
        <v>7321</v>
      </c>
      <c r="D3063" s="18" t="s">
        <v>3180</v>
      </c>
      <c r="E3063" s="18" t="s">
        <v>3181</v>
      </c>
      <c r="F3063" s="18"/>
      <c r="G3063" s="18" t="s">
        <v>902</v>
      </c>
      <c r="H3063" s="17">
        <v>120.75</v>
      </c>
      <c r="I3063" s="13">
        <v>169.9</v>
      </c>
      <c r="J3063" s="21">
        <f t="shared" si="141"/>
        <v>0.40703933747412013</v>
      </c>
      <c r="K3063" s="1">
        <v>1</v>
      </c>
      <c r="L3063" s="24">
        <v>8.4</v>
      </c>
      <c r="M3063" s="24">
        <v>161.405</v>
      </c>
      <c r="N3063" s="21">
        <f t="shared" si="142"/>
        <v>0.33668737060041409</v>
      </c>
      <c r="P3063" s="1">
        <v>4</v>
      </c>
      <c r="Q3063" s="24">
        <v>16.990000000000009</v>
      </c>
      <c r="R3063" s="24">
        <v>152.91</v>
      </c>
      <c r="S3063" s="21">
        <f t="shared" si="143"/>
        <v>0.26633540372670805</v>
      </c>
    </row>
    <row r="3064" spans="2:19" ht="11.4" customHeight="1" x14ac:dyDescent="0.2">
      <c r="B3064" s="24"/>
      <c r="C3064" s="12">
        <v>16750</v>
      </c>
      <c r="D3064" s="18" t="s">
        <v>3182</v>
      </c>
      <c r="E3064" s="18" t="s">
        <v>3181</v>
      </c>
      <c r="F3064" s="18"/>
      <c r="G3064" s="18" t="s">
        <v>902</v>
      </c>
      <c r="H3064" s="17">
        <v>139.5</v>
      </c>
      <c r="I3064" s="13">
        <v>188.5</v>
      </c>
      <c r="J3064" s="21">
        <f t="shared" si="141"/>
        <v>0.35125448028673834</v>
      </c>
      <c r="K3064" s="1">
        <v>1</v>
      </c>
      <c r="L3064" s="24">
        <v>9.4</v>
      </c>
      <c r="M3064" s="24">
        <v>179.07499999999999</v>
      </c>
      <c r="N3064" s="21">
        <f t="shared" si="142"/>
        <v>0.28369175627240134</v>
      </c>
      <c r="P3064" s="1">
        <v>4</v>
      </c>
      <c r="Q3064" s="24">
        <v>18.849999999999994</v>
      </c>
      <c r="R3064" s="24">
        <v>169.65</v>
      </c>
      <c r="S3064" s="21">
        <f t="shared" si="143"/>
        <v>0.21612903225806457</v>
      </c>
    </row>
    <row r="3065" spans="2:19" ht="11.4" customHeight="1" x14ac:dyDescent="0.2">
      <c r="B3065" s="24"/>
      <c r="C3065" s="12">
        <v>45326</v>
      </c>
      <c r="D3065" s="18" t="s">
        <v>3183</v>
      </c>
      <c r="E3065" s="18" t="s">
        <v>3184</v>
      </c>
      <c r="F3065" s="17">
        <v>15</v>
      </c>
      <c r="G3065" s="18" t="s">
        <v>23</v>
      </c>
      <c r="H3065" s="18"/>
      <c r="I3065" s="13">
        <v>169.9</v>
      </c>
      <c r="J3065" s="21" t="e">
        <f t="shared" si="141"/>
        <v>#DIV/0!</v>
      </c>
      <c r="K3065" s="1">
        <v>2</v>
      </c>
      <c r="L3065" s="24">
        <v>16.899999999999999</v>
      </c>
      <c r="M3065" s="24">
        <v>152.91</v>
      </c>
      <c r="N3065" s="21" t="e">
        <f t="shared" si="142"/>
        <v>#DIV/0!</v>
      </c>
      <c r="P3065" s="1">
        <v>4</v>
      </c>
      <c r="Q3065" s="24">
        <v>20.388000000000005</v>
      </c>
      <c r="R3065" s="24">
        <v>149.512</v>
      </c>
      <c r="S3065" s="21" t="e">
        <f t="shared" si="143"/>
        <v>#DIV/0!</v>
      </c>
    </row>
    <row r="3066" spans="2:19" ht="11.4" customHeight="1" x14ac:dyDescent="0.2">
      <c r="B3066" s="24"/>
      <c r="C3066" s="12">
        <v>18605</v>
      </c>
      <c r="D3066" s="18" t="s">
        <v>3185</v>
      </c>
      <c r="E3066" s="18" t="s">
        <v>3184</v>
      </c>
      <c r="F3066" s="18"/>
      <c r="G3066" s="18" t="s">
        <v>902</v>
      </c>
      <c r="H3066" s="17">
        <v>100.5</v>
      </c>
      <c r="I3066" s="13">
        <v>119.9</v>
      </c>
      <c r="J3066" s="21">
        <f t="shared" si="141"/>
        <v>0.19303482587064683</v>
      </c>
      <c r="K3066" s="1">
        <v>1</v>
      </c>
      <c r="L3066" s="24">
        <v>5.9</v>
      </c>
      <c r="M3066" s="24">
        <v>113.905</v>
      </c>
      <c r="N3066" s="21">
        <f t="shared" si="142"/>
        <v>0.13338308457711445</v>
      </c>
      <c r="P3066" s="1">
        <v>4</v>
      </c>
      <c r="Q3066" s="24">
        <v>11.989999999999995</v>
      </c>
      <c r="R3066" s="24">
        <v>107.91000000000001</v>
      </c>
      <c r="S3066" s="21">
        <f t="shared" si="143"/>
        <v>7.373134328358219E-2</v>
      </c>
    </row>
    <row r="3067" spans="2:19" ht="11.4" customHeight="1" x14ac:dyDescent="0.2">
      <c r="B3067" s="24"/>
      <c r="C3067" s="12">
        <v>45324</v>
      </c>
      <c r="D3067" s="18" t="s">
        <v>3186</v>
      </c>
      <c r="E3067" s="18" t="s">
        <v>3184</v>
      </c>
      <c r="F3067" s="17">
        <v>15</v>
      </c>
      <c r="G3067" s="18" t="s">
        <v>23</v>
      </c>
      <c r="H3067" s="18"/>
      <c r="I3067" s="13">
        <v>234.9</v>
      </c>
      <c r="J3067" s="21" t="e">
        <f t="shared" si="141"/>
        <v>#DIV/0!</v>
      </c>
      <c r="K3067" s="1">
        <v>2</v>
      </c>
      <c r="L3067" s="24">
        <v>23.4</v>
      </c>
      <c r="M3067" s="24">
        <v>211.41</v>
      </c>
      <c r="N3067" s="21" t="e">
        <f t="shared" si="142"/>
        <v>#DIV/0!</v>
      </c>
      <c r="P3067" s="1">
        <v>4</v>
      </c>
      <c r="Q3067" s="24">
        <v>28.187999999999988</v>
      </c>
      <c r="R3067" s="24">
        <v>206.71200000000002</v>
      </c>
      <c r="S3067" s="21" t="e">
        <f t="shared" si="143"/>
        <v>#DIV/0!</v>
      </c>
    </row>
    <row r="3068" spans="2:19" ht="11.4" customHeight="1" x14ac:dyDescent="0.2">
      <c r="B3068" s="24"/>
      <c r="C3068" s="12">
        <v>45325</v>
      </c>
      <c r="D3068" s="18" t="s">
        <v>3187</v>
      </c>
      <c r="E3068" s="18" t="s">
        <v>3184</v>
      </c>
      <c r="F3068" s="17">
        <v>15</v>
      </c>
      <c r="G3068" s="18" t="s">
        <v>23</v>
      </c>
      <c r="H3068" s="18"/>
      <c r="I3068" s="13">
        <v>189.9</v>
      </c>
      <c r="J3068" s="21" t="e">
        <f t="shared" si="141"/>
        <v>#DIV/0!</v>
      </c>
      <c r="K3068" s="1">
        <v>2</v>
      </c>
      <c r="L3068" s="24">
        <v>18.899999999999999</v>
      </c>
      <c r="M3068" s="24">
        <v>170.91</v>
      </c>
      <c r="N3068" s="21" t="e">
        <f t="shared" si="142"/>
        <v>#DIV/0!</v>
      </c>
      <c r="P3068" s="1">
        <v>4</v>
      </c>
      <c r="Q3068" s="24">
        <v>22.788000000000011</v>
      </c>
      <c r="R3068" s="24">
        <v>167.11199999999999</v>
      </c>
      <c r="S3068" s="21" t="e">
        <f t="shared" si="143"/>
        <v>#DIV/0!</v>
      </c>
    </row>
    <row r="3069" spans="2:19" ht="11.4" customHeight="1" x14ac:dyDescent="0.2">
      <c r="B3069" s="24"/>
      <c r="C3069" s="12">
        <v>39590</v>
      </c>
      <c r="D3069" s="18" t="s">
        <v>3188</v>
      </c>
      <c r="E3069" s="18" t="s">
        <v>3073</v>
      </c>
      <c r="F3069" s="17">
        <v>8</v>
      </c>
      <c r="G3069" s="18" t="s">
        <v>23</v>
      </c>
      <c r="H3069" s="17">
        <v>59.9</v>
      </c>
      <c r="I3069" s="13">
        <v>74.900000000000006</v>
      </c>
      <c r="J3069" s="21">
        <f t="shared" si="141"/>
        <v>0.25041736227045086</v>
      </c>
      <c r="K3069" s="1">
        <v>2</v>
      </c>
      <c r="L3069" s="24">
        <v>7.4</v>
      </c>
      <c r="M3069" s="24">
        <v>67.410000000000011</v>
      </c>
      <c r="N3069" s="21">
        <f t="shared" si="142"/>
        <v>0.12537562604340588</v>
      </c>
      <c r="P3069" s="1">
        <v>4</v>
      </c>
      <c r="Q3069" s="24">
        <v>8.9879999999999995</v>
      </c>
      <c r="R3069" s="24">
        <v>65.912000000000006</v>
      </c>
      <c r="S3069" s="21">
        <f t="shared" si="143"/>
        <v>0.10036727879799678</v>
      </c>
    </row>
    <row r="3070" spans="2:19" ht="11.4" customHeight="1" x14ac:dyDescent="0.2">
      <c r="B3070" s="24"/>
      <c r="C3070" s="12">
        <v>42420</v>
      </c>
      <c r="D3070" s="18" t="s">
        <v>3189</v>
      </c>
      <c r="E3070" s="18" t="s">
        <v>3073</v>
      </c>
      <c r="F3070" s="18"/>
      <c r="G3070" s="18" t="s">
        <v>902</v>
      </c>
      <c r="H3070" s="18"/>
      <c r="I3070" s="13">
        <v>188.7</v>
      </c>
      <c r="J3070" s="21" t="e">
        <f t="shared" si="141"/>
        <v>#DIV/0!</v>
      </c>
      <c r="K3070" s="1">
        <v>1</v>
      </c>
      <c r="L3070" s="24">
        <v>9.4</v>
      </c>
      <c r="M3070" s="24">
        <v>179.26499999999999</v>
      </c>
      <c r="N3070" s="21" t="e">
        <f t="shared" si="142"/>
        <v>#DIV/0!</v>
      </c>
      <c r="P3070" s="1">
        <v>4</v>
      </c>
      <c r="Q3070" s="24">
        <v>18.870000000000005</v>
      </c>
      <c r="R3070" s="24">
        <v>169.82999999999998</v>
      </c>
      <c r="S3070" s="21" t="e">
        <f t="shared" si="143"/>
        <v>#DIV/0!</v>
      </c>
    </row>
    <row r="3071" spans="2:19" ht="11.4" customHeight="1" x14ac:dyDescent="0.2">
      <c r="B3071" s="24"/>
      <c r="C3071" s="12">
        <v>39591</v>
      </c>
      <c r="D3071" s="18" t="s">
        <v>3190</v>
      </c>
      <c r="E3071" s="18" t="s">
        <v>3073</v>
      </c>
      <c r="F3071" s="17">
        <v>8</v>
      </c>
      <c r="G3071" s="18" t="s">
        <v>23</v>
      </c>
      <c r="H3071" s="17">
        <v>49.9</v>
      </c>
      <c r="I3071" s="13">
        <v>67.900000000000006</v>
      </c>
      <c r="J3071" s="21">
        <f t="shared" si="141"/>
        <v>0.36072144288577168</v>
      </c>
      <c r="K3071" s="1">
        <v>2</v>
      </c>
      <c r="L3071" s="24">
        <v>6.7</v>
      </c>
      <c r="M3071" s="24">
        <v>61.110000000000007</v>
      </c>
      <c r="N3071" s="21">
        <f t="shared" si="142"/>
        <v>0.22464929859719454</v>
      </c>
      <c r="P3071" s="1">
        <v>4</v>
      </c>
      <c r="Q3071" s="24">
        <v>8.1480000000000032</v>
      </c>
      <c r="R3071" s="24">
        <v>59.752000000000002</v>
      </c>
      <c r="S3071" s="21">
        <f t="shared" si="143"/>
        <v>0.19743486973947905</v>
      </c>
    </row>
    <row r="3072" spans="2:19" ht="11.4" customHeight="1" x14ac:dyDescent="0.2">
      <c r="B3072" s="24"/>
      <c r="C3072" s="12">
        <v>21186</v>
      </c>
      <c r="D3072" s="18" t="s">
        <v>3191</v>
      </c>
      <c r="E3072" s="18" t="s">
        <v>3073</v>
      </c>
      <c r="F3072" s="17">
        <v>8</v>
      </c>
      <c r="G3072" s="18" t="s">
        <v>23</v>
      </c>
      <c r="H3072" s="17">
        <v>49.9</v>
      </c>
      <c r="I3072" s="13">
        <v>67.900000000000006</v>
      </c>
      <c r="J3072" s="21">
        <f t="shared" si="141"/>
        <v>0.36072144288577168</v>
      </c>
      <c r="K3072" s="1">
        <v>2</v>
      </c>
      <c r="L3072" s="24">
        <v>6.7</v>
      </c>
      <c r="M3072" s="24">
        <v>61.110000000000007</v>
      </c>
      <c r="N3072" s="21">
        <f t="shared" si="142"/>
        <v>0.22464929859719454</v>
      </c>
      <c r="P3072" s="1">
        <v>4</v>
      </c>
      <c r="Q3072" s="24">
        <v>8.1480000000000032</v>
      </c>
      <c r="R3072" s="24">
        <v>59.752000000000002</v>
      </c>
      <c r="S3072" s="21">
        <f t="shared" si="143"/>
        <v>0.19743486973947905</v>
      </c>
    </row>
    <row r="3073" spans="2:19" ht="11.4" customHeight="1" x14ac:dyDescent="0.2">
      <c r="B3073" s="24"/>
      <c r="C3073" s="12">
        <v>17260</v>
      </c>
      <c r="D3073" s="18" t="s">
        <v>3192</v>
      </c>
      <c r="E3073" s="18" t="s">
        <v>3073</v>
      </c>
      <c r="F3073" s="18"/>
      <c r="G3073" s="18" t="s">
        <v>902</v>
      </c>
      <c r="H3073" s="17">
        <v>106.3</v>
      </c>
      <c r="I3073" s="13">
        <v>129.9</v>
      </c>
      <c r="J3073" s="21">
        <f t="shared" si="141"/>
        <v>0.22201317027281289</v>
      </c>
      <c r="K3073" s="1">
        <v>1</v>
      </c>
      <c r="L3073" s="24">
        <v>6.4</v>
      </c>
      <c r="M3073" s="24">
        <v>123.405</v>
      </c>
      <c r="N3073" s="21">
        <f t="shared" si="142"/>
        <v>0.16091251175917221</v>
      </c>
      <c r="P3073" s="1">
        <v>4</v>
      </c>
      <c r="Q3073" s="24">
        <v>12.989999999999995</v>
      </c>
      <c r="R3073" s="24">
        <v>116.91000000000001</v>
      </c>
      <c r="S3073" s="21">
        <f t="shared" si="143"/>
        <v>9.9811853245531643E-2</v>
      </c>
    </row>
    <row r="3074" spans="2:19" ht="11.4" customHeight="1" x14ac:dyDescent="0.2">
      <c r="B3074" s="24"/>
      <c r="C3074" s="12">
        <v>115</v>
      </c>
      <c r="D3074" s="18" t="s">
        <v>3193</v>
      </c>
      <c r="E3074" s="18" t="s">
        <v>3184</v>
      </c>
      <c r="F3074" s="18"/>
      <c r="G3074" s="18" t="s">
        <v>902</v>
      </c>
      <c r="H3074" s="17">
        <v>242.2</v>
      </c>
      <c r="I3074" s="13">
        <v>349.9</v>
      </c>
      <c r="J3074" s="21">
        <f t="shared" si="141"/>
        <v>0.44467382328654004</v>
      </c>
      <c r="K3074" s="1">
        <v>1</v>
      </c>
      <c r="L3074" s="24">
        <v>17.399999999999999</v>
      </c>
      <c r="M3074" s="24">
        <v>332.40499999999997</v>
      </c>
      <c r="N3074" s="21">
        <f t="shared" si="142"/>
        <v>0.372440132122213</v>
      </c>
      <c r="P3074" s="1">
        <v>4</v>
      </c>
      <c r="Q3074" s="24">
        <v>34.990000000000009</v>
      </c>
      <c r="R3074" s="24">
        <v>314.90999999999997</v>
      </c>
      <c r="S3074" s="21">
        <f t="shared" si="143"/>
        <v>0.30020644095788596</v>
      </c>
    </row>
    <row r="3075" spans="2:19" ht="11.4" customHeight="1" x14ac:dyDescent="0.2">
      <c r="B3075" s="24"/>
      <c r="C3075" s="12">
        <v>7001</v>
      </c>
      <c r="D3075" s="18" t="s">
        <v>3194</v>
      </c>
      <c r="E3075" s="18" t="s">
        <v>3179</v>
      </c>
      <c r="F3075" s="18"/>
      <c r="G3075" s="18" t="s">
        <v>902</v>
      </c>
      <c r="H3075" s="17">
        <v>117.3</v>
      </c>
      <c r="I3075" s="13">
        <v>165.9</v>
      </c>
      <c r="J3075" s="21">
        <f t="shared" ref="J3075:J3138" si="144">(I3075-H3075)/H3075</f>
        <v>0.41432225063938627</v>
      </c>
      <c r="K3075" s="1">
        <v>1</v>
      </c>
      <c r="L3075" s="24">
        <v>8.1999999999999993</v>
      </c>
      <c r="M3075" s="24">
        <v>157.60499999999999</v>
      </c>
      <c r="N3075" s="21">
        <f t="shared" ref="N3075:N3138" si="145">(M3075-H3075)/H3075</f>
        <v>0.3436061381074168</v>
      </c>
      <c r="P3075" s="1">
        <v>4</v>
      </c>
      <c r="Q3075" s="24">
        <v>16.590000000000003</v>
      </c>
      <c r="R3075" s="24">
        <v>149.31</v>
      </c>
      <c r="S3075" s="21">
        <f t="shared" ref="S3075:S3138" si="146">(R3075-H3075)/H3075</f>
        <v>0.27289002557544761</v>
      </c>
    </row>
    <row r="3076" spans="2:19" ht="11.4" customHeight="1" x14ac:dyDescent="0.2">
      <c r="B3076" s="24"/>
      <c r="C3076" s="12">
        <v>45426</v>
      </c>
      <c r="D3076" s="18" t="s">
        <v>3195</v>
      </c>
      <c r="E3076" s="18" t="s">
        <v>3073</v>
      </c>
      <c r="F3076" s="17">
        <v>7</v>
      </c>
      <c r="G3076" s="18" t="s">
        <v>23</v>
      </c>
      <c r="H3076" s="17">
        <v>160.08000000000001</v>
      </c>
      <c r="I3076" s="13">
        <v>239.9</v>
      </c>
      <c r="J3076" s="21">
        <f t="shared" si="144"/>
        <v>0.49862568715642169</v>
      </c>
      <c r="K3076" s="1">
        <v>2</v>
      </c>
      <c r="L3076" s="24">
        <v>23.9</v>
      </c>
      <c r="M3076" s="24">
        <v>215.91</v>
      </c>
      <c r="N3076" s="21">
        <f t="shared" si="145"/>
        <v>0.34876311844077951</v>
      </c>
      <c r="P3076" s="1">
        <v>4</v>
      </c>
      <c r="Q3076" s="24">
        <v>28.788000000000011</v>
      </c>
      <c r="R3076" s="24">
        <v>211.11199999999999</v>
      </c>
      <c r="S3076" s="21">
        <f t="shared" si="146"/>
        <v>0.31879060469765103</v>
      </c>
    </row>
    <row r="3077" spans="2:19" ht="11.4" customHeight="1" x14ac:dyDescent="0.2">
      <c r="B3077" s="24"/>
      <c r="C3077" s="12">
        <v>46375</v>
      </c>
      <c r="D3077" s="18" t="s">
        <v>3196</v>
      </c>
      <c r="E3077" s="18" t="s">
        <v>3197</v>
      </c>
      <c r="F3077" s="17">
        <v>25</v>
      </c>
      <c r="G3077" s="18" t="s">
        <v>902</v>
      </c>
      <c r="H3077" s="18"/>
      <c r="I3077" s="13">
        <v>199.9</v>
      </c>
      <c r="J3077" s="21" t="e">
        <f t="shared" si="144"/>
        <v>#DIV/0!</v>
      </c>
      <c r="K3077" s="1">
        <v>1</v>
      </c>
      <c r="L3077" s="24">
        <v>9.9</v>
      </c>
      <c r="M3077" s="24">
        <v>189.905</v>
      </c>
      <c r="N3077" s="21" t="e">
        <f t="shared" si="145"/>
        <v>#DIV/0!</v>
      </c>
      <c r="P3077" s="1">
        <v>4</v>
      </c>
      <c r="Q3077" s="24">
        <v>19.990000000000009</v>
      </c>
      <c r="R3077" s="24">
        <v>179.91</v>
      </c>
      <c r="S3077" s="21" t="e">
        <f t="shared" si="146"/>
        <v>#DIV/0!</v>
      </c>
    </row>
    <row r="3078" spans="2:19" ht="11.4" customHeight="1" x14ac:dyDescent="0.2">
      <c r="B3078" s="24"/>
      <c r="C3078" s="12">
        <v>40084</v>
      </c>
      <c r="D3078" s="18" t="s">
        <v>3198</v>
      </c>
      <c r="E3078" s="18" t="s">
        <v>3181</v>
      </c>
      <c r="F3078" s="18"/>
      <c r="G3078" s="18" t="s">
        <v>902</v>
      </c>
      <c r="H3078" s="17">
        <v>235.56</v>
      </c>
      <c r="I3078" s="13">
        <v>319.89999999999998</v>
      </c>
      <c r="J3078" s="21">
        <f t="shared" si="144"/>
        <v>0.35804041433180495</v>
      </c>
      <c r="K3078" s="1">
        <v>1</v>
      </c>
      <c r="L3078" s="24">
        <v>15.9</v>
      </c>
      <c r="M3078" s="24">
        <v>303.90499999999997</v>
      </c>
      <c r="N3078" s="21">
        <f t="shared" si="145"/>
        <v>0.29013839361521465</v>
      </c>
      <c r="P3078" s="1">
        <v>4</v>
      </c>
      <c r="Q3078" s="24">
        <v>31.990000000000009</v>
      </c>
      <c r="R3078" s="24">
        <v>287.90999999999997</v>
      </c>
      <c r="S3078" s="21">
        <f t="shared" si="146"/>
        <v>0.22223637289862441</v>
      </c>
    </row>
    <row r="3079" spans="2:19" ht="11.4" customHeight="1" x14ac:dyDescent="0.2">
      <c r="B3079" s="24"/>
      <c r="C3079" s="12">
        <v>8769</v>
      </c>
      <c r="D3079" s="18" t="s">
        <v>3199</v>
      </c>
      <c r="E3079" s="18" t="s">
        <v>3073</v>
      </c>
      <c r="F3079" s="18"/>
      <c r="G3079" s="18" t="s">
        <v>902</v>
      </c>
      <c r="H3079" s="17">
        <v>82.2</v>
      </c>
      <c r="I3079" s="13">
        <v>98.9</v>
      </c>
      <c r="J3079" s="21">
        <f t="shared" si="144"/>
        <v>0.2031630170316302</v>
      </c>
      <c r="K3079" s="1">
        <v>1</v>
      </c>
      <c r="L3079" s="24">
        <v>4.9000000000000004</v>
      </c>
      <c r="M3079" s="24">
        <v>93.954999999999998</v>
      </c>
      <c r="N3079" s="21">
        <f t="shared" si="145"/>
        <v>0.1430048661800486</v>
      </c>
      <c r="P3079" s="1">
        <v>4</v>
      </c>
      <c r="Q3079" s="24">
        <v>9.89</v>
      </c>
      <c r="R3079" s="24">
        <v>89.01</v>
      </c>
      <c r="S3079" s="21">
        <f t="shared" si="146"/>
        <v>8.2846715328467171E-2</v>
      </c>
    </row>
    <row r="3080" spans="2:19" ht="11.4" customHeight="1" x14ac:dyDescent="0.2">
      <c r="B3080" s="24"/>
      <c r="C3080" s="12">
        <v>10845</v>
      </c>
      <c r="D3080" s="18" t="s">
        <v>3200</v>
      </c>
      <c r="E3080" s="18" t="s">
        <v>3073</v>
      </c>
      <c r="F3080" s="18"/>
      <c r="G3080" s="18" t="s">
        <v>902</v>
      </c>
      <c r="H3080" s="17">
        <v>80.2</v>
      </c>
      <c r="I3080" s="13">
        <v>96.5</v>
      </c>
      <c r="J3080" s="21">
        <f t="shared" si="144"/>
        <v>0.20324189526184536</v>
      </c>
      <c r="K3080" s="1">
        <v>1</v>
      </c>
      <c r="L3080" s="24">
        <v>4.8</v>
      </c>
      <c r="M3080" s="24">
        <v>91.674999999999997</v>
      </c>
      <c r="N3080" s="21">
        <f t="shared" si="145"/>
        <v>0.14307980049875305</v>
      </c>
      <c r="P3080" s="1">
        <v>4</v>
      </c>
      <c r="Q3080" s="24">
        <v>9.6499999999999915</v>
      </c>
      <c r="R3080" s="24">
        <v>86.850000000000009</v>
      </c>
      <c r="S3080" s="21">
        <f t="shared" si="146"/>
        <v>8.2917705735660915E-2</v>
      </c>
    </row>
    <row r="3081" spans="2:19" ht="11.4" customHeight="1" x14ac:dyDescent="0.2">
      <c r="B3081" s="24"/>
      <c r="C3081" s="12">
        <v>13352</v>
      </c>
      <c r="D3081" s="18" t="s">
        <v>3201</v>
      </c>
      <c r="E3081" s="18" t="s">
        <v>3073</v>
      </c>
      <c r="F3081" s="18"/>
      <c r="G3081" s="18" t="s">
        <v>902</v>
      </c>
      <c r="H3081" s="17">
        <v>113.5</v>
      </c>
      <c r="I3081" s="13">
        <v>122</v>
      </c>
      <c r="J3081" s="21">
        <f t="shared" si="144"/>
        <v>7.4889867841409691E-2</v>
      </c>
      <c r="K3081" s="1">
        <v>1</v>
      </c>
      <c r="L3081" s="24">
        <v>6.1</v>
      </c>
      <c r="M3081" s="24">
        <v>115.89999999999999</v>
      </c>
      <c r="N3081" s="21">
        <f t="shared" si="145"/>
        <v>2.1145374449339133E-2</v>
      </c>
      <c r="P3081" s="1">
        <v>4</v>
      </c>
      <c r="Q3081" s="24">
        <v>12.200000000000003</v>
      </c>
      <c r="R3081" s="24">
        <v>109.8</v>
      </c>
      <c r="S3081" s="21">
        <f t="shared" si="146"/>
        <v>-3.2599118942731299E-2</v>
      </c>
    </row>
    <row r="3082" spans="2:19" ht="11.4" customHeight="1" x14ac:dyDescent="0.2">
      <c r="B3082" s="24"/>
      <c r="C3082" s="12">
        <v>21341</v>
      </c>
      <c r="D3082" s="18" t="s">
        <v>3202</v>
      </c>
      <c r="E3082" s="18" t="s">
        <v>3073</v>
      </c>
      <c r="F3082" s="17">
        <v>8</v>
      </c>
      <c r="G3082" s="18" t="s">
        <v>23</v>
      </c>
      <c r="H3082" s="17">
        <v>99.5</v>
      </c>
      <c r="I3082" s="13">
        <v>129.9</v>
      </c>
      <c r="J3082" s="21">
        <f t="shared" si="144"/>
        <v>0.30552763819095485</v>
      </c>
      <c r="K3082" s="1">
        <v>2</v>
      </c>
      <c r="L3082" s="24">
        <v>12.9</v>
      </c>
      <c r="M3082" s="24">
        <v>116.91000000000001</v>
      </c>
      <c r="N3082" s="21">
        <f t="shared" si="145"/>
        <v>0.17497487437185941</v>
      </c>
      <c r="P3082" s="1">
        <v>4</v>
      </c>
      <c r="Q3082" s="24">
        <v>15.587999999999994</v>
      </c>
      <c r="R3082" s="24">
        <v>114.31200000000001</v>
      </c>
      <c r="S3082" s="21">
        <f t="shared" si="146"/>
        <v>0.14886432160804031</v>
      </c>
    </row>
    <row r="3083" spans="2:19" ht="11.4" customHeight="1" x14ac:dyDescent="0.2">
      <c r="B3083" s="24"/>
      <c r="C3083" s="12">
        <v>29431</v>
      </c>
      <c r="D3083" s="18" t="s">
        <v>3203</v>
      </c>
      <c r="E3083" s="18" t="s">
        <v>3073</v>
      </c>
      <c r="F3083" s="18"/>
      <c r="G3083" s="18" t="s">
        <v>902</v>
      </c>
      <c r="H3083" s="17">
        <v>99.5</v>
      </c>
      <c r="I3083" s="13">
        <v>119.9</v>
      </c>
      <c r="J3083" s="21">
        <f t="shared" si="144"/>
        <v>0.20502512562814076</v>
      </c>
      <c r="K3083" s="1">
        <v>1</v>
      </c>
      <c r="L3083" s="24">
        <v>5.9</v>
      </c>
      <c r="M3083" s="24">
        <v>113.905</v>
      </c>
      <c r="N3083" s="21">
        <f t="shared" si="145"/>
        <v>0.14477386934673367</v>
      </c>
      <c r="P3083" s="1">
        <v>4</v>
      </c>
      <c r="Q3083" s="24">
        <v>11.989999999999995</v>
      </c>
      <c r="R3083" s="24">
        <v>107.91000000000001</v>
      </c>
      <c r="S3083" s="21">
        <f t="shared" si="146"/>
        <v>8.452261306532674E-2</v>
      </c>
    </row>
    <row r="3084" spans="2:19" ht="11.4" customHeight="1" x14ac:dyDescent="0.2">
      <c r="B3084" s="24"/>
      <c r="C3084" s="12">
        <v>8800</v>
      </c>
      <c r="D3084" s="18" t="s">
        <v>3204</v>
      </c>
      <c r="E3084" s="18" t="s">
        <v>3073</v>
      </c>
      <c r="F3084" s="18"/>
      <c r="G3084" s="18" t="s">
        <v>902</v>
      </c>
      <c r="H3084" s="17">
        <v>110</v>
      </c>
      <c r="I3084" s="13">
        <v>159.9</v>
      </c>
      <c r="J3084" s="21">
        <f t="shared" si="144"/>
        <v>0.45363636363636367</v>
      </c>
      <c r="K3084" s="1">
        <v>1</v>
      </c>
      <c r="L3084" s="24">
        <v>7.9</v>
      </c>
      <c r="M3084" s="24">
        <v>151.905</v>
      </c>
      <c r="N3084" s="21">
        <f t="shared" si="145"/>
        <v>0.38095454545454549</v>
      </c>
      <c r="P3084" s="1">
        <v>4</v>
      </c>
      <c r="Q3084" s="24">
        <v>15.990000000000009</v>
      </c>
      <c r="R3084" s="24">
        <v>143.91</v>
      </c>
      <c r="S3084" s="21">
        <f t="shared" si="146"/>
        <v>0.30827272727272725</v>
      </c>
    </row>
    <row r="3085" spans="2:19" ht="11.4" customHeight="1" x14ac:dyDescent="0.2">
      <c r="B3085" s="24"/>
      <c r="C3085" s="12">
        <v>2409</v>
      </c>
      <c r="D3085" s="18" t="s">
        <v>3205</v>
      </c>
      <c r="E3085" s="18" t="s">
        <v>3073</v>
      </c>
      <c r="F3085" s="18"/>
      <c r="G3085" s="18" t="s">
        <v>902</v>
      </c>
      <c r="H3085" s="17">
        <v>145</v>
      </c>
      <c r="I3085" s="13">
        <v>194.5</v>
      </c>
      <c r="J3085" s="21">
        <f t="shared" si="144"/>
        <v>0.3413793103448276</v>
      </c>
      <c r="K3085" s="1">
        <v>1</v>
      </c>
      <c r="L3085" s="24">
        <v>9.6999999999999993</v>
      </c>
      <c r="M3085" s="24">
        <v>184.77499999999998</v>
      </c>
      <c r="N3085" s="21">
        <f t="shared" si="145"/>
        <v>0.27431034482758604</v>
      </c>
      <c r="P3085" s="1">
        <v>4</v>
      </c>
      <c r="Q3085" s="24">
        <v>19.449999999999989</v>
      </c>
      <c r="R3085" s="24">
        <v>175.05</v>
      </c>
      <c r="S3085" s="21">
        <f t="shared" si="146"/>
        <v>0.20724137931034492</v>
      </c>
    </row>
    <row r="3086" spans="2:19" ht="11.4" customHeight="1" x14ac:dyDescent="0.2">
      <c r="B3086" s="24"/>
      <c r="C3086" s="12">
        <v>45385</v>
      </c>
      <c r="D3086" s="18" t="s">
        <v>3206</v>
      </c>
      <c r="E3086" s="18" t="s">
        <v>3073</v>
      </c>
      <c r="F3086" s="17">
        <v>30</v>
      </c>
      <c r="G3086" s="18" t="s">
        <v>23</v>
      </c>
      <c r="H3086" s="17">
        <v>68.88</v>
      </c>
      <c r="I3086" s="13">
        <v>99.9</v>
      </c>
      <c r="J3086" s="21">
        <f t="shared" si="144"/>
        <v>0.45034843205574931</v>
      </c>
      <c r="K3086" s="1">
        <v>2</v>
      </c>
      <c r="L3086" s="24">
        <v>9.9</v>
      </c>
      <c r="M3086" s="24">
        <v>89.910000000000011</v>
      </c>
      <c r="N3086" s="21">
        <f t="shared" si="145"/>
        <v>0.30531358885017446</v>
      </c>
      <c r="P3086" s="1">
        <v>4</v>
      </c>
      <c r="Q3086" s="24">
        <v>11.988</v>
      </c>
      <c r="R3086" s="24">
        <v>87.912000000000006</v>
      </c>
      <c r="S3086" s="21">
        <f t="shared" si="146"/>
        <v>0.27630662020905938</v>
      </c>
    </row>
    <row r="3087" spans="2:19" ht="11.4" customHeight="1" x14ac:dyDescent="0.2">
      <c r="B3087" s="24"/>
      <c r="C3087" s="12">
        <v>45657</v>
      </c>
      <c r="D3087" s="18" t="s">
        <v>3207</v>
      </c>
      <c r="E3087" s="18" t="s">
        <v>3073</v>
      </c>
      <c r="F3087" s="17">
        <v>25</v>
      </c>
      <c r="G3087" s="18" t="s">
        <v>902</v>
      </c>
      <c r="H3087" s="18"/>
      <c r="I3087" s="13">
        <v>179.9</v>
      </c>
      <c r="J3087" s="21" t="e">
        <f t="shared" si="144"/>
        <v>#DIV/0!</v>
      </c>
      <c r="K3087" s="1">
        <v>1</v>
      </c>
      <c r="L3087" s="24">
        <v>8.9</v>
      </c>
      <c r="M3087" s="24">
        <v>170.905</v>
      </c>
      <c r="N3087" s="21" t="e">
        <f t="shared" si="145"/>
        <v>#DIV/0!</v>
      </c>
      <c r="P3087" s="1">
        <v>4</v>
      </c>
      <c r="Q3087" s="24">
        <v>17.990000000000009</v>
      </c>
      <c r="R3087" s="24">
        <v>161.91</v>
      </c>
      <c r="S3087" s="21" t="e">
        <f t="shared" si="146"/>
        <v>#DIV/0!</v>
      </c>
    </row>
    <row r="3088" spans="2:19" ht="11.4" customHeight="1" x14ac:dyDescent="0.2">
      <c r="B3088" s="24"/>
      <c r="C3088" s="12">
        <v>44646</v>
      </c>
      <c r="D3088" s="18" t="s">
        <v>3208</v>
      </c>
      <c r="E3088" s="18" t="s">
        <v>3073</v>
      </c>
      <c r="F3088" s="18"/>
      <c r="G3088" s="18" t="s">
        <v>902</v>
      </c>
      <c r="H3088" s="18"/>
      <c r="I3088" s="13">
        <v>159.9</v>
      </c>
      <c r="J3088" s="21" t="e">
        <f t="shared" si="144"/>
        <v>#DIV/0!</v>
      </c>
      <c r="K3088" s="1">
        <v>1</v>
      </c>
      <c r="L3088" s="24">
        <v>7.9</v>
      </c>
      <c r="M3088" s="24">
        <v>151.905</v>
      </c>
      <c r="N3088" s="21" t="e">
        <f t="shared" si="145"/>
        <v>#DIV/0!</v>
      </c>
      <c r="P3088" s="1">
        <v>4</v>
      </c>
      <c r="Q3088" s="24">
        <v>15.990000000000009</v>
      </c>
      <c r="R3088" s="24">
        <v>143.91</v>
      </c>
      <c r="S3088" s="21" t="e">
        <f t="shared" si="146"/>
        <v>#DIV/0!</v>
      </c>
    </row>
    <row r="3089" spans="2:19" ht="11.4" customHeight="1" x14ac:dyDescent="0.2">
      <c r="B3089" s="24"/>
      <c r="C3089" s="12">
        <v>32904</v>
      </c>
      <c r="D3089" s="18" t="s">
        <v>3209</v>
      </c>
      <c r="E3089" s="18" t="s">
        <v>3073</v>
      </c>
      <c r="F3089" s="17">
        <v>5</v>
      </c>
      <c r="G3089" s="18" t="s">
        <v>23</v>
      </c>
      <c r="H3089" s="17">
        <v>65.599999999999994</v>
      </c>
      <c r="I3089" s="13">
        <v>63.9</v>
      </c>
      <c r="J3089" s="21">
        <f t="shared" si="144"/>
        <v>-2.59146341463414E-2</v>
      </c>
      <c r="K3089" s="1">
        <v>2</v>
      </c>
      <c r="L3089" s="24">
        <v>6.3</v>
      </c>
      <c r="M3089" s="24">
        <v>57.51</v>
      </c>
      <c r="N3089" s="21">
        <f t="shared" si="145"/>
        <v>-0.12332317073170727</v>
      </c>
      <c r="P3089" s="1">
        <v>4</v>
      </c>
      <c r="Q3089" s="24">
        <v>7.6679999999999993</v>
      </c>
      <c r="R3089" s="24">
        <v>56.231999999999999</v>
      </c>
      <c r="S3089" s="21">
        <f t="shared" si="146"/>
        <v>-0.14280487804878042</v>
      </c>
    </row>
    <row r="3090" spans="2:19" ht="11.4" customHeight="1" x14ac:dyDescent="0.2">
      <c r="B3090" s="24"/>
      <c r="C3090" s="12">
        <v>9522</v>
      </c>
      <c r="D3090" s="18" t="s">
        <v>3210</v>
      </c>
      <c r="E3090" s="18" t="s">
        <v>3073</v>
      </c>
      <c r="F3090" s="18"/>
      <c r="G3090" s="18" t="s">
        <v>902</v>
      </c>
      <c r="H3090" s="17">
        <v>74.599999999999994</v>
      </c>
      <c r="I3090" s="13">
        <v>89.9</v>
      </c>
      <c r="J3090" s="21">
        <f t="shared" si="144"/>
        <v>0.20509383378016102</v>
      </c>
      <c r="K3090" s="1">
        <v>1</v>
      </c>
      <c r="L3090" s="24">
        <v>4.4000000000000004</v>
      </c>
      <c r="M3090" s="24">
        <v>85.405000000000001</v>
      </c>
      <c r="N3090" s="21">
        <f t="shared" si="145"/>
        <v>0.14483914209115292</v>
      </c>
      <c r="P3090" s="1">
        <v>4</v>
      </c>
      <c r="Q3090" s="24">
        <v>8.9899999999999949</v>
      </c>
      <c r="R3090" s="24">
        <v>80.910000000000011</v>
      </c>
      <c r="S3090" s="21">
        <f t="shared" si="146"/>
        <v>8.4584450402145003E-2</v>
      </c>
    </row>
    <row r="3091" spans="2:19" ht="11.4" customHeight="1" x14ac:dyDescent="0.2">
      <c r="B3091" s="24"/>
      <c r="C3091" s="12">
        <v>8991</v>
      </c>
      <c r="D3091" s="18" t="s">
        <v>3211</v>
      </c>
      <c r="E3091" s="18" t="s">
        <v>3073</v>
      </c>
      <c r="F3091" s="18"/>
      <c r="G3091" s="18" t="s">
        <v>902</v>
      </c>
      <c r="H3091" s="17">
        <v>73.900000000000006</v>
      </c>
      <c r="I3091" s="13">
        <v>89.5</v>
      </c>
      <c r="J3091" s="21">
        <f t="shared" si="144"/>
        <v>0.2110960757780784</v>
      </c>
      <c r="K3091" s="1">
        <v>1</v>
      </c>
      <c r="L3091" s="24">
        <v>4.4000000000000004</v>
      </c>
      <c r="M3091" s="24">
        <v>85.024999999999991</v>
      </c>
      <c r="N3091" s="21">
        <f t="shared" si="145"/>
        <v>0.15054127198917436</v>
      </c>
      <c r="P3091" s="1">
        <v>4</v>
      </c>
      <c r="Q3091" s="24">
        <v>8.9500000000000028</v>
      </c>
      <c r="R3091" s="24">
        <v>80.55</v>
      </c>
      <c r="S3091" s="21">
        <f t="shared" si="146"/>
        <v>8.9986468200270509E-2</v>
      </c>
    </row>
    <row r="3092" spans="2:19" ht="11.4" customHeight="1" x14ac:dyDescent="0.2">
      <c r="B3092" s="24"/>
      <c r="C3092" s="12">
        <v>18602</v>
      </c>
      <c r="D3092" s="18" t="s">
        <v>3212</v>
      </c>
      <c r="E3092" s="18" t="s">
        <v>3073</v>
      </c>
      <c r="F3092" s="18"/>
      <c r="G3092" s="18" t="s">
        <v>902</v>
      </c>
      <c r="H3092" s="17">
        <v>115.9</v>
      </c>
      <c r="I3092" s="13">
        <v>99.9</v>
      </c>
      <c r="J3092" s="21">
        <f t="shared" si="144"/>
        <v>-0.13805004314063848</v>
      </c>
      <c r="K3092" s="1">
        <v>1</v>
      </c>
      <c r="L3092" s="24">
        <v>4.9000000000000004</v>
      </c>
      <c r="M3092" s="24">
        <v>94.905000000000001</v>
      </c>
      <c r="N3092" s="21">
        <f t="shared" si="145"/>
        <v>-0.18114754098360658</v>
      </c>
      <c r="P3092" s="1">
        <v>4</v>
      </c>
      <c r="Q3092" s="24">
        <v>9.9899999999999949</v>
      </c>
      <c r="R3092" s="24">
        <v>89.910000000000011</v>
      </c>
      <c r="S3092" s="21">
        <f t="shared" si="146"/>
        <v>-0.22424503882657457</v>
      </c>
    </row>
    <row r="3093" spans="2:19" ht="11.4" customHeight="1" x14ac:dyDescent="0.2">
      <c r="B3093" s="24"/>
      <c r="C3093" s="12">
        <v>10528</v>
      </c>
      <c r="D3093" s="18" t="s">
        <v>3213</v>
      </c>
      <c r="E3093" s="18" t="s">
        <v>3073</v>
      </c>
      <c r="F3093" s="18"/>
      <c r="G3093" s="18" t="s">
        <v>902</v>
      </c>
      <c r="H3093" s="17">
        <v>91.6</v>
      </c>
      <c r="I3093" s="13">
        <v>109.9</v>
      </c>
      <c r="J3093" s="21">
        <f t="shared" si="144"/>
        <v>0.19978165938864642</v>
      </c>
      <c r="K3093" s="1">
        <v>1</v>
      </c>
      <c r="L3093" s="24">
        <v>5.4</v>
      </c>
      <c r="M3093" s="24">
        <v>104.405</v>
      </c>
      <c r="N3093" s="21">
        <f t="shared" si="145"/>
        <v>0.13979257641921405</v>
      </c>
      <c r="P3093" s="1">
        <v>4</v>
      </c>
      <c r="Q3093" s="24">
        <v>10.989999999999995</v>
      </c>
      <c r="R3093" s="24">
        <v>98.910000000000011</v>
      </c>
      <c r="S3093" s="21">
        <f t="shared" si="146"/>
        <v>7.980349344978184E-2</v>
      </c>
    </row>
    <row r="3094" spans="2:19" ht="11.4" customHeight="1" x14ac:dyDescent="0.2">
      <c r="B3094" s="24"/>
      <c r="C3094" s="12">
        <v>1387</v>
      </c>
      <c r="D3094" s="18" t="s">
        <v>3214</v>
      </c>
      <c r="E3094" s="18" t="s">
        <v>3073</v>
      </c>
      <c r="F3094" s="17">
        <v>8</v>
      </c>
      <c r="G3094" s="18" t="s">
        <v>23</v>
      </c>
      <c r="H3094" s="17">
        <v>89.9</v>
      </c>
      <c r="I3094" s="13">
        <v>129.9</v>
      </c>
      <c r="J3094" s="21">
        <f t="shared" si="144"/>
        <v>0.44493882091212456</v>
      </c>
      <c r="K3094" s="1">
        <v>2</v>
      </c>
      <c r="L3094" s="24">
        <v>12.9</v>
      </c>
      <c r="M3094" s="24">
        <v>116.91000000000001</v>
      </c>
      <c r="N3094" s="21">
        <f t="shared" si="145"/>
        <v>0.30044493882091217</v>
      </c>
      <c r="P3094" s="1">
        <v>4</v>
      </c>
      <c r="Q3094" s="24">
        <v>15.587999999999994</v>
      </c>
      <c r="R3094" s="24">
        <v>114.31200000000001</v>
      </c>
      <c r="S3094" s="21">
        <f t="shared" si="146"/>
        <v>0.27154616240266971</v>
      </c>
    </row>
    <row r="3095" spans="2:19" ht="11.4" customHeight="1" x14ac:dyDescent="0.2">
      <c r="B3095" s="24"/>
      <c r="C3095" s="12">
        <v>12737</v>
      </c>
      <c r="D3095" s="18" t="s">
        <v>3215</v>
      </c>
      <c r="E3095" s="18" t="s">
        <v>3073</v>
      </c>
      <c r="F3095" s="18"/>
      <c r="G3095" s="18" t="s">
        <v>902</v>
      </c>
      <c r="H3095" s="17">
        <v>91.5</v>
      </c>
      <c r="I3095" s="13">
        <v>111</v>
      </c>
      <c r="J3095" s="21">
        <f t="shared" si="144"/>
        <v>0.21311475409836064</v>
      </c>
      <c r="K3095" s="1">
        <v>1</v>
      </c>
      <c r="L3095" s="24">
        <v>5.5</v>
      </c>
      <c r="M3095" s="24">
        <v>105.44999999999999</v>
      </c>
      <c r="N3095" s="21">
        <f t="shared" si="145"/>
        <v>0.1524590163934425</v>
      </c>
      <c r="P3095" s="1">
        <v>4</v>
      </c>
      <c r="Q3095" s="24">
        <v>11.099999999999994</v>
      </c>
      <c r="R3095" s="24">
        <v>99.9</v>
      </c>
      <c r="S3095" s="21">
        <f t="shared" si="146"/>
        <v>9.1803278688524656E-2</v>
      </c>
    </row>
    <row r="3096" spans="2:19" ht="11.4" customHeight="1" x14ac:dyDescent="0.2">
      <c r="B3096" s="24"/>
      <c r="C3096" s="12">
        <v>14253</v>
      </c>
      <c r="D3096" s="18" t="s">
        <v>3216</v>
      </c>
      <c r="E3096" s="18" t="s">
        <v>3073</v>
      </c>
      <c r="F3096" s="18"/>
      <c r="G3096" s="18" t="s">
        <v>902</v>
      </c>
      <c r="H3096" s="17">
        <v>79.2</v>
      </c>
      <c r="I3096" s="13">
        <v>109.9</v>
      </c>
      <c r="J3096" s="21">
        <f t="shared" si="144"/>
        <v>0.38762626262626265</v>
      </c>
      <c r="K3096" s="1">
        <v>1</v>
      </c>
      <c r="L3096" s="24">
        <v>5.4</v>
      </c>
      <c r="M3096" s="24">
        <v>104.405</v>
      </c>
      <c r="N3096" s="21">
        <f t="shared" si="145"/>
        <v>0.31824494949494947</v>
      </c>
      <c r="P3096" s="1">
        <v>4</v>
      </c>
      <c r="Q3096" s="24">
        <v>10.989999999999995</v>
      </c>
      <c r="R3096" s="24">
        <v>98.910000000000011</v>
      </c>
      <c r="S3096" s="21">
        <f t="shared" si="146"/>
        <v>0.24886363636363645</v>
      </c>
    </row>
    <row r="3097" spans="2:19" ht="11.4" customHeight="1" x14ac:dyDescent="0.2">
      <c r="B3097" s="24"/>
      <c r="C3097" s="12">
        <v>8839</v>
      </c>
      <c r="D3097" s="18" t="s">
        <v>3217</v>
      </c>
      <c r="E3097" s="18" t="s">
        <v>3073</v>
      </c>
      <c r="F3097" s="18"/>
      <c r="G3097" s="18" t="s">
        <v>902</v>
      </c>
      <c r="H3097" s="17">
        <v>91.4</v>
      </c>
      <c r="I3097" s="13">
        <v>109.9</v>
      </c>
      <c r="J3097" s="21">
        <f t="shared" si="144"/>
        <v>0.2024070021881838</v>
      </c>
      <c r="K3097" s="1">
        <v>1</v>
      </c>
      <c r="L3097" s="24">
        <v>5.4</v>
      </c>
      <c r="M3097" s="24">
        <v>104.405</v>
      </c>
      <c r="N3097" s="21">
        <f t="shared" si="145"/>
        <v>0.14228665207877456</v>
      </c>
      <c r="P3097" s="1">
        <v>4</v>
      </c>
      <c r="Q3097" s="24">
        <v>10.989999999999995</v>
      </c>
      <c r="R3097" s="24">
        <v>98.910000000000011</v>
      </c>
      <c r="S3097" s="21">
        <f t="shared" si="146"/>
        <v>8.2166301969365474E-2</v>
      </c>
    </row>
    <row r="3098" spans="2:19" ht="11.4" customHeight="1" x14ac:dyDescent="0.2">
      <c r="B3098" s="24"/>
      <c r="C3098" s="12">
        <v>10807</v>
      </c>
      <c r="D3098" s="18" t="s">
        <v>3218</v>
      </c>
      <c r="E3098" s="18" t="s">
        <v>3073</v>
      </c>
      <c r="F3098" s="18"/>
      <c r="G3098" s="18" t="s">
        <v>902</v>
      </c>
      <c r="H3098" s="17">
        <v>71.599999999999994</v>
      </c>
      <c r="I3098" s="13">
        <v>86.5</v>
      </c>
      <c r="J3098" s="21">
        <f t="shared" si="144"/>
        <v>0.20810055865921798</v>
      </c>
      <c r="K3098" s="1">
        <v>1</v>
      </c>
      <c r="L3098" s="24">
        <v>4.3</v>
      </c>
      <c r="M3098" s="24">
        <v>82.174999999999997</v>
      </c>
      <c r="N3098" s="21">
        <f t="shared" si="145"/>
        <v>0.14769553072625705</v>
      </c>
      <c r="P3098" s="1">
        <v>4</v>
      </c>
      <c r="Q3098" s="24">
        <v>8.6499999999999915</v>
      </c>
      <c r="R3098" s="24">
        <v>77.850000000000009</v>
      </c>
      <c r="S3098" s="21">
        <f t="shared" si="146"/>
        <v>8.7290502793296296E-2</v>
      </c>
    </row>
    <row r="3099" spans="2:19" ht="11.4" customHeight="1" x14ac:dyDescent="0.2">
      <c r="B3099" s="24"/>
      <c r="C3099" s="12">
        <v>12107</v>
      </c>
      <c r="D3099" s="18" t="s">
        <v>3219</v>
      </c>
      <c r="E3099" s="18" t="s">
        <v>3073</v>
      </c>
      <c r="F3099" s="18"/>
      <c r="G3099" s="18" t="s">
        <v>902</v>
      </c>
      <c r="H3099" s="17">
        <v>116.7</v>
      </c>
      <c r="I3099" s="13">
        <v>136.5</v>
      </c>
      <c r="J3099" s="21">
        <f t="shared" si="144"/>
        <v>0.16966580976863752</v>
      </c>
      <c r="K3099" s="1">
        <v>1</v>
      </c>
      <c r="L3099" s="24">
        <v>6.8</v>
      </c>
      <c r="M3099" s="24">
        <v>129.67499999999998</v>
      </c>
      <c r="N3099" s="21">
        <f t="shared" si="145"/>
        <v>0.11118251928020548</v>
      </c>
      <c r="P3099" s="1">
        <v>4</v>
      </c>
      <c r="Q3099" s="24">
        <v>13.649999999999991</v>
      </c>
      <c r="R3099" s="24">
        <v>122.85000000000001</v>
      </c>
      <c r="S3099" s="21">
        <f t="shared" si="146"/>
        <v>5.2699228791773828E-2</v>
      </c>
    </row>
    <row r="3100" spans="2:19" ht="11.4" customHeight="1" x14ac:dyDescent="0.2">
      <c r="B3100" s="24"/>
      <c r="C3100" s="12">
        <v>25379</v>
      </c>
      <c r="D3100" s="18" t="s">
        <v>3220</v>
      </c>
      <c r="E3100" s="18" t="s">
        <v>3073</v>
      </c>
      <c r="F3100" s="18"/>
      <c r="G3100" s="18" t="s">
        <v>23</v>
      </c>
      <c r="H3100" s="17">
        <v>63.9</v>
      </c>
      <c r="I3100" s="13">
        <v>99.9</v>
      </c>
      <c r="J3100" s="21">
        <f t="shared" si="144"/>
        <v>0.56338028169014098</v>
      </c>
      <c r="K3100" s="1">
        <v>2</v>
      </c>
      <c r="L3100" s="24">
        <v>9.9</v>
      </c>
      <c r="M3100" s="24">
        <v>89.910000000000011</v>
      </c>
      <c r="N3100" s="21">
        <f t="shared" si="145"/>
        <v>0.40704225352112694</v>
      </c>
      <c r="P3100" s="1">
        <v>4</v>
      </c>
      <c r="Q3100" s="24">
        <v>11.988</v>
      </c>
      <c r="R3100" s="24">
        <v>87.912000000000006</v>
      </c>
      <c r="S3100" s="21">
        <f t="shared" si="146"/>
        <v>0.37577464788732406</v>
      </c>
    </row>
    <row r="3101" spans="2:19" ht="11.4" customHeight="1" x14ac:dyDescent="0.2">
      <c r="B3101" s="24"/>
      <c r="C3101" s="12">
        <v>19030</v>
      </c>
      <c r="D3101" s="18" t="s">
        <v>3221</v>
      </c>
      <c r="E3101" s="18" t="s">
        <v>3073</v>
      </c>
      <c r="F3101" s="17">
        <v>12</v>
      </c>
      <c r="G3101" s="18" t="s">
        <v>23</v>
      </c>
      <c r="H3101" s="17">
        <v>109.7</v>
      </c>
      <c r="I3101" s="13">
        <v>119.9</v>
      </c>
      <c r="J3101" s="21">
        <f t="shared" si="144"/>
        <v>9.2980856882406593E-2</v>
      </c>
      <c r="K3101" s="1">
        <v>2</v>
      </c>
      <c r="L3101" s="24">
        <v>11.9</v>
      </c>
      <c r="M3101" s="24">
        <v>107.91000000000001</v>
      </c>
      <c r="N3101" s="21">
        <f t="shared" si="145"/>
        <v>-1.6317228805834021E-2</v>
      </c>
      <c r="P3101" s="1">
        <v>4</v>
      </c>
      <c r="Q3101" s="24">
        <v>14.388000000000005</v>
      </c>
      <c r="R3101" s="24">
        <v>105.512</v>
      </c>
      <c r="S3101" s="21">
        <f t="shared" si="146"/>
        <v>-3.8176845943482245E-2</v>
      </c>
    </row>
    <row r="3102" spans="2:19" ht="11.4" customHeight="1" x14ac:dyDescent="0.2">
      <c r="B3102" s="24"/>
      <c r="C3102" s="12">
        <v>47190</v>
      </c>
      <c r="D3102" s="18" t="s">
        <v>3222</v>
      </c>
      <c r="E3102" s="18" t="s">
        <v>3073</v>
      </c>
      <c r="F3102" s="17">
        <v>12</v>
      </c>
      <c r="G3102" s="18" t="s">
        <v>23</v>
      </c>
      <c r="H3102" s="17">
        <v>99</v>
      </c>
      <c r="I3102" s="13">
        <v>139.9</v>
      </c>
      <c r="J3102" s="21">
        <f t="shared" si="144"/>
        <v>0.41313131313131318</v>
      </c>
      <c r="K3102" s="1">
        <v>2</v>
      </c>
      <c r="L3102" s="24">
        <v>13.9</v>
      </c>
      <c r="M3102" s="24">
        <v>125.91000000000001</v>
      </c>
      <c r="N3102" s="21">
        <f t="shared" si="145"/>
        <v>0.2718181818181819</v>
      </c>
      <c r="P3102" s="1">
        <v>4</v>
      </c>
      <c r="Q3102" s="24">
        <v>16.787999999999997</v>
      </c>
      <c r="R3102" s="24">
        <v>123.11200000000001</v>
      </c>
      <c r="S3102" s="21">
        <f t="shared" si="146"/>
        <v>0.24355555555555564</v>
      </c>
    </row>
    <row r="3103" spans="2:19" ht="11.4" customHeight="1" x14ac:dyDescent="0.2">
      <c r="B3103" s="24"/>
      <c r="C3103" s="12">
        <v>1140</v>
      </c>
      <c r="D3103" s="18" t="s">
        <v>3223</v>
      </c>
      <c r="E3103" s="18" t="s">
        <v>3073</v>
      </c>
      <c r="F3103" s="18"/>
      <c r="G3103" s="18" t="s">
        <v>23</v>
      </c>
      <c r="H3103" s="17">
        <v>57.24</v>
      </c>
      <c r="I3103" s="13">
        <v>84.9</v>
      </c>
      <c r="J3103" s="21">
        <f t="shared" si="144"/>
        <v>0.48322851153039836</v>
      </c>
      <c r="K3103" s="1">
        <v>2</v>
      </c>
      <c r="L3103" s="24">
        <v>8.4</v>
      </c>
      <c r="M3103" s="24">
        <v>76.410000000000011</v>
      </c>
      <c r="N3103" s="21">
        <f t="shared" si="145"/>
        <v>0.33490566037735864</v>
      </c>
      <c r="P3103" s="1">
        <v>4</v>
      </c>
      <c r="Q3103" s="24">
        <v>10.188000000000002</v>
      </c>
      <c r="R3103" s="24">
        <v>74.712000000000003</v>
      </c>
      <c r="S3103" s="21">
        <f t="shared" si="146"/>
        <v>0.30524109014675055</v>
      </c>
    </row>
    <row r="3104" spans="2:19" ht="11.4" customHeight="1" x14ac:dyDescent="0.2">
      <c r="B3104" s="24"/>
      <c r="C3104" s="12">
        <v>19031</v>
      </c>
      <c r="D3104" s="18" t="s">
        <v>3224</v>
      </c>
      <c r="E3104" s="18" t="s">
        <v>3073</v>
      </c>
      <c r="F3104" s="17">
        <v>12</v>
      </c>
      <c r="G3104" s="18" t="s">
        <v>23</v>
      </c>
      <c r="H3104" s="17">
        <v>109.9</v>
      </c>
      <c r="I3104" s="13">
        <v>129.9</v>
      </c>
      <c r="J3104" s="21">
        <f t="shared" si="144"/>
        <v>0.18198362147406733</v>
      </c>
      <c r="K3104" s="1">
        <v>2</v>
      </c>
      <c r="L3104" s="24">
        <v>12.9</v>
      </c>
      <c r="M3104" s="24">
        <v>116.91000000000001</v>
      </c>
      <c r="N3104" s="21">
        <f t="shared" si="145"/>
        <v>6.378525932666064E-2</v>
      </c>
      <c r="P3104" s="1">
        <v>4</v>
      </c>
      <c r="Q3104" s="24">
        <v>15.587999999999994</v>
      </c>
      <c r="R3104" s="24">
        <v>114.31200000000001</v>
      </c>
      <c r="S3104" s="21">
        <f t="shared" si="146"/>
        <v>4.0145586897179307E-2</v>
      </c>
    </row>
    <row r="3105" spans="2:19" ht="11.4" customHeight="1" x14ac:dyDescent="0.2">
      <c r="B3105" s="24"/>
      <c r="C3105" s="12">
        <v>47191</v>
      </c>
      <c r="D3105" s="18" t="s">
        <v>3225</v>
      </c>
      <c r="E3105" s="18" t="s">
        <v>3073</v>
      </c>
      <c r="F3105" s="17">
        <v>12</v>
      </c>
      <c r="G3105" s="18" t="s">
        <v>23</v>
      </c>
      <c r="H3105" s="17">
        <v>105</v>
      </c>
      <c r="I3105" s="13">
        <v>149.9</v>
      </c>
      <c r="J3105" s="21">
        <f t="shared" si="144"/>
        <v>0.42761904761904768</v>
      </c>
      <c r="K3105" s="1">
        <v>2</v>
      </c>
      <c r="L3105" s="24">
        <v>14.9</v>
      </c>
      <c r="M3105" s="24">
        <v>134.91</v>
      </c>
      <c r="N3105" s="21">
        <f t="shared" si="145"/>
        <v>0.28485714285714281</v>
      </c>
      <c r="P3105" s="1">
        <v>4</v>
      </c>
      <c r="Q3105" s="24">
        <v>17.988</v>
      </c>
      <c r="R3105" s="24">
        <v>131.91200000000001</v>
      </c>
      <c r="S3105" s="21">
        <f t="shared" si="146"/>
        <v>0.25630476190476198</v>
      </c>
    </row>
    <row r="3106" spans="2:19" ht="11.4" customHeight="1" x14ac:dyDescent="0.2">
      <c r="B3106" s="24"/>
      <c r="C3106" s="12">
        <v>40607</v>
      </c>
      <c r="D3106" s="18" t="s">
        <v>3226</v>
      </c>
      <c r="E3106" s="18" t="s">
        <v>3227</v>
      </c>
      <c r="F3106" s="18"/>
      <c r="G3106" s="18" t="s">
        <v>23</v>
      </c>
      <c r="H3106" s="17">
        <v>16.850000000000001</v>
      </c>
      <c r="I3106" s="13">
        <v>199</v>
      </c>
      <c r="J3106" s="21">
        <f t="shared" si="144"/>
        <v>10.810089020771512</v>
      </c>
      <c r="K3106" s="1">
        <v>2</v>
      </c>
      <c r="L3106" s="24">
        <v>19.899999999999999</v>
      </c>
      <c r="M3106" s="24">
        <v>179.1</v>
      </c>
      <c r="N3106" s="21">
        <f t="shared" si="145"/>
        <v>9.6290801186943611</v>
      </c>
      <c r="P3106" s="1">
        <v>4</v>
      </c>
      <c r="Q3106" s="24">
        <v>23.879999999999995</v>
      </c>
      <c r="R3106" s="24">
        <v>175.12</v>
      </c>
      <c r="S3106" s="21">
        <f t="shared" si="146"/>
        <v>9.3928783382789316</v>
      </c>
    </row>
    <row r="3107" spans="2:19" ht="11.4" customHeight="1" x14ac:dyDescent="0.2">
      <c r="B3107" s="24"/>
      <c r="C3107" s="12">
        <v>40606</v>
      </c>
      <c r="D3107" s="18" t="s">
        <v>3228</v>
      </c>
      <c r="E3107" s="18" t="s">
        <v>3227</v>
      </c>
      <c r="F3107" s="18"/>
      <c r="G3107" s="18" t="s">
        <v>902</v>
      </c>
      <c r="H3107" s="17">
        <v>26.71</v>
      </c>
      <c r="I3107" s="13">
        <v>137.9</v>
      </c>
      <c r="J3107" s="21">
        <f t="shared" si="144"/>
        <v>4.1628603519281162</v>
      </c>
      <c r="K3107" s="1">
        <v>1</v>
      </c>
      <c r="L3107" s="24">
        <v>6.8</v>
      </c>
      <c r="M3107" s="24">
        <v>131.005</v>
      </c>
      <c r="N3107" s="21">
        <f t="shared" si="145"/>
        <v>3.9047173343317105</v>
      </c>
      <c r="P3107" s="1">
        <v>4</v>
      </c>
      <c r="Q3107" s="24">
        <v>13.789999999999992</v>
      </c>
      <c r="R3107" s="24">
        <v>124.11000000000001</v>
      </c>
      <c r="S3107" s="21">
        <f t="shared" si="146"/>
        <v>3.6465743167353053</v>
      </c>
    </row>
    <row r="3108" spans="2:19" ht="11.4" customHeight="1" x14ac:dyDescent="0.2">
      <c r="B3108" s="24"/>
      <c r="C3108" s="12">
        <v>44058</v>
      </c>
      <c r="D3108" s="18" t="s">
        <v>3229</v>
      </c>
      <c r="E3108" s="18" t="s">
        <v>3227</v>
      </c>
      <c r="F3108" s="18"/>
      <c r="G3108" s="18" t="s">
        <v>23</v>
      </c>
      <c r="H3108" s="17">
        <v>21.66</v>
      </c>
      <c r="I3108" s="13">
        <v>129.9</v>
      </c>
      <c r="J3108" s="21">
        <f t="shared" si="144"/>
        <v>4.9972299168975072</v>
      </c>
      <c r="K3108" s="1">
        <v>2</v>
      </c>
      <c r="L3108" s="24">
        <v>12.9</v>
      </c>
      <c r="M3108" s="24">
        <v>116.91000000000001</v>
      </c>
      <c r="N3108" s="21">
        <f t="shared" si="145"/>
        <v>4.3975069252077565</v>
      </c>
      <c r="P3108" s="1">
        <v>4</v>
      </c>
      <c r="Q3108" s="24">
        <v>15.587999999999994</v>
      </c>
      <c r="R3108" s="24">
        <v>114.31200000000001</v>
      </c>
      <c r="S3108" s="21">
        <f t="shared" si="146"/>
        <v>4.2775623268698064</v>
      </c>
    </row>
    <row r="3109" spans="2:19" ht="11.4" customHeight="1" x14ac:dyDescent="0.2">
      <c r="B3109" s="24"/>
      <c r="C3109" s="12">
        <v>22653</v>
      </c>
      <c r="D3109" s="18" t="s">
        <v>3230</v>
      </c>
      <c r="E3109" s="18" t="s">
        <v>3227</v>
      </c>
      <c r="F3109" s="18"/>
      <c r="G3109" s="18" t="s">
        <v>902</v>
      </c>
      <c r="H3109" s="17">
        <v>99</v>
      </c>
      <c r="I3109" s="13">
        <v>105.9</v>
      </c>
      <c r="J3109" s="21">
        <f t="shared" si="144"/>
        <v>6.9696969696969757E-2</v>
      </c>
      <c r="K3109" s="1">
        <v>1</v>
      </c>
      <c r="L3109" s="24">
        <v>5.2</v>
      </c>
      <c r="M3109" s="24">
        <v>100.605</v>
      </c>
      <c r="N3109" s="21">
        <f t="shared" si="145"/>
        <v>1.6212121212121251E-2</v>
      </c>
      <c r="P3109" s="1">
        <v>4</v>
      </c>
      <c r="Q3109" s="24">
        <v>10.590000000000003</v>
      </c>
      <c r="R3109" s="24">
        <v>95.31</v>
      </c>
      <c r="S3109" s="21">
        <f t="shared" si="146"/>
        <v>-3.7272727272727249E-2</v>
      </c>
    </row>
    <row r="3110" spans="2:19" ht="11.4" customHeight="1" x14ac:dyDescent="0.2">
      <c r="B3110" s="24"/>
      <c r="C3110" s="12">
        <v>40231</v>
      </c>
      <c r="D3110" s="18" t="s">
        <v>3231</v>
      </c>
      <c r="E3110" s="18" t="s">
        <v>3227</v>
      </c>
      <c r="F3110" s="18"/>
      <c r="G3110" s="18" t="s">
        <v>23</v>
      </c>
      <c r="H3110" s="17">
        <v>32.85</v>
      </c>
      <c r="I3110" s="13">
        <v>109.9</v>
      </c>
      <c r="J3110" s="21">
        <f t="shared" si="144"/>
        <v>2.3455098934550991</v>
      </c>
      <c r="K3110" s="1">
        <v>2</v>
      </c>
      <c r="L3110" s="24">
        <v>10.9</v>
      </c>
      <c r="M3110" s="24">
        <v>98.910000000000011</v>
      </c>
      <c r="N3110" s="21">
        <f t="shared" si="145"/>
        <v>2.010958904109589</v>
      </c>
      <c r="P3110" s="1">
        <v>4</v>
      </c>
      <c r="Q3110" s="24">
        <v>13.188000000000002</v>
      </c>
      <c r="R3110" s="24">
        <v>96.712000000000003</v>
      </c>
      <c r="S3110" s="21">
        <f t="shared" si="146"/>
        <v>1.944048706240487</v>
      </c>
    </row>
    <row r="3111" spans="2:19" ht="11.4" customHeight="1" x14ac:dyDescent="0.2">
      <c r="B3111" s="24"/>
      <c r="C3111" s="12">
        <v>38888</v>
      </c>
      <c r="D3111" s="18" t="s">
        <v>3232</v>
      </c>
      <c r="E3111" s="18" t="s">
        <v>3227</v>
      </c>
      <c r="F3111" s="18"/>
      <c r="G3111" s="18" t="s">
        <v>902</v>
      </c>
      <c r="H3111" s="17">
        <v>189</v>
      </c>
      <c r="I3111" s="13">
        <v>197.9</v>
      </c>
      <c r="J3111" s="21">
        <f t="shared" si="144"/>
        <v>4.7089947089947119E-2</v>
      </c>
      <c r="K3111" s="1">
        <v>1</v>
      </c>
      <c r="L3111" s="24">
        <v>9.8000000000000007</v>
      </c>
      <c r="M3111" s="24">
        <v>188.005</v>
      </c>
      <c r="N3111" s="21">
        <f t="shared" si="145"/>
        <v>-5.2645502645502886E-3</v>
      </c>
      <c r="P3111" s="1">
        <v>4</v>
      </c>
      <c r="Q3111" s="24">
        <v>19.789999999999992</v>
      </c>
      <c r="R3111" s="24">
        <v>178.11</v>
      </c>
      <c r="S3111" s="21">
        <f t="shared" si="146"/>
        <v>-5.7619047619047549E-2</v>
      </c>
    </row>
    <row r="3112" spans="2:19" ht="11.4" customHeight="1" x14ac:dyDescent="0.2">
      <c r="B3112" s="24"/>
      <c r="C3112" s="12">
        <v>44059</v>
      </c>
      <c r="D3112" s="18" t="s">
        <v>3233</v>
      </c>
      <c r="E3112" s="18" t="s">
        <v>3227</v>
      </c>
      <c r="F3112" s="18"/>
      <c r="G3112" s="18" t="s">
        <v>23</v>
      </c>
      <c r="H3112" s="17">
        <v>72.569999999999993</v>
      </c>
      <c r="I3112" s="13">
        <v>199.9</v>
      </c>
      <c r="J3112" s="21">
        <f t="shared" si="144"/>
        <v>1.7545817831059669</v>
      </c>
      <c r="K3112" s="1">
        <v>2</v>
      </c>
      <c r="L3112" s="24">
        <v>19.899999999999999</v>
      </c>
      <c r="M3112" s="24">
        <v>179.91</v>
      </c>
      <c r="N3112" s="21">
        <f t="shared" si="145"/>
        <v>1.4791236047953702</v>
      </c>
      <c r="P3112" s="1">
        <v>4</v>
      </c>
      <c r="Q3112" s="24">
        <v>23.988</v>
      </c>
      <c r="R3112" s="24">
        <v>175.91200000000001</v>
      </c>
      <c r="S3112" s="21">
        <f t="shared" si="146"/>
        <v>1.424031969133251</v>
      </c>
    </row>
    <row r="3113" spans="2:19" ht="11.4" customHeight="1" x14ac:dyDescent="0.2">
      <c r="B3113" s="24"/>
      <c r="C3113" s="12">
        <v>38780</v>
      </c>
      <c r="D3113" s="18" t="s">
        <v>3234</v>
      </c>
      <c r="E3113" s="18" t="s">
        <v>3227</v>
      </c>
      <c r="F3113" s="18"/>
      <c r="G3113" s="18" t="s">
        <v>23</v>
      </c>
      <c r="H3113" s="17">
        <v>63</v>
      </c>
      <c r="I3113" s="13">
        <v>109.9</v>
      </c>
      <c r="J3113" s="21">
        <f t="shared" si="144"/>
        <v>0.74444444444444458</v>
      </c>
      <c r="K3113" s="1">
        <v>2</v>
      </c>
      <c r="L3113" s="24">
        <v>10.9</v>
      </c>
      <c r="M3113" s="24">
        <v>98.910000000000011</v>
      </c>
      <c r="N3113" s="21">
        <f t="shared" si="145"/>
        <v>0.57000000000000017</v>
      </c>
      <c r="P3113" s="1">
        <v>4</v>
      </c>
      <c r="Q3113" s="24">
        <v>13.188000000000002</v>
      </c>
      <c r="R3113" s="24">
        <v>96.712000000000003</v>
      </c>
      <c r="S3113" s="21">
        <f t="shared" si="146"/>
        <v>0.5351111111111112</v>
      </c>
    </row>
    <row r="3114" spans="2:19" ht="11.4" customHeight="1" x14ac:dyDescent="0.2">
      <c r="B3114" s="24"/>
      <c r="C3114" s="12">
        <v>22635</v>
      </c>
      <c r="D3114" s="18" t="s">
        <v>3235</v>
      </c>
      <c r="E3114" s="18" t="s">
        <v>3227</v>
      </c>
      <c r="F3114" s="18"/>
      <c r="G3114" s="18" t="s">
        <v>902</v>
      </c>
      <c r="H3114" s="17">
        <v>125</v>
      </c>
      <c r="I3114" s="13">
        <v>169.9</v>
      </c>
      <c r="J3114" s="21">
        <f t="shared" si="144"/>
        <v>0.35920000000000002</v>
      </c>
      <c r="K3114" s="1">
        <v>1</v>
      </c>
      <c r="L3114" s="24">
        <v>8.4</v>
      </c>
      <c r="M3114" s="24">
        <v>161.405</v>
      </c>
      <c r="N3114" s="21">
        <f t="shared" si="145"/>
        <v>0.29124</v>
      </c>
      <c r="P3114" s="1">
        <v>4</v>
      </c>
      <c r="Q3114" s="24">
        <v>16.990000000000009</v>
      </c>
      <c r="R3114" s="24">
        <v>152.91</v>
      </c>
      <c r="S3114" s="21">
        <f t="shared" si="146"/>
        <v>0.22327999999999998</v>
      </c>
    </row>
    <row r="3115" spans="2:19" ht="11.4" customHeight="1" x14ac:dyDescent="0.2">
      <c r="B3115" s="24"/>
      <c r="C3115" s="12">
        <v>44060</v>
      </c>
      <c r="D3115" s="18" t="s">
        <v>3236</v>
      </c>
      <c r="E3115" s="18" t="s">
        <v>3227</v>
      </c>
      <c r="F3115" s="18"/>
      <c r="G3115" s="18" t="s">
        <v>23</v>
      </c>
      <c r="H3115" s="17">
        <v>77.459999999999994</v>
      </c>
      <c r="I3115" s="13">
        <v>199.9</v>
      </c>
      <c r="J3115" s="21">
        <f t="shared" si="144"/>
        <v>1.5806868060934678</v>
      </c>
      <c r="K3115" s="1">
        <v>2</v>
      </c>
      <c r="L3115" s="24">
        <v>19.899999999999999</v>
      </c>
      <c r="M3115" s="24">
        <v>179.91</v>
      </c>
      <c r="N3115" s="21">
        <f t="shared" si="145"/>
        <v>1.3226181254841209</v>
      </c>
      <c r="P3115" s="1">
        <v>4</v>
      </c>
      <c r="Q3115" s="24">
        <v>23.988</v>
      </c>
      <c r="R3115" s="24">
        <v>175.91200000000001</v>
      </c>
      <c r="S3115" s="21">
        <f t="shared" si="146"/>
        <v>1.2710043893622518</v>
      </c>
    </row>
    <row r="3116" spans="2:19" ht="11.4" customHeight="1" x14ac:dyDescent="0.2">
      <c r="B3116" s="24"/>
      <c r="C3116" s="12">
        <v>40708</v>
      </c>
      <c r="D3116" s="18" t="s">
        <v>3237</v>
      </c>
      <c r="E3116" s="18" t="s">
        <v>3227</v>
      </c>
      <c r="F3116" s="18"/>
      <c r="G3116" s="18" t="s">
        <v>23</v>
      </c>
      <c r="H3116" s="17">
        <v>42.5</v>
      </c>
      <c r="I3116" s="13">
        <v>119.9</v>
      </c>
      <c r="J3116" s="21">
        <f t="shared" si="144"/>
        <v>1.8211764705882354</v>
      </c>
      <c r="K3116" s="1">
        <v>2</v>
      </c>
      <c r="L3116" s="24">
        <v>11.9</v>
      </c>
      <c r="M3116" s="24">
        <v>107.91000000000001</v>
      </c>
      <c r="N3116" s="21">
        <f t="shared" si="145"/>
        <v>1.539058823529412</v>
      </c>
      <c r="P3116" s="1">
        <v>4</v>
      </c>
      <c r="Q3116" s="24">
        <v>14.388000000000005</v>
      </c>
      <c r="R3116" s="24">
        <v>105.512</v>
      </c>
      <c r="S3116" s="21">
        <f t="shared" si="146"/>
        <v>1.4826352941176471</v>
      </c>
    </row>
    <row r="3117" spans="2:19" ht="11.4" customHeight="1" x14ac:dyDescent="0.2">
      <c r="B3117" s="24"/>
      <c r="C3117" s="12">
        <v>39051</v>
      </c>
      <c r="D3117" s="18" t="s">
        <v>3238</v>
      </c>
      <c r="E3117" s="18" t="s">
        <v>3227</v>
      </c>
      <c r="F3117" s="18"/>
      <c r="G3117" s="18" t="s">
        <v>902</v>
      </c>
      <c r="H3117" s="17">
        <v>70.41</v>
      </c>
      <c r="I3117" s="13">
        <v>137.9</v>
      </c>
      <c r="J3117" s="21">
        <f t="shared" si="144"/>
        <v>0.9585286180940209</v>
      </c>
      <c r="K3117" s="1">
        <v>1</v>
      </c>
      <c r="L3117" s="24">
        <v>6.8</v>
      </c>
      <c r="M3117" s="24">
        <v>131.005</v>
      </c>
      <c r="N3117" s="21">
        <f t="shared" si="145"/>
        <v>0.86060218718931969</v>
      </c>
      <c r="P3117" s="1">
        <v>4</v>
      </c>
      <c r="Q3117" s="24">
        <v>13.789999999999992</v>
      </c>
      <c r="R3117" s="24">
        <v>124.11000000000001</v>
      </c>
      <c r="S3117" s="21">
        <f t="shared" si="146"/>
        <v>0.76267575628461892</v>
      </c>
    </row>
    <row r="3118" spans="2:19" ht="11.4" customHeight="1" x14ac:dyDescent="0.2">
      <c r="B3118" s="24"/>
      <c r="C3118" s="12">
        <v>44057</v>
      </c>
      <c r="D3118" s="18" t="s">
        <v>3239</v>
      </c>
      <c r="E3118" s="18" t="s">
        <v>3227</v>
      </c>
      <c r="F3118" s="18"/>
      <c r="G3118" s="18" t="s">
        <v>23</v>
      </c>
      <c r="H3118" s="17">
        <v>30.19</v>
      </c>
      <c r="I3118" s="13">
        <v>129.9</v>
      </c>
      <c r="J3118" s="21">
        <f t="shared" si="144"/>
        <v>3.3027492547201063</v>
      </c>
      <c r="K3118" s="1">
        <v>2</v>
      </c>
      <c r="L3118" s="24">
        <v>12.9</v>
      </c>
      <c r="M3118" s="24">
        <v>116.91000000000001</v>
      </c>
      <c r="N3118" s="21">
        <f t="shared" si="145"/>
        <v>2.8724743292480959</v>
      </c>
      <c r="P3118" s="1">
        <v>4</v>
      </c>
      <c r="Q3118" s="24">
        <v>15.587999999999994</v>
      </c>
      <c r="R3118" s="24">
        <v>114.31200000000001</v>
      </c>
      <c r="S3118" s="21">
        <f t="shared" si="146"/>
        <v>2.7864193441536935</v>
      </c>
    </row>
    <row r="3119" spans="2:19" ht="11.4" customHeight="1" x14ac:dyDescent="0.2">
      <c r="B3119" s="24"/>
      <c r="C3119" s="12">
        <v>44062</v>
      </c>
      <c r="D3119" s="18" t="s">
        <v>3240</v>
      </c>
      <c r="E3119" s="18" t="s">
        <v>3227</v>
      </c>
      <c r="F3119" s="18"/>
      <c r="G3119" s="18" t="s">
        <v>23</v>
      </c>
      <c r="H3119" s="17">
        <v>94.73</v>
      </c>
      <c r="I3119" s="13">
        <v>209.9</v>
      </c>
      <c r="J3119" s="21">
        <f t="shared" si="144"/>
        <v>1.2157711390267074</v>
      </c>
      <c r="K3119" s="1">
        <v>2</v>
      </c>
      <c r="L3119" s="24">
        <v>20.9</v>
      </c>
      <c r="M3119" s="24">
        <v>188.91</v>
      </c>
      <c r="N3119" s="21">
        <f t="shared" si="145"/>
        <v>0.99419402512403665</v>
      </c>
      <c r="P3119" s="1">
        <v>4</v>
      </c>
      <c r="Q3119" s="24">
        <v>25.187999999999988</v>
      </c>
      <c r="R3119" s="24">
        <v>184.71200000000002</v>
      </c>
      <c r="S3119" s="21">
        <f t="shared" si="146"/>
        <v>0.94987860234350274</v>
      </c>
    </row>
    <row r="3120" spans="2:19" ht="11.4" customHeight="1" x14ac:dyDescent="0.2">
      <c r="B3120" s="24"/>
      <c r="C3120" s="12">
        <v>40610</v>
      </c>
      <c r="D3120" s="18" t="s">
        <v>3241</v>
      </c>
      <c r="E3120" s="18" t="s">
        <v>3227</v>
      </c>
      <c r="F3120" s="18"/>
      <c r="G3120" s="18" t="s">
        <v>23</v>
      </c>
      <c r="H3120" s="17">
        <v>59.97</v>
      </c>
      <c r="I3120" s="13">
        <v>149.9</v>
      </c>
      <c r="J3120" s="21">
        <f t="shared" si="144"/>
        <v>1.4995831248957814</v>
      </c>
      <c r="K3120" s="1">
        <v>2</v>
      </c>
      <c r="L3120" s="24">
        <v>14.9</v>
      </c>
      <c r="M3120" s="24">
        <v>134.91</v>
      </c>
      <c r="N3120" s="21">
        <f t="shared" si="145"/>
        <v>1.249624812406203</v>
      </c>
      <c r="P3120" s="1">
        <v>4</v>
      </c>
      <c r="Q3120" s="24">
        <v>17.988</v>
      </c>
      <c r="R3120" s="24">
        <v>131.91200000000001</v>
      </c>
      <c r="S3120" s="21">
        <f t="shared" si="146"/>
        <v>1.1996331499082875</v>
      </c>
    </row>
    <row r="3121" spans="2:19" ht="11.4" customHeight="1" x14ac:dyDescent="0.2">
      <c r="B3121" s="24"/>
      <c r="C3121" s="12">
        <v>39052</v>
      </c>
      <c r="D3121" s="18" t="s">
        <v>3242</v>
      </c>
      <c r="E3121" s="18" t="s">
        <v>3227</v>
      </c>
      <c r="F3121" s="18"/>
      <c r="G3121" s="18" t="s">
        <v>902</v>
      </c>
      <c r="H3121" s="17">
        <v>93.18</v>
      </c>
      <c r="I3121" s="13">
        <v>197.9</v>
      </c>
      <c r="J3121" s="21">
        <f t="shared" si="144"/>
        <v>1.1238463189525649</v>
      </c>
      <c r="K3121" s="1">
        <v>1</v>
      </c>
      <c r="L3121" s="24">
        <v>9.8000000000000007</v>
      </c>
      <c r="M3121" s="24">
        <v>188.005</v>
      </c>
      <c r="N3121" s="21">
        <f t="shared" si="145"/>
        <v>1.0176540030049366</v>
      </c>
      <c r="P3121" s="1">
        <v>4</v>
      </c>
      <c r="Q3121" s="24">
        <v>19.789999999999992</v>
      </c>
      <c r="R3121" s="24">
        <v>178.11</v>
      </c>
      <c r="S3121" s="21">
        <f t="shared" si="146"/>
        <v>0.91146168705730846</v>
      </c>
    </row>
    <row r="3122" spans="2:19" ht="11.4" customHeight="1" x14ac:dyDescent="0.2">
      <c r="B3122" s="24"/>
      <c r="C3122" s="12">
        <v>40611</v>
      </c>
      <c r="D3122" s="18" t="s">
        <v>3243</v>
      </c>
      <c r="E3122" s="18" t="s">
        <v>3227</v>
      </c>
      <c r="F3122" s="18"/>
      <c r="G3122" s="18" t="s">
        <v>23</v>
      </c>
      <c r="H3122" s="17">
        <v>41.79</v>
      </c>
      <c r="I3122" s="13">
        <v>129.9</v>
      </c>
      <c r="J3122" s="21">
        <f t="shared" si="144"/>
        <v>2.1083991385498928</v>
      </c>
      <c r="K3122" s="1">
        <v>2</v>
      </c>
      <c r="L3122" s="24">
        <v>12.9</v>
      </c>
      <c r="M3122" s="24">
        <v>116.91000000000001</v>
      </c>
      <c r="N3122" s="21">
        <f t="shared" si="145"/>
        <v>1.7975592246949033</v>
      </c>
      <c r="P3122" s="1">
        <v>4</v>
      </c>
      <c r="Q3122" s="24">
        <v>15.587999999999994</v>
      </c>
      <c r="R3122" s="24">
        <v>114.31200000000001</v>
      </c>
      <c r="S3122" s="21">
        <f t="shared" si="146"/>
        <v>1.7353912419239057</v>
      </c>
    </row>
    <row r="3123" spans="2:19" ht="11.4" customHeight="1" x14ac:dyDescent="0.2">
      <c r="B3123" s="24"/>
      <c r="C3123" s="12">
        <v>37301</v>
      </c>
      <c r="D3123" s="18" t="s">
        <v>3244</v>
      </c>
      <c r="E3123" s="18" t="s">
        <v>3227</v>
      </c>
      <c r="F3123" s="18"/>
      <c r="G3123" s="18" t="s">
        <v>902</v>
      </c>
      <c r="H3123" s="17">
        <v>76.73</v>
      </c>
      <c r="I3123" s="13">
        <v>186.9</v>
      </c>
      <c r="J3123" s="21">
        <f t="shared" si="144"/>
        <v>1.4358138928711064</v>
      </c>
      <c r="K3123" s="1">
        <v>1</v>
      </c>
      <c r="L3123" s="24">
        <v>9.3000000000000007</v>
      </c>
      <c r="M3123" s="24">
        <v>177.55500000000001</v>
      </c>
      <c r="N3123" s="21">
        <f t="shared" si="145"/>
        <v>1.3140231982275512</v>
      </c>
      <c r="P3123" s="1">
        <v>4</v>
      </c>
      <c r="Q3123" s="24">
        <v>18.689999999999998</v>
      </c>
      <c r="R3123" s="24">
        <v>168.21</v>
      </c>
      <c r="S3123" s="21">
        <f t="shared" si="146"/>
        <v>1.1922325035839958</v>
      </c>
    </row>
    <row r="3124" spans="2:19" ht="11.4" customHeight="1" x14ac:dyDescent="0.2">
      <c r="B3124" s="24"/>
      <c r="C3124" s="12">
        <v>40954</v>
      </c>
      <c r="D3124" s="18" t="s">
        <v>3245</v>
      </c>
      <c r="E3124" s="18" t="s">
        <v>3227</v>
      </c>
      <c r="F3124" s="18"/>
      <c r="G3124" s="18" t="s">
        <v>23</v>
      </c>
      <c r="H3124" s="17">
        <v>86.14</v>
      </c>
      <c r="I3124" s="13">
        <v>189.9</v>
      </c>
      <c r="J3124" s="21">
        <f t="shared" si="144"/>
        <v>1.2045507313675412</v>
      </c>
      <c r="K3124" s="1">
        <v>2</v>
      </c>
      <c r="L3124" s="24">
        <v>18.899999999999999</v>
      </c>
      <c r="M3124" s="24">
        <v>170.91</v>
      </c>
      <c r="N3124" s="21">
        <f t="shared" si="145"/>
        <v>0.98409565823078704</v>
      </c>
      <c r="P3124" s="1">
        <v>4</v>
      </c>
      <c r="Q3124" s="24">
        <v>22.788000000000011</v>
      </c>
      <c r="R3124" s="24">
        <v>167.11199999999999</v>
      </c>
      <c r="S3124" s="21">
        <f t="shared" si="146"/>
        <v>0.94000464360343616</v>
      </c>
    </row>
    <row r="3125" spans="2:19" ht="11.4" customHeight="1" x14ac:dyDescent="0.2">
      <c r="B3125" s="24"/>
      <c r="C3125" s="12">
        <v>40953</v>
      </c>
      <c r="D3125" s="18" t="s">
        <v>3246</v>
      </c>
      <c r="E3125" s="18" t="s">
        <v>3227</v>
      </c>
      <c r="F3125" s="18"/>
      <c r="G3125" s="18" t="s">
        <v>902</v>
      </c>
      <c r="H3125" s="18"/>
      <c r="I3125" s="13">
        <v>247.9</v>
      </c>
      <c r="J3125" s="21" t="e">
        <f t="shared" si="144"/>
        <v>#DIV/0!</v>
      </c>
      <c r="K3125" s="1">
        <v>1</v>
      </c>
      <c r="L3125" s="24">
        <v>12.3</v>
      </c>
      <c r="M3125" s="24">
        <v>235.505</v>
      </c>
      <c r="N3125" s="21" t="e">
        <f t="shared" si="145"/>
        <v>#DIV/0!</v>
      </c>
      <c r="P3125" s="1">
        <v>4</v>
      </c>
      <c r="Q3125" s="24">
        <v>24.789999999999992</v>
      </c>
      <c r="R3125" s="24">
        <v>223.11</v>
      </c>
      <c r="S3125" s="21" t="e">
        <f t="shared" si="146"/>
        <v>#DIV/0!</v>
      </c>
    </row>
    <row r="3126" spans="2:19" ht="11.4" customHeight="1" x14ac:dyDescent="0.2">
      <c r="B3126" s="24"/>
      <c r="C3126" s="12">
        <v>44063</v>
      </c>
      <c r="D3126" s="18" t="s">
        <v>3247</v>
      </c>
      <c r="E3126" s="18" t="s">
        <v>3227</v>
      </c>
      <c r="F3126" s="18"/>
      <c r="G3126" s="18" t="s">
        <v>23</v>
      </c>
      <c r="H3126" s="17">
        <v>136.19</v>
      </c>
      <c r="I3126" s="13">
        <v>299.89999999999998</v>
      </c>
      <c r="J3126" s="21">
        <f t="shared" si="144"/>
        <v>1.2020706366106173</v>
      </c>
      <c r="K3126" s="1">
        <v>2</v>
      </c>
      <c r="L3126" s="24">
        <v>29.9</v>
      </c>
      <c r="M3126" s="24">
        <v>269.90999999999997</v>
      </c>
      <c r="N3126" s="21">
        <f t="shared" si="145"/>
        <v>0.98186357294955562</v>
      </c>
      <c r="P3126" s="1">
        <v>4</v>
      </c>
      <c r="Q3126" s="24">
        <v>35.988</v>
      </c>
      <c r="R3126" s="24">
        <v>263.91199999999998</v>
      </c>
      <c r="S3126" s="21">
        <f t="shared" si="146"/>
        <v>0.93782216021734333</v>
      </c>
    </row>
    <row r="3127" spans="2:19" ht="11.4" customHeight="1" x14ac:dyDescent="0.2">
      <c r="B3127" s="24"/>
      <c r="C3127" s="12">
        <v>41716</v>
      </c>
      <c r="D3127" s="18" t="s">
        <v>3248</v>
      </c>
      <c r="E3127" s="18" t="s">
        <v>3227</v>
      </c>
      <c r="F3127" s="18"/>
      <c r="G3127" s="18" t="s">
        <v>23</v>
      </c>
      <c r="H3127" s="18"/>
      <c r="I3127" s="13">
        <v>149.9</v>
      </c>
      <c r="J3127" s="21" t="e">
        <f t="shared" si="144"/>
        <v>#DIV/0!</v>
      </c>
      <c r="K3127" s="1">
        <v>2</v>
      </c>
      <c r="L3127" s="24">
        <v>14.9</v>
      </c>
      <c r="M3127" s="24">
        <v>134.91</v>
      </c>
      <c r="N3127" s="21" t="e">
        <f t="shared" si="145"/>
        <v>#DIV/0!</v>
      </c>
      <c r="P3127" s="1">
        <v>4</v>
      </c>
      <c r="Q3127" s="24">
        <v>17.988</v>
      </c>
      <c r="R3127" s="24">
        <v>131.91200000000001</v>
      </c>
      <c r="S3127" s="21" t="e">
        <f t="shared" si="146"/>
        <v>#DIV/0!</v>
      </c>
    </row>
    <row r="3128" spans="2:19" ht="11.4" customHeight="1" x14ac:dyDescent="0.2">
      <c r="B3128" s="24"/>
      <c r="C3128" s="12">
        <v>44064</v>
      </c>
      <c r="D3128" s="18" t="s">
        <v>3249</v>
      </c>
      <c r="E3128" s="18" t="s">
        <v>3227</v>
      </c>
      <c r="F3128" s="18"/>
      <c r="G3128" s="18" t="s">
        <v>23</v>
      </c>
      <c r="H3128" s="17">
        <v>122.5</v>
      </c>
      <c r="I3128" s="13">
        <v>249.9</v>
      </c>
      <c r="J3128" s="21">
        <f t="shared" si="144"/>
        <v>1.04</v>
      </c>
      <c r="K3128" s="1">
        <v>2</v>
      </c>
      <c r="L3128" s="24">
        <v>24.9</v>
      </c>
      <c r="M3128" s="24">
        <v>224.91</v>
      </c>
      <c r="N3128" s="21">
        <f t="shared" si="145"/>
        <v>0.83599999999999997</v>
      </c>
      <c r="P3128" s="1">
        <v>4</v>
      </c>
      <c r="Q3128" s="24">
        <v>29.988</v>
      </c>
      <c r="R3128" s="24">
        <v>219.91200000000001</v>
      </c>
      <c r="S3128" s="21">
        <f t="shared" si="146"/>
        <v>0.79520000000000002</v>
      </c>
    </row>
    <row r="3129" spans="2:19" ht="11.4" customHeight="1" x14ac:dyDescent="0.2">
      <c r="B3129" s="24"/>
      <c r="C3129" s="12">
        <v>40952</v>
      </c>
      <c r="D3129" s="18" t="s">
        <v>3250</v>
      </c>
      <c r="E3129" s="18" t="s">
        <v>3227</v>
      </c>
      <c r="F3129" s="18"/>
      <c r="G3129" s="18" t="s">
        <v>23</v>
      </c>
      <c r="H3129" s="17">
        <v>75.459999999999994</v>
      </c>
      <c r="I3129" s="13">
        <v>159.9</v>
      </c>
      <c r="J3129" s="21">
        <f t="shared" si="144"/>
        <v>1.1190034455340581</v>
      </c>
      <c r="K3129" s="1">
        <v>2</v>
      </c>
      <c r="L3129" s="24">
        <v>15.9</v>
      </c>
      <c r="M3129" s="24">
        <v>143.91</v>
      </c>
      <c r="N3129" s="21">
        <f t="shared" si="145"/>
        <v>0.90710310098065217</v>
      </c>
      <c r="P3129" s="1">
        <v>4</v>
      </c>
      <c r="Q3129" s="24">
        <v>19.187999999999988</v>
      </c>
      <c r="R3129" s="24">
        <v>140.71200000000002</v>
      </c>
      <c r="S3129" s="21">
        <f t="shared" si="146"/>
        <v>0.86472303206997125</v>
      </c>
    </row>
    <row r="3130" spans="2:19" ht="11.4" customHeight="1" x14ac:dyDescent="0.2">
      <c r="B3130" s="24"/>
      <c r="C3130" s="12">
        <v>40951</v>
      </c>
      <c r="D3130" s="18" t="s">
        <v>3251</v>
      </c>
      <c r="E3130" s="18" t="s">
        <v>3227</v>
      </c>
      <c r="F3130" s="18"/>
      <c r="G3130" s="18" t="s">
        <v>902</v>
      </c>
      <c r="H3130" s="17">
        <v>121.08</v>
      </c>
      <c r="I3130" s="13">
        <v>214.9</v>
      </c>
      <c r="J3130" s="21">
        <f t="shared" si="144"/>
        <v>0.77485959696068718</v>
      </c>
      <c r="K3130" s="1">
        <v>1</v>
      </c>
      <c r="L3130" s="24">
        <v>10.7</v>
      </c>
      <c r="M3130" s="24">
        <v>204.155</v>
      </c>
      <c r="N3130" s="21">
        <f t="shared" si="145"/>
        <v>0.68611661711265282</v>
      </c>
      <c r="P3130" s="1">
        <v>4</v>
      </c>
      <c r="Q3130" s="24">
        <v>21.490000000000009</v>
      </c>
      <c r="R3130" s="24">
        <v>193.41</v>
      </c>
      <c r="S3130" s="21">
        <f t="shared" si="146"/>
        <v>0.59737363726461845</v>
      </c>
    </row>
    <row r="3131" spans="2:19" ht="11.4" customHeight="1" x14ac:dyDescent="0.2">
      <c r="B3131" s="24"/>
      <c r="C3131" s="12">
        <v>44065</v>
      </c>
      <c r="D3131" s="18" t="s">
        <v>3252</v>
      </c>
      <c r="E3131" s="18" t="s">
        <v>3227</v>
      </c>
      <c r="F3131" s="18"/>
      <c r="G3131" s="18" t="s">
        <v>23</v>
      </c>
      <c r="H3131" s="17">
        <v>116.03</v>
      </c>
      <c r="I3131" s="13">
        <v>239.9</v>
      </c>
      <c r="J3131" s="21">
        <f t="shared" si="144"/>
        <v>1.0675687322244247</v>
      </c>
      <c r="K3131" s="1">
        <v>2</v>
      </c>
      <c r="L3131" s="24">
        <v>23.9</v>
      </c>
      <c r="M3131" s="24">
        <v>215.91</v>
      </c>
      <c r="N3131" s="21">
        <f t="shared" si="145"/>
        <v>0.8608118590019822</v>
      </c>
      <c r="P3131" s="1">
        <v>4</v>
      </c>
      <c r="Q3131" s="24">
        <v>28.788000000000011</v>
      </c>
      <c r="R3131" s="24">
        <v>211.11199999999999</v>
      </c>
      <c r="S3131" s="21">
        <f t="shared" si="146"/>
        <v>0.81946048435749363</v>
      </c>
    </row>
    <row r="3132" spans="2:19" ht="11.4" customHeight="1" x14ac:dyDescent="0.2">
      <c r="B3132" s="24"/>
      <c r="C3132" s="12">
        <v>40950</v>
      </c>
      <c r="D3132" s="18" t="s">
        <v>3253</v>
      </c>
      <c r="E3132" s="18" t="s">
        <v>3227</v>
      </c>
      <c r="F3132" s="18"/>
      <c r="G3132" s="18" t="s">
        <v>23</v>
      </c>
      <c r="H3132" s="17">
        <v>71.510000000000005</v>
      </c>
      <c r="I3132" s="13">
        <v>149.9</v>
      </c>
      <c r="J3132" s="21">
        <f t="shared" si="144"/>
        <v>1.096210320234932</v>
      </c>
      <c r="K3132" s="1">
        <v>2</v>
      </c>
      <c r="L3132" s="24">
        <v>14.9</v>
      </c>
      <c r="M3132" s="24">
        <v>134.91</v>
      </c>
      <c r="N3132" s="21">
        <f t="shared" si="145"/>
        <v>0.88658928821143879</v>
      </c>
      <c r="P3132" s="1">
        <v>4</v>
      </c>
      <c r="Q3132" s="24">
        <v>17.988</v>
      </c>
      <c r="R3132" s="24">
        <v>131.91200000000001</v>
      </c>
      <c r="S3132" s="21">
        <f t="shared" si="146"/>
        <v>0.84466508180674027</v>
      </c>
    </row>
    <row r="3133" spans="2:19" ht="11.4" customHeight="1" x14ac:dyDescent="0.2">
      <c r="B3133" s="24"/>
      <c r="C3133" s="12">
        <v>40949</v>
      </c>
      <c r="D3133" s="18" t="s">
        <v>3254</v>
      </c>
      <c r="E3133" s="18" t="s">
        <v>3227</v>
      </c>
      <c r="F3133" s="18"/>
      <c r="G3133" s="18" t="s">
        <v>902</v>
      </c>
      <c r="H3133" s="17">
        <v>113.86</v>
      </c>
      <c r="I3133" s="13">
        <v>214.9</v>
      </c>
      <c r="J3133" s="21">
        <f t="shared" si="144"/>
        <v>0.88740558580713158</v>
      </c>
      <c r="K3133" s="1">
        <v>1</v>
      </c>
      <c r="L3133" s="24">
        <v>10.7</v>
      </c>
      <c r="M3133" s="24">
        <v>204.155</v>
      </c>
      <c r="N3133" s="21">
        <f t="shared" si="145"/>
        <v>0.79303530651677501</v>
      </c>
      <c r="P3133" s="1">
        <v>4</v>
      </c>
      <c r="Q3133" s="24">
        <v>21.490000000000009</v>
      </c>
      <c r="R3133" s="24">
        <v>193.41</v>
      </c>
      <c r="S3133" s="21">
        <f t="shared" si="146"/>
        <v>0.69866502722641843</v>
      </c>
    </row>
    <row r="3134" spans="2:19" ht="11.4" customHeight="1" x14ac:dyDescent="0.2">
      <c r="B3134" s="24"/>
      <c r="C3134" s="12">
        <v>46586</v>
      </c>
      <c r="D3134" s="18" t="s">
        <v>3255</v>
      </c>
      <c r="E3134" s="18" t="s">
        <v>3227</v>
      </c>
      <c r="F3134" s="18"/>
      <c r="G3134" s="18" t="s">
        <v>23</v>
      </c>
      <c r="H3134" s="17">
        <v>72.37</v>
      </c>
      <c r="I3134" s="13">
        <v>199.9</v>
      </c>
      <c r="J3134" s="21">
        <f t="shared" si="144"/>
        <v>1.7621942793975403</v>
      </c>
      <c r="K3134" s="1">
        <v>2</v>
      </c>
      <c r="L3134" s="24">
        <v>19.899999999999999</v>
      </c>
      <c r="M3134" s="24">
        <v>179.91</v>
      </c>
      <c r="N3134" s="21">
        <f t="shared" si="145"/>
        <v>1.4859748514577862</v>
      </c>
      <c r="P3134" s="1">
        <v>4</v>
      </c>
      <c r="Q3134" s="24">
        <v>23.988</v>
      </c>
      <c r="R3134" s="24">
        <v>175.91200000000001</v>
      </c>
      <c r="S3134" s="21">
        <f t="shared" si="146"/>
        <v>1.4307309658698355</v>
      </c>
    </row>
    <row r="3135" spans="2:19" ht="11.4" customHeight="1" x14ac:dyDescent="0.2">
      <c r="B3135" s="24"/>
      <c r="C3135" s="12">
        <v>44070</v>
      </c>
      <c r="D3135" s="18" t="s">
        <v>3256</v>
      </c>
      <c r="E3135" s="18" t="s">
        <v>3227</v>
      </c>
      <c r="F3135" s="18"/>
      <c r="G3135" s="18" t="s">
        <v>23</v>
      </c>
      <c r="H3135" s="17">
        <v>102.96</v>
      </c>
      <c r="I3135" s="13">
        <v>259.89999999999998</v>
      </c>
      <c r="J3135" s="21">
        <f t="shared" si="144"/>
        <v>1.5242812742812744</v>
      </c>
      <c r="K3135" s="1">
        <v>2</v>
      </c>
      <c r="L3135" s="24">
        <v>25.9</v>
      </c>
      <c r="M3135" s="24">
        <v>233.91</v>
      </c>
      <c r="N3135" s="21">
        <f t="shared" si="145"/>
        <v>1.2718531468531469</v>
      </c>
      <c r="P3135" s="1">
        <v>4</v>
      </c>
      <c r="Q3135" s="24">
        <v>31.187999999999988</v>
      </c>
      <c r="R3135" s="24">
        <v>228.71199999999999</v>
      </c>
      <c r="S3135" s="21">
        <f t="shared" si="146"/>
        <v>1.2213675213675215</v>
      </c>
    </row>
    <row r="3136" spans="2:19" ht="11.4" customHeight="1" x14ac:dyDescent="0.2">
      <c r="B3136" s="24"/>
      <c r="C3136" s="12">
        <v>38782</v>
      </c>
      <c r="D3136" s="18" t="s">
        <v>3257</v>
      </c>
      <c r="E3136" s="18" t="s">
        <v>3227</v>
      </c>
      <c r="F3136" s="18"/>
      <c r="G3136" s="18" t="s">
        <v>23</v>
      </c>
      <c r="H3136" s="17">
        <v>105</v>
      </c>
      <c r="I3136" s="13">
        <v>89.9</v>
      </c>
      <c r="J3136" s="21">
        <f t="shared" si="144"/>
        <v>-0.14380952380952375</v>
      </c>
      <c r="K3136" s="1">
        <v>2</v>
      </c>
      <c r="L3136" s="24">
        <v>8.9</v>
      </c>
      <c r="M3136" s="24">
        <v>80.910000000000011</v>
      </c>
      <c r="N3136" s="21">
        <f t="shared" si="145"/>
        <v>-0.22942857142857132</v>
      </c>
      <c r="P3136" s="1">
        <v>4</v>
      </c>
      <c r="Q3136" s="24">
        <v>10.787999999999997</v>
      </c>
      <c r="R3136" s="24">
        <v>79.112000000000009</v>
      </c>
      <c r="S3136" s="21">
        <f t="shared" si="146"/>
        <v>-0.24655238095238086</v>
      </c>
    </row>
    <row r="3137" spans="2:19" ht="11.4" customHeight="1" x14ac:dyDescent="0.2">
      <c r="B3137" s="24"/>
      <c r="C3137" s="12">
        <v>37633</v>
      </c>
      <c r="D3137" s="18" t="s">
        <v>3258</v>
      </c>
      <c r="E3137" s="18" t="s">
        <v>3227</v>
      </c>
      <c r="F3137" s="18"/>
      <c r="G3137" s="18" t="s">
        <v>902</v>
      </c>
      <c r="H3137" s="17">
        <v>210</v>
      </c>
      <c r="I3137" s="13">
        <v>223.9</v>
      </c>
      <c r="J3137" s="21">
        <f t="shared" si="144"/>
        <v>6.6190476190476216E-2</v>
      </c>
      <c r="K3137" s="1">
        <v>1</v>
      </c>
      <c r="L3137" s="24">
        <v>11.1</v>
      </c>
      <c r="M3137" s="24">
        <v>212.70499999999998</v>
      </c>
      <c r="N3137" s="21">
        <f t="shared" si="145"/>
        <v>1.2880952380952305E-2</v>
      </c>
      <c r="P3137" s="1">
        <v>4</v>
      </c>
      <c r="Q3137" s="24">
        <v>22.389999999999986</v>
      </c>
      <c r="R3137" s="24">
        <v>201.51000000000002</v>
      </c>
      <c r="S3137" s="21">
        <f t="shared" si="146"/>
        <v>-4.0428571428571335E-2</v>
      </c>
    </row>
    <row r="3138" spans="2:19" ht="11.4" customHeight="1" x14ac:dyDescent="0.2">
      <c r="B3138" s="24"/>
      <c r="C3138" s="12">
        <v>44071</v>
      </c>
      <c r="D3138" s="18" t="s">
        <v>3259</v>
      </c>
      <c r="E3138" s="18" t="s">
        <v>3227</v>
      </c>
      <c r="F3138" s="18"/>
      <c r="G3138" s="18" t="s">
        <v>23</v>
      </c>
      <c r="H3138" s="17">
        <v>105.07</v>
      </c>
      <c r="I3138" s="13">
        <v>259.89999999999998</v>
      </c>
      <c r="J3138" s="21">
        <f t="shared" si="144"/>
        <v>1.4735890358808412</v>
      </c>
      <c r="K3138" s="1">
        <v>2</v>
      </c>
      <c r="L3138" s="24">
        <v>25.9</v>
      </c>
      <c r="M3138" s="24">
        <v>233.91</v>
      </c>
      <c r="N3138" s="21">
        <f t="shared" si="145"/>
        <v>1.2262301322927573</v>
      </c>
      <c r="P3138" s="1">
        <v>4</v>
      </c>
      <c r="Q3138" s="24">
        <v>31.187999999999988</v>
      </c>
      <c r="R3138" s="24">
        <v>228.71199999999999</v>
      </c>
      <c r="S3138" s="21">
        <f t="shared" si="146"/>
        <v>1.1767583515751405</v>
      </c>
    </row>
    <row r="3139" spans="2:19" ht="11.4" customHeight="1" x14ac:dyDescent="0.2">
      <c r="B3139" s="24"/>
      <c r="C3139" s="12">
        <v>38783</v>
      </c>
      <c r="D3139" s="18" t="s">
        <v>3260</v>
      </c>
      <c r="E3139" s="18" t="s">
        <v>3227</v>
      </c>
      <c r="F3139" s="18"/>
      <c r="G3139" s="18" t="s">
        <v>23</v>
      </c>
      <c r="H3139" s="17">
        <v>104</v>
      </c>
      <c r="I3139" s="13">
        <v>89.9</v>
      </c>
      <c r="J3139" s="21">
        <f t="shared" ref="J3139:J3202" si="147">(I3139-H3139)/H3139</f>
        <v>-0.13557692307692301</v>
      </c>
      <c r="K3139" s="1">
        <v>2</v>
      </c>
      <c r="L3139" s="24">
        <v>8.9</v>
      </c>
      <c r="M3139" s="24">
        <v>80.910000000000011</v>
      </c>
      <c r="N3139" s="21">
        <f t="shared" ref="N3139:N3202" si="148">(M3139-H3139)/H3139</f>
        <v>-0.22201923076923066</v>
      </c>
      <c r="P3139" s="1">
        <v>4</v>
      </c>
      <c r="Q3139" s="24">
        <v>10.787999999999997</v>
      </c>
      <c r="R3139" s="24">
        <v>79.112000000000009</v>
      </c>
      <c r="S3139" s="21">
        <f t="shared" ref="S3139:S3202" si="149">(R3139-H3139)/H3139</f>
        <v>-0.23930769230769222</v>
      </c>
    </row>
    <row r="3140" spans="2:19" ht="11.4" customHeight="1" x14ac:dyDescent="0.2">
      <c r="B3140" s="24"/>
      <c r="C3140" s="12">
        <v>28261</v>
      </c>
      <c r="D3140" s="18" t="s">
        <v>3261</v>
      </c>
      <c r="E3140" s="18" t="s">
        <v>3227</v>
      </c>
      <c r="F3140" s="18"/>
      <c r="G3140" s="18" t="s">
        <v>902</v>
      </c>
      <c r="H3140" s="17">
        <v>208</v>
      </c>
      <c r="I3140" s="13">
        <v>184.9</v>
      </c>
      <c r="J3140" s="21">
        <f t="shared" si="147"/>
        <v>-0.11105769230769227</v>
      </c>
      <c r="K3140" s="1">
        <v>1</v>
      </c>
      <c r="L3140" s="24">
        <v>9.1999999999999993</v>
      </c>
      <c r="M3140" s="24">
        <v>175.655</v>
      </c>
      <c r="N3140" s="21">
        <f t="shared" si="148"/>
        <v>-0.15550480769230768</v>
      </c>
      <c r="P3140" s="1">
        <v>4</v>
      </c>
      <c r="Q3140" s="24">
        <v>18.490000000000009</v>
      </c>
      <c r="R3140" s="24">
        <v>166.41</v>
      </c>
      <c r="S3140" s="21">
        <f t="shared" si="149"/>
        <v>-0.19995192307692308</v>
      </c>
    </row>
    <row r="3141" spans="2:19" ht="11.4" customHeight="1" x14ac:dyDescent="0.2">
      <c r="B3141" s="24"/>
      <c r="C3141" s="12">
        <v>44072</v>
      </c>
      <c r="D3141" s="18" t="s">
        <v>3262</v>
      </c>
      <c r="E3141" s="18" t="s">
        <v>3227</v>
      </c>
      <c r="F3141" s="18"/>
      <c r="G3141" s="18" t="s">
        <v>23</v>
      </c>
      <c r="H3141" s="17">
        <v>77.59</v>
      </c>
      <c r="I3141" s="13">
        <v>239.9</v>
      </c>
      <c r="J3141" s="21">
        <f t="shared" si="147"/>
        <v>2.091893285217167</v>
      </c>
      <c r="K3141" s="1">
        <v>2</v>
      </c>
      <c r="L3141" s="24">
        <v>23.9</v>
      </c>
      <c r="M3141" s="24">
        <v>215.91</v>
      </c>
      <c r="N3141" s="21">
        <f t="shared" si="148"/>
        <v>1.7827039566954503</v>
      </c>
      <c r="P3141" s="1">
        <v>4</v>
      </c>
      <c r="Q3141" s="24">
        <v>28.788000000000011</v>
      </c>
      <c r="R3141" s="24">
        <v>211.11199999999999</v>
      </c>
      <c r="S3141" s="21">
        <f t="shared" si="149"/>
        <v>1.7208660909911069</v>
      </c>
    </row>
    <row r="3142" spans="2:19" ht="11.4" customHeight="1" x14ac:dyDescent="0.2">
      <c r="B3142" s="24"/>
      <c r="C3142" s="12">
        <v>29029</v>
      </c>
      <c r="D3142" s="18" t="s">
        <v>3263</v>
      </c>
      <c r="E3142" s="18" t="s">
        <v>3227</v>
      </c>
      <c r="F3142" s="18"/>
      <c r="G3142" s="18" t="s">
        <v>902</v>
      </c>
      <c r="H3142" s="17">
        <v>152</v>
      </c>
      <c r="I3142" s="13">
        <v>197.9</v>
      </c>
      <c r="J3142" s="21">
        <f t="shared" si="147"/>
        <v>0.30197368421052634</v>
      </c>
      <c r="K3142" s="1">
        <v>1</v>
      </c>
      <c r="L3142" s="24">
        <v>9.8000000000000007</v>
      </c>
      <c r="M3142" s="24">
        <v>188.005</v>
      </c>
      <c r="N3142" s="21">
        <f t="shared" si="148"/>
        <v>0.23687499999999997</v>
      </c>
      <c r="P3142" s="1">
        <v>4</v>
      </c>
      <c r="Q3142" s="24">
        <v>19.789999999999992</v>
      </c>
      <c r="R3142" s="24">
        <v>178.11</v>
      </c>
      <c r="S3142" s="21">
        <f t="shared" si="149"/>
        <v>0.17177631578947378</v>
      </c>
    </row>
    <row r="3143" spans="2:19" ht="11.4" customHeight="1" x14ac:dyDescent="0.2">
      <c r="B3143" s="24"/>
      <c r="C3143" s="12">
        <v>38762</v>
      </c>
      <c r="D3143" s="18" t="s">
        <v>3264</v>
      </c>
      <c r="E3143" s="18" t="s">
        <v>3227</v>
      </c>
      <c r="F3143" s="18"/>
      <c r="G3143" s="18" t="s">
        <v>23</v>
      </c>
      <c r="H3143" s="17">
        <v>90</v>
      </c>
      <c r="I3143" s="13">
        <v>129.9</v>
      </c>
      <c r="J3143" s="21">
        <f t="shared" si="147"/>
        <v>0.44333333333333341</v>
      </c>
      <c r="K3143" s="1">
        <v>2</v>
      </c>
      <c r="L3143" s="24">
        <v>12.9</v>
      </c>
      <c r="M3143" s="24">
        <v>116.91000000000001</v>
      </c>
      <c r="N3143" s="21">
        <f t="shared" si="148"/>
        <v>0.2990000000000001</v>
      </c>
      <c r="P3143" s="1">
        <v>4</v>
      </c>
      <c r="Q3143" s="24">
        <v>15.587999999999994</v>
      </c>
      <c r="R3143" s="24">
        <v>114.31200000000001</v>
      </c>
      <c r="S3143" s="21">
        <f t="shared" si="149"/>
        <v>0.27013333333333345</v>
      </c>
    </row>
    <row r="3144" spans="2:19" ht="11.4" customHeight="1" x14ac:dyDescent="0.2">
      <c r="B3144" s="24"/>
      <c r="C3144" s="12">
        <v>26960</v>
      </c>
      <c r="D3144" s="18" t="s">
        <v>3265</v>
      </c>
      <c r="E3144" s="18" t="s">
        <v>3227</v>
      </c>
      <c r="F3144" s="18"/>
      <c r="G3144" s="18" t="s">
        <v>902</v>
      </c>
      <c r="H3144" s="17">
        <v>179</v>
      </c>
      <c r="I3144" s="13">
        <v>197.9</v>
      </c>
      <c r="J3144" s="21">
        <f t="shared" si="147"/>
        <v>0.10558659217877098</v>
      </c>
      <c r="K3144" s="1">
        <v>1</v>
      </c>
      <c r="L3144" s="24">
        <v>9.8000000000000007</v>
      </c>
      <c r="M3144" s="24">
        <v>188.005</v>
      </c>
      <c r="N3144" s="21">
        <f t="shared" si="148"/>
        <v>5.0307262569832374E-2</v>
      </c>
      <c r="P3144" s="1">
        <v>4</v>
      </c>
      <c r="Q3144" s="24">
        <v>19.789999999999992</v>
      </c>
      <c r="R3144" s="24">
        <v>178.11</v>
      </c>
      <c r="S3144" s="21">
        <f t="shared" si="149"/>
        <v>-4.9720670391060692E-3</v>
      </c>
    </row>
    <row r="3145" spans="2:19" ht="11.4" customHeight="1" x14ac:dyDescent="0.2">
      <c r="B3145" s="24"/>
      <c r="C3145" s="12">
        <v>44067</v>
      </c>
      <c r="D3145" s="18" t="s">
        <v>3266</v>
      </c>
      <c r="E3145" s="18" t="s">
        <v>3227</v>
      </c>
      <c r="F3145" s="18"/>
      <c r="G3145" s="18" t="s">
        <v>23</v>
      </c>
      <c r="H3145" s="17">
        <v>96.01</v>
      </c>
      <c r="I3145" s="13">
        <v>239.9</v>
      </c>
      <c r="J3145" s="21">
        <f t="shared" si="147"/>
        <v>1.4986980522862199</v>
      </c>
      <c r="K3145" s="1">
        <v>2</v>
      </c>
      <c r="L3145" s="24">
        <v>23.9</v>
      </c>
      <c r="M3145" s="24">
        <v>215.91</v>
      </c>
      <c r="N3145" s="21">
        <f t="shared" si="148"/>
        <v>1.248828247057598</v>
      </c>
      <c r="P3145" s="1">
        <v>4</v>
      </c>
      <c r="Q3145" s="24">
        <v>28.788000000000011</v>
      </c>
      <c r="R3145" s="24">
        <v>211.11199999999999</v>
      </c>
      <c r="S3145" s="21">
        <f t="shared" si="149"/>
        <v>1.1988542860118736</v>
      </c>
    </row>
    <row r="3146" spans="2:19" ht="11.4" customHeight="1" x14ac:dyDescent="0.2">
      <c r="B3146" s="24"/>
      <c r="C3146" s="12">
        <v>38761</v>
      </c>
      <c r="D3146" s="18" t="s">
        <v>3267</v>
      </c>
      <c r="E3146" s="18" t="s">
        <v>3227</v>
      </c>
      <c r="F3146" s="18"/>
      <c r="G3146" s="18" t="s">
        <v>23</v>
      </c>
      <c r="H3146" s="17">
        <v>95</v>
      </c>
      <c r="I3146" s="13">
        <v>139.9</v>
      </c>
      <c r="J3146" s="21">
        <f t="shared" si="147"/>
        <v>0.47263157894736846</v>
      </c>
      <c r="K3146" s="1">
        <v>2</v>
      </c>
      <c r="L3146" s="24">
        <v>13.9</v>
      </c>
      <c r="M3146" s="24">
        <v>125.91000000000001</v>
      </c>
      <c r="N3146" s="21">
        <f t="shared" si="148"/>
        <v>0.3253684210526317</v>
      </c>
      <c r="P3146" s="1">
        <v>4</v>
      </c>
      <c r="Q3146" s="24">
        <v>16.787999999999997</v>
      </c>
      <c r="R3146" s="24">
        <v>123.11200000000001</v>
      </c>
      <c r="S3146" s="21">
        <f t="shared" si="149"/>
        <v>0.2959157894736843</v>
      </c>
    </row>
    <row r="3147" spans="2:19" ht="11.4" customHeight="1" x14ac:dyDescent="0.2">
      <c r="B3147" s="24"/>
      <c r="C3147" s="12">
        <v>26961</v>
      </c>
      <c r="D3147" s="18" t="s">
        <v>3268</v>
      </c>
      <c r="E3147" s="18" t="s">
        <v>3227</v>
      </c>
      <c r="F3147" s="18"/>
      <c r="G3147" s="18" t="s">
        <v>902</v>
      </c>
      <c r="H3147" s="17">
        <v>189</v>
      </c>
      <c r="I3147" s="13">
        <v>217.9</v>
      </c>
      <c r="J3147" s="21">
        <f t="shared" si="147"/>
        <v>0.15291005291005294</v>
      </c>
      <c r="K3147" s="1">
        <v>1</v>
      </c>
      <c r="L3147" s="24">
        <v>10.8</v>
      </c>
      <c r="M3147" s="24">
        <v>207.005</v>
      </c>
      <c r="N3147" s="21">
        <f t="shared" si="148"/>
        <v>9.5264550264550246E-2</v>
      </c>
      <c r="P3147" s="1">
        <v>4</v>
      </c>
      <c r="Q3147" s="24">
        <v>21.789999999999992</v>
      </c>
      <c r="R3147" s="24">
        <v>196.11</v>
      </c>
      <c r="S3147" s="21">
        <f t="shared" si="149"/>
        <v>3.7619047619047691E-2</v>
      </c>
    </row>
    <row r="3148" spans="2:19" ht="11.4" customHeight="1" x14ac:dyDescent="0.2">
      <c r="B3148" s="24"/>
      <c r="C3148" s="12">
        <v>38764</v>
      </c>
      <c r="D3148" s="18" t="s">
        <v>3269</v>
      </c>
      <c r="E3148" s="18" t="s">
        <v>3227</v>
      </c>
      <c r="F3148" s="18"/>
      <c r="G3148" s="18" t="s">
        <v>23</v>
      </c>
      <c r="H3148" s="17">
        <v>90</v>
      </c>
      <c r="I3148" s="13">
        <v>129.9</v>
      </c>
      <c r="J3148" s="21">
        <f t="shared" si="147"/>
        <v>0.44333333333333341</v>
      </c>
      <c r="K3148" s="1">
        <v>2</v>
      </c>
      <c r="L3148" s="24">
        <v>12.9</v>
      </c>
      <c r="M3148" s="24">
        <v>116.91000000000001</v>
      </c>
      <c r="N3148" s="21">
        <f t="shared" si="148"/>
        <v>0.2990000000000001</v>
      </c>
      <c r="P3148" s="1">
        <v>4</v>
      </c>
      <c r="Q3148" s="24">
        <v>15.587999999999994</v>
      </c>
      <c r="R3148" s="24">
        <v>114.31200000000001</v>
      </c>
      <c r="S3148" s="21">
        <f t="shared" si="149"/>
        <v>0.27013333333333345</v>
      </c>
    </row>
    <row r="3149" spans="2:19" ht="11.4" customHeight="1" x14ac:dyDescent="0.2">
      <c r="B3149" s="24"/>
      <c r="C3149" s="12">
        <v>26958</v>
      </c>
      <c r="D3149" s="18" t="s">
        <v>3270</v>
      </c>
      <c r="E3149" s="18" t="s">
        <v>3227</v>
      </c>
      <c r="F3149" s="18"/>
      <c r="G3149" s="18" t="s">
        <v>902</v>
      </c>
      <c r="H3149" s="17">
        <v>179</v>
      </c>
      <c r="I3149" s="13">
        <v>137.9</v>
      </c>
      <c r="J3149" s="21">
        <f t="shared" si="147"/>
        <v>-0.22960893854748601</v>
      </c>
      <c r="K3149" s="1">
        <v>1</v>
      </c>
      <c r="L3149" s="24">
        <v>6.8</v>
      </c>
      <c r="M3149" s="24">
        <v>131.005</v>
      </c>
      <c r="N3149" s="21">
        <f t="shared" si="148"/>
        <v>-0.26812849162011176</v>
      </c>
      <c r="P3149" s="1">
        <v>4</v>
      </c>
      <c r="Q3149" s="24">
        <v>13.789999999999992</v>
      </c>
      <c r="R3149" s="24">
        <v>124.11000000000001</v>
      </c>
      <c r="S3149" s="21">
        <f t="shared" si="149"/>
        <v>-0.30664804469273738</v>
      </c>
    </row>
    <row r="3150" spans="2:19" ht="11.4" customHeight="1" x14ac:dyDescent="0.2">
      <c r="B3150" s="24"/>
      <c r="C3150" s="12">
        <v>44069</v>
      </c>
      <c r="D3150" s="18" t="s">
        <v>3271</v>
      </c>
      <c r="E3150" s="18" t="s">
        <v>3227</v>
      </c>
      <c r="F3150" s="18"/>
      <c r="G3150" s="18" t="s">
        <v>23</v>
      </c>
      <c r="H3150" s="17">
        <v>79.900000000000006</v>
      </c>
      <c r="I3150" s="13">
        <v>229.9</v>
      </c>
      <c r="J3150" s="21">
        <f t="shared" si="147"/>
        <v>1.8773466833541925</v>
      </c>
      <c r="K3150" s="1">
        <v>2</v>
      </c>
      <c r="L3150" s="24">
        <v>22.9</v>
      </c>
      <c r="M3150" s="24">
        <v>206.91</v>
      </c>
      <c r="N3150" s="21">
        <f t="shared" si="148"/>
        <v>1.5896120150187731</v>
      </c>
      <c r="P3150" s="1">
        <v>4</v>
      </c>
      <c r="Q3150" s="24">
        <v>27.587999999999994</v>
      </c>
      <c r="R3150" s="24">
        <v>202.31200000000001</v>
      </c>
      <c r="S3150" s="21">
        <f t="shared" si="149"/>
        <v>1.5320650813516896</v>
      </c>
    </row>
    <row r="3151" spans="2:19" ht="11.4" customHeight="1" x14ac:dyDescent="0.2">
      <c r="B3151" s="24"/>
      <c r="C3151" s="12">
        <v>26959</v>
      </c>
      <c r="D3151" s="18" t="s">
        <v>3272</v>
      </c>
      <c r="E3151" s="18" t="s">
        <v>3227</v>
      </c>
      <c r="F3151" s="18"/>
      <c r="G3151" s="18" t="s">
        <v>902</v>
      </c>
      <c r="H3151" s="17">
        <v>169</v>
      </c>
      <c r="I3151" s="13">
        <v>197.9</v>
      </c>
      <c r="J3151" s="21">
        <f t="shared" si="147"/>
        <v>0.17100591715976335</v>
      </c>
      <c r="K3151" s="1">
        <v>1</v>
      </c>
      <c r="L3151" s="24">
        <v>9.8000000000000007</v>
      </c>
      <c r="M3151" s="24">
        <v>188.005</v>
      </c>
      <c r="N3151" s="21">
        <f t="shared" si="148"/>
        <v>0.11245562130177512</v>
      </c>
      <c r="P3151" s="1">
        <v>4</v>
      </c>
      <c r="Q3151" s="24">
        <v>19.789999999999992</v>
      </c>
      <c r="R3151" s="24">
        <v>178.11</v>
      </c>
      <c r="S3151" s="21">
        <f t="shared" si="149"/>
        <v>5.390532544378706E-2</v>
      </c>
    </row>
    <row r="3152" spans="2:19" ht="11.4" customHeight="1" x14ac:dyDescent="0.2">
      <c r="B3152" s="24"/>
      <c r="C3152" s="12">
        <v>44068</v>
      </c>
      <c r="D3152" s="18" t="s">
        <v>3273</v>
      </c>
      <c r="E3152" s="18" t="s">
        <v>3227</v>
      </c>
      <c r="F3152" s="18"/>
      <c r="G3152" s="18" t="s">
        <v>23</v>
      </c>
      <c r="H3152" s="17">
        <v>81.22</v>
      </c>
      <c r="I3152" s="13">
        <v>229.9</v>
      </c>
      <c r="J3152" s="21">
        <f t="shared" si="147"/>
        <v>1.8305836000984981</v>
      </c>
      <c r="K3152" s="1">
        <v>2</v>
      </c>
      <c r="L3152" s="24">
        <v>22.9</v>
      </c>
      <c r="M3152" s="24">
        <v>206.91</v>
      </c>
      <c r="N3152" s="21">
        <f t="shared" si="148"/>
        <v>1.5475252400886481</v>
      </c>
      <c r="P3152" s="1">
        <v>4</v>
      </c>
      <c r="Q3152" s="24">
        <v>27.587999999999994</v>
      </c>
      <c r="R3152" s="24">
        <v>202.31200000000001</v>
      </c>
      <c r="S3152" s="21">
        <f t="shared" si="149"/>
        <v>1.4909135680866783</v>
      </c>
    </row>
    <row r="3153" spans="2:19" ht="11.4" customHeight="1" x14ac:dyDescent="0.2">
      <c r="B3153" s="24"/>
      <c r="C3153" s="12">
        <v>43451</v>
      </c>
      <c r="D3153" s="18" t="s">
        <v>3274</v>
      </c>
      <c r="E3153" s="18" t="s">
        <v>3227</v>
      </c>
      <c r="F3153" s="18"/>
      <c r="G3153" s="18" t="s">
        <v>23</v>
      </c>
      <c r="H3153" s="17">
        <v>35.92</v>
      </c>
      <c r="I3153" s="13">
        <v>189.9</v>
      </c>
      <c r="J3153" s="21">
        <f t="shared" si="147"/>
        <v>4.2867483296213811</v>
      </c>
      <c r="K3153" s="1">
        <v>2</v>
      </c>
      <c r="L3153" s="24">
        <v>18.899999999999999</v>
      </c>
      <c r="M3153" s="24">
        <v>170.91</v>
      </c>
      <c r="N3153" s="21">
        <f t="shared" si="148"/>
        <v>3.7580734966592426</v>
      </c>
      <c r="P3153" s="1">
        <v>4</v>
      </c>
      <c r="Q3153" s="24">
        <v>22.788000000000011</v>
      </c>
      <c r="R3153" s="24">
        <v>167.11199999999999</v>
      </c>
      <c r="S3153" s="21">
        <f t="shared" si="149"/>
        <v>3.6523385300668152</v>
      </c>
    </row>
    <row r="3154" spans="2:19" ht="11.4" customHeight="1" x14ac:dyDescent="0.2">
      <c r="B3154" s="24"/>
      <c r="C3154" s="12">
        <v>43450</v>
      </c>
      <c r="D3154" s="18" t="s">
        <v>3275</v>
      </c>
      <c r="E3154" s="18" t="s">
        <v>3227</v>
      </c>
      <c r="F3154" s="18"/>
      <c r="G3154" s="18" t="s">
        <v>23</v>
      </c>
      <c r="H3154" s="17">
        <v>24.67</v>
      </c>
      <c r="I3154" s="13">
        <v>129.9</v>
      </c>
      <c r="J3154" s="21">
        <f t="shared" si="147"/>
        <v>4.2655046615322254</v>
      </c>
      <c r="K3154" s="1">
        <v>2</v>
      </c>
      <c r="L3154" s="24">
        <v>12.9</v>
      </c>
      <c r="M3154" s="24">
        <v>116.91000000000001</v>
      </c>
      <c r="N3154" s="21">
        <f t="shared" si="148"/>
        <v>3.7389541953790029</v>
      </c>
      <c r="P3154" s="1">
        <v>4</v>
      </c>
      <c r="Q3154" s="24">
        <v>15.587999999999994</v>
      </c>
      <c r="R3154" s="24">
        <v>114.31200000000001</v>
      </c>
      <c r="S3154" s="21">
        <f t="shared" si="149"/>
        <v>3.6336441021483585</v>
      </c>
    </row>
    <row r="3155" spans="2:19" ht="11.4" customHeight="1" x14ac:dyDescent="0.2">
      <c r="B3155" s="24"/>
      <c r="C3155" s="12">
        <v>43443</v>
      </c>
      <c r="D3155" s="18" t="s">
        <v>3276</v>
      </c>
      <c r="E3155" s="18" t="s">
        <v>3227</v>
      </c>
      <c r="F3155" s="18"/>
      <c r="G3155" s="18" t="s">
        <v>902</v>
      </c>
      <c r="H3155" s="17">
        <v>21.18</v>
      </c>
      <c r="I3155" s="13">
        <v>109.9</v>
      </c>
      <c r="J3155" s="21">
        <f t="shared" si="147"/>
        <v>4.188857412653447</v>
      </c>
      <c r="K3155" s="1">
        <v>1</v>
      </c>
      <c r="L3155" s="24">
        <v>10.9</v>
      </c>
      <c r="M3155" s="24">
        <v>98.910000000000011</v>
      </c>
      <c r="N3155" s="21">
        <f t="shared" si="148"/>
        <v>3.6699716713881028</v>
      </c>
      <c r="P3155" s="1">
        <v>4</v>
      </c>
      <c r="Q3155" s="24">
        <v>10.989999999999995</v>
      </c>
      <c r="R3155" s="24">
        <v>98.910000000000011</v>
      </c>
      <c r="S3155" s="21">
        <f t="shared" si="149"/>
        <v>3.6699716713881028</v>
      </c>
    </row>
    <row r="3156" spans="2:19" ht="11.4" customHeight="1" x14ac:dyDescent="0.2">
      <c r="B3156" s="24"/>
      <c r="C3156" s="12">
        <v>44073</v>
      </c>
      <c r="D3156" s="18" t="s">
        <v>3277</v>
      </c>
      <c r="E3156" s="18" t="s">
        <v>3227</v>
      </c>
      <c r="F3156" s="18"/>
      <c r="G3156" s="18" t="s">
        <v>23</v>
      </c>
      <c r="H3156" s="17">
        <v>112.48</v>
      </c>
      <c r="I3156" s="13">
        <v>269.89999999999998</v>
      </c>
      <c r="J3156" s="21">
        <f t="shared" si="147"/>
        <v>1.3995376955903267</v>
      </c>
      <c r="K3156" s="1">
        <v>2</v>
      </c>
      <c r="L3156" s="24">
        <v>26.9</v>
      </c>
      <c r="M3156" s="24">
        <v>242.91</v>
      </c>
      <c r="N3156" s="21">
        <f t="shared" si="148"/>
        <v>1.1595839260312946</v>
      </c>
      <c r="P3156" s="1">
        <v>4</v>
      </c>
      <c r="Q3156" s="24">
        <v>32.388000000000005</v>
      </c>
      <c r="R3156" s="24">
        <v>237.51199999999997</v>
      </c>
      <c r="S3156" s="21">
        <f t="shared" si="149"/>
        <v>1.1115931721194876</v>
      </c>
    </row>
    <row r="3157" spans="2:19" ht="11.4" customHeight="1" x14ac:dyDescent="0.2">
      <c r="B3157" s="24"/>
      <c r="C3157" s="12">
        <v>38785</v>
      </c>
      <c r="D3157" s="18" t="s">
        <v>3278</v>
      </c>
      <c r="E3157" s="18" t="s">
        <v>3227</v>
      </c>
      <c r="F3157" s="18"/>
      <c r="G3157" s="18" t="s">
        <v>23</v>
      </c>
      <c r="H3157" s="17">
        <v>95</v>
      </c>
      <c r="I3157" s="13">
        <v>89.9</v>
      </c>
      <c r="J3157" s="21">
        <f t="shared" si="147"/>
        <v>-5.368421052631573E-2</v>
      </c>
      <c r="K3157" s="1">
        <v>2</v>
      </c>
      <c r="L3157" s="24">
        <v>8.9</v>
      </c>
      <c r="M3157" s="24">
        <v>80.910000000000011</v>
      </c>
      <c r="N3157" s="21">
        <f t="shared" si="148"/>
        <v>-0.1483157894736841</v>
      </c>
      <c r="P3157" s="1">
        <v>4</v>
      </c>
      <c r="Q3157" s="24">
        <v>10.787999999999997</v>
      </c>
      <c r="R3157" s="24">
        <v>79.112000000000009</v>
      </c>
      <c r="S3157" s="21">
        <f t="shared" si="149"/>
        <v>-0.1672421052631578</v>
      </c>
    </row>
    <row r="3158" spans="2:19" ht="11.4" customHeight="1" x14ac:dyDescent="0.2">
      <c r="B3158" s="24"/>
      <c r="C3158" s="12">
        <v>31861</v>
      </c>
      <c r="D3158" s="18" t="s">
        <v>3279</v>
      </c>
      <c r="E3158" s="18" t="s">
        <v>3227</v>
      </c>
      <c r="F3158" s="18"/>
      <c r="G3158" s="18" t="s">
        <v>902</v>
      </c>
      <c r="H3158" s="17">
        <v>189</v>
      </c>
      <c r="I3158" s="13">
        <v>178.9</v>
      </c>
      <c r="J3158" s="21">
        <f t="shared" si="147"/>
        <v>-5.3439153439153411E-2</v>
      </c>
      <c r="K3158" s="1">
        <v>1</v>
      </c>
      <c r="L3158" s="24">
        <v>17.8</v>
      </c>
      <c r="M3158" s="24">
        <v>161.01000000000002</v>
      </c>
      <c r="N3158" s="21">
        <f t="shared" si="148"/>
        <v>-0.148095238095238</v>
      </c>
      <c r="P3158" s="1">
        <v>4</v>
      </c>
      <c r="Q3158" s="24">
        <v>17.889999999999986</v>
      </c>
      <c r="R3158" s="24">
        <v>161.01000000000002</v>
      </c>
      <c r="S3158" s="21">
        <f t="shared" si="149"/>
        <v>-0.148095238095238</v>
      </c>
    </row>
    <row r="3159" spans="2:19" ht="11.4" customHeight="1" x14ac:dyDescent="0.2">
      <c r="B3159" s="24"/>
      <c r="C3159" s="14">
        <v>43812</v>
      </c>
      <c r="D3159" s="18" t="s">
        <v>3280</v>
      </c>
      <c r="E3159" s="18" t="s">
        <v>3281</v>
      </c>
      <c r="F3159" s="17">
        <v>24</v>
      </c>
      <c r="G3159" s="18" t="s">
        <v>23</v>
      </c>
      <c r="H3159" s="17">
        <v>18.54</v>
      </c>
      <c r="I3159" s="15">
        <v>26.9</v>
      </c>
      <c r="J3159" s="21">
        <f t="shared" si="147"/>
        <v>0.45091693635382957</v>
      </c>
      <c r="K3159" s="1">
        <v>2</v>
      </c>
      <c r="L3159" s="24">
        <v>2.6</v>
      </c>
      <c r="M3159" s="24">
        <v>24.21</v>
      </c>
      <c r="N3159" s="21">
        <f t="shared" si="148"/>
        <v>0.30582524271844669</v>
      </c>
      <c r="P3159" s="1">
        <v>4</v>
      </c>
      <c r="Q3159" s="24">
        <v>3.227999999999998</v>
      </c>
      <c r="R3159" s="24">
        <v>23.672000000000001</v>
      </c>
      <c r="S3159" s="21">
        <f t="shared" si="149"/>
        <v>0.27680690399137009</v>
      </c>
    </row>
    <row r="3160" spans="2:19" ht="11.4" customHeight="1" x14ac:dyDescent="0.2">
      <c r="B3160" s="24"/>
      <c r="C3160" s="14">
        <v>43816</v>
      </c>
      <c r="D3160" s="18" t="s">
        <v>3282</v>
      </c>
      <c r="E3160" s="18" t="s">
        <v>3281</v>
      </c>
      <c r="F3160" s="17">
        <v>24</v>
      </c>
      <c r="G3160" s="18" t="s">
        <v>23</v>
      </c>
      <c r="H3160" s="17">
        <v>14.7</v>
      </c>
      <c r="I3160" s="15">
        <v>20.9</v>
      </c>
      <c r="J3160" s="21">
        <f t="shared" si="147"/>
        <v>0.42176870748299317</v>
      </c>
      <c r="K3160" s="1">
        <v>2</v>
      </c>
      <c r="L3160" s="24">
        <v>2</v>
      </c>
      <c r="M3160" s="24">
        <v>18.809999999999999</v>
      </c>
      <c r="N3160" s="21">
        <f t="shared" si="148"/>
        <v>0.27959183673469384</v>
      </c>
      <c r="P3160" s="1">
        <v>4</v>
      </c>
      <c r="Q3160" s="24">
        <v>2.5079999999999991</v>
      </c>
      <c r="R3160" s="24">
        <v>18.391999999999999</v>
      </c>
      <c r="S3160" s="21">
        <f t="shared" si="149"/>
        <v>0.25115646258503405</v>
      </c>
    </row>
    <row r="3161" spans="2:19" ht="11.4" customHeight="1" x14ac:dyDescent="0.2">
      <c r="B3161" s="24"/>
      <c r="C3161" s="14">
        <v>43815</v>
      </c>
      <c r="D3161" s="18" t="s">
        <v>3283</v>
      </c>
      <c r="E3161" s="18" t="s">
        <v>3281</v>
      </c>
      <c r="F3161" s="17">
        <v>24</v>
      </c>
      <c r="G3161" s="18" t="s">
        <v>23</v>
      </c>
      <c r="H3161" s="17">
        <v>14.7</v>
      </c>
      <c r="I3161" s="15">
        <v>20.9</v>
      </c>
      <c r="J3161" s="21">
        <f t="shared" si="147"/>
        <v>0.42176870748299317</v>
      </c>
      <c r="K3161" s="1">
        <v>2</v>
      </c>
      <c r="L3161" s="24">
        <v>2</v>
      </c>
      <c r="M3161" s="24">
        <v>18.809999999999999</v>
      </c>
      <c r="N3161" s="21">
        <f t="shared" si="148"/>
        <v>0.27959183673469384</v>
      </c>
      <c r="P3161" s="1">
        <v>4</v>
      </c>
      <c r="Q3161" s="24">
        <v>2.5079999999999991</v>
      </c>
      <c r="R3161" s="24">
        <v>18.391999999999999</v>
      </c>
      <c r="S3161" s="21">
        <f t="shared" si="149"/>
        <v>0.25115646258503405</v>
      </c>
    </row>
    <row r="3162" spans="2:19" ht="11.4" customHeight="1" x14ac:dyDescent="0.2">
      <c r="B3162" s="24"/>
      <c r="C3162" s="14">
        <v>43813</v>
      </c>
      <c r="D3162" s="18" t="s">
        <v>3284</v>
      </c>
      <c r="E3162" s="18" t="s">
        <v>3281</v>
      </c>
      <c r="F3162" s="17">
        <v>24</v>
      </c>
      <c r="G3162" s="18" t="s">
        <v>23</v>
      </c>
      <c r="H3162" s="17">
        <v>14.7</v>
      </c>
      <c r="I3162" s="15">
        <v>20.9</v>
      </c>
      <c r="J3162" s="21">
        <f t="shared" si="147"/>
        <v>0.42176870748299317</v>
      </c>
      <c r="K3162" s="1">
        <v>2</v>
      </c>
      <c r="L3162" s="24">
        <v>2</v>
      </c>
      <c r="M3162" s="24">
        <v>18.809999999999999</v>
      </c>
      <c r="N3162" s="21">
        <f t="shared" si="148"/>
        <v>0.27959183673469384</v>
      </c>
      <c r="P3162" s="1">
        <v>4</v>
      </c>
      <c r="Q3162" s="24">
        <v>2.5079999999999991</v>
      </c>
      <c r="R3162" s="24">
        <v>18.391999999999999</v>
      </c>
      <c r="S3162" s="21">
        <f t="shared" si="149"/>
        <v>0.25115646258503405</v>
      </c>
    </row>
    <row r="3163" spans="2:19" ht="11.4" customHeight="1" x14ac:dyDescent="0.2">
      <c r="B3163" s="24"/>
      <c r="C3163" s="14">
        <v>36957</v>
      </c>
      <c r="D3163" s="18" t="s">
        <v>3285</v>
      </c>
      <c r="E3163" s="18" t="s">
        <v>3281</v>
      </c>
      <c r="F3163" s="17">
        <v>24</v>
      </c>
      <c r="G3163" s="18" t="s">
        <v>23</v>
      </c>
      <c r="H3163" s="17">
        <v>77.459999999999994</v>
      </c>
      <c r="I3163" s="15">
        <v>85.9</v>
      </c>
      <c r="J3163" s="21">
        <f t="shared" si="147"/>
        <v>0.1089594629486188</v>
      </c>
      <c r="K3163" s="1">
        <v>2</v>
      </c>
      <c r="L3163" s="24">
        <v>8.5</v>
      </c>
      <c r="M3163" s="24">
        <v>77.31</v>
      </c>
      <c r="N3163" s="21">
        <f t="shared" si="148"/>
        <v>-1.9364833462431124E-3</v>
      </c>
      <c r="P3163" s="1">
        <v>4</v>
      </c>
      <c r="Q3163" s="24">
        <v>10.308000000000007</v>
      </c>
      <c r="R3163" s="24">
        <v>75.591999999999999</v>
      </c>
      <c r="S3163" s="21">
        <f t="shared" si="149"/>
        <v>-2.4115672605215532E-2</v>
      </c>
    </row>
    <row r="3164" spans="2:19" ht="11.4" customHeight="1" x14ac:dyDescent="0.2">
      <c r="B3164" s="24"/>
      <c r="C3164" s="14">
        <v>36958</v>
      </c>
      <c r="D3164" s="18" t="s">
        <v>3286</v>
      </c>
      <c r="E3164" s="18" t="s">
        <v>3281</v>
      </c>
      <c r="F3164" s="17">
        <v>24</v>
      </c>
      <c r="G3164" s="18" t="s">
        <v>23</v>
      </c>
      <c r="H3164" s="17">
        <v>77.459999999999994</v>
      </c>
      <c r="I3164" s="15">
        <v>85.9</v>
      </c>
      <c r="J3164" s="21">
        <f t="shared" si="147"/>
        <v>0.1089594629486188</v>
      </c>
      <c r="K3164" s="1">
        <v>2</v>
      </c>
      <c r="L3164" s="24">
        <v>8.5</v>
      </c>
      <c r="M3164" s="24">
        <v>77.31</v>
      </c>
      <c r="N3164" s="21">
        <f t="shared" si="148"/>
        <v>-1.9364833462431124E-3</v>
      </c>
      <c r="P3164" s="1">
        <v>4</v>
      </c>
      <c r="Q3164" s="24">
        <v>10.308000000000007</v>
      </c>
      <c r="R3164" s="24">
        <v>75.591999999999999</v>
      </c>
      <c r="S3164" s="21">
        <f t="shared" si="149"/>
        <v>-2.4115672605215532E-2</v>
      </c>
    </row>
    <row r="3165" spans="2:19" ht="11.4" customHeight="1" x14ac:dyDescent="0.2">
      <c r="B3165" s="24"/>
      <c r="C3165" s="14">
        <v>39618</v>
      </c>
      <c r="D3165" s="18" t="s">
        <v>3287</v>
      </c>
      <c r="E3165" s="18" t="s">
        <v>3288</v>
      </c>
      <c r="F3165" s="17">
        <v>10</v>
      </c>
      <c r="G3165" s="18" t="s">
        <v>23</v>
      </c>
      <c r="H3165" s="17">
        <v>29.82</v>
      </c>
      <c r="I3165" s="15">
        <v>34.5</v>
      </c>
      <c r="J3165" s="21">
        <f t="shared" si="147"/>
        <v>0.15694164989939638</v>
      </c>
      <c r="K3165" s="1">
        <v>2</v>
      </c>
      <c r="L3165" s="24">
        <v>3.4</v>
      </c>
      <c r="M3165" s="24">
        <v>31.05</v>
      </c>
      <c r="N3165" s="21">
        <f t="shared" si="148"/>
        <v>4.1247484909456754E-2</v>
      </c>
      <c r="P3165" s="1">
        <v>4</v>
      </c>
      <c r="Q3165" s="24">
        <v>4.1400000000000006</v>
      </c>
      <c r="R3165" s="24">
        <v>30.36</v>
      </c>
      <c r="S3165" s="21">
        <f t="shared" si="149"/>
        <v>1.8108651911468786E-2</v>
      </c>
    </row>
    <row r="3166" spans="2:19" ht="11.4" customHeight="1" x14ac:dyDescent="0.2">
      <c r="B3166" s="24"/>
      <c r="C3166" s="14">
        <v>39620</v>
      </c>
      <c r="D3166" s="18" t="s">
        <v>3289</v>
      </c>
      <c r="E3166" s="18" t="s">
        <v>3288</v>
      </c>
      <c r="F3166" s="17">
        <v>10</v>
      </c>
      <c r="G3166" s="18" t="s">
        <v>23</v>
      </c>
      <c r="H3166" s="17">
        <v>29.82</v>
      </c>
      <c r="I3166" s="15">
        <v>34.5</v>
      </c>
      <c r="J3166" s="21">
        <f t="shared" si="147"/>
        <v>0.15694164989939638</v>
      </c>
      <c r="K3166" s="1">
        <v>2</v>
      </c>
      <c r="L3166" s="24">
        <v>3.4</v>
      </c>
      <c r="M3166" s="24">
        <v>31.05</v>
      </c>
      <c r="N3166" s="21">
        <f t="shared" si="148"/>
        <v>4.1247484909456754E-2</v>
      </c>
      <c r="P3166" s="1">
        <v>4</v>
      </c>
      <c r="Q3166" s="24">
        <v>4.1400000000000006</v>
      </c>
      <c r="R3166" s="24">
        <v>30.36</v>
      </c>
      <c r="S3166" s="21">
        <f t="shared" si="149"/>
        <v>1.8108651911468786E-2</v>
      </c>
    </row>
    <row r="3167" spans="2:19" ht="11.4" customHeight="1" x14ac:dyDescent="0.2">
      <c r="B3167" s="24"/>
      <c r="C3167" s="14">
        <v>39622</v>
      </c>
      <c r="D3167" s="18" t="s">
        <v>3290</v>
      </c>
      <c r="E3167" s="18" t="s">
        <v>3288</v>
      </c>
      <c r="F3167" s="17">
        <v>10</v>
      </c>
      <c r="G3167" s="18" t="s">
        <v>23</v>
      </c>
      <c r="H3167" s="17">
        <v>29.82</v>
      </c>
      <c r="I3167" s="15">
        <v>34.5</v>
      </c>
      <c r="J3167" s="21">
        <f t="shared" si="147"/>
        <v>0.15694164989939638</v>
      </c>
      <c r="K3167" s="1">
        <v>2</v>
      </c>
      <c r="L3167" s="24">
        <v>3.4</v>
      </c>
      <c r="M3167" s="24">
        <v>31.05</v>
      </c>
      <c r="N3167" s="21">
        <f t="shared" si="148"/>
        <v>4.1247484909456754E-2</v>
      </c>
      <c r="P3167" s="1">
        <v>4</v>
      </c>
      <c r="Q3167" s="24">
        <v>4.1400000000000006</v>
      </c>
      <c r="R3167" s="24">
        <v>30.36</v>
      </c>
      <c r="S3167" s="21">
        <f t="shared" si="149"/>
        <v>1.8108651911468786E-2</v>
      </c>
    </row>
    <row r="3168" spans="2:19" ht="11.4" customHeight="1" x14ac:dyDescent="0.2">
      <c r="B3168" s="24"/>
      <c r="C3168" s="14">
        <v>39623</v>
      </c>
      <c r="D3168" s="18" t="s">
        <v>3291</v>
      </c>
      <c r="E3168" s="18" t="s">
        <v>3288</v>
      </c>
      <c r="F3168" s="17">
        <v>10</v>
      </c>
      <c r="G3168" s="18" t="s">
        <v>23</v>
      </c>
      <c r="H3168" s="17">
        <v>29.82</v>
      </c>
      <c r="I3168" s="15">
        <v>34.5</v>
      </c>
      <c r="J3168" s="21">
        <f t="shared" si="147"/>
        <v>0.15694164989939638</v>
      </c>
      <c r="K3168" s="1">
        <v>2</v>
      </c>
      <c r="L3168" s="24">
        <v>3.4</v>
      </c>
      <c r="M3168" s="24">
        <v>31.05</v>
      </c>
      <c r="N3168" s="21">
        <f t="shared" si="148"/>
        <v>4.1247484909456754E-2</v>
      </c>
      <c r="P3168" s="1">
        <v>4</v>
      </c>
      <c r="Q3168" s="24">
        <v>4.1400000000000006</v>
      </c>
      <c r="R3168" s="24">
        <v>30.36</v>
      </c>
      <c r="S3168" s="21">
        <f t="shared" si="149"/>
        <v>1.8108651911468786E-2</v>
      </c>
    </row>
    <row r="3169" spans="2:19" ht="11.4" customHeight="1" x14ac:dyDescent="0.2">
      <c r="B3169" s="24"/>
      <c r="C3169" s="14">
        <v>5401</v>
      </c>
      <c r="D3169" s="18" t="s">
        <v>3292</v>
      </c>
      <c r="E3169" s="18" t="s">
        <v>3288</v>
      </c>
      <c r="F3169" s="17">
        <v>16</v>
      </c>
      <c r="G3169" s="18" t="s">
        <v>23</v>
      </c>
      <c r="H3169" s="17">
        <v>23.46</v>
      </c>
      <c r="I3169" s="15">
        <v>27.5</v>
      </c>
      <c r="J3169" s="21">
        <f t="shared" si="147"/>
        <v>0.17220801364023866</v>
      </c>
      <c r="K3169" s="1">
        <v>2</v>
      </c>
      <c r="L3169" s="24">
        <v>2.7</v>
      </c>
      <c r="M3169" s="24">
        <v>24.75</v>
      </c>
      <c r="N3169" s="21">
        <f t="shared" si="148"/>
        <v>5.4987212276214795E-2</v>
      </c>
      <c r="P3169" s="1">
        <v>4</v>
      </c>
      <c r="Q3169" s="24">
        <v>3.3000000000000007</v>
      </c>
      <c r="R3169" s="24">
        <v>24.2</v>
      </c>
      <c r="S3169" s="21">
        <f t="shared" si="149"/>
        <v>3.154305200340999E-2</v>
      </c>
    </row>
    <row r="3170" spans="2:19" ht="11.4" customHeight="1" x14ac:dyDescent="0.2">
      <c r="B3170" s="24"/>
      <c r="C3170" s="14">
        <v>33048</v>
      </c>
      <c r="D3170" s="18" t="s">
        <v>3293</v>
      </c>
      <c r="E3170" s="18" t="s">
        <v>3288</v>
      </c>
      <c r="F3170" s="17">
        <v>10</v>
      </c>
      <c r="G3170" s="18" t="s">
        <v>23</v>
      </c>
      <c r="H3170" s="17">
        <v>37.9</v>
      </c>
      <c r="I3170" s="15">
        <v>32.299999999999997</v>
      </c>
      <c r="J3170" s="21">
        <f t="shared" si="147"/>
        <v>-0.14775725593667549</v>
      </c>
      <c r="K3170" s="1">
        <v>2</v>
      </c>
      <c r="L3170" s="24">
        <v>3.2</v>
      </c>
      <c r="M3170" s="24">
        <v>29.069999999999997</v>
      </c>
      <c r="N3170" s="21">
        <f t="shared" si="148"/>
        <v>-0.23298153034300798</v>
      </c>
      <c r="P3170" s="1">
        <v>4</v>
      </c>
      <c r="Q3170" s="24">
        <v>3.8760000000000012</v>
      </c>
      <c r="R3170" s="24">
        <v>28.423999999999996</v>
      </c>
      <c r="S3170" s="21">
        <f t="shared" si="149"/>
        <v>-0.25002638522427451</v>
      </c>
    </row>
    <row r="3171" spans="2:19" ht="11.4" customHeight="1" x14ac:dyDescent="0.2">
      <c r="B3171" s="24"/>
      <c r="C3171" s="14">
        <v>39619</v>
      </c>
      <c r="D3171" s="18" t="s">
        <v>3294</v>
      </c>
      <c r="E3171" s="18" t="s">
        <v>3288</v>
      </c>
      <c r="F3171" s="17">
        <v>10</v>
      </c>
      <c r="G3171" s="18" t="s">
        <v>23</v>
      </c>
      <c r="H3171" s="17">
        <v>28.3</v>
      </c>
      <c r="I3171" s="15">
        <v>34.5</v>
      </c>
      <c r="J3171" s="21">
        <f t="shared" si="147"/>
        <v>0.21908127208480563</v>
      </c>
      <c r="K3171" s="1">
        <v>2</v>
      </c>
      <c r="L3171" s="24">
        <v>3.4</v>
      </c>
      <c r="M3171" s="24">
        <v>31.05</v>
      </c>
      <c r="N3171" s="21">
        <f t="shared" si="148"/>
        <v>9.7173144876325085E-2</v>
      </c>
      <c r="P3171" s="1">
        <v>4</v>
      </c>
      <c r="Q3171" s="24">
        <v>4.1400000000000006</v>
      </c>
      <c r="R3171" s="24">
        <v>30.36</v>
      </c>
      <c r="S3171" s="21">
        <f t="shared" si="149"/>
        <v>7.2791519434628929E-2</v>
      </c>
    </row>
    <row r="3172" spans="2:19" ht="11.4" customHeight="1" x14ac:dyDescent="0.2">
      <c r="B3172" s="24"/>
      <c r="C3172" s="14">
        <v>39621</v>
      </c>
      <c r="D3172" s="18" t="s">
        <v>3295</v>
      </c>
      <c r="E3172" s="18" t="s">
        <v>3288</v>
      </c>
      <c r="F3172" s="17">
        <v>10</v>
      </c>
      <c r="G3172" s="18" t="s">
        <v>23</v>
      </c>
      <c r="H3172" s="17">
        <v>29.82</v>
      </c>
      <c r="I3172" s="15">
        <v>34.5</v>
      </c>
      <c r="J3172" s="21">
        <f t="shared" si="147"/>
        <v>0.15694164989939638</v>
      </c>
      <c r="K3172" s="1">
        <v>2</v>
      </c>
      <c r="L3172" s="24">
        <v>3.4</v>
      </c>
      <c r="M3172" s="24">
        <v>31.05</v>
      </c>
      <c r="N3172" s="21">
        <f t="shared" si="148"/>
        <v>4.1247484909456754E-2</v>
      </c>
      <c r="P3172" s="1">
        <v>4</v>
      </c>
      <c r="Q3172" s="24">
        <v>4.1400000000000006</v>
      </c>
      <c r="R3172" s="24">
        <v>30.36</v>
      </c>
      <c r="S3172" s="21">
        <f t="shared" si="149"/>
        <v>1.8108651911468786E-2</v>
      </c>
    </row>
    <row r="3173" spans="2:19" ht="11.4" customHeight="1" x14ac:dyDescent="0.2">
      <c r="B3173" s="24"/>
      <c r="C3173" s="14">
        <v>25698</v>
      </c>
      <c r="D3173" s="18" t="s">
        <v>3296</v>
      </c>
      <c r="E3173" s="18" t="s">
        <v>3288</v>
      </c>
      <c r="F3173" s="17">
        <v>16</v>
      </c>
      <c r="G3173" s="18" t="s">
        <v>23</v>
      </c>
      <c r="H3173" s="17">
        <v>23.46</v>
      </c>
      <c r="I3173" s="15">
        <v>27.5</v>
      </c>
      <c r="J3173" s="21">
        <f t="shared" si="147"/>
        <v>0.17220801364023866</v>
      </c>
      <c r="K3173" s="1">
        <v>2</v>
      </c>
      <c r="L3173" s="24">
        <v>2.7</v>
      </c>
      <c r="M3173" s="24">
        <v>24.75</v>
      </c>
      <c r="N3173" s="21">
        <f t="shared" si="148"/>
        <v>5.4987212276214795E-2</v>
      </c>
      <c r="P3173" s="1">
        <v>4</v>
      </c>
      <c r="Q3173" s="24">
        <v>3.3000000000000007</v>
      </c>
      <c r="R3173" s="24">
        <v>24.2</v>
      </c>
      <c r="S3173" s="21">
        <f t="shared" si="149"/>
        <v>3.154305200340999E-2</v>
      </c>
    </row>
    <row r="3174" spans="2:19" ht="11.4" customHeight="1" x14ac:dyDescent="0.2">
      <c r="B3174" s="24"/>
      <c r="C3174" s="14">
        <v>19694</v>
      </c>
      <c r="D3174" s="18" t="s">
        <v>3297</v>
      </c>
      <c r="E3174" s="18" t="s">
        <v>3288</v>
      </c>
      <c r="F3174" s="17">
        <v>16</v>
      </c>
      <c r="G3174" s="18" t="s">
        <v>23</v>
      </c>
      <c r="H3174" s="17">
        <v>23.46</v>
      </c>
      <c r="I3174" s="15">
        <v>27.5</v>
      </c>
      <c r="J3174" s="21">
        <f t="shared" si="147"/>
        <v>0.17220801364023866</v>
      </c>
      <c r="K3174" s="1">
        <v>2</v>
      </c>
      <c r="L3174" s="24">
        <v>2.7</v>
      </c>
      <c r="M3174" s="24">
        <v>24.75</v>
      </c>
      <c r="N3174" s="21">
        <f t="shared" si="148"/>
        <v>5.4987212276214795E-2</v>
      </c>
      <c r="P3174" s="1">
        <v>4</v>
      </c>
      <c r="Q3174" s="24">
        <v>3.3000000000000007</v>
      </c>
      <c r="R3174" s="24">
        <v>24.2</v>
      </c>
      <c r="S3174" s="21">
        <f t="shared" si="149"/>
        <v>3.154305200340999E-2</v>
      </c>
    </row>
    <row r="3175" spans="2:19" ht="11.4" customHeight="1" x14ac:dyDescent="0.2">
      <c r="B3175" s="24"/>
      <c r="C3175" s="14">
        <v>14557</v>
      </c>
      <c r="D3175" s="18" t="s">
        <v>3298</v>
      </c>
      <c r="E3175" s="18" t="s">
        <v>3288</v>
      </c>
      <c r="F3175" s="17">
        <v>16</v>
      </c>
      <c r="G3175" s="18" t="s">
        <v>23</v>
      </c>
      <c r="H3175" s="17">
        <v>23.46</v>
      </c>
      <c r="I3175" s="15">
        <v>27.5</v>
      </c>
      <c r="J3175" s="21">
        <f t="shared" si="147"/>
        <v>0.17220801364023866</v>
      </c>
      <c r="K3175" s="1">
        <v>2</v>
      </c>
      <c r="L3175" s="24">
        <v>2.7</v>
      </c>
      <c r="M3175" s="24">
        <v>24.75</v>
      </c>
      <c r="N3175" s="21">
        <f t="shared" si="148"/>
        <v>5.4987212276214795E-2</v>
      </c>
      <c r="P3175" s="1">
        <v>4</v>
      </c>
      <c r="Q3175" s="24">
        <v>3.3000000000000007</v>
      </c>
      <c r="R3175" s="24">
        <v>24.2</v>
      </c>
      <c r="S3175" s="21">
        <f t="shared" si="149"/>
        <v>3.154305200340999E-2</v>
      </c>
    </row>
    <row r="3176" spans="2:19" ht="11.4" customHeight="1" x14ac:dyDescent="0.2">
      <c r="B3176" s="24"/>
      <c r="C3176" s="14">
        <v>17752</v>
      </c>
      <c r="D3176" s="18" t="s">
        <v>3299</v>
      </c>
      <c r="E3176" s="18" t="s">
        <v>3288</v>
      </c>
      <c r="F3176" s="17">
        <v>16</v>
      </c>
      <c r="G3176" s="18" t="s">
        <v>23</v>
      </c>
      <c r="H3176" s="17">
        <v>23.46</v>
      </c>
      <c r="I3176" s="15">
        <v>27.5</v>
      </c>
      <c r="J3176" s="21">
        <f t="shared" si="147"/>
        <v>0.17220801364023866</v>
      </c>
      <c r="K3176" s="1">
        <v>2</v>
      </c>
      <c r="L3176" s="24">
        <v>2.7</v>
      </c>
      <c r="M3176" s="24">
        <v>24.75</v>
      </c>
      <c r="N3176" s="21">
        <f t="shared" si="148"/>
        <v>5.4987212276214795E-2</v>
      </c>
      <c r="P3176" s="1">
        <v>4</v>
      </c>
      <c r="Q3176" s="24">
        <v>3.3000000000000007</v>
      </c>
      <c r="R3176" s="24">
        <v>24.2</v>
      </c>
      <c r="S3176" s="21">
        <f t="shared" si="149"/>
        <v>3.154305200340999E-2</v>
      </c>
    </row>
    <row r="3177" spans="2:19" ht="11.4" customHeight="1" x14ac:dyDescent="0.2">
      <c r="B3177" s="24"/>
      <c r="C3177" s="14">
        <v>44525</v>
      </c>
      <c r="D3177" s="18" t="s">
        <v>3300</v>
      </c>
      <c r="E3177" s="18" t="s">
        <v>3288</v>
      </c>
      <c r="F3177" s="17">
        <v>10</v>
      </c>
      <c r="G3177" s="18" t="s">
        <v>23</v>
      </c>
      <c r="H3177" s="17">
        <v>22.74</v>
      </c>
      <c r="I3177" s="15">
        <v>32.299999999999997</v>
      </c>
      <c r="J3177" s="21">
        <f t="shared" si="147"/>
        <v>0.42040457343887422</v>
      </c>
      <c r="K3177" s="1">
        <v>2</v>
      </c>
      <c r="L3177" s="24">
        <v>3.2</v>
      </c>
      <c r="M3177" s="24">
        <v>29.069999999999997</v>
      </c>
      <c r="N3177" s="21">
        <f t="shared" si="148"/>
        <v>0.27836411609498674</v>
      </c>
      <c r="P3177" s="1">
        <v>4</v>
      </c>
      <c r="Q3177" s="24">
        <v>3.8760000000000012</v>
      </c>
      <c r="R3177" s="24">
        <v>28.423999999999996</v>
      </c>
      <c r="S3177" s="21">
        <f t="shared" si="149"/>
        <v>0.24995602462620922</v>
      </c>
    </row>
    <row r="3178" spans="2:19" ht="11.4" customHeight="1" x14ac:dyDescent="0.2">
      <c r="B3178" s="24"/>
      <c r="C3178" s="14">
        <v>18340</v>
      </c>
      <c r="D3178" s="18" t="s">
        <v>3301</v>
      </c>
      <c r="E3178" s="18" t="s">
        <v>3302</v>
      </c>
      <c r="F3178" s="18"/>
      <c r="G3178" s="18" t="s">
        <v>23</v>
      </c>
      <c r="H3178" s="17">
        <v>15.24</v>
      </c>
      <c r="I3178" s="15">
        <v>17.899999999999999</v>
      </c>
      <c r="J3178" s="21">
        <f t="shared" si="147"/>
        <v>0.17454068241469806</v>
      </c>
      <c r="K3178" s="1">
        <v>2</v>
      </c>
      <c r="L3178" s="24">
        <v>1.7</v>
      </c>
      <c r="M3178" s="24">
        <v>16.11</v>
      </c>
      <c r="N3178" s="21">
        <f t="shared" si="148"/>
        <v>5.7086614173228294E-2</v>
      </c>
      <c r="P3178" s="1">
        <v>4</v>
      </c>
      <c r="Q3178" s="24">
        <v>2.1479999999999997</v>
      </c>
      <c r="R3178" s="24">
        <v>15.751999999999999</v>
      </c>
      <c r="S3178" s="21">
        <f t="shared" si="149"/>
        <v>3.3595800524934299E-2</v>
      </c>
    </row>
    <row r="3179" spans="2:19" ht="11.4" customHeight="1" x14ac:dyDescent="0.2">
      <c r="B3179" s="24"/>
      <c r="C3179" s="14">
        <v>19693</v>
      </c>
      <c r="D3179" s="18" t="s">
        <v>3303</v>
      </c>
      <c r="E3179" s="18" t="s">
        <v>3302</v>
      </c>
      <c r="F3179" s="18"/>
      <c r="G3179" s="18" t="s">
        <v>23</v>
      </c>
      <c r="H3179" s="17">
        <v>15.4</v>
      </c>
      <c r="I3179" s="15">
        <v>17.899999999999999</v>
      </c>
      <c r="J3179" s="21">
        <f t="shared" si="147"/>
        <v>0.16233766233766223</v>
      </c>
      <c r="K3179" s="1">
        <v>2</v>
      </c>
      <c r="L3179" s="24">
        <v>1.7</v>
      </c>
      <c r="M3179" s="24">
        <v>16.11</v>
      </c>
      <c r="N3179" s="21">
        <f t="shared" si="148"/>
        <v>4.6103896103896043E-2</v>
      </c>
      <c r="P3179" s="1">
        <v>4</v>
      </c>
      <c r="Q3179" s="24">
        <v>2.1479999999999997</v>
      </c>
      <c r="R3179" s="24">
        <v>15.751999999999999</v>
      </c>
      <c r="S3179" s="21">
        <f t="shared" si="149"/>
        <v>2.285714285714276E-2</v>
      </c>
    </row>
    <row r="3180" spans="2:19" ht="11.4" customHeight="1" x14ac:dyDescent="0.2">
      <c r="B3180" s="24"/>
      <c r="C3180" s="14">
        <v>16971</v>
      </c>
      <c r="D3180" s="18" t="s">
        <v>3304</v>
      </c>
      <c r="E3180" s="18" t="s">
        <v>3302</v>
      </c>
      <c r="F3180" s="17">
        <v>18</v>
      </c>
      <c r="G3180" s="18" t="s">
        <v>23</v>
      </c>
      <c r="H3180" s="17">
        <v>15.24</v>
      </c>
      <c r="I3180" s="15">
        <v>17.899999999999999</v>
      </c>
      <c r="J3180" s="21">
        <f t="shared" si="147"/>
        <v>0.17454068241469806</v>
      </c>
      <c r="K3180" s="1">
        <v>2</v>
      </c>
      <c r="L3180" s="24">
        <v>1.7</v>
      </c>
      <c r="M3180" s="24">
        <v>16.11</v>
      </c>
      <c r="N3180" s="21">
        <f t="shared" si="148"/>
        <v>5.7086614173228294E-2</v>
      </c>
      <c r="P3180" s="1">
        <v>4</v>
      </c>
      <c r="Q3180" s="24">
        <v>2.1479999999999997</v>
      </c>
      <c r="R3180" s="24">
        <v>15.751999999999999</v>
      </c>
      <c r="S3180" s="21">
        <f t="shared" si="149"/>
        <v>3.3595800524934299E-2</v>
      </c>
    </row>
    <row r="3181" spans="2:19" ht="11.4" customHeight="1" x14ac:dyDescent="0.2">
      <c r="B3181" s="24"/>
      <c r="C3181" s="14">
        <v>19692</v>
      </c>
      <c r="D3181" s="18" t="s">
        <v>3305</v>
      </c>
      <c r="E3181" s="18" t="s">
        <v>3302</v>
      </c>
      <c r="F3181" s="18"/>
      <c r="G3181" s="18" t="s">
        <v>23</v>
      </c>
      <c r="H3181" s="17">
        <v>15.4</v>
      </c>
      <c r="I3181" s="15">
        <v>17.899999999999999</v>
      </c>
      <c r="J3181" s="21">
        <f t="shared" si="147"/>
        <v>0.16233766233766223</v>
      </c>
      <c r="K3181" s="1">
        <v>2</v>
      </c>
      <c r="L3181" s="24">
        <v>1.7</v>
      </c>
      <c r="M3181" s="24">
        <v>16.11</v>
      </c>
      <c r="N3181" s="21">
        <f t="shared" si="148"/>
        <v>4.6103896103896043E-2</v>
      </c>
      <c r="P3181" s="1">
        <v>4</v>
      </c>
      <c r="Q3181" s="24">
        <v>2.1479999999999997</v>
      </c>
      <c r="R3181" s="24">
        <v>15.751999999999999</v>
      </c>
      <c r="S3181" s="21">
        <f t="shared" si="149"/>
        <v>2.285714285714276E-2</v>
      </c>
    </row>
    <row r="3182" spans="2:19" ht="11.4" customHeight="1" x14ac:dyDescent="0.2">
      <c r="B3182" s="24"/>
      <c r="C3182" s="14">
        <v>13107</v>
      </c>
      <c r="D3182" s="18" t="s">
        <v>3306</v>
      </c>
      <c r="E3182" s="18" t="s">
        <v>3288</v>
      </c>
      <c r="F3182" s="18"/>
      <c r="G3182" s="18" t="s">
        <v>23</v>
      </c>
      <c r="H3182" s="17">
        <v>27.2</v>
      </c>
      <c r="I3182" s="15">
        <v>33.5</v>
      </c>
      <c r="J3182" s="21">
        <f t="shared" si="147"/>
        <v>0.23161764705882357</v>
      </c>
      <c r="K3182" s="1">
        <v>2</v>
      </c>
      <c r="L3182" s="24">
        <v>3.3</v>
      </c>
      <c r="M3182" s="24">
        <v>30.150000000000002</v>
      </c>
      <c r="N3182" s="21">
        <f t="shared" si="148"/>
        <v>0.10845588235294128</v>
      </c>
      <c r="P3182" s="1">
        <v>4</v>
      </c>
      <c r="Q3182" s="24">
        <v>4.0199999999999996</v>
      </c>
      <c r="R3182" s="24">
        <v>29.48</v>
      </c>
      <c r="S3182" s="21">
        <f t="shared" si="149"/>
        <v>8.3823529411764755E-2</v>
      </c>
    </row>
    <row r="3183" spans="2:19" ht="11.4" customHeight="1" x14ac:dyDescent="0.2">
      <c r="B3183" s="24"/>
      <c r="C3183" s="14">
        <v>13108</v>
      </c>
      <c r="D3183" s="18" t="s">
        <v>3307</v>
      </c>
      <c r="E3183" s="18" t="s">
        <v>3288</v>
      </c>
      <c r="F3183" s="18"/>
      <c r="G3183" s="18" t="s">
        <v>23</v>
      </c>
      <c r="H3183" s="17">
        <v>27.2</v>
      </c>
      <c r="I3183" s="15">
        <v>33.5</v>
      </c>
      <c r="J3183" s="21">
        <f t="shared" si="147"/>
        <v>0.23161764705882357</v>
      </c>
      <c r="K3183" s="1">
        <v>2</v>
      </c>
      <c r="L3183" s="24">
        <v>3.3</v>
      </c>
      <c r="M3183" s="24">
        <v>30.150000000000002</v>
      </c>
      <c r="N3183" s="21">
        <f t="shared" si="148"/>
        <v>0.10845588235294128</v>
      </c>
      <c r="P3183" s="1">
        <v>4</v>
      </c>
      <c r="Q3183" s="24">
        <v>4.0199999999999996</v>
      </c>
      <c r="R3183" s="24">
        <v>29.48</v>
      </c>
      <c r="S3183" s="21">
        <f t="shared" si="149"/>
        <v>8.3823529411764755E-2</v>
      </c>
    </row>
    <row r="3184" spans="2:19" ht="11.4" customHeight="1" x14ac:dyDescent="0.2">
      <c r="B3184" s="24"/>
      <c r="C3184" s="14">
        <v>13109</v>
      </c>
      <c r="D3184" s="18" t="s">
        <v>3308</v>
      </c>
      <c r="E3184" s="18" t="s">
        <v>3288</v>
      </c>
      <c r="F3184" s="18"/>
      <c r="G3184" s="18" t="s">
        <v>23</v>
      </c>
      <c r="H3184" s="17">
        <v>27.2</v>
      </c>
      <c r="I3184" s="15">
        <v>33.5</v>
      </c>
      <c r="J3184" s="21">
        <f t="shared" si="147"/>
        <v>0.23161764705882357</v>
      </c>
      <c r="K3184" s="1">
        <v>2</v>
      </c>
      <c r="L3184" s="24">
        <v>3.3</v>
      </c>
      <c r="M3184" s="24">
        <v>30.150000000000002</v>
      </c>
      <c r="N3184" s="21">
        <f t="shared" si="148"/>
        <v>0.10845588235294128</v>
      </c>
      <c r="P3184" s="1">
        <v>4</v>
      </c>
      <c r="Q3184" s="24">
        <v>4.0199999999999996</v>
      </c>
      <c r="R3184" s="24">
        <v>29.48</v>
      </c>
      <c r="S3184" s="21">
        <f t="shared" si="149"/>
        <v>8.3823529411764755E-2</v>
      </c>
    </row>
    <row r="3185" spans="2:19" ht="11.4" customHeight="1" x14ac:dyDescent="0.2">
      <c r="B3185" s="24"/>
      <c r="C3185" s="14">
        <v>39624</v>
      </c>
      <c r="D3185" s="18" t="s">
        <v>3309</v>
      </c>
      <c r="E3185" s="18" t="s">
        <v>3288</v>
      </c>
      <c r="F3185" s="18"/>
      <c r="G3185" s="18" t="s">
        <v>23</v>
      </c>
      <c r="H3185" s="17">
        <v>46.6</v>
      </c>
      <c r="I3185" s="15">
        <v>53.5</v>
      </c>
      <c r="J3185" s="21">
        <f t="shared" si="147"/>
        <v>0.14806866952789696</v>
      </c>
      <c r="K3185" s="1">
        <v>2</v>
      </c>
      <c r="L3185" s="24">
        <v>5.3</v>
      </c>
      <c r="M3185" s="24">
        <v>48.15</v>
      </c>
      <c r="N3185" s="21">
        <f t="shared" si="148"/>
        <v>3.3261802575107233E-2</v>
      </c>
      <c r="P3185" s="1">
        <v>4</v>
      </c>
      <c r="Q3185" s="24">
        <v>6.4200000000000017</v>
      </c>
      <c r="R3185" s="24">
        <v>47.08</v>
      </c>
      <c r="S3185" s="21">
        <f t="shared" si="149"/>
        <v>1.0300429184549289E-2</v>
      </c>
    </row>
    <row r="3186" spans="2:19" ht="11.4" customHeight="1" x14ac:dyDescent="0.2">
      <c r="B3186" s="24"/>
      <c r="C3186" s="14">
        <v>39625</v>
      </c>
      <c r="D3186" s="18" t="s">
        <v>3310</v>
      </c>
      <c r="E3186" s="18" t="s">
        <v>3288</v>
      </c>
      <c r="F3186" s="18"/>
      <c r="G3186" s="18" t="s">
        <v>23</v>
      </c>
      <c r="H3186" s="17">
        <v>46.6</v>
      </c>
      <c r="I3186" s="15">
        <v>53.5</v>
      </c>
      <c r="J3186" s="21">
        <f t="shared" si="147"/>
        <v>0.14806866952789696</v>
      </c>
      <c r="K3186" s="1">
        <v>2</v>
      </c>
      <c r="L3186" s="24">
        <v>5.3</v>
      </c>
      <c r="M3186" s="24">
        <v>48.15</v>
      </c>
      <c r="N3186" s="21">
        <f t="shared" si="148"/>
        <v>3.3261802575107233E-2</v>
      </c>
      <c r="P3186" s="1">
        <v>4</v>
      </c>
      <c r="Q3186" s="24">
        <v>6.4200000000000017</v>
      </c>
      <c r="R3186" s="24">
        <v>47.08</v>
      </c>
      <c r="S3186" s="21">
        <f t="shared" si="149"/>
        <v>1.0300429184549289E-2</v>
      </c>
    </row>
    <row r="3187" spans="2:19" ht="11.4" customHeight="1" x14ac:dyDescent="0.2">
      <c r="B3187" s="24"/>
      <c r="C3187" s="14">
        <v>39626</v>
      </c>
      <c r="D3187" s="18" t="s">
        <v>3311</v>
      </c>
      <c r="E3187" s="18" t="s">
        <v>3288</v>
      </c>
      <c r="F3187" s="18"/>
      <c r="G3187" s="18" t="s">
        <v>23</v>
      </c>
      <c r="H3187" s="17">
        <v>46.6</v>
      </c>
      <c r="I3187" s="15">
        <v>53.5</v>
      </c>
      <c r="J3187" s="21">
        <f t="shared" si="147"/>
        <v>0.14806866952789696</v>
      </c>
      <c r="K3187" s="1">
        <v>2</v>
      </c>
      <c r="L3187" s="24">
        <v>5.3</v>
      </c>
      <c r="M3187" s="24">
        <v>48.15</v>
      </c>
      <c r="N3187" s="21">
        <f t="shared" si="148"/>
        <v>3.3261802575107233E-2</v>
      </c>
      <c r="P3187" s="1">
        <v>4</v>
      </c>
      <c r="Q3187" s="24">
        <v>6.4200000000000017</v>
      </c>
      <c r="R3187" s="24">
        <v>47.08</v>
      </c>
      <c r="S3187" s="21">
        <f t="shared" si="149"/>
        <v>1.0300429184549289E-2</v>
      </c>
    </row>
    <row r="3188" spans="2:19" ht="11.4" customHeight="1" x14ac:dyDescent="0.2">
      <c r="B3188" s="24"/>
      <c r="C3188" s="14">
        <v>36967</v>
      </c>
      <c r="D3188" s="18" t="s">
        <v>3312</v>
      </c>
      <c r="E3188" s="18" t="s">
        <v>3313</v>
      </c>
      <c r="F3188" s="17">
        <v>24</v>
      </c>
      <c r="G3188" s="18" t="s">
        <v>23</v>
      </c>
      <c r="H3188" s="17">
        <v>159.47999999999999</v>
      </c>
      <c r="I3188" s="15">
        <v>176.9</v>
      </c>
      <c r="J3188" s="21">
        <f t="shared" si="147"/>
        <v>0.10922999749184861</v>
      </c>
      <c r="K3188" s="1">
        <v>2</v>
      </c>
      <c r="L3188" s="24">
        <v>17.600000000000001</v>
      </c>
      <c r="M3188" s="24">
        <v>159.21</v>
      </c>
      <c r="N3188" s="21">
        <f t="shared" si="148"/>
        <v>-1.6930022573362292E-3</v>
      </c>
      <c r="P3188" s="1">
        <v>4</v>
      </c>
      <c r="Q3188" s="24">
        <v>21.228000000000009</v>
      </c>
      <c r="R3188" s="24">
        <v>155.672</v>
      </c>
      <c r="S3188" s="21">
        <f t="shared" si="149"/>
        <v>-2.3877602207173269E-2</v>
      </c>
    </row>
    <row r="3189" spans="2:19" ht="11.4" customHeight="1" x14ac:dyDescent="0.2">
      <c r="B3189" s="24"/>
      <c r="C3189" s="14">
        <v>36968</v>
      </c>
      <c r="D3189" s="18" t="s">
        <v>3314</v>
      </c>
      <c r="E3189" s="18" t="s">
        <v>3313</v>
      </c>
      <c r="F3189" s="17">
        <v>24</v>
      </c>
      <c r="G3189" s="18" t="s">
        <v>23</v>
      </c>
      <c r="H3189" s="17">
        <v>159.47999999999999</v>
      </c>
      <c r="I3189" s="15">
        <v>176.9</v>
      </c>
      <c r="J3189" s="21">
        <f t="shared" si="147"/>
        <v>0.10922999749184861</v>
      </c>
      <c r="K3189" s="1">
        <v>2</v>
      </c>
      <c r="L3189" s="24">
        <v>17.600000000000001</v>
      </c>
      <c r="M3189" s="24">
        <v>159.21</v>
      </c>
      <c r="N3189" s="21">
        <f t="shared" si="148"/>
        <v>-1.6930022573362292E-3</v>
      </c>
      <c r="P3189" s="1">
        <v>4</v>
      </c>
      <c r="Q3189" s="24">
        <v>21.228000000000009</v>
      </c>
      <c r="R3189" s="24">
        <v>155.672</v>
      </c>
      <c r="S3189" s="21">
        <f t="shared" si="149"/>
        <v>-2.3877602207173269E-2</v>
      </c>
    </row>
    <row r="3190" spans="2:19" ht="11.4" customHeight="1" x14ac:dyDescent="0.2">
      <c r="B3190" s="24"/>
      <c r="C3190" s="14">
        <v>36963</v>
      </c>
      <c r="D3190" s="18" t="s">
        <v>3315</v>
      </c>
      <c r="E3190" s="18" t="s">
        <v>3313</v>
      </c>
      <c r="F3190" s="17">
        <v>24</v>
      </c>
      <c r="G3190" s="18" t="s">
        <v>23</v>
      </c>
      <c r="H3190" s="17">
        <v>122.16</v>
      </c>
      <c r="I3190" s="15">
        <v>135.5</v>
      </c>
      <c r="J3190" s="21">
        <f t="shared" si="147"/>
        <v>0.10920104780615589</v>
      </c>
      <c r="K3190" s="1">
        <v>2</v>
      </c>
      <c r="L3190" s="24">
        <v>13.5</v>
      </c>
      <c r="M3190" s="24">
        <v>121.95</v>
      </c>
      <c r="N3190" s="21">
        <f t="shared" si="148"/>
        <v>-1.7190569744596738E-3</v>
      </c>
      <c r="P3190" s="1">
        <v>4</v>
      </c>
      <c r="Q3190" s="24">
        <v>16.260000000000005</v>
      </c>
      <c r="R3190" s="24">
        <v>119.24</v>
      </c>
      <c r="S3190" s="21">
        <f t="shared" si="149"/>
        <v>-2.3903077930582856E-2</v>
      </c>
    </row>
    <row r="3191" spans="2:19" ht="11.4" customHeight="1" x14ac:dyDescent="0.2">
      <c r="B3191" s="24"/>
      <c r="C3191" s="14">
        <v>36964</v>
      </c>
      <c r="D3191" s="18" t="s">
        <v>3316</v>
      </c>
      <c r="E3191" s="18" t="s">
        <v>3313</v>
      </c>
      <c r="F3191" s="17">
        <v>24</v>
      </c>
      <c r="G3191" s="18" t="s">
        <v>23</v>
      </c>
      <c r="H3191" s="17">
        <v>122.16</v>
      </c>
      <c r="I3191" s="15">
        <v>135.5</v>
      </c>
      <c r="J3191" s="21">
        <f t="shared" si="147"/>
        <v>0.10920104780615589</v>
      </c>
      <c r="K3191" s="1">
        <v>2</v>
      </c>
      <c r="L3191" s="24">
        <v>13.5</v>
      </c>
      <c r="M3191" s="24">
        <v>121.95</v>
      </c>
      <c r="N3191" s="21">
        <f t="shared" si="148"/>
        <v>-1.7190569744596738E-3</v>
      </c>
      <c r="P3191" s="1">
        <v>4</v>
      </c>
      <c r="Q3191" s="24">
        <v>16.260000000000005</v>
      </c>
      <c r="R3191" s="24">
        <v>119.24</v>
      </c>
      <c r="S3191" s="21">
        <f t="shared" si="149"/>
        <v>-2.3903077930582856E-2</v>
      </c>
    </row>
    <row r="3192" spans="2:19" ht="11.4" customHeight="1" x14ac:dyDescent="0.2">
      <c r="B3192" s="24"/>
      <c r="C3192" s="14">
        <v>36965</v>
      </c>
      <c r="D3192" s="18" t="s">
        <v>3317</v>
      </c>
      <c r="E3192" s="18" t="s">
        <v>3313</v>
      </c>
      <c r="F3192" s="17">
        <v>24</v>
      </c>
      <c r="G3192" s="18" t="s">
        <v>23</v>
      </c>
      <c r="H3192" s="17">
        <v>122.16</v>
      </c>
      <c r="I3192" s="15">
        <v>135.5</v>
      </c>
      <c r="J3192" s="21">
        <f t="shared" si="147"/>
        <v>0.10920104780615589</v>
      </c>
      <c r="K3192" s="1">
        <v>2</v>
      </c>
      <c r="L3192" s="24">
        <v>13.5</v>
      </c>
      <c r="M3192" s="24">
        <v>121.95</v>
      </c>
      <c r="N3192" s="21">
        <f t="shared" si="148"/>
        <v>-1.7190569744596738E-3</v>
      </c>
      <c r="P3192" s="1">
        <v>4</v>
      </c>
      <c r="Q3192" s="24">
        <v>16.260000000000005</v>
      </c>
      <c r="R3192" s="24">
        <v>119.24</v>
      </c>
      <c r="S3192" s="21">
        <f t="shared" si="149"/>
        <v>-2.3903077930582856E-2</v>
      </c>
    </row>
    <row r="3193" spans="2:19" ht="11.4" customHeight="1" x14ac:dyDescent="0.2">
      <c r="B3193" s="24"/>
      <c r="C3193" s="14">
        <v>36960</v>
      </c>
      <c r="D3193" s="18" t="s">
        <v>3318</v>
      </c>
      <c r="E3193" s="18" t="s">
        <v>3313</v>
      </c>
      <c r="F3193" s="17">
        <v>24</v>
      </c>
      <c r="G3193" s="18" t="s">
        <v>23</v>
      </c>
      <c r="H3193" s="17">
        <v>111.18</v>
      </c>
      <c r="I3193" s="15">
        <v>123.5</v>
      </c>
      <c r="J3193" s="21">
        <f t="shared" si="147"/>
        <v>0.11081129699586249</v>
      </c>
      <c r="K3193" s="1">
        <v>2</v>
      </c>
      <c r="L3193" s="24">
        <v>12.3</v>
      </c>
      <c r="M3193" s="24">
        <v>111.15</v>
      </c>
      <c r="N3193" s="21">
        <f t="shared" si="148"/>
        <v>-2.6983270372370151E-4</v>
      </c>
      <c r="P3193" s="1">
        <v>4</v>
      </c>
      <c r="Q3193" s="24">
        <v>14.819999999999993</v>
      </c>
      <c r="R3193" s="24">
        <v>108.68</v>
      </c>
      <c r="S3193" s="21">
        <f t="shared" si="149"/>
        <v>-2.2486058643640942E-2</v>
      </c>
    </row>
    <row r="3194" spans="2:19" ht="11.4" customHeight="1" x14ac:dyDescent="0.2">
      <c r="B3194" s="24"/>
      <c r="C3194" s="14">
        <v>36966</v>
      </c>
      <c r="D3194" s="18" t="s">
        <v>3319</v>
      </c>
      <c r="E3194" s="18" t="s">
        <v>3313</v>
      </c>
      <c r="F3194" s="17">
        <v>24</v>
      </c>
      <c r="G3194" s="18" t="s">
        <v>23</v>
      </c>
      <c r="H3194" s="17">
        <v>153</v>
      </c>
      <c r="I3194" s="15">
        <v>169.9</v>
      </c>
      <c r="J3194" s="21">
        <f t="shared" si="147"/>
        <v>0.11045751633986932</v>
      </c>
      <c r="K3194" s="1">
        <v>2</v>
      </c>
      <c r="L3194" s="24">
        <v>16.899999999999999</v>
      </c>
      <c r="M3194" s="24">
        <v>152.91</v>
      </c>
      <c r="N3194" s="21">
        <f t="shared" si="148"/>
        <v>-5.8823529411766934E-4</v>
      </c>
      <c r="P3194" s="1">
        <v>4</v>
      </c>
      <c r="Q3194" s="24">
        <v>20.388000000000005</v>
      </c>
      <c r="R3194" s="24">
        <v>149.512</v>
      </c>
      <c r="S3194" s="21">
        <f t="shared" si="149"/>
        <v>-2.2797385620915031E-2</v>
      </c>
    </row>
    <row r="3195" spans="2:19" ht="11.4" customHeight="1" x14ac:dyDescent="0.2">
      <c r="B3195" s="24"/>
      <c r="C3195" s="14">
        <v>36961</v>
      </c>
      <c r="D3195" s="18" t="s">
        <v>3320</v>
      </c>
      <c r="E3195" s="18" t="s">
        <v>3313</v>
      </c>
      <c r="F3195" s="17">
        <v>24</v>
      </c>
      <c r="G3195" s="18" t="s">
        <v>23</v>
      </c>
      <c r="H3195" s="17">
        <v>111.18</v>
      </c>
      <c r="I3195" s="15">
        <v>123.5</v>
      </c>
      <c r="J3195" s="21">
        <f t="shared" si="147"/>
        <v>0.11081129699586249</v>
      </c>
      <c r="K3195" s="1">
        <v>2</v>
      </c>
      <c r="L3195" s="24">
        <v>12.3</v>
      </c>
      <c r="M3195" s="24">
        <v>111.15</v>
      </c>
      <c r="N3195" s="21">
        <f t="shared" si="148"/>
        <v>-2.6983270372370151E-4</v>
      </c>
      <c r="P3195" s="1">
        <v>4</v>
      </c>
      <c r="Q3195" s="24">
        <v>14.819999999999993</v>
      </c>
      <c r="R3195" s="24">
        <v>108.68</v>
      </c>
      <c r="S3195" s="21">
        <f t="shared" si="149"/>
        <v>-2.2486058643640942E-2</v>
      </c>
    </row>
    <row r="3196" spans="2:19" ht="11.4" customHeight="1" x14ac:dyDescent="0.2">
      <c r="B3196" s="24"/>
      <c r="C3196" s="14">
        <v>36962</v>
      </c>
      <c r="D3196" s="18" t="s">
        <v>3321</v>
      </c>
      <c r="E3196" s="18" t="s">
        <v>3313</v>
      </c>
      <c r="F3196" s="17">
        <v>24</v>
      </c>
      <c r="G3196" s="18" t="s">
        <v>23</v>
      </c>
      <c r="H3196" s="17">
        <v>111.18</v>
      </c>
      <c r="I3196" s="15">
        <v>123.5</v>
      </c>
      <c r="J3196" s="21">
        <f t="shared" si="147"/>
        <v>0.11081129699586249</v>
      </c>
      <c r="K3196" s="1">
        <v>2</v>
      </c>
      <c r="L3196" s="24">
        <v>12.3</v>
      </c>
      <c r="M3196" s="24">
        <v>111.15</v>
      </c>
      <c r="N3196" s="21">
        <f t="shared" si="148"/>
        <v>-2.6983270372370151E-4</v>
      </c>
      <c r="P3196" s="1">
        <v>4</v>
      </c>
      <c r="Q3196" s="24">
        <v>14.819999999999993</v>
      </c>
      <c r="R3196" s="24">
        <v>108.68</v>
      </c>
      <c r="S3196" s="21">
        <f t="shared" si="149"/>
        <v>-2.2486058643640942E-2</v>
      </c>
    </row>
    <row r="3197" spans="2:19" ht="11.4" customHeight="1" x14ac:dyDescent="0.2">
      <c r="B3197" s="24"/>
      <c r="C3197" s="14">
        <v>36959</v>
      </c>
      <c r="D3197" s="18" t="s">
        <v>3322</v>
      </c>
      <c r="E3197" s="18" t="s">
        <v>3313</v>
      </c>
      <c r="F3197" s="17">
        <v>24</v>
      </c>
      <c r="G3197" s="18" t="s">
        <v>23</v>
      </c>
      <c r="H3197" s="17">
        <v>111.18</v>
      </c>
      <c r="I3197" s="15">
        <v>123.5</v>
      </c>
      <c r="J3197" s="21">
        <f t="shared" si="147"/>
        <v>0.11081129699586249</v>
      </c>
      <c r="K3197" s="1">
        <v>2</v>
      </c>
      <c r="L3197" s="24">
        <v>12.3</v>
      </c>
      <c r="M3197" s="24">
        <v>111.15</v>
      </c>
      <c r="N3197" s="21">
        <f t="shared" si="148"/>
        <v>-2.6983270372370151E-4</v>
      </c>
      <c r="P3197" s="1">
        <v>4</v>
      </c>
      <c r="Q3197" s="24">
        <v>14.819999999999993</v>
      </c>
      <c r="R3197" s="24">
        <v>108.68</v>
      </c>
      <c r="S3197" s="21">
        <f t="shared" si="149"/>
        <v>-2.2486058643640942E-2</v>
      </c>
    </row>
    <row r="3198" spans="2:19" ht="11.4" customHeight="1" x14ac:dyDescent="0.2">
      <c r="B3198" s="24"/>
      <c r="C3198" s="14">
        <v>37150</v>
      </c>
      <c r="D3198" s="18" t="s">
        <v>3323</v>
      </c>
      <c r="E3198" s="18" t="s">
        <v>3324</v>
      </c>
      <c r="F3198" s="17">
        <v>65</v>
      </c>
      <c r="G3198" s="18" t="s">
        <v>23</v>
      </c>
      <c r="H3198" s="17">
        <v>18.899999999999999</v>
      </c>
      <c r="I3198" s="15">
        <v>22.8</v>
      </c>
      <c r="J3198" s="21">
        <f t="shared" si="147"/>
        <v>0.20634920634920648</v>
      </c>
      <c r="K3198" s="1">
        <v>2</v>
      </c>
      <c r="L3198" s="24">
        <v>2.2000000000000002</v>
      </c>
      <c r="M3198" s="24">
        <v>20.52</v>
      </c>
      <c r="N3198" s="21">
        <f t="shared" si="148"/>
        <v>8.5714285714285771E-2</v>
      </c>
      <c r="P3198" s="1">
        <v>4</v>
      </c>
      <c r="Q3198" s="24">
        <v>2.7360000000000007</v>
      </c>
      <c r="R3198" s="24">
        <v>20.064</v>
      </c>
      <c r="S3198" s="21">
        <f t="shared" si="149"/>
        <v>6.158730158730167E-2</v>
      </c>
    </row>
    <row r="3199" spans="2:19" ht="11.4" customHeight="1" x14ac:dyDescent="0.2">
      <c r="B3199" s="24"/>
      <c r="C3199" s="14">
        <v>37265</v>
      </c>
      <c r="D3199" s="18" t="s">
        <v>3325</v>
      </c>
      <c r="E3199" s="18" t="s">
        <v>3326</v>
      </c>
      <c r="F3199" s="17">
        <v>24</v>
      </c>
      <c r="G3199" s="18" t="s">
        <v>23</v>
      </c>
      <c r="H3199" s="17">
        <v>11.7</v>
      </c>
      <c r="I3199" s="15">
        <v>12.9</v>
      </c>
      <c r="J3199" s="21">
        <f t="shared" si="147"/>
        <v>0.10256410256410266</v>
      </c>
      <c r="K3199" s="1">
        <v>2</v>
      </c>
      <c r="L3199" s="24">
        <v>1.2</v>
      </c>
      <c r="M3199" s="24">
        <v>11.610000000000001</v>
      </c>
      <c r="N3199" s="21">
        <f t="shared" si="148"/>
        <v>-7.6923076923075288E-3</v>
      </c>
      <c r="P3199" s="1">
        <v>4</v>
      </c>
      <c r="Q3199" s="24">
        <v>1.548</v>
      </c>
      <c r="R3199" s="24">
        <v>11.352</v>
      </c>
      <c r="S3199" s="21">
        <f t="shared" si="149"/>
        <v>-2.9743589743589659E-2</v>
      </c>
    </row>
    <row r="3200" spans="2:19" ht="11.4" customHeight="1" x14ac:dyDescent="0.2">
      <c r="B3200" s="24"/>
      <c r="C3200" s="14">
        <v>37258</v>
      </c>
      <c r="D3200" s="18" t="s">
        <v>3327</v>
      </c>
      <c r="E3200" s="18" t="s">
        <v>3326</v>
      </c>
      <c r="F3200" s="17">
        <v>15</v>
      </c>
      <c r="G3200" s="18" t="s">
        <v>23</v>
      </c>
      <c r="H3200" s="17">
        <v>16.739999999999998</v>
      </c>
      <c r="I3200" s="15">
        <v>20.9</v>
      </c>
      <c r="J3200" s="21">
        <f t="shared" si="147"/>
        <v>0.24850657108721627</v>
      </c>
      <c r="K3200" s="1">
        <v>2</v>
      </c>
      <c r="L3200" s="24">
        <v>2</v>
      </c>
      <c r="M3200" s="24">
        <v>18.809999999999999</v>
      </c>
      <c r="N3200" s="21">
        <f t="shared" si="148"/>
        <v>0.12365591397849465</v>
      </c>
      <c r="P3200" s="1">
        <v>4</v>
      </c>
      <c r="Q3200" s="24">
        <v>2.5079999999999991</v>
      </c>
      <c r="R3200" s="24">
        <v>18.391999999999999</v>
      </c>
      <c r="S3200" s="21">
        <f t="shared" si="149"/>
        <v>9.8685782556750368E-2</v>
      </c>
    </row>
    <row r="3201" spans="2:19" ht="11.4" customHeight="1" x14ac:dyDescent="0.2">
      <c r="B3201" s="24"/>
      <c r="C3201" s="14">
        <v>37289</v>
      </c>
      <c r="D3201" s="18" t="s">
        <v>3328</v>
      </c>
      <c r="E3201" s="18" t="s">
        <v>3329</v>
      </c>
      <c r="F3201" s="17">
        <v>24</v>
      </c>
      <c r="G3201" s="18" t="s">
        <v>23</v>
      </c>
      <c r="H3201" s="18"/>
      <c r="I3201" s="15">
        <v>34.9</v>
      </c>
      <c r="J3201" s="21" t="e">
        <f t="shared" si="147"/>
        <v>#DIV/0!</v>
      </c>
      <c r="K3201" s="1">
        <v>2</v>
      </c>
      <c r="L3201" s="24">
        <v>3.4</v>
      </c>
      <c r="M3201" s="24">
        <v>31.41</v>
      </c>
      <c r="N3201" s="21" t="e">
        <f t="shared" si="148"/>
        <v>#DIV/0!</v>
      </c>
      <c r="P3201" s="1">
        <v>4</v>
      </c>
      <c r="Q3201" s="24">
        <v>4.1879999999999988</v>
      </c>
      <c r="R3201" s="24">
        <v>30.712</v>
      </c>
      <c r="S3201" s="21" t="e">
        <f t="shared" si="149"/>
        <v>#DIV/0!</v>
      </c>
    </row>
    <row r="3202" spans="2:19" ht="11.4" customHeight="1" x14ac:dyDescent="0.2">
      <c r="B3202" s="24"/>
      <c r="C3202" s="14">
        <v>47794</v>
      </c>
      <c r="D3202" s="18" t="s">
        <v>3330</v>
      </c>
      <c r="E3202" s="18" t="s">
        <v>3329</v>
      </c>
      <c r="F3202" s="17">
        <v>200</v>
      </c>
      <c r="G3202" s="18" t="s">
        <v>23</v>
      </c>
      <c r="H3202" s="18"/>
      <c r="I3202" s="15">
        <v>59.9</v>
      </c>
      <c r="J3202" s="21" t="e">
        <f t="shared" si="147"/>
        <v>#DIV/0!</v>
      </c>
      <c r="K3202" s="1">
        <v>2</v>
      </c>
      <c r="L3202" s="24">
        <v>5.9</v>
      </c>
      <c r="M3202" s="24">
        <v>53.91</v>
      </c>
      <c r="N3202" s="21" t="e">
        <f t="shared" si="148"/>
        <v>#DIV/0!</v>
      </c>
      <c r="P3202" s="1">
        <v>4</v>
      </c>
      <c r="Q3202" s="24">
        <v>7.1880000000000024</v>
      </c>
      <c r="R3202" s="24">
        <v>52.711999999999996</v>
      </c>
      <c r="S3202" s="21" t="e">
        <f t="shared" si="149"/>
        <v>#DIV/0!</v>
      </c>
    </row>
    <row r="3203" spans="2:19" ht="11.4" customHeight="1" x14ac:dyDescent="0.2">
      <c r="B3203" s="24"/>
      <c r="C3203" s="14">
        <v>47796</v>
      </c>
      <c r="D3203" s="18" t="s">
        <v>3331</v>
      </c>
      <c r="E3203" s="18" t="s">
        <v>3329</v>
      </c>
      <c r="F3203" s="17">
        <v>200</v>
      </c>
      <c r="G3203" s="18" t="s">
        <v>23</v>
      </c>
      <c r="H3203" s="18"/>
      <c r="I3203" s="15">
        <v>59.9</v>
      </c>
      <c r="J3203" s="21" t="e">
        <f t="shared" ref="J3203:J3266" si="150">(I3203-H3203)/H3203</f>
        <v>#DIV/0!</v>
      </c>
      <c r="K3203" s="1">
        <v>2</v>
      </c>
      <c r="L3203" s="24">
        <v>5.9</v>
      </c>
      <c r="M3203" s="24">
        <v>53.91</v>
      </c>
      <c r="N3203" s="21" t="e">
        <f t="shared" ref="N3203:N3266" si="151">(M3203-H3203)/H3203</f>
        <v>#DIV/0!</v>
      </c>
      <c r="P3203" s="1">
        <v>4</v>
      </c>
      <c r="Q3203" s="24">
        <v>7.1880000000000024</v>
      </c>
      <c r="R3203" s="24">
        <v>52.711999999999996</v>
      </c>
      <c r="S3203" s="21" t="e">
        <f t="shared" ref="S3203:S3266" si="152">(R3203-H3203)/H3203</f>
        <v>#DIV/0!</v>
      </c>
    </row>
    <row r="3204" spans="2:19" ht="11.4" customHeight="1" x14ac:dyDescent="0.2">
      <c r="B3204" s="24"/>
      <c r="C3204" s="14">
        <v>47795</v>
      </c>
      <c r="D3204" s="18" t="s">
        <v>3332</v>
      </c>
      <c r="E3204" s="18" t="s">
        <v>3329</v>
      </c>
      <c r="F3204" s="17">
        <v>200</v>
      </c>
      <c r="G3204" s="18" t="s">
        <v>23</v>
      </c>
      <c r="H3204" s="18"/>
      <c r="I3204" s="15">
        <v>59.9</v>
      </c>
      <c r="J3204" s="21" t="e">
        <f t="shared" si="150"/>
        <v>#DIV/0!</v>
      </c>
      <c r="K3204" s="1">
        <v>2</v>
      </c>
      <c r="L3204" s="24">
        <v>5.9</v>
      </c>
      <c r="M3204" s="24">
        <v>53.91</v>
      </c>
      <c r="N3204" s="21" t="e">
        <f t="shared" si="151"/>
        <v>#DIV/0!</v>
      </c>
      <c r="P3204" s="1">
        <v>4</v>
      </c>
      <c r="Q3204" s="24">
        <v>7.1880000000000024</v>
      </c>
      <c r="R3204" s="24">
        <v>52.711999999999996</v>
      </c>
      <c r="S3204" s="21" t="e">
        <f t="shared" si="152"/>
        <v>#DIV/0!</v>
      </c>
    </row>
    <row r="3205" spans="2:19" ht="11.4" customHeight="1" x14ac:dyDescent="0.2">
      <c r="B3205" s="24"/>
      <c r="C3205" s="14">
        <v>47799</v>
      </c>
      <c r="D3205" s="18" t="s">
        <v>3333</v>
      </c>
      <c r="E3205" s="18" t="s">
        <v>3329</v>
      </c>
      <c r="F3205" s="17">
        <v>200</v>
      </c>
      <c r="G3205" s="18" t="s">
        <v>23</v>
      </c>
      <c r="H3205" s="18"/>
      <c r="I3205" s="15">
        <v>66.900000000000006</v>
      </c>
      <c r="J3205" s="21" t="e">
        <f t="shared" si="150"/>
        <v>#DIV/0!</v>
      </c>
      <c r="K3205" s="1">
        <v>2</v>
      </c>
      <c r="L3205" s="24">
        <v>6.6</v>
      </c>
      <c r="M3205" s="24">
        <v>60.210000000000008</v>
      </c>
      <c r="N3205" s="21" t="e">
        <f t="shared" si="151"/>
        <v>#DIV/0!</v>
      </c>
      <c r="P3205" s="1">
        <v>4</v>
      </c>
      <c r="Q3205" s="24">
        <v>8.0279999999999987</v>
      </c>
      <c r="R3205" s="24">
        <v>58.872000000000007</v>
      </c>
      <c r="S3205" s="21" t="e">
        <f t="shared" si="152"/>
        <v>#DIV/0!</v>
      </c>
    </row>
    <row r="3206" spans="2:19" ht="11.4" customHeight="1" x14ac:dyDescent="0.2">
      <c r="B3206" s="24"/>
      <c r="C3206" s="14">
        <v>37290</v>
      </c>
      <c r="D3206" s="18" t="s">
        <v>3334</v>
      </c>
      <c r="E3206" s="18" t="s">
        <v>3329</v>
      </c>
      <c r="F3206" s="17">
        <v>24</v>
      </c>
      <c r="G3206" s="18" t="s">
        <v>23</v>
      </c>
      <c r="H3206" s="18"/>
      <c r="I3206" s="15">
        <v>34.9</v>
      </c>
      <c r="J3206" s="21" t="e">
        <f t="shared" si="150"/>
        <v>#DIV/0!</v>
      </c>
      <c r="K3206" s="1">
        <v>2</v>
      </c>
      <c r="L3206" s="24">
        <v>3.4</v>
      </c>
      <c r="M3206" s="24">
        <v>31.41</v>
      </c>
      <c r="N3206" s="21" t="e">
        <f t="shared" si="151"/>
        <v>#DIV/0!</v>
      </c>
      <c r="P3206" s="1">
        <v>4</v>
      </c>
      <c r="Q3206" s="24">
        <v>4.1879999999999988</v>
      </c>
      <c r="R3206" s="24">
        <v>30.712</v>
      </c>
      <c r="S3206" s="21" t="e">
        <f t="shared" si="152"/>
        <v>#DIV/0!</v>
      </c>
    </row>
    <row r="3207" spans="2:19" ht="11.4" customHeight="1" x14ac:dyDescent="0.2">
      <c r="B3207" s="24"/>
      <c r="C3207" s="14">
        <v>29372</v>
      </c>
      <c r="D3207" s="18" t="s">
        <v>3335</v>
      </c>
      <c r="E3207" s="18" t="s">
        <v>3326</v>
      </c>
      <c r="F3207" s="17">
        <v>15</v>
      </c>
      <c r="G3207" s="18" t="s">
        <v>23</v>
      </c>
      <c r="H3207" s="17">
        <v>16.739999999999998</v>
      </c>
      <c r="I3207" s="15">
        <v>20.9</v>
      </c>
      <c r="J3207" s="21">
        <f t="shared" si="150"/>
        <v>0.24850657108721627</v>
      </c>
      <c r="K3207" s="1">
        <v>2</v>
      </c>
      <c r="L3207" s="24">
        <v>2</v>
      </c>
      <c r="M3207" s="24">
        <v>18.809999999999999</v>
      </c>
      <c r="N3207" s="21">
        <f t="shared" si="151"/>
        <v>0.12365591397849465</v>
      </c>
      <c r="P3207" s="1">
        <v>4</v>
      </c>
      <c r="Q3207" s="24">
        <v>2.5079999999999991</v>
      </c>
      <c r="R3207" s="24">
        <v>18.391999999999999</v>
      </c>
      <c r="S3207" s="21">
        <f t="shared" si="152"/>
        <v>9.8685782556750368E-2</v>
      </c>
    </row>
    <row r="3208" spans="2:19" ht="11.4" customHeight="1" x14ac:dyDescent="0.2">
      <c r="B3208" s="24"/>
      <c r="C3208" s="14">
        <v>23545</v>
      </c>
      <c r="D3208" s="18" t="s">
        <v>3336</v>
      </c>
      <c r="E3208" s="18" t="s">
        <v>3326</v>
      </c>
      <c r="F3208" s="17">
        <v>15</v>
      </c>
      <c r="G3208" s="18" t="s">
        <v>23</v>
      </c>
      <c r="H3208" s="17">
        <v>16.739999999999998</v>
      </c>
      <c r="I3208" s="15">
        <v>20.9</v>
      </c>
      <c r="J3208" s="21">
        <f t="shared" si="150"/>
        <v>0.24850657108721627</v>
      </c>
      <c r="K3208" s="1">
        <v>2</v>
      </c>
      <c r="L3208" s="24">
        <v>2</v>
      </c>
      <c r="M3208" s="24">
        <v>18.809999999999999</v>
      </c>
      <c r="N3208" s="21">
        <f t="shared" si="151"/>
        <v>0.12365591397849465</v>
      </c>
      <c r="P3208" s="1">
        <v>4</v>
      </c>
      <c r="Q3208" s="24">
        <v>2.5079999999999991</v>
      </c>
      <c r="R3208" s="24">
        <v>18.391999999999999</v>
      </c>
      <c r="S3208" s="21">
        <f t="shared" si="152"/>
        <v>9.8685782556750368E-2</v>
      </c>
    </row>
    <row r="3209" spans="2:19" ht="11.4" customHeight="1" x14ac:dyDescent="0.2">
      <c r="B3209" s="24"/>
      <c r="C3209" s="14">
        <v>23476</v>
      </c>
      <c r="D3209" s="18" t="s">
        <v>3337</v>
      </c>
      <c r="E3209" s="18" t="s">
        <v>3326</v>
      </c>
      <c r="F3209" s="17">
        <v>24</v>
      </c>
      <c r="G3209" s="18" t="s">
        <v>23</v>
      </c>
      <c r="H3209" s="17">
        <v>17.8</v>
      </c>
      <c r="I3209" s="15">
        <v>21.9</v>
      </c>
      <c r="J3209" s="21">
        <f t="shared" si="150"/>
        <v>0.23033707865168526</v>
      </c>
      <c r="K3209" s="1">
        <v>2</v>
      </c>
      <c r="L3209" s="24">
        <v>2.1</v>
      </c>
      <c r="M3209" s="24">
        <v>19.71</v>
      </c>
      <c r="N3209" s="21">
        <f t="shared" si="151"/>
        <v>0.10730337078651686</v>
      </c>
      <c r="P3209" s="1">
        <v>4</v>
      </c>
      <c r="Q3209" s="24">
        <v>2.6280000000000001</v>
      </c>
      <c r="R3209" s="24">
        <v>19.271999999999998</v>
      </c>
      <c r="S3209" s="21">
        <f t="shared" si="152"/>
        <v>8.2696629213483017E-2</v>
      </c>
    </row>
    <row r="3210" spans="2:19" ht="11.4" customHeight="1" x14ac:dyDescent="0.2">
      <c r="B3210" s="24"/>
      <c r="C3210" s="14">
        <v>37278</v>
      </c>
      <c r="D3210" s="18" t="s">
        <v>3338</v>
      </c>
      <c r="E3210" s="18" t="s">
        <v>3339</v>
      </c>
      <c r="F3210" s="17">
        <v>12</v>
      </c>
      <c r="G3210" s="18" t="s">
        <v>23</v>
      </c>
      <c r="H3210" s="17">
        <v>85.14</v>
      </c>
      <c r="I3210" s="15">
        <v>118.9</v>
      </c>
      <c r="J3210" s="21">
        <f t="shared" si="150"/>
        <v>0.39652337326755938</v>
      </c>
      <c r="K3210" s="1">
        <v>2</v>
      </c>
      <c r="L3210" s="24">
        <v>11.8</v>
      </c>
      <c r="M3210" s="24">
        <v>107.01</v>
      </c>
      <c r="N3210" s="21">
        <f t="shared" si="151"/>
        <v>0.25687103594080346</v>
      </c>
      <c r="P3210" s="1">
        <v>4</v>
      </c>
      <c r="Q3210" s="24">
        <v>14.268000000000001</v>
      </c>
      <c r="R3210" s="24">
        <v>104.63200000000001</v>
      </c>
      <c r="S3210" s="21">
        <f t="shared" si="152"/>
        <v>0.22894056847545224</v>
      </c>
    </row>
    <row r="3211" spans="2:19" ht="11.4" customHeight="1" x14ac:dyDescent="0.2">
      <c r="B3211" s="24"/>
      <c r="C3211" s="14">
        <v>28100</v>
      </c>
      <c r="D3211" s="18" t="s">
        <v>3340</v>
      </c>
      <c r="E3211" s="18" t="s">
        <v>3341</v>
      </c>
      <c r="F3211" s="17">
        <v>18</v>
      </c>
      <c r="G3211" s="18" t="s">
        <v>23</v>
      </c>
      <c r="H3211" s="17">
        <v>26.9</v>
      </c>
      <c r="I3211" s="15">
        <v>31.6</v>
      </c>
      <c r="J3211" s="21">
        <f t="shared" si="150"/>
        <v>0.17472118959107819</v>
      </c>
      <c r="K3211" s="1">
        <v>2</v>
      </c>
      <c r="L3211" s="24">
        <v>3.1</v>
      </c>
      <c r="M3211" s="24">
        <v>28.44</v>
      </c>
      <c r="N3211" s="21">
        <f t="shared" si="151"/>
        <v>5.7249070631970364E-2</v>
      </c>
      <c r="P3211" s="1">
        <v>4</v>
      </c>
      <c r="Q3211" s="24">
        <v>3.7920000000000016</v>
      </c>
      <c r="R3211" s="24">
        <v>27.808</v>
      </c>
      <c r="S3211" s="21">
        <f t="shared" si="152"/>
        <v>3.3754646840148748E-2</v>
      </c>
    </row>
    <row r="3212" spans="2:19" ht="11.4" customHeight="1" x14ac:dyDescent="0.2">
      <c r="B3212" s="24"/>
      <c r="C3212" s="14">
        <v>37267</v>
      </c>
      <c r="D3212" s="18" t="s">
        <v>3342</v>
      </c>
      <c r="E3212" s="18" t="s">
        <v>3329</v>
      </c>
      <c r="F3212" s="17">
        <v>12</v>
      </c>
      <c r="G3212" s="18" t="s">
        <v>23</v>
      </c>
      <c r="H3212" s="17">
        <v>10.9</v>
      </c>
      <c r="I3212" s="15">
        <v>13.7</v>
      </c>
      <c r="J3212" s="21">
        <f t="shared" si="150"/>
        <v>0.25688073394495403</v>
      </c>
      <c r="K3212" s="1">
        <v>2</v>
      </c>
      <c r="L3212" s="24">
        <v>1.3</v>
      </c>
      <c r="M3212" s="24">
        <v>12.33</v>
      </c>
      <c r="N3212" s="21">
        <f t="shared" si="151"/>
        <v>0.1311926605504587</v>
      </c>
      <c r="P3212" s="1">
        <v>4</v>
      </c>
      <c r="Q3212" s="24">
        <v>1.6440000000000001</v>
      </c>
      <c r="R3212" s="24">
        <v>12.055999999999999</v>
      </c>
      <c r="S3212" s="21">
        <f t="shared" si="152"/>
        <v>0.10605504587155952</v>
      </c>
    </row>
    <row r="3213" spans="2:19" ht="11.4" customHeight="1" x14ac:dyDescent="0.2">
      <c r="B3213" s="24"/>
      <c r="C3213" s="14">
        <v>37268</v>
      </c>
      <c r="D3213" s="18" t="s">
        <v>3343</v>
      </c>
      <c r="E3213" s="18" t="s">
        <v>3329</v>
      </c>
      <c r="F3213" s="17">
        <v>12</v>
      </c>
      <c r="G3213" s="18" t="s">
        <v>23</v>
      </c>
      <c r="H3213" s="17">
        <v>10.9</v>
      </c>
      <c r="I3213" s="15">
        <v>13.7</v>
      </c>
      <c r="J3213" s="21">
        <f t="shared" si="150"/>
        <v>0.25688073394495403</v>
      </c>
      <c r="K3213" s="1">
        <v>2</v>
      </c>
      <c r="L3213" s="24">
        <v>1.3</v>
      </c>
      <c r="M3213" s="24">
        <v>12.33</v>
      </c>
      <c r="N3213" s="21">
        <f t="shared" si="151"/>
        <v>0.1311926605504587</v>
      </c>
      <c r="P3213" s="1">
        <v>4</v>
      </c>
      <c r="Q3213" s="24">
        <v>1.6440000000000001</v>
      </c>
      <c r="R3213" s="24">
        <v>12.055999999999999</v>
      </c>
      <c r="S3213" s="21">
        <f t="shared" si="152"/>
        <v>0.10605504587155952</v>
      </c>
    </row>
    <row r="3214" spans="2:19" ht="11.4" customHeight="1" x14ac:dyDescent="0.2">
      <c r="B3214" s="24"/>
      <c r="C3214" s="14">
        <v>37269</v>
      </c>
      <c r="D3214" s="18" t="s">
        <v>3344</v>
      </c>
      <c r="E3214" s="18" t="s">
        <v>3329</v>
      </c>
      <c r="F3214" s="17">
        <v>12</v>
      </c>
      <c r="G3214" s="18" t="s">
        <v>23</v>
      </c>
      <c r="H3214" s="17">
        <v>10.9</v>
      </c>
      <c r="I3214" s="15">
        <v>13.7</v>
      </c>
      <c r="J3214" s="21">
        <f t="shared" si="150"/>
        <v>0.25688073394495403</v>
      </c>
      <c r="K3214" s="1">
        <v>2</v>
      </c>
      <c r="L3214" s="24">
        <v>1.3</v>
      </c>
      <c r="M3214" s="24">
        <v>12.33</v>
      </c>
      <c r="N3214" s="21">
        <f t="shared" si="151"/>
        <v>0.1311926605504587</v>
      </c>
      <c r="P3214" s="1">
        <v>4</v>
      </c>
      <c r="Q3214" s="24">
        <v>1.6440000000000001</v>
      </c>
      <c r="R3214" s="24">
        <v>12.055999999999999</v>
      </c>
      <c r="S3214" s="21">
        <f t="shared" si="152"/>
        <v>0.10605504587155952</v>
      </c>
    </row>
    <row r="3215" spans="2:19" ht="11.4" customHeight="1" x14ac:dyDescent="0.2">
      <c r="B3215" s="24"/>
      <c r="C3215" s="14">
        <v>37152</v>
      </c>
      <c r="D3215" s="18" t="s">
        <v>3345</v>
      </c>
      <c r="E3215" s="18" t="s">
        <v>3346</v>
      </c>
      <c r="F3215" s="17">
        <v>20</v>
      </c>
      <c r="G3215" s="18" t="s">
        <v>23</v>
      </c>
      <c r="H3215" s="17">
        <v>47.14</v>
      </c>
      <c r="I3215" s="15">
        <v>65.900000000000006</v>
      </c>
      <c r="J3215" s="21">
        <f t="shared" si="150"/>
        <v>0.39796351294017829</v>
      </c>
      <c r="K3215" s="1">
        <v>2</v>
      </c>
      <c r="L3215" s="24">
        <v>6.5</v>
      </c>
      <c r="M3215" s="24">
        <v>59.310000000000009</v>
      </c>
      <c r="N3215" s="21">
        <f t="shared" si="151"/>
        <v>0.25816716164616055</v>
      </c>
      <c r="P3215" s="1">
        <v>4</v>
      </c>
      <c r="Q3215" s="24">
        <v>7.9080000000000013</v>
      </c>
      <c r="R3215" s="24">
        <v>57.992000000000004</v>
      </c>
      <c r="S3215" s="21">
        <f t="shared" si="152"/>
        <v>0.23020789138735689</v>
      </c>
    </row>
    <row r="3216" spans="2:19" ht="11.4" customHeight="1" x14ac:dyDescent="0.2">
      <c r="B3216" s="24"/>
      <c r="C3216" s="14">
        <v>37153</v>
      </c>
      <c r="D3216" s="18" t="s">
        <v>3347</v>
      </c>
      <c r="E3216" s="18" t="s">
        <v>3346</v>
      </c>
      <c r="F3216" s="17">
        <v>20</v>
      </c>
      <c r="G3216" s="18" t="s">
        <v>23</v>
      </c>
      <c r="H3216" s="17">
        <v>31.42</v>
      </c>
      <c r="I3216" s="15">
        <v>42.9</v>
      </c>
      <c r="J3216" s="21">
        <f t="shared" si="150"/>
        <v>0.36537237428389546</v>
      </c>
      <c r="K3216" s="1">
        <v>2</v>
      </c>
      <c r="L3216" s="24">
        <v>4.2</v>
      </c>
      <c r="M3216" s="24">
        <v>38.61</v>
      </c>
      <c r="N3216" s="21">
        <f t="shared" si="151"/>
        <v>0.22883513685550597</v>
      </c>
      <c r="P3216" s="1">
        <v>4</v>
      </c>
      <c r="Q3216" s="24">
        <v>5.1479999999999961</v>
      </c>
      <c r="R3216" s="24">
        <v>37.752000000000002</v>
      </c>
      <c r="S3216" s="21">
        <f t="shared" si="152"/>
        <v>0.20152768936982815</v>
      </c>
    </row>
    <row r="3217" spans="2:19" ht="11.4" customHeight="1" x14ac:dyDescent="0.2">
      <c r="B3217" s="24"/>
      <c r="C3217" s="14">
        <v>47245</v>
      </c>
      <c r="D3217" s="18" t="s">
        <v>3348</v>
      </c>
      <c r="E3217" s="18" t="s">
        <v>3349</v>
      </c>
      <c r="F3217" s="17">
        <v>8</v>
      </c>
      <c r="G3217" s="18" t="s">
        <v>23</v>
      </c>
      <c r="H3217" s="17">
        <v>121.1</v>
      </c>
      <c r="I3217" s="15">
        <v>169</v>
      </c>
      <c r="J3217" s="21">
        <f t="shared" si="150"/>
        <v>0.39554087530966148</v>
      </c>
      <c r="K3217" s="1">
        <v>2</v>
      </c>
      <c r="L3217" s="24">
        <v>16.899999999999999</v>
      </c>
      <c r="M3217" s="24">
        <v>152.1</v>
      </c>
      <c r="N3217" s="21">
        <f t="shared" si="151"/>
        <v>0.25598678777869532</v>
      </c>
      <c r="P3217" s="1">
        <v>4</v>
      </c>
      <c r="Q3217" s="24">
        <v>20.28</v>
      </c>
      <c r="R3217" s="24">
        <v>148.72</v>
      </c>
      <c r="S3217" s="21">
        <f t="shared" si="152"/>
        <v>0.22807597027250212</v>
      </c>
    </row>
    <row r="3218" spans="2:19" ht="11.4" customHeight="1" x14ac:dyDescent="0.2">
      <c r="B3218" s="24"/>
      <c r="C3218" s="14">
        <v>37262</v>
      </c>
      <c r="D3218" s="18" t="s">
        <v>3350</v>
      </c>
      <c r="E3218" s="18" t="s">
        <v>3351</v>
      </c>
      <c r="F3218" s="17">
        <v>18</v>
      </c>
      <c r="G3218" s="18" t="s">
        <v>23</v>
      </c>
      <c r="H3218" s="17">
        <v>30.8</v>
      </c>
      <c r="I3218" s="15">
        <v>36.200000000000003</v>
      </c>
      <c r="J3218" s="21">
        <f t="shared" si="150"/>
        <v>0.17532467532467538</v>
      </c>
      <c r="K3218" s="1">
        <v>2</v>
      </c>
      <c r="L3218" s="24">
        <v>3.6</v>
      </c>
      <c r="M3218" s="24">
        <v>32.580000000000005</v>
      </c>
      <c r="N3218" s="21">
        <f t="shared" si="151"/>
        <v>5.7792207792207943E-2</v>
      </c>
      <c r="P3218" s="1">
        <v>4</v>
      </c>
      <c r="Q3218" s="24">
        <v>4.3440000000000012</v>
      </c>
      <c r="R3218" s="24">
        <v>31.856000000000002</v>
      </c>
      <c r="S3218" s="21">
        <f t="shared" si="152"/>
        <v>3.4285714285714315E-2</v>
      </c>
    </row>
    <row r="3219" spans="2:19" ht="11.4" customHeight="1" x14ac:dyDescent="0.2">
      <c r="B3219" s="24"/>
      <c r="C3219" s="14">
        <v>28102</v>
      </c>
      <c r="D3219" s="18" t="s">
        <v>3352</v>
      </c>
      <c r="E3219" s="18" t="s">
        <v>3351</v>
      </c>
      <c r="F3219" s="17">
        <v>18</v>
      </c>
      <c r="G3219" s="18" t="s">
        <v>23</v>
      </c>
      <c r="H3219" s="17">
        <v>20.5</v>
      </c>
      <c r="I3219" s="15">
        <v>24.1</v>
      </c>
      <c r="J3219" s="21">
        <f t="shared" si="150"/>
        <v>0.17560975609756105</v>
      </c>
      <c r="K3219" s="1">
        <v>2</v>
      </c>
      <c r="L3219" s="24">
        <v>2.4</v>
      </c>
      <c r="M3219" s="24">
        <v>21.69</v>
      </c>
      <c r="N3219" s="21">
        <f t="shared" si="151"/>
        <v>5.8048780487804943E-2</v>
      </c>
      <c r="P3219" s="1">
        <v>4</v>
      </c>
      <c r="Q3219" s="24">
        <v>2.8919999999999995</v>
      </c>
      <c r="R3219" s="24">
        <v>21.208000000000002</v>
      </c>
      <c r="S3219" s="21">
        <f t="shared" si="152"/>
        <v>3.4536585365853752E-2</v>
      </c>
    </row>
    <row r="3220" spans="2:19" ht="11.4" customHeight="1" x14ac:dyDescent="0.2">
      <c r="B3220" s="24"/>
      <c r="C3220" s="14">
        <v>37273</v>
      </c>
      <c r="D3220" s="18" t="s">
        <v>3353</v>
      </c>
      <c r="E3220" s="18" t="s">
        <v>3329</v>
      </c>
      <c r="F3220" s="17">
        <v>12</v>
      </c>
      <c r="G3220" s="18" t="s">
        <v>23</v>
      </c>
      <c r="H3220" s="17">
        <v>71.760000000000005</v>
      </c>
      <c r="I3220" s="15">
        <v>99.9</v>
      </c>
      <c r="J3220" s="21">
        <f t="shared" si="150"/>
        <v>0.39214046822742471</v>
      </c>
      <c r="K3220" s="1">
        <v>2</v>
      </c>
      <c r="L3220" s="24">
        <v>9.9</v>
      </c>
      <c r="M3220" s="24">
        <v>89.910000000000011</v>
      </c>
      <c r="N3220" s="21">
        <f t="shared" si="151"/>
        <v>0.25292642140468236</v>
      </c>
      <c r="P3220" s="1">
        <v>4</v>
      </c>
      <c r="Q3220" s="24">
        <v>11.988</v>
      </c>
      <c r="R3220" s="24">
        <v>87.912000000000006</v>
      </c>
      <c r="S3220" s="21">
        <f t="shared" si="152"/>
        <v>0.22508361204013377</v>
      </c>
    </row>
    <row r="3221" spans="2:19" ht="11.4" customHeight="1" x14ac:dyDescent="0.2">
      <c r="B3221" s="24"/>
      <c r="C3221" s="14">
        <v>19149</v>
      </c>
      <c r="D3221" s="18" t="s">
        <v>3354</v>
      </c>
      <c r="E3221" s="18" t="s">
        <v>3349</v>
      </c>
      <c r="F3221" s="17">
        <v>48</v>
      </c>
      <c r="G3221" s="18" t="s">
        <v>23</v>
      </c>
      <c r="H3221" s="17">
        <v>22.8</v>
      </c>
      <c r="I3221" s="15">
        <v>27.9</v>
      </c>
      <c r="J3221" s="21">
        <f t="shared" si="150"/>
        <v>0.22368421052631568</v>
      </c>
      <c r="K3221" s="1">
        <v>2</v>
      </c>
      <c r="L3221" s="24">
        <v>2.7</v>
      </c>
      <c r="M3221" s="24">
        <v>25.11</v>
      </c>
      <c r="N3221" s="21">
        <f t="shared" si="151"/>
        <v>0.10131578947368415</v>
      </c>
      <c r="P3221" s="1">
        <v>4</v>
      </c>
      <c r="Q3221" s="24">
        <v>3.347999999999999</v>
      </c>
      <c r="R3221" s="24">
        <v>24.552</v>
      </c>
      <c r="S3221" s="21">
        <f t="shared" si="152"/>
        <v>7.6842105263157851E-2</v>
      </c>
    </row>
    <row r="3222" spans="2:19" ht="11.4" customHeight="1" x14ac:dyDescent="0.2">
      <c r="B3222" s="24"/>
      <c r="C3222" s="14">
        <v>37260</v>
      </c>
      <c r="D3222" s="18" t="s">
        <v>3355</v>
      </c>
      <c r="E3222" s="18" t="s">
        <v>3356</v>
      </c>
      <c r="F3222" s="17">
        <v>10</v>
      </c>
      <c r="G3222" s="18" t="s">
        <v>23</v>
      </c>
      <c r="H3222" s="17">
        <v>32.5</v>
      </c>
      <c r="I3222" s="15">
        <v>36.9</v>
      </c>
      <c r="J3222" s="21">
        <f t="shared" si="150"/>
        <v>0.13538461538461535</v>
      </c>
      <c r="K3222" s="1">
        <v>2</v>
      </c>
      <c r="L3222" s="24">
        <v>3.6</v>
      </c>
      <c r="M3222" s="24">
        <v>33.21</v>
      </c>
      <c r="N3222" s="21">
        <f t="shared" si="151"/>
        <v>2.1846153846153873E-2</v>
      </c>
      <c r="P3222" s="1">
        <v>4</v>
      </c>
      <c r="Q3222" s="24">
        <v>4.4279999999999973</v>
      </c>
      <c r="R3222" s="24">
        <v>32.472000000000001</v>
      </c>
      <c r="S3222" s="21">
        <f t="shared" si="152"/>
        <v>-8.6153846153842132E-4</v>
      </c>
    </row>
    <row r="3223" spans="2:19" ht="11.4" customHeight="1" x14ac:dyDescent="0.2">
      <c r="B3223" s="24"/>
      <c r="C3223" s="14">
        <v>8422</v>
      </c>
      <c r="D3223" s="18" t="s">
        <v>3357</v>
      </c>
      <c r="E3223" s="18" t="s">
        <v>3349</v>
      </c>
      <c r="F3223" s="17">
        <v>14</v>
      </c>
      <c r="G3223" s="18" t="s">
        <v>23</v>
      </c>
      <c r="H3223" s="17">
        <v>46.8</v>
      </c>
      <c r="I3223" s="15">
        <v>56.9</v>
      </c>
      <c r="J3223" s="21">
        <f t="shared" si="150"/>
        <v>0.21581196581196585</v>
      </c>
      <c r="K3223" s="1">
        <v>2</v>
      </c>
      <c r="L3223" s="24">
        <v>5.6</v>
      </c>
      <c r="M3223" s="24">
        <v>51.21</v>
      </c>
      <c r="N3223" s="21">
        <f t="shared" si="151"/>
        <v>9.4230769230769312E-2</v>
      </c>
      <c r="P3223" s="1">
        <v>4</v>
      </c>
      <c r="Q3223" s="24">
        <v>6.828000000000003</v>
      </c>
      <c r="R3223" s="24">
        <v>50.071999999999996</v>
      </c>
      <c r="S3223" s="21">
        <f t="shared" si="152"/>
        <v>6.9914529914529885E-2</v>
      </c>
    </row>
    <row r="3224" spans="2:19" ht="11.4" customHeight="1" x14ac:dyDescent="0.2">
      <c r="B3224" s="24"/>
      <c r="C3224" s="14">
        <v>37276</v>
      </c>
      <c r="D3224" s="18" t="s">
        <v>3358</v>
      </c>
      <c r="E3224" s="18" t="s">
        <v>3329</v>
      </c>
      <c r="F3224" s="17">
        <v>10</v>
      </c>
      <c r="G3224" s="18" t="s">
        <v>23</v>
      </c>
      <c r="H3224" s="17">
        <v>89.28</v>
      </c>
      <c r="I3224" s="15">
        <v>124.9</v>
      </c>
      <c r="J3224" s="21">
        <f t="shared" si="150"/>
        <v>0.39896953405017926</v>
      </c>
      <c r="K3224" s="1">
        <v>2</v>
      </c>
      <c r="L3224" s="24">
        <v>12.4</v>
      </c>
      <c r="M3224" s="24">
        <v>112.41000000000001</v>
      </c>
      <c r="N3224" s="21">
        <f t="shared" si="151"/>
        <v>0.25907258064516142</v>
      </c>
      <c r="P3224" s="1">
        <v>4</v>
      </c>
      <c r="Q3224" s="24">
        <v>14.988</v>
      </c>
      <c r="R3224" s="24">
        <v>109.91200000000001</v>
      </c>
      <c r="S3224" s="21">
        <f t="shared" si="152"/>
        <v>0.23109318996415776</v>
      </c>
    </row>
    <row r="3225" spans="2:19" ht="11.4" customHeight="1" x14ac:dyDescent="0.2">
      <c r="B3225" s="24"/>
      <c r="C3225" s="14">
        <v>24148</v>
      </c>
      <c r="D3225" s="18" t="s">
        <v>3359</v>
      </c>
      <c r="E3225" s="18" t="s">
        <v>3360</v>
      </c>
      <c r="F3225" s="17">
        <v>28</v>
      </c>
      <c r="G3225" s="18" t="s">
        <v>23</v>
      </c>
      <c r="H3225" s="17">
        <v>18.600000000000001</v>
      </c>
      <c r="I3225" s="15">
        <v>24.7</v>
      </c>
      <c r="J3225" s="21">
        <f t="shared" si="150"/>
        <v>0.3279569892473117</v>
      </c>
      <c r="K3225" s="1">
        <v>2</v>
      </c>
      <c r="L3225" s="24">
        <v>2.4</v>
      </c>
      <c r="M3225" s="24">
        <v>22.23</v>
      </c>
      <c r="N3225" s="21">
        <f t="shared" si="151"/>
        <v>0.19516129032258059</v>
      </c>
      <c r="P3225" s="1">
        <v>4</v>
      </c>
      <c r="Q3225" s="24">
        <v>2.9639999999999986</v>
      </c>
      <c r="R3225" s="24">
        <v>21.736000000000001</v>
      </c>
      <c r="S3225" s="21">
        <f t="shared" si="152"/>
        <v>0.16860215053763436</v>
      </c>
    </row>
    <row r="3226" spans="2:19" ht="11.4" customHeight="1" x14ac:dyDescent="0.2">
      <c r="B3226" s="24"/>
      <c r="C3226" s="14">
        <v>24150</v>
      </c>
      <c r="D3226" s="18" t="s">
        <v>3361</v>
      </c>
      <c r="E3226" s="18" t="s">
        <v>3360</v>
      </c>
      <c r="F3226" s="17">
        <v>30</v>
      </c>
      <c r="G3226" s="18" t="s">
        <v>23</v>
      </c>
      <c r="H3226" s="17">
        <v>18.600000000000001</v>
      </c>
      <c r="I3226" s="15">
        <v>22.3</v>
      </c>
      <c r="J3226" s="21">
        <f t="shared" si="150"/>
        <v>0.19892473118279563</v>
      </c>
      <c r="K3226" s="1">
        <v>2</v>
      </c>
      <c r="L3226" s="24">
        <v>2.2000000000000002</v>
      </c>
      <c r="M3226" s="24">
        <v>20.07</v>
      </c>
      <c r="N3226" s="21">
        <f t="shared" si="151"/>
        <v>7.9032258064516067E-2</v>
      </c>
      <c r="P3226" s="1">
        <v>4</v>
      </c>
      <c r="Q3226" s="24">
        <v>2.6759999999999984</v>
      </c>
      <c r="R3226" s="24">
        <v>19.624000000000002</v>
      </c>
      <c r="S3226" s="21">
        <f t="shared" si="152"/>
        <v>5.5053763440860257E-2</v>
      </c>
    </row>
    <row r="3227" spans="2:19" ht="11.4" customHeight="1" x14ac:dyDescent="0.2">
      <c r="B3227" s="24"/>
      <c r="C3227" s="14">
        <v>24149</v>
      </c>
      <c r="D3227" s="18" t="s">
        <v>3362</v>
      </c>
      <c r="E3227" s="18" t="s">
        <v>3360</v>
      </c>
      <c r="F3227" s="17">
        <v>30</v>
      </c>
      <c r="G3227" s="18" t="s">
        <v>23</v>
      </c>
      <c r="H3227" s="17">
        <v>18.600000000000001</v>
      </c>
      <c r="I3227" s="15">
        <v>22.3</v>
      </c>
      <c r="J3227" s="21">
        <f t="shared" si="150"/>
        <v>0.19892473118279563</v>
      </c>
      <c r="K3227" s="1">
        <v>2</v>
      </c>
      <c r="L3227" s="24">
        <v>2.2000000000000002</v>
      </c>
      <c r="M3227" s="24">
        <v>20.07</v>
      </c>
      <c r="N3227" s="21">
        <f t="shared" si="151"/>
        <v>7.9032258064516067E-2</v>
      </c>
      <c r="P3227" s="1">
        <v>4</v>
      </c>
      <c r="Q3227" s="24">
        <v>2.6759999999999984</v>
      </c>
      <c r="R3227" s="24">
        <v>19.624000000000002</v>
      </c>
      <c r="S3227" s="21">
        <f t="shared" si="152"/>
        <v>5.5053763440860257E-2</v>
      </c>
    </row>
    <row r="3228" spans="2:19" ht="11.4" customHeight="1" x14ac:dyDescent="0.2">
      <c r="B3228" s="24"/>
      <c r="C3228" s="14">
        <v>40044</v>
      </c>
      <c r="D3228" s="18" t="s">
        <v>3363</v>
      </c>
      <c r="E3228" s="18" t="s">
        <v>3360</v>
      </c>
      <c r="F3228" s="17">
        <v>30</v>
      </c>
      <c r="G3228" s="18" t="s">
        <v>23</v>
      </c>
      <c r="H3228" s="17">
        <v>17.600000000000001</v>
      </c>
      <c r="I3228" s="15">
        <v>24.7</v>
      </c>
      <c r="J3228" s="21">
        <f t="shared" si="150"/>
        <v>0.40340909090909077</v>
      </c>
      <c r="K3228" s="1">
        <v>2</v>
      </c>
      <c r="L3228" s="24">
        <v>2.4</v>
      </c>
      <c r="M3228" s="24">
        <v>22.23</v>
      </c>
      <c r="N3228" s="21">
        <f t="shared" si="151"/>
        <v>0.26306818181818176</v>
      </c>
      <c r="P3228" s="1">
        <v>4</v>
      </c>
      <c r="Q3228" s="24">
        <v>2.9639999999999986</v>
      </c>
      <c r="R3228" s="24">
        <v>21.736000000000001</v>
      </c>
      <c r="S3228" s="21">
        <f t="shared" si="152"/>
        <v>0.23499999999999993</v>
      </c>
    </row>
    <row r="3229" spans="2:19" ht="11.4" customHeight="1" x14ac:dyDescent="0.2">
      <c r="B3229" s="24"/>
      <c r="C3229" s="14">
        <v>37157</v>
      </c>
      <c r="D3229" s="18" t="s">
        <v>3364</v>
      </c>
      <c r="E3229" s="18" t="s">
        <v>3360</v>
      </c>
      <c r="F3229" s="17">
        <v>28</v>
      </c>
      <c r="G3229" s="18" t="s">
        <v>23</v>
      </c>
      <c r="H3229" s="17">
        <v>17.600000000000001</v>
      </c>
      <c r="I3229" s="15">
        <v>24.7</v>
      </c>
      <c r="J3229" s="21">
        <f t="shared" si="150"/>
        <v>0.40340909090909077</v>
      </c>
      <c r="K3229" s="1">
        <v>2</v>
      </c>
      <c r="L3229" s="24">
        <v>2.4</v>
      </c>
      <c r="M3229" s="24">
        <v>22.23</v>
      </c>
      <c r="N3229" s="21">
        <f t="shared" si="151"/>
        <v>0.26306818181818176</v>
      </c>
      <c r="P3229" s="1">
        <v>4</v>
      </c>
      <c r="Q3229" s="24">
        <v>2.9639999999999986</v>
      </c>
      <c r="R3229" s="24">
        <v>21.736000000000001</v>
      </c>
      <c r="S3229" s="21">
        <f t="shared" si="152"/>
        <v>0.23499999999999993</v>
      </c>
    </row>
    <row r="3230" spans="2:19" ht="11.4" customHeight="1" x14ac:dyDescent="0.2">
      <c r="B3230" s="24"/>
      <c r="C3230" s="14">
        <v>47244</v>
      </c>
      <c r="D3230" s="18" t="s">
        <v>3365</v>
      </c>
      <c r="E3230" s="18" t="s">
        <v>3349</v>
      </c>
      <c r="F3230" s="17">
        <v>8</v>
      </c>
      <c r="G3230" s="18" t="s">
        <v>23</v>
      </c>
      <c r="H3230" s="17">
        <v>138.69999999999999</v>
      </c>
      <c r="I3230" s="15">
        <v>194.9</v>
      </c>
      <c r="J3230" s="21">
        <f t="shared" si="150"/>
        <v>0.40519105984138443</v>
      </c>
      <c r="K3230" s="1">
        <v>2</v>
      </c>
      <c r="L3230" s="24">
        <v>19.399999999999999</v>
      </c>
      <c r="M3230" s="24">
        <v>175.41</v>
      </c>
      <c r="N3230" s="21">
        <f t="shared" si="151"/>
        <v>0.26467195385724596</v>
      </c>
      <c r="P3230" s="1">
        <v>4</v>
      </c>
      <c r="Q3230" s="24">
        <v>23.388000000000005</v>
      </c>
      <c r="R3230" s="24">
        <v>171.512</v>
      </c>
      <c r="S3230" s="21">
        <f t="shared" si="152"/>
        <v>0.23656813266041826</v>
      </c>
    </row>
    <row r="3231" spans="2:19" ht="11.4" customHeight="1" x14ac:dyDescent="0.2">
      <c r="B3231" s="24"/>
      <c r="C3231" s="14">
        <v>37156</v>
      </c>
      <c r="D3231" s="18" t="s">
        <v>3366</v>
      </c>
      <c r="E3231" s="18" t="s">
        <v>3349</v>
      </c>
      <c r="F3231" s="17">
        <v>16</v>
      </c>
      <c r="G3231" s="18" t="s">
        <v>23</v>
      </c>
      <c r="H3231" s="17">
        <v>47.6</v>
      </c>
      <c r="I3231" s="15">
        <v>62.9</v>
      </c>
      <c r="J3231" s="21">
        <f t="shared" si="150"/>
        <v>0.32142857142857134</v>
      </c>
      <c r="K3231" s="1">
        <v>2</v>
      </c>
      <c r="L3231" s="24">
        <v>6.2</v>
      </c>
      <c r="M3231" s="24">
        <v>56.61</v>
      </c>
      <c r="N3231" s="21">
        <f t="shared" si="151"/>
        <v>0.18928571428571425</v>
      </c>
      <c r="P3231" s="1">
        <v>4</v>
      </c>
      <c r="Q3231" s="24">
        <v>7.5480000000000018</v>
      </c>
      <c r="R3231" s="24">
        <v>55.351999999999997</v>
      </c>
      <c r="S3231" s="21">
        <f t="shared" si="152"/>
        <v>0.16285714285714276</v>
      </c>
    </row>
    <row r="3232" spans="2:19" ht="11.4" customHeight="1" x14ac:dyDescent="0.2">
      <c r="B3232" s="24"/>
      <c r="C3232" s="14">
        <v>28286</v>
      </c>
      <c r="D3232" s="18" t="s">
        <v>3367</v>
      </c>
      <c r="E3232" s="18" t="s">
        <v>3368</v>
      </c>
      <c r="F3232" s="17">
        <v>20</v>
      </c>
      <c r="G3232" s="18" t="s">
        <v>23</v>
      </c>
      <c r="H3232" s="17">
        <v>33.4</v>
      </c>
      <c r="I3232" s="15">
        <v>39.9</v>
      </c>
      <c r="J3232" s="21">
        <f t="shared" si="150"/>
        <v>0.19461077844311378</v>
      </c>
      <c r="K3232" s="1">
        <v>2</v>
      </c>
      <c r="L3232" s="24">
        <v>3.9</v>
      </c>
      <c r="M3232" s="24">
        <v>35.909999999999997</v>
      </c>
      <c r="N3232" s="21">
        <f t="shared" si="151"/>
        <v>7.5149700598802341E-2</v>
      </c>
      <c r="P3232" s="1">
        <v>4</v>
      </c>
      <c r="Q3232" s="24">
        <v>4.7879999999999967</v>
      </c>
      <c r="R3232" s="24">
        <v>35.112000000000002</v>
      </c>
      <c r="S3232" s="21">
        <f t="shared" si="152"/>
        <v>5.1257485029940222E-2</v>
      </c>
    </row>
    <row r="3233" spans="2:19" ht="11.4" customHeight="1" x14ac:dyDescent="0.2">
      <c r="B3233" s="24"/>
      <c r="C3233" s="14">
        <v>37263</v>
      </c>
      <c r="D3233" s="18" t="s">
        <v>3369</v>
      </c>
      <c r="E3233" s="18" t="s">
        <v>3368</v>
      </c>
      <c r="F3233" s="17">
        <v>22</v>
      </c>
      <c r="G3233" s="18" t="s">
        <v>23</v>
      </c>
      <c r="H3233" s="17">
        <v>47.5</v>
      </c>
      <c r="I3233" s="15">
        <v>56.7</v>
      </c>
      <c r="J3233" s="21">
        <f t="shared" si="150"/>
        <v>0.19368421052631585</v>
      </c>
      <c r="K3233" s="1">
        <v>2</v>
      </c>
      <c r="L3233" s="24">
        <v>5.6</v>
      </c>
      <c r="M3233" s="24">
        <v>51.03</v>
      </c>
      <c r="N3233" s="21">
        <f t="shared" si="151"/>
        <v>7.4315789473684238E-2</v>
      </c>
      <c r="P3233" s="1">
        <v>4</v>
      </c>
      <c r="Q3233" s="24">
        <v>6.804000000000002</v>
      </c>
      <c r="R3233" s="24">
        <v>49.896000000000001</v>
      </c>
      <c r="S3233" s="21">
        <f t="shared" si="152"/>
        <v>5.0442105263157913E-2</v>
      </c>
    </row>
    <row r="3234" spans="2:19" ht="11.4" customHeight="1" x14ac:dyDescent="0.2">
      <c r="B3234" s="24"/>
      <c r="C3234" s="14">
        <v>37272</v>
      </c>
      <c r="D3234" s="18" t="s">
        <v>3370</v>
      </c>
      <c r="E3234" s="18" t="s">
        <v>3371</v>
      </c>
      <c r="F3234" s="17">
        <v>3</v>
      </c>
      <c r="G3234" s="18" t="s">
        <v>902</v>
      </c>
      <c r="H3234" s="17">
        <v>254.4</v>
      </c>
      <c r="I3234" s="15">
        <v>318.3</v>
      </c>
      <c r="J3234" s="21">
        <f t="shared" si="150"/>
        <v>0.25117924528301888</v>
      </c>
      <c r="K3234" s="1">
        <v>1</v>
      </c>
      <c r="L3234" s="24">
        <v>31.8</v>
      </c>
      <c r="M3234" s="24">
        <v>286.47000000000003</v>
      </c>
      <c r="N3234" s="21">
        <f t="shared" si="151"/>
        <v>0.12606132075471707</v>
      </c>
      <c r="P3234" s="1">
        <v>4</v>
      </c>
      <c r="Q3234" s="24">
        <v>31.829999999999984</v>
      </c>
      <c r="R3234" s="24">
        <v>286.47000000000003</v>
      </c>
      <c r="S3234" s="21">
        <f t="shared" si="152"/>
        <v>0.12606132075471707</v>
      </c>
    </row>
    <row r="3235" spans="2:19" ht="11.4" customHeight="1" x14ac:dyDescent="0.2">
      <c r="B3235" s="24"/>
      <c r="C3235" s="14">
        <v>37271</v>
      </c>
      <c r="D3235" s="18" t="s">
        <v>3372</v>
      </c>
      <c r="E3235" s="18" t="s">
        <v>3371</v>
      </c>
      <c r="F3235" s="17">
        <v>3</v>
      </c>
      <c r="G3235" s="18" t="s">
        <v>902</v>
      </c>
      <c r="H3235" s="17">
        <v>254.4</v>
      </c>
      <c r="I3235" s="15">
        <v>318.3</v>
      </c>
      <c r="J3235" s="21">
        <f t="shared" si="150"/>
        <v>0.25117924528301888</v>
      </c>
      <c r="K3235" s="1">
        <v>1</v>
      </c>
      <c r="L3235" s="24">
        <v>31.8</v>
      </c>
      <c r="M3235" s="24">
        <v>286.47000000000003</v>
      </c>
      <c r="N3235" s="21">
        <f t="shared" si="151"/>
        <v>0.12606132075471707</v>
      </c>
      <c r="P3235" s="1">
        <v>4</v>
      </c>
      <c r="Q3235" s="24">
        <v>31.829999999999984</v>
      </c>
      <c r="R3235" s="24">
        <v>286.47000000000003</v>
      </c>
      <c r="S3235" s="21">
        <f t="shared" si="152"/>
        <v>0.12606132075471707</v>
      </c>
    </row>
    <row r="3236" spans="2:19" ht="11.4" customHeight="1" x14ac:dyDescent="0.2">
      <c r="B3236" s="24"/>
      <c r="C3236" s="14">
        <v>37398</v>
      </c>
      <c r="D3236" s="18" t="s">
        <v>3373</v>
      </c>
      <c r="E3236" s="18" t="s">
        <v>3371</v>
      </c>
      <c r="F3236" s="17">
        <v>6</v>
      </c>
      <c r="G3236" s="18" t="s">
        <v>902</v>
      </c>
      <c r="H3236" s="17">
        <v>250.2</v>
      </c>
      <c r="I3236" s="15">
        <v>284.89999999999998</v>
      </c>
      <c r="J3236" s="21">
        <f t="shared" si="150"/>
        <v>0.13868904876099117</v>
      </c>
      <c r="K3236" s="1">
        <v>1</v>
      </c>
      <c r="L3236" s="24">
        <v>28.4</v>
      </c>
      <c r="M3236" s="24">
        <v>256.40999999999997</v>
      </c>
      <c r="N3236" s="21">
        <f t="shared" si="151"/>
        <v>2.4820143884892006E-2</v>
      </c>
      <c r="P3236" s="1">
        <v>4</v>
      </c>
      <c r="Q3236" s="24">
        <v>28.490000000000009</v>
      </c>
      <c r="R3236" s="24">
        <v>256.40999999999997</v>
      </c>
      <c r="S3236" s="21">
        <f t="shared" si="152"/>
        <v>2.4820143884892006E-2</v>
      </c>
    </row>
    <row r="3237" spans="2:19" ht="11.4" customHeight="1" x14ac:dyDescent="0.2">
      <c r="B3237" s="24"/>
      <c r="C3237" s="14">
        <v>37161</v>
      </c>
      <c r="D3237" s="18" t="s">
        <v>3374</v>
      </c>
      <c r="E3237" s="18" t="s">
        <v>3375</v>
      </c>
      <c r="F3237" s="17">
        <v>14</v>
      </c>
      <c r="G3237" s="18" t="s">
        <v>23</v>
      </c>
      <c r="H3237" s="17">
        <v>72.8</v>
      </c>
      <c r="I3237" s="15">
        <v>96.9</v>
      </c>
      <c r="J3237" s="21">
        <f t="shared" si="150"/>
        <v>0.3310439560439562</v>
      </c>
      <c r="K3237" s="1">
        <v>2</v>
      </c>
      <c r="L3237" s="24">
        <v>9.6</v>
      </c>
      <c r="M3237" s="24">
        <v>87.210000000000008</v>
      </c>
      <c r="N3237" s="21">
        <f t="shared" si="151"/>
        <v>0.1979395604395606</v>
      </c>
      <c r="P3237" s="1">
        <v>4</v>
      </c>
      <c r="Q3237" s="24">
        <v>11.628</v>
      </c>
      <c r="R3237" s="24">
        <v>85.272000000000006</v>
      </c>
      <c r="S3237" s="21">
        <f t="shared" si="152"/>
        <v>0.17131868131868144</v>
      </c>
    </row>
    <row r="3238" spans="2:19" ht="11.4" customHeight="1" x14ac:dyDescent="0.2">
      <c r="B3238" s="24"/>
      <c r="C3238" s="14">
        <v>37164</v>
      </c>
      <c r="D3238" s="18" t="s">
        <v>3376</v>
      </c>
      <c r="E3238" s="18" t="s">
        <v>3349</v>
      </c>
      <c r="F3238" s="17">
        <v>30</v>
      </c>
      <c r="G3238" s="18" t="s">
        <v>23</v>
      </c>
      <c r="H3238" s="17">
        <v>92.16</v>
      </c>
      <c r="I3238" s="15">
        <v>164.9</v>
      </c>
      <c r="J3238" s="21">
        <f t="shared" si="150"/>
        <v>0.78927951388888906</v>
      </c>
      <c r="K3238" s="1">
        <v>2</v>
      </c>
      <c r="L3238" s="24">
        <v>16.399999999999999</v>
      </c>
      <c r="M3238" s="24">
        <v>148.41</v>
      </c>
      <c r="N3238" s="21">
        <f t="shared" si="151"/>
        <v>0.6103515625</v>
      </c>
      <c r="P3238" s="1">
        <v>4</v>
      </c>
      <c r="Q3238" s="24">
        <v>19.788000000000011</v>
      </c>
      <c r="R3238" s="24">
        <v>145.11199999999999</v>
      </c>
      <c r="S3238" s="21">
        <f t="shared" si="152"/>
        <v>0.57456597222222228</v>
      </c>
    </row>
    <row r="3239" spans="2:19" ht="11.4" customHeight="1" x14ac:dyDescent="0.2">
      <c r="B3239" s="24"/>
      <c r="C3239" s="14">
        <v>24305</v>
      </c>
      <c r="D3239" s="18" t="s">
        <v>3377</v>
      </c>
      <c r="E3239" s="18" t="s">
        <v>3324</v>
      </c>
      <c r="F3239" s="17">
        <v>24</v>
      </c>
      <c r="G3239" s="18" t="s">
        <v>23</v>
      </c>
      <c r="H3239" s="17">
        <v>26.7</v>
      </c>
      <c r="I3239" s="15">
        <v>31.4</v>
      </c>
      <c r="J3239" s="21">
        <f t="shared" si="150"/>
        <v>0.17602996254681647</v>
      </c>
      <c r="K3239" s="1">
        <v>2</v>
      </c>
      <c r="L3239" s="24">
        <v>3.1</v>
      </c>
      <c r="M3239" s="24">
        <v>28.259999999999998</v>
      </c>
      <c r="N3239" s="21">
        <f t="shared" si="151"/>
        <v>5.8426966292134785E-2</v>
      </c>
      <c r="P3239" s="1">
        <v>4</v>
      </c>
      <c r="Q3239" s="24">
        <v>3.7680000000000007</v>
      </c>
      <c r="R3239" s="24">
        <v>27.631999999999998</v>
      </c>
      <c r="S3239" s="21">
        <f t="shared" si="152"/>
        <v>3.4906367041198448E-2</v>
      </c>
    </row>
    <row r="3240" spans="2:19" ht="11.4" customHeight="1" x14ac:dyDescent="0.2">
      <c r="B3240" s="24"/>
      <c r="C3240" s="14">
        <v>15961</v>
      </c>
      <c r="D3240" s="18" t="s">
        <v>3378</v>
      </c>
      <c r="E3240" s="18" t="s">
        <v>3324</v>
      </c>
      <c r="F3240" s="17">
        <v>24</v>
      </c>
      <c r="G3240" s="18" t="s">
        <v>23</v>
      </c>
      <c r="H3240" s="17">
        <v>28.8</v>
      </c>
      <c r="I3240" s="15">
        <v>32.9</v>
      </c>
      <c r="J3240" s="21">
        <f t="shared" si="150"/>
        <v>0.14236111111111102</v>
      </c>
      <c r="K3240" s="1">
        <v>2</v>
      </c>
      <c r="L3240" s="24">
        <v>3.2</v>
      </c>
      <c r="M3240" s="24">
        <v>29.61</v>
      </c>
      <c r="N3240" s="21">
        <f t="shared" si="151"/>
        <v>2.8124999999999956E-2</v>
      </c>
      <c r="P3240" s="1">
        <v>4</v>
      </c>
      <c r="Q3240" s="24">
        <v>3.9480000000000004</v>
      </c>
      <c r="R3240" s="24">
        <v>28.951999999999998</v>
      </c>
      <c r="S3240" s="21">
        <f t="shared" si="152"/>
        <v>5.2777777777776895E-3</v>
      </c>
    </row>
    <row r="3241" spans="2:19" ht="11.4" customHeight="1" x14ac:dyDescent="0.2">
      <c r="B3241" s="24"/>
      <c r="C3241" s="14">
        <v>33398</v>
      </c>
      <c r="D3241" s="18" t="s">
        <v>3379</v>
      </c>
      <c r="E3241" s="18" t="s">
        <v>3324</v>
      </c>
      <c r="F3241" s="17">
        <v>10</v>
      </c>
      <c r="G3241" s="18" t="s">
        <v>23</v>
      </c>
      <c r="H3241" s="17">
        <v>24.6</v>
      </c>
      <c r="I3241" s="15">
        <v>28.9</v>
      </c>
      <c r="J3241" s="21">
        <f t="shared" si="150"/>
        <v>0.17479674796747954</v>
      </c>
      <c r="K3241" s="1">
        <v>2</v>
      </c>
      <c r="L3241" s="24">
        <v>2.8</v>
      </c>
      <c r="M3241" s="24">
        <v>26.009999999999998</v>
      </c>
      <c r="N3241" s="21">
        <f t="shared" si="151"/>
        <v>5.7317073170731564E-2</v>
      </c>
      <c r="P3241" s="1">
        <v>4</v>
      </c>
      <c r="Q3241" s="24">
        <v>3.468</v>
      </c>
      <c r="R3241" s="24">
        <v>25.431999999999999</v>
      </c>
      <c r="S3241" s="21">
        <f t="shared" si="152"/>
        <v>3.3821138211381996E-2</v>
      </c>
    </row>
    <row r="3242" spans="2:19" ht="11.4" customHeight="1" x14ac:dyDescent="0.2">
      <c r="B3242" s="24"/>
      <c r="C3242" s="14">
        <v>7206</v>
      </c>
      <c r="D3242" s="18" t="s">
        <v>3380</v>
      </c>
      <c r="E3242" s="18" t="s">
        <v>3324</v>
      </c>
      <c r="F3242" s="17">
        <v>48</v>
      </c>
      <c r="G3242" s="18" t="s">
        <v>23</v>
      </c>
      <c r="H3242" s="17">
        <v>19.87</v>
      </c>
      <c r="I3242" s="15">
        <v>24.9</v>
      </c>
      <c r="J3242" s="21">
        <f t="shared" si="150"/>
        <v>0.25314544539506778</v>
      </c>
      <c r="K3242" s="1">
        <v>2</v>
      </c>
      <c r="L3242" s="24">
        <v>2.4</v>
      </c>
      <c r="M3242" s="24">
        <v>22.41</v>
      </c>
      <c r="N3242" s="21">
        <f t="shared" si="151"/>
        <v>0.12783090085556109</v>
      </c>
      <c r="P3242" s="1">
        <v>4</v>
      </c>
      <c r="Q3242" s="24">
        <v>2.9879999999999995</v>
      </c>
      <c r="R3242" s="24">
        <v>21.911999999999999</v>
      </c>
      <c r="S3242" s="21">
        <f t="shared" si="152"/>
        <v>0.10276799194765969</v>
      </c>
    </row>
    <row r="3243" spans="2:19" ht="11.4" customHeight="1" x14ac:dyDescent="0.2">
      <c r="B3243" s="24"/>
      <c r="C3243" s="14">
        <v>43433</v>
      </c>
      <c r="D3243" s="18" t="s">
        <v>3381</v>
      </c>
      <c r="E3243" s="18" t="s">
        <v>3324</v>
      </c>
      <c r="F3243" s="17">
        <v>14</v>
      </c>
      <c r="G3243" s="18" t="s">
        <v>23</v>
      </c>
      <c r="H3243" s="17">
        <v>34.799999999999997</v>
      </c>
      <c r="I3243" s="15">
        <v>41.9</v>
      </c>
      <c r="J3243" s="21">
        <f t="shared" si="150"/>
        <v>0.20402298850574718</v>
      </c>
      <c r="K3243" s="1">
        <v>2</v>
      </c>
      <c r="L3243" s="24">
        <v>4.0999999999999996</v>
      </c>
      <c r="M3243" s="24">
        <v>37.71</v>
      </c>
      <c r="N3243" s="21">
        <f t="shared" si="151"/>
        <v>8.3620689655172525E-2</v>
      </c>
      <c r="P3243" s="1">
        <v>4</v>
      </c>
      <c r="Q3243" s="24">
        <v>5.0279999999999987</v>
      </c>
      <c r="R3243" s="24">
        <v>36.872</v>
      </c>
      <c r="S3243" s="21">
        <f t="shared" si="152"/>
        <v>5.9540229885057555E-2</v>
      </c>
    </row>
    <row r="3244" spans="2:19" ht="11.4" customHeight="1" x14ac:dyDescent="0.2">
      <c r="B3244" s="24"/>
      <c r="C3244" s="14">
        <v>47318</v>
      </c>
      <c r="D3244" s="18" t="s">
        <v>3382</v>
      </c>
      <c r="E3244" s="18" t="s">
        <v>3324</v>
      </c>
      <c r="F3244" s="17">
        <v>288</v>
      </c>
      <c r="G3244" s="18" t="s">
        <v>23</v>
      </c>
      <c r="H3244" s="18"/>
      <c r="I3244" s="15">
        <v>18.899999999999999</v>
      </c>
      <c r="J3244" s="21" t="e">
        <f t="shared" si="150"/>
        <v>#DIV/0!</v>
      </c>
      <c r="K3244" s="1">
        <v>2</v>
      </c>
      <c r="L3244" s="24">
        <v>1.8</v>
      </c>
      <c r="M3244" s="24">
        <v>17.009999999999998</v>
      </c>
      <c r="N3244" s="21" t="e">
        <f t="shared" si="151"/>
        <v>#DIV/0!</v>
      </c>
      <c r="P3244" s="1">
        <v>4</v>
      </c>
      <c r="Q3244" s="24">
        <v>2.2680000000000007</v>
      </c>
      <c r="R3244" s="24">
        <v>16.631999999999998</v>
      </c>
      <c r="S3244" s="21" t="e">
        <f t="shared" si="152"/>
        <v>#DIV/0!</v>
      </c>
    </row>
    <row r="3245" spans="2:19" ht="11.4" customHeight="1" x14ac:dyDescent="0.2">
      <c r="B3245" s="24"/>
      <c r="C3245" s="14">
        <v>16001</v>
      </c>
      <c r="D3245" s="18" t="s">
        <v>3383</v>
      </c>
      <c r="E3245" s="18" t="s">
        <v>3324</v>
      </c>
      <c r="F3245" s="17">
        <v>30</v>
      </c>
      <c r="G3245" s="18" t="s">
        <v>23</v>
      </c>
      <c r="H3245" s="17">
        <v>40.92</v>
      </c>
      <c r="I3245" s="15">
        <v>46.5</v>
      </c>
      <c r="J3245" s="21">
        <f t="shared" si="150"/>
        <v>0.13636363636363633</v>
      </c>
      <c r="K3245" s="1">
        <v>2</v>
      </c>
      <c r="L3245" s="24">
        <v>4.5999999999999996</v>
      </c>
      <c r="M3245" s="24">
        <v>41.85</v>
      </c>
      <c r="N3245" s="21">
        <f t="shared" si="151"/>
        <v>2.2727272727272721E-2</v>
      </c>
      <c r="P3245" s="1">
        <v>4</v>
      </c>
      <c r="Q3245" s="24">
        <v>5.5799999999999983</v>
      </c>
      <c r="R3245" s="24">
        <v>40.92</v>
      </c>
      <c r="S3245" s="21">
        <f t="shared" si="152"/>
        <v>0</v>
      </c>
    </row>
    <row r="3246" spans="2:19" ht="11.4" customHeight="1" x14ac:dyDescent="0.2">
      <c r="B3246" s="24"/>
      <c r="C3246" s="14">
        <v>30837</v>
      </c>
      <c r="D3246" s="18" t="s">
        <v>3384</v>
      </c>
      <c r="E3246" s="18" t="s">
        <v>3324</v>
      </c>
      <c r="F3246" s="17">
        <v>20</v>
      </c>
      <c r="G3246" s="18" t="s">
        <v>23</v>
      </c>
      <c r="H3246" s="17">
        <v>26.1</v>
      </c>
      <c r="I3246" s="15">
        <v>33.5</v>
      </c>
      <c r="J3246" s="21">
        <f t="shared" si="150"/>
        <v>0.28352490421455934</v>
      </c>
      <c r="K3246" s="1">
        <v>2</v>
      </c>
      <c r="L3246" s="24">
        <v>3.3</v>
      </c>
      <c r="M3246" s="24">
        <v>30.150000000000002</v>
      </c>
      <c r="N3246" s="21">
        <f t="shared" si="151"/>
        <v>0.15517241379310348</v>
      </c>
      <c r="P3246" s="1">
        <v>4</v>
      </c>
      <c r="Q3246" s="24">
        <v>4.0199999999999996</v>
      </c>
      <c r="R3246" s="24">
        <v>29.48</v>
      </c>
      <c r="S3246" s="21">
        <f t="shared" si="152"/>
        <v>0.12950191570881223</v>
      </c>
    </row>
    <row r="3247" spans="2:19" ht="11.4" customHeight="1" x14ac:dyDescent="0.2">
      <c r="B3247" s="24"/>
      <c r="C3247" s="14">
        <v>44721</v>
      </c>
      <c r="D3247" s="18" t="s">
        <v>3385</v>
      </c>
      <c r="E3247" s="18" t="s">
        <v>3324</v>
      </c>
      <c r="F3247" s="17">
        <v>30</v>
      </c>
      <c r="G3247" s="18" t="s">
        <v>23</v>
      </c>
      <c r="H3247" s="17">
        <v>17.809999999999999</v>
      </c>
      <c r="I3247" s="15">
        <v>22.8</v>
      </c>
      <c r="J3247" s="21">
        <f t="shared" si="150"/>
        <v>0.28017967434025842</v>
      </c>
      <c r="K3247" s="1">
        <v>2</v>
      </c>
      <c r="L3247" s="24">
        <v>2.2000000000000002</v>
      </c>
      <c r="M3247" s="24">
        <v>20.52</v>
      </c>
      <c r="N3247" s="21">
        <f t="shared" si="151"/>
        <v>0.15216170690623251</v>
      </c>
      <c r="P3247" s="1">
        <v>4</v>
      </c>
      <c r="Q3247" s="24">
        <v>2.7360000000000007</v>
      </c>
      <c r="R3247" s="24">
        <v>20.064</v>
      </c>
      <c r="S3247" s="21">
        <f t="shared" si="152"/>
        <v>0.12655811341942738</v>
      </c>
    </row>
    <row r="3248" spans="2:19" ht="11.4" customHeight="1" x14ac:dyDescent="0.2">
      <c r="B3248" s="24"/>
      <c r="C3248" s="14">
        <v>44728</v>
      </c>
      <c r="D3248" s="18" t="s">
        <v>3386</v>
      </c>
      <c r="E3248" s="18" t="s">
        <v>3324</v>
      </c>
      <c r="F3248" s="17">
        <v>30</v>
      </c>
      <c r="G3248" s="18" t="s">
        <v>23</v>
      </c>
      <c r="H3248" s="17">
        <v>15.77</v>
      </c>
      <c r="I3248" s="15">
        <v>18.899999999999999</v>
      </c>
      <c r="J3248" s="21">
        <f t="shared" si="150"/>
        <v>0.1984781230183893</v>
      </c>
      <c r="K3248" s="1">
        <v>2</v>
      </c>
      <c r="L3248" s="24">
        <v>1.8</v>
      </c>
      <c r="M3248" s="24">
        <v>17.009999999999998</v>
      </c>
      <c r="N3248" s="21">
        <f t="shared" si="151"/>
        <v>7.8630310716550314E-2</v>
      </c>
      <c r="P3248" s="1">
        <v>4</v>
      </c>
      <c r="Q3248" s="24">
        <v>2.2680000000000007</v>
      </c>
      <c r="R3248" s="24">
        <v>16.631999999999998</v>
      </c>
      <c r="S3248" s="21">
        <f t="shared" si="152"/>
        <v>5.4660748256182522E-2</v>
      </c>
    </row>
    <row r="3249" spans="2:19" ht="11.4" customHeight="1" x14ac:dyDescent="0.2">
      <c r="B3249" s="24"/>
      <c r="C3249" s="14">
        <v>33670</v>
      </c>
      <c r="D3249" s="18" t="s">
        <v>3387</v>
      </c>
      <c r="E3249" s="18" t="s">
        <v>3324</v>
      </c>
      <c r="F3249" s="17">
        <v>30</v>
      </c>
      <c r="G3249" s="18" t="s">
        <v>23</v>
      </c>
      <c r="H3249" s="17">
        <v>17.809999999999999</v>
      </c>
      <c r="I3249" s="15">
        <v>22.8</v>
      </c>
      <c r="J3249" s="21">
        <f t="shared" si="150"/>
        <v>0.28017967434025842</v>
      </c>
      <c r="K3249" s="1">
        <v>2</v>
      </c>
      <c r="L3249" s="24">
        <v>2.2000000000000002</v>
      </c>
      <c r="M3249" s="24">
        <v>20.52</v>
      </c>
      <c r="N3249" s="21">
        <f t="shared" si="151"/>
        <v>0.15216170690623251</v>
      </c>
      <c r="P3249" s="1">
        <v>4</v>
      </c>
      <c r="Q3249" s="24">
        <v>2.7360000000000007</v>
      </c>
      <c r="R3249" s="24">
        <v>20.064</v>
      </c>
      <c r="S3249" s="21">
        <f t="shared" si="152"/>
        <v>0.12655811341942738</v>
      </c>
    </row>
    <row r="3250" spans="2:19" ht="11.4" customHeight="1" x14ac:dyDescent="0.2">
      <c r="B3250" s="24"/>
      <c r="C3250" s="14">
        <v>44731</v>
      </c>
      <c r="D3250" s="18" t="s">
        <v>3388</v>
      </c>
      <c r="E3250" s="18" t="s">
        <v>3324</v>
      </c>
      <c r="F3250" s="17">
        <v>30</v>
      </c>
      <c r="G3250" s="18" t="s">
        <v>23</v>
      </c>
      <c r="H3250" s="17">
        <v>15.76</v>
      </c>
      <c r="I3250" s="15">
        <v>18.899999999999999</v>
      </c>
      <c r="J3250" s="21">
        <f t="shared" si="150"/>
        <v>0.19923857868020298</v>
      </c>
      <c r="K3250" s="1">
        <v>2</v>
      </c>
      <c r="L3250" s="24">
        <v>1.8</v>
      </c>
      <c r="M3250" s="24">
        <v>17.009999999999998</v>
      </c>
      <c r="N3250" s="21">
        <f t="shared" si="151"/>
        <v>7.9314720812182632E-2</v>
      </c>
      <c r="P3250" s="1">
        <v>4</v>
      </c>
      <c r="Q3250" s="24">
        <v>2.2680000000000007</v>
      </c>
      <c r="R3250" s="24">
        <v>16.631999999999998</v>
      </c>
      <c r="S3250" s="21">
        <f t="shared" si="152"/>
        <v>5.5329949238578563E-2</v>
      </c>
    </row>
    <row r="3251" spans="2:19" ht="11.4" customHeight="1" x14ac:dyDescent="0.2">
      <c r="B3251" s="24"/>
      <c r="C3251" s="14">
        <v>44087</v>
      </c>
      <c r="D3251" s="18" t="s">
        <v>3389</v>
      </c>
      <c r="E3251" s="18" t="s">
        <v>3324</v>
      </c>
      <c r="F3251" s="17">
        <v>24</v>
      </c>
      <c r="G3251" s="18" t="s">
        <v>23</v>
      </c>
      <c r="H3251" s="17">
        <v>12.29</v>
      </c>
      <c r="I3251" s="15">
        <v>23.5</v>
      </c>
      <c r="J3251" s="21">
        <f t="shared" si="150"/>
        <v>0.91212367778681869</v>
      </c>
      <c r="K3251" s="1">
        <v>2</v>
      </c>
      <c r="L3251" s="24">
        <v>2.2999999999999998</v>
      </c>
      <c r="M3251" s="24">
        <v>21.150000000000002</v>
      </c>
      <c r="N3251" s="21">
        <f t="shared" si="151"/>
        <v>0.72091131000813702</v>
      </c>
      <c r="P3251" s="1">
        <v>4</v>
      </c>
      <c r="Q3251" s="24">
        <v>2.8200000000000003</v>
      </c>
      <c r="R3251" s="24">
        <v>20.68</v>
      </c>
      <c r="S3251" s="21">
        <f t="shared" si="152"/>
        <v>0.6826688364524004</v>
      </c>
    </row>
    <row r="3252" spans="2:19" ht="11.4" customHeight="1" x14ac:dyDescent="0.2">
      <c r="B3252" s="24"/>
      <c r="C3252" s="14">
        <v>7207</v>
      </c>
      <c r="D3252" s="18" t="s">
        <v>3390</v>
      </c>
      <c r="E3252" s="18" t="s">
        <v>3324</v>
      </c>
      <c r="F3252" s="17">
        <v>42</v>
      </c>
      <c r="G3252" s="18" t="s">
        <v>23</v>
      </c>
      <c r="H3252" s="17">
        <v>19.87</v>
      </c>
      <c r="I3252" s="15">
        <v>24.9</v>
      </c>
      <c r="J3252" s="21">
        <f t="shared" si="150"/>
        <v>0.25314544539506778</v>
      </c>
      <c r="K3252" s="1">
        <v>2</v>
      </c>
      <c r="L3252" s="24">
        <v>2.4</v>
      </c>
      <c r="M3252" s="24">
        <v>22.41</v>
      </c>
      <c r="N3252" s="21">
        <f t="shared" si="151"/>
        <v>0.12783090085556109</v>
      </c>
      <c r="P3252" s="1">
        <v>4</v>
      </c>
      <c r="Q3252" s="24">
        <v>2.9879999999999995</v>
      </c>
      <c r="R3252" s="24">
        <v>21.911999999999999</v>
      </c>
      <c r="S3252" s="21">
        <f t="shared" si="152"/>
        <v>0.10276799194765969</v>
      </c>
    </row>
    <row r="3253" spans="2:19" ht="11.4" customHeight="1" x14ac:dyDescent="0.2">
      <c r="B3253" s="24"/>
      <c r="C3253" s="14">
        <v>15988</v>
      </c>
      <c r="D3253" s="18" t="s">
        <v>3391</v>
      </c>
      <c r="E3253" s="18" t="s">
        <v>3324</v>
      </c>
      <c r="F3253" s="17">
        <v>40</v>
      </c>
      <c r="G3253" s="18" t="s">
        <v>23</v>
      </c>
      <c r="H3253" s="17">
        <v>26.4</v>
      </c>
      <c r="I3253" s="15">
        <v>31.5</v>
      </c>
      <c r="J3253" s="21">
        <f t="shared" si="150"/>
        <v>0.19318181818181823</v>
      </c>
      <c r="K3253" s="1">
        <v>2</v>
      </c>
      <c r="L3253" s="24">
        <v>3.1</v>
      </c>
      <c r="M3253" s="24">
        <v>28.35</v>
      </c>
      <c r="N3253" s="21">
        <f t="shared" si="151"/>
        <v>7.3863636363636478E-2</v>
      </c>
      <c r="P3253" s="1">
        <v>4</v>
      </c>
      <c r="Q3253" s="24">
        <v>3.7800000000000011</v>
      </c>
      <c r="R3253" s="24">
        <v>27.72</v>
      </c>
      <c r="S3253" s="21">
        <f t="shared" si="152"/>
        <v>5.0000000000000017E-2</v>
      </c>
    </row>
    <row r="3254" spans="2:19" ht="11.4" customHeight="1" x14ac:dyDescent="0.2">
      <c r="B3254" s="24"/>
      <c r="C3254" s="14">
        <v>15989</v>
      </c>
      <c r="D3254" s="18" t="s">
        <v>3392</v>
      </c>
      <c r="E3254" s="18" t="s">
        <v>3324</v>
      </c>
      <c r="F3254" s="17">
        <v>24</v>
      </c>
      <c r="G3254" s="18" t="s">
        <v>23</v>
      </c>
      <c r="H3254" s="17">
        <v>40.92</v>
      </c>
      <c r="I3254" s="15">
        <v>46.5</v>
      </c>
      <c r="J3254" s="21">
        <f t="shared" si="150"/>
        <v>0.13636363636363633</v>
      </c>
      <c r="K3254" s="1">
        <v>2</v>
      </c>
      <c r="L3254" s="24">
        <v>4.5999999999999996</v>
      </c>
      <c r="M3254" s="24">
        <v>41.85</v>
      </c>
      <c r="N3254" s="21">
        <f t="shared" si="151"/>
        <v>2.2727272727272721E-2</v>
      </c>
      <c r="P3254" s="1">
        <v>4</v>
      </c>
      <c r="Q3254" s="24">
        <v>5.5799999999999983</v>
      </c>
      <c r="R3254" s="24">
        <v>40.92</v>
      </c>
      <c r="S3254" s="21">
        <f t="shared" si="152"/>
        <v>0</v>
      </c>
    </row>
    <row r="3255" spans="2:19" ht="11.4" customHeight="1" x14ac:dyDescent="0.2">
      <c r="B3255" s="24"/>
      <c r="C3255" s="14">
        <v>27100</v>
      </c>
      <c r="D3255" s="18" t="s">
        <v>3393</v>
      </c>
      <c r="E3255" s="18" t="s">
        <v>3324</v>
      </c>
      <c r="F3255" s="17">
        <v>28</v>
      </c>
      <c r="G3255" s="18" t="s">
        <v>23</v>
      </c>
      <c r="H3255" s="17">
        <v>17.809999999999999</v>
      </c>
      <c r="I3255" s="15">
        <v>21.3</v>
      </c>
      <c r="J3255" s="21">
        <f t="shared" si="150"/>
        <v>0.19595732734418878</v>
      </c>
      <c r="K3255" s="1">
        <v>2</v>
      </c>
      <c r="L3255" s="24">
        <v>2.1</v>
      </c>
      <c r="M3255" s="24">
        <v>19.170000000000002</v>
      </c>
      <c r="N3255" s="21">
        <f t="shared" si="151"/>
        <v>7.6361594609769962E-2</v>
      </c>
      <c r="P3255" s="1">
        <v>4</v>
      </c>
      <c r="Q3255" s="24">
        <v>2.5560000000000009</v>
      </c>
      <c r="R3255" s="24">
        <v>18.744</v>
      </c>
      <c r="S3255" s="21">
        <f t="shared" si="152"/>
        <v>5.2442448062886081E-2</v>
      </c>
    </row>
    <row r="3256" spans="2:19" ht="11.4" customHeight="1" x14ac:dyDescent="0.2">
      <c r="B3256" s="24"/>
      <c r="C3256" s="14">
        <v>44034</v>
      </c>
      <c r="D3256" s="18" t="s">
        <v>3394</v>
      </c>
      <c r="E3256" s="18" t="s">
        <v>3324</v>
      </c>
      <c r="F3256" s="17">
        <v>28</v>
      </c>
      <c r="G3256" s="18" t="s">
        <v>23</v>
      </c>
      <c r="H3256" s="17">
        <v>13.25</v>
      </c>
      <c r="I3256" s="15">
        <v>15.9</v>
      </c>
      <c r="J3256" s="21">
        <f t="shared" si="150"/>
        <v>0.20000000000000004</v>
      </c>
      <c r="K3256" s="1">
        <v>2</v>
      </c>
      <c r="L3256" s="24">
        <v>1.5</v>
      </c>
      <c r="M3256" s="24">
        <v>14.31</v>
      </c>
      <c r="N3256" s="21">
        <f t="shared" si="151"/>
        <v>8.0000000000000043E-2</v>
      </c>
      <c r="P3256" s="1">
        <v>4</v>
      </c>
      <c r="Q3256" s="24">
        <v>1.9079999999999995</v>
      </c>
      <c r="R3256" s="24">
        <v>13.992000000000001</v>
      </c>
      <c r="S3256" s="21">
        <f t="shared" si="152"/>
        <v>5.6000000000000064E-2</v>
      </c>
    </row>
    <row r="3257" spans="2:19" ht="11.4" customHeight="1" x14ac:dyDescent="0.2">
      <c r="B3257" s="24"/>
      <c r="C3257" s="14">
        <v>27099</v>
      </c>
      <c r="D3257" s="18" t="s">
        <v>3395</v>
      </c>
      <c r="E3257" s="18" t="s">
        <v>3324</v>
      </c>
      <c r="F3257" s="17">
        <v>24</v>
      </c>
      <c r="G3257" s="18" t="s">
        <v>23</v>
      </c>
      <c r="H3257" s="17">
        <v>17.809999999999999</v>
      </c>
      <c r="I3257" s="15">
        <v>21.3</v>
      </c>
      <c r="J3257" s="21">
        <f t="shared" si="150"/>
        <v>0.19595732734418878</v>
      </c>
      <c r="K3257" s="1">
        <v>2</v>
      </c>
      <c r="L3257" s="24">
        <v>2.1</v>
      </c>
      <c r="M3257" s="24">
        <v>19.170000000000002</v>
      </c>
      <c r="N3257" s="21">
        <f t="shared" si="151"/>
        <v>7.6361594609769962E-2</v>
      </c>
      <c r="P3257" s="1">
        <v>4</v>
      </c>
      <c r="Q3257" s="24">
        <v>2.5560000000000009</v>
      </c>
      <c r="R3257" s="24">
        <v>18.744</v>
      </c>
      <c r="S3257" s="21">
        <f t="shared" si="152"/>
        <v>5.2442448062886081E-2</v>
      </c>
    </row>
    <row r="3258" spans="2:19" ht="11.4" customHeight="1" x14ac:dyDescent="0.2">
      <c r="B3258" s="24"/>
      <c r="C3258" s="14">
        <v>44033</v>
      </c>
      <c r="D3258" s="18" t="s">
        <v>3396</v>
      </c>
      <c r="E3258" s="18" t="s">
        <v>3324</v>
      </c>
      <c r="F3258" s="17">
        <v>24</v>
      </c>
      <c r="G3258" s="18" t="s">
        <v>23</v>
      </c>
      <c r="H3258" s="17">
        <v>13.25</v>
      </c>
      <c r="I3258" s="15">
        <v>15.9</v>
      </c>
      <c r="J3258" s="21">
        <f t="shared" si="150"/>
        <v>0.20000000000000004</v>
      </c>
      <c r="K3258" s="1">
        <v>2</v>
      </c>
      <c r="L3258" s="24">
        <v>1.5</v>
      </c>
      <c r="M3258" s="24">
        <v>14.31</v>
      </c>
      <c r="N3258" s="21">
        <f t="shared" si="151"/>
        <v>8.0000000000000043E-2</v>
      </c>
      <c r="P3258" s="1">
        <v>4</v>
      </c>
      <c r="Q3258" s="24">
        <v>1.9079999999999995</v>
      </c>
      <c r="R3258" s="24">
        <v>13.992000000000001</v>
      </c>
      <c r="S3258" s="21">
        <f t="shared" si="152"/>
        <v>5.6000000000000064E-2</v>
      </c>
    </row>
    <row r="3259" spans="2:19" ht="11.4" customHeight="1" x14ac:dyDescent="0.2">
      <c r="B3259" s="24"/>
      <c r="C3259" s="14">
        <v>22541</v>
      </c>
      <c r="D3259" s="18" t="s">
        <v>3397</v>
      </c>
      <c r="E3259" s="18" t="s">
        <v>3324</v>
      </c>
      <c r="F3259" s="17">
        <v>30</v>
      </c>
      <c r="G3259" s="18" t="s">
        <v>23</v>
      </c>
      <c r="H3259" s="17">
        <v>17.809999999999999</v>
      </c>
      <c r="I3259" s="15">
        <v>22.8</v>
      </c>
      <c r="J3259" s="21">
        <f t="shared" si="150"/>
        <v>0.28017967434025842</v>
      </c>
      <c r="K3259" s="1">
        <v>2</v>
      </c>
      <c r="L3259" s="24">
        <v>2.2000000000000002</v>
      </c>
      <c r="M3259" s="24">
        <v>20.52</v>
      </c>
      <c r="N3259" s="21">
        <f t="shared" si="151"/>
        <v>0.15216170690623251</v>
      </c>
      <c r="P3259" s="1">
        <v>4</v>
      </c>
      <c r="Q3259" s="24">
        <v>2.7360000000000007</v>
      </c>
      <c r="R3259" s="24">
        <v>20.064</v>
      </c>
      <c r="S3259" s="21">
        <f t="shared" si="152"/>
        <v>0.12655811341942738</v>
      </c>
    </row>
    <row r="3260" spans="2:19" ht="11.4" customHeight="1" x14ac:dyDescent="0.2">
      <c r="B3260" s="24"/>
      <c r="C3260" s="14">
        <v>44732</v>
      </c>
      <c r="D3260" s="18" t="s">
        <v>3398</v>
      </c>
      <c r="E3260" s="18" t="s">
        <v>3324</v>
      </c>
      <c r="F3260" s="17">
        <v>30</v>
      </c>
      <c r="G3260" s="18" t="s">
        <v>23</v>
      </c>
      <c r="H3260" s="17">
        <v>15.76</v>
      </c>
      <c r="I3260" s="15">
        <v>18.899999999999999</v>
      </c>
      <c r="J3260" s="21">
        <f t="shared" si="150"/>
        <v>0.19923857868020298</v>
      </c>
      <c r="K3260" s="1">
        <v>2</v>
      </c>
      <c r="L3260" s="24">
        <v>1.8</v>
      </c>
      <c r="M3260" s="24">
        <v>17.009999999999998</v>
      </c>
      <c r="N3260" s="21">
        <f t="shared" si="151"/>
        <v>7.9314720812182632E-2</v>
      </c>
      <c r="P3260" s="1">
        <v>4</v>
      </c>
      <c r="Q3260" s="24">
        <v>2.2680000000000007</v>
      </c>
      <c r="R3260" s="24">
        <v>16.631999999999998</v>
      </c>
      <c r="S3260" s="21">
        <f t="shared" si="152"/>
        <v>5.5329949238578563E-2</v>
      </c>
    </row>
    <row r="3261" spans="2:19" ht="11.4" customHeight="1" x14ac:dyDescent="0.2">
      <c r="B3261" s="24"/>
      <c r="C3261" s="14">
        <v>35043</v>
      </c>
      <c r="D3261" s="18" t="s">
        <v>3399</v>
      </c>
      <c r="E3261" s="18" t="s">
        <v>3324</v>
      </c>
      <c r="F3261" s="17">
        <v>30</v>
      </c>
      <c r="G3261" s="18" t="s">
        <v>23</v>
      </c>
      <c r="H3261" s="17">
        <v>16.3</v>
      </c>
      <c r="I3261" s="15">
        <v>22.8</v>
      </c>
      <c r="J3261" s="21">
        <f t="shared" si="150"/>
        <v>0.3987730061349693</v>
      </c>
      <c r="K3261" s="1">
        <v>2</v>
      </c>
      <c r="L3261" s="24">
        <v>2.2000000000000002</v>
      </c>
      <c r="M3261" s="24">
        <v>20.52</v>
      </c>
      <c r="N3261" s="21">
        <f t="shared" si="151"/>
        <v>0.25889570552147229</v>
      </c>
      <c r="P3261" s="1">
        <v>4</v>
      </c>
      <c r="Q3261" s="24">
        <v>2.7360000000000007</v>
      </c>
      <c r="R3261" s="24">
        <v>20.064</v>
      </c>
      <c r="S3261" s="21">
        <f t="shared" si="152"/>
        <v>0.23092024539877296</v>
      </c>
    </row>
    <row r="3262" spans="2:19" ht="11.4" customHeight="1" x14ac:dyDescent="0.2">
      <c r="B3262" s="24"/>
      <c r="C3262" s="14">
        <v>44727</v>
      </c>
      <c r="D3262" s="18" t="s">
        <v>3400</v>
      </c>
      <c r="E3262" s="18" t="s">
        <v>3324</v>
      </c>
      <c r="F3262" s="17">
        <v>30</v>
      </c>
      <c r="G3262" s="18" t="s">
        <v>23</v>
      </c>
      <c r="H3262" s="17">
        <v>15.76</v>
      </c>
      <c r="I3262" s="15">
        <v>18.899999999999999</v>
      </c>
      <c r="J3262" s="21">
        <f t="shared" si="150"/>
        <v>0.19923857868020298</v>
      </c>
      <c r="K3262" s="1">
        <v>2</v>
      </c>
      <c r="L3262" s="24">
        <v>1.8</v>
      </c>
      <c r="M3262" s="24">
        <v>17.009999999999998</v>
      </c>
      <c r="N3262" s="21">
        <f t="shared" si="151"/>
        <v>7.9314720812182632E-2</v>
      </c>
      <c r="P3262" s="1">
        <v>4</v>
      </c>
      <c r="Q3262" s="24">
        <v>2.2680000000000007</v>
      </c>
      <c r="R3262" s="24">
        <v>16.631999999999998</v>
      </c>
      <c r="S3262" s="21">
        <f t="shared" si="152"/>
        <v>5.5329949238578563E-2</v>
      </c>
    </row>
    <row r="3263" spans="2:19" ht="11.4" customHeight="1" x14ac:dyDescent="0.2">
      <c r="B3263" s="24"/>
      <c r="C3263" s="14">
        <v>3227</v>
      </c>
      <c r="D3263" s="18" t="s">
        <v>3401</v>
      </c>
      <c r="E3263" s="18" t="s">
        <v>3324</v>
      </c>
      <c r="F3263" s="17">
        <v>30</v>
      </c>
      <c r="G3263" s="18" t="s">
        <v>23</v>
      </c>
      <c r="H3263" s="17">
        <v>17.809999999999999</v>
      </c>
      <c r="I3263" s="15">
        <v>22.8</v>
      </c>
      <c r="J3263" s="21">
        <f t="shared" si="150"/>
        <v>0.28017967434025842</v>
      </c>
      <c r="K3263" s="1">
        <v>2</v>
      </c>
      <c r="L3263" s="24">
        <v>2.2000000000000002</v>
      </c>
      <c r="M3263" s="24">
        <v>20.52</v>
      </c>
      <c r="N3263" s="21">
        <f t="shared" si="151"/>
        <v>0.15216170690623251</v>
      </c>
      <c r="P3263" s="1">
        <v>4</v>
      </c>
      <c r="Q3263" s="24">
        <v>2.7360000000000007</v>
      </c>
      <c r="R3263" s="24">
        <v>20.064</v>
      </c>
      <c r="S3263" s="21">
        <f t="shared" si="152"/>
        <v>0.12655811341942738</v>
      </c>
    </row>
    <row r="3264" spans="2:19" ht="11.4" customHeight="1" x14ac:dyDescent="0.2">
      <c r="B3264" s="24"/>
      <c r="C3264" s="14">
        <v>44730</v>
      </c>
      <c r="D3264" s="18" t="s">
        <v>3402</v>
      </c>
      <c r="E3264" s="18" t="s">
        <v>3324</v>
      </c>
      <c r="F3264" s="17">
        <v>30</v>
      </c>
      <c r="G3264" s="18" t="s">
        <v>23</v>
      </c>
      <c r="H3264" s="17">
        <v>15.76</v>
      </c>
      <c r="I3264" s="15">
        <v>18.899999999999999</v>
      </c>
      <c r="J3264" s="21">
        <f t="shared" si="150"/>
        <v>0.19923857868020298</v>
      </c>
      <c r="K3264" s="1">
        <v>2</v>
      </c>
      <c r="L3264" s="24">
        <v>1.8</v>
      </c>
      <c r="M3264" s="24">
        <v>17.009999999999998</v>
      </c>
      <c r="N3264" s="21">
        <f t="shared" si="151"/>
        <v>7.9314720812182632E-2</v>
      </c>
      <c r="P3264" s="1">
        <v>4</v>
      </c>
      <c r="Q3264" s="24">
        <v>2.2680000000000007</v>
      </c>
      <c r="R3264" s="24">
        <v>16.631999999999998</v>
      </c>
      <c r="S3264" s="21">
        <f t="shared" si="152"/>
        <v>5.5329949238578563E-2</v>
      </c>
    </row>
    <row r="3265" spans="2:19" ht="11.4" customHeight="1" x14ac:dyDescent="0.2">
      <c r="B3265" s="24"/>
      <c r="C3265" s="14">
        <v>6902</v>
      </c>
      <c r="D3265" s="18" t="s">
        <v>3403</v>
      </c>
      <c r="E3265" s="18" t="s">
        <v>3324</v>
      </c>
      <c r="F3265" s="17">
        <v>180</v>
      </c>
      <c r="G3265" s="18" t="s">
        <v>23</v>
      </c>
      <c r="H3265" s="17">
        <v>17.809999999999999</v>
      </c>
      <c r="I3265" s="15">
        <v>22.8</v>
      </c>
      <c r="J3265" s="21">
        <f t="shared" si="150"/>
        <v>0.28017967434025842</v>
      </c>
      <c r="K3265" s="1">
        <v>2</v>
      </c>
      <c r="L3265" s="24">
        <v>2.2000000000000002</v>
      </c>
      <c r="M3265" s="24">
        <v>20.52</v>
      </c>
      <c r="N3265" s="21">
        <f t="shared" si="151"/>
        <v>0.15216170690623251</v>
      </c>
      <c r="P3265" s="1">
        <v>4</v>
      </c>
      <c r="Q3265" s="24">
        <v>2.7360000000000007</v>
      </c>
      <c r="R3265" s="24">
        <v>20.064</v>
      </c>
      <c r="S3265" s="21">
        <f t="shared" si="152"/>
        <v>0.12655811341942738</v>
      </c>
    </row>
    <row r="3266" spans="2:19" ht="11.4" customHeight="1" x14ac:dyDescent="0.2">
      <c r="B3266" s="24"/>
      <c r="C3266" s="14">
        <v>8316</v>
      </c>
      <c r="D3266" s="18" t="s">
        <v>3404</v>
      </c>
      <c r="E3266" s="18" t="s">
        <v>3324</v>
      </c>
      <c r="F3266" s="17">
        <v>24</v>
      </c>
      <c r="G3266" s="18" t="s">
        <v>23</v>
      </c>
      <c r="H3266" s="17">
        <v>31.86</v>
      </c>
      <c r="I3266" s="15">
        <v>39.9</v>
      </c>
      <c r="J3266" s="21">
        <f t="shared" si="150"/>
        <v>0.25235404896421842</v>
      </c>
      <c r="K3266" s="1">
        <v>2</v>
      </c>
      <c r="L3266" s="24">
        <v>3.9</v>
      </c>
      <c r="M3266" s="24">
        <v>35.909999999999997</v>
      </c>
      <c r="N3266" s="21">
        <f t="shared" si="151"/>
        <v>0.12711864406779652</v>
      </c>
      <c r="P3266" s="1">
        <v>4</v>
      </c>
      <c r="Q3266" s="24">
        <v>4.7879999999999967</v>
      </c>
      <c r="R3266" s="24">
        <v>35.112000000000002</v>
      </c>
      <c r="S3266" s="21">
        <f t="shared" si="152"/>
        <v>0.10207156308851233</v>
      </c>
    </row>
    <row r="3267" spans="2:19" ht="11.4" customHeight="1" x14ac:dyDescent="0.2">
      <c r="B3267" s="24"/>
      <c r="C3267" s="14">
        <v>7208</v>
      </c>
      <c r="D3267" s="18" t="s">
        <v>3405</v>
      </c>
      <c r="E3267" s="18" t="s">
        <v>3324</v>
      </c>
      <c r="F3267" s="17">
        <v>24</v>
      </c>
      <c r="G3267" s="18" t="s">
        <v>23</v>
      </c>
      <c r="H3267" s="17">
        <v>47.95</v>
      </c>
      <c r="I3267" s="15">
        <v>59.9</v>
      </c>
      <c r="J3267" s="21">
        <f t="shared" ref="J3267:J3330" si="153">(I3267-H3267)/H3267</f>
        <v>0.2492179353493221</v>
      </c>
      <c r="K3267" s="1">
        <v>2</v>
      </c>
      <c r="L3267" s="24">
        <v>5.9</v>
      </c>
      <c r="M3267" s="24">
        <v>53.91</v>
      </c>
      <c r="N3267" s="21">
        <f t="shared" ref="N3267:N3330" si="154">(M3267-H3267)/H3267</f>
        <v>0.12429614181438985</v>
      </c>
      <c r="P3267" s="1">
        <v>4</v>
      </c>
      <c r="Q3267" s="24">
        <v>7.1880000000000024</v>
      </c>
      <c r="R3267" s="24">
        <v>52.711999999999996</v>
      </c>
      <c r="S3267" s="21">
        <f t="shared" ref="S3267:S3330" si="155">(R3267-H3267)/H3267</f>
        <v>9.9311783107403406E-2</v>
      </c>
    </row>
    <row r="3268" spans="2:19" ht="11.4" customHeight="1" x14ac:dyDescent="0.2">
      <c r="B3268" s="24"/>
      <c r="C3268" s="14">
        <v>1334</v>
      </c>
      <c r="D3268" s="18" t="s">
        <v>3406</v>
      </c>
      <c r="E3268" s="18" t="s">
        <v>3324</v>
      </c>
      <c r="F3268" s="17">
        <v>40</v>
      </c>
      <c r="G3268" s="18" t="s">
        <v>23</v>
      </c>
      <c r="H3268" s="17">
        <v>26.7</v>
      </c>
      <c r="I3268" s="15">
        <v>30.5</v>
      </c>
      <c r="J3268" s="21">
        <f t="shared" si="153"/>
        <v>0.1423220973782772</v>
      </c>
      <c r="K3268" s="1">
        <v>2</v>
      </c>
      <c r="L3268" s="24">
        <v>3</v>
      </c>
      <c r="M3268" s="24">
        <v>27.45</v>
      </c>
      <c r="N3268" s="21">
        <f t="shared" si="154"/>
        <v>2.8089887640449437E-2</v>
      </c>
      <c r="P3268" s="1">
        <v>4</v>
      </c>
      <c r="Q3268" s="24">
        <v>3.66</v>
      </c>
      <c r="R3268" s="24">
        <v>26.84</v>
      </c>
      <c r="S3268" s="21">
        <f t="shared" si="155"/>
        <v>5.2434456928839163E-3</v>
      </c>
    </row>
    <row r="3269" spans="2:19" ht="11.4" customHeight="1" x14ac:dyDescent="0.2">
      <c r="B3269" s="24"/>
      <c r="C3269" s="14">
        <v>1358</v>
      </c>
      <c r="D3269" s="18" t="s">
        <v>3407</v>
      </c>
      <c r="E3269" s="18" t="s">
        <v>3324</v>
      </c>
      <c r="F3269" s="17">
        <v>32</v>
      </c>
      <c r="G3269" s="18" t="s">
        <v>23</v>
      </c>
      <c r="H3269" s="17">
        <v>26.7</v>
      </c>
      <c r="I3269" s="15">
        <v>30.5</v>
      </c>
      <c r="J3269" s="21">
        <f t="shared" si="153"/>
        <v>0.1423220973782772</v>
      </c>
      <c r="K3269" s="1">
        <v>2</v>
      </c>
      <c r="L3269" s="24">
        <v>3</v>
      </c>
      <c r="M3269" s="24">
        <v>27.45</v>
      </c>
      <c r="N3269" s="21">
        <f t="shared" si="154"/>
        <v>2.8089887640449437E-2</v>
      </c>
      <c r="P3269" s="1">
        <v>4</v>
      </c>
      <c r="Q3269" s="24">
        <v>3.66</v>
      </c>
      <c r="R3269" s="24">
        <v>26.84</v>
      </c>
      <c r="S3269" s="21">
        <f t="shared" si="155"/>
        <v>5.2434456928839163E-3</v>
      </c>
    </row>
    <row r="3270" spans="2:19" ht="11.4" customHeight="1" x14ac:dyDescent="0.2">
      <c r="B3270" s="24"/>
      <c r="C3270" s="14">
        <v>1357</v>
      </c>
      <c r="D3270" s="18" t="s">
        <v>3408</v>
      </c>
      <c r="E3270" s="18" t="s">
        <v>3324</v>
      </c>
      <c r="F3270" s="17">
        <v>20</v>
      </c>
      <c r="G3270" s="18" t="s">
        <v>23</v>
      </c>
      <c r="H3270" s="17">
        <v>54.24</v>
      </c>
      <c r="I3270" s="15">
        <v>59.9</v>
      </c>
      <c r="J3270" s="21">
        <f t="shared" si="153"/>
        <v>0.10435103244837751</v>
      </c>
      <c r="K3270" s="1">
        <v>2</v>
      </c>
      <c r="L3270" s="24">
        <v>5.9</v>
      </c>
      <c r="M3270" s="24">
        <v>53.91</v>
      </c>
      <c r="N3270" s="21">
        <f t="shared" si="154"/>
        <v>-6.0840707964602767E-3</v>
      </c>
      <c r="P3270" s="1">
        <v>4</v>
      </c>
      <c r="Q3270" s="24">
        <v>7.1880000000000024</v>
      </c>
      <c r="R3270" s="24">
        <v>52.711999999999996</v>
      </c>
      <c r="S3270" s="21">
        <f t="shared" si="155"/>
        <v>-2.8171091445427836E-2</v>
      </c>
    </row>
    <row r="3271" spans="2:19" ht="11.4" customHeight="1" x14ac:dyDescent="0.2">
      <c r="B3271" s="24"/>
      <c r="C3271" s="14">
        <v>7203</v>
      </c>
      <c r="D3271" s="18" t="s">
        <v>3409</v>
      </c>
      <c r="E3271" s="18" t="s">
        <v>3324</v>
      </c>
      <c r="F3271" s="17">
        <v>24</v>
      </c>
      <c r="G3271" s="18" t="s">
        <v>23</v>
      </c>
      <c r="H3271" s="17">
        <v>27.76</v>
      </c>
      <c r="I3271" s="15">
        <v>33.9</v>
      </c>
      <c r="J3271" s="21">
        <f t="shared" si="153"/>
        <v>0.2211815561959653</v>
      </c>
      <c r="K3271" s="1">
        <v>2</v>
      </c>
      <c r="L3271" s="24">
        <v>3.3</v>
      </c>
      <c r="M3271" s="24">
        <v>30.509999999999998</v>
      </c>
      <c r="N3271" s="21">
        <f t="shared" si="154"/>
        <v>9.906340057636874E-2</v>
      </c>
      <c r="P3271" s="1">
        <v>4</v>
      </c>
      <c r="Q3271" s="24">
        <v>4.0680000000000014</v>
      </c>
      <c r="R3271" s="24">
        <v>29.831999999999997</v>
      </c>
      <c r="S3271" s="21">
        <f t="shared" si="155"/>
        <v>7.4639769452449406E-2</v>
      </c>
    </row>
    <row r="3272" spans="2:19" ht="11.4" customHeight="1" x14ac:dyDescent="0.2">
      <c r="B3272" s="24"/>
      <c r="C3272" s="14">
        <v>10305</v>
      </c>
      <c r="D3272" s="18" t="s">
        <v>3410</v>
      </c>
      <c r="E3272" s="18" t="s">
        <v>3324</v>
      </c>
      <c r="F3272" s="17">
        <v>30</v>
      </c>
      <c r="G3272" s="18" t="s">
        <v>23</v>
      </c>
      <c r="H3272" s="17">
        <v>16.3</v>
      </c>
      <c r="I3272" s="15">
        <v>22.8</v>
      </c>
      <c r="J3272" s="21">
        <f t="shared" si="153"/>
        <v>0.3987730061349693</v>
      </c>
      <c r="K3272" s="1">
        <v>2</v>
      </c>
      <c r="L3272" s="24">
        <v>2.2000000000000002</v>
      </c>
      <c r="M3272" s="24">
        <v>20.52</v>
      </c>
      <c r="N3272" s="21">
        <f t="shared" si="154"/>
        <v>0.25889570552147229</v>
      </c>
      <c r="P3272" s="1">
        <v>4</v>
      </c>
      <c r="Q3272" s="24">
        <v>2.7360000000000007</v>
      </c>
      <c r="R3272" s="24">
        <v>20.064</v>
      </c>
      <c r="S3272" s="21">
        <f t="shared" si="155"/>
        <v>0.23092024539877296</v>
      </c>
    </row>
    <row r="3273" spans="2:19" ht="11.4" customHeight="1" x14ac:dyDescent="0.2">
      <c r="B3273" s="24"/>
      <c r="C3273" s="14">
        <v>44729</v>
      </c>
      <c r="D3273" s="18" t="s">
        <v>3411</v>
      </c>
      <c r="E3273" s="18" t="s">
        <v>3324</v>
      </c>
      <c r="F3273" s="17">
        <v>30</v>
      </c>
      <c r="G3273" s="18" t="s">
        <v>23</v>
      </c>
      <c r="H3273" s="17">
        <v>15.76</v>
      </c>
      <c r="I3273" s="15">
        <v>18.899999999999999</v>
      </c>
      <c r="J3273" s="21">
        <f t="shared" si="153"/>
        <v>0.19923857868020298</v>
      </c>
      <c r="K3273" s="1">
        <v>2</v>
      </c>
      <c r="L3273" s="24">
        <v>1.8</v>
      </c>
      <c r="M3273" s="24">
        <v>17.009999999999998</v>
      </c>
      <c r="N3273" s="21">
        <f t="shared" si="154"/>
        <v>7.9314720812182632E-2</v>
      </c>
      <c r="P3273" s="1">
        <v>4</v>
      </c>
      <c r="Q3273" s="24">
        <v>2.2680000000000007</v>
      </c>
      <c r="R3273" s="24">
        <v>16.631999999999998</v>
      </c>
      <c r="S3273" s="21">
        <f t="shared" si="155"/>
        <v>5.5329949238578563E-2</v>
      </c>
    </row>
    <row r="3274" spans="2:19" ht="11.4" customHeight="1" x14ac:dyDescent="0.2">
      <c r="B3274" s="24"/>
      <c r="C3274" s="14">
        <v>4967</v>
      </c>
      <c r="D3274" s="18" t="s">
        <v>3412</v>
      </c>
      <c r="E3274" s="18" t="s">
        <v>3324</v>
      </c>
      <c r="F3274" s="17">
        <v>30</v>
      </c>
      <c r="G3274" s="18" t="s">
        <v>23</v>
      </c>
      <c r="H3274" s="17">
        <v>38.5</v>
      </c>
      <c r="I3274" s="15">
        <v>43.9</v>
      </c>
      <c r="J3274" s="21">
        <f t="shared" si="153"/>
        <v>0.14025974025974022</v>
      </c>
      <c r="K3274" s="1">
        <v>2</v>
      </c>
      <c r="L3274" s="24">
        <v>4.3</v>
      </c>
      <c r="M3274" s="24">
        <v>39.51</v>
      </c>
      <c r="N3274" s="21">
        <f t="shared" si="154"/>
        <v>2.6233766233766182E-2</v>
      </c>
      <c r="P3274" s="1">
        <v>4</v>
      </c>
      <c r="Q3274" s="24">
        <v>5.2680000000000007</v>
      </c>
      <c r="R3274" s="24">
        <v>38.631999999999998</v>
      </c>
      <c r="S3274" s="21">
        <f t="shared" si="155"/>
        <v>3.4285714285713738E-3</v>
      </c>
    </row>
    <row r="3275" spans="2:19" ht="11.4" customHeight="1" x14ac:dyDescent="0.2">
      <c r="B3275" s="24"/>
      <c r="C3275" s="14">
        <v>12674</v>
      </c>
      <c r="D3275" s="18" t="s">
        <v>3413</v>
      </c>
      <c r="E3275" s="18" t="s">
        <v>3324</v>
      </c>
      <c r="F3275" s="18"/>
      <c r="G3275" s="18" t="s">
        <v>23</v>
      </c>
      <c r="H3275" s="17">
        <v>36.36</v>
      </c>
      <c r="I3275" s="15">
        <v>43.9</v>
      </c>
      <c r="J3275" s="21">
        <f t="shared" si="153"/>
        <v>0.20737073707370735</v>
      </c>
      <c r="K3275" s="1">
        <v>2</v>
      </c>
      <c r="L3275" s="24">
        <v>4.3</v>
      </c>
      <c r="M3275" s="24">
        <v>39.51</v>
      </c>
      <c r="N3275" s="21">
        <f t="shared" si="154"/>
        <v>8.66336633663366E-2</v>
      </c>
      <c r="P3275" s="1">
        <v>4</v>
      </c>
      <c r="Q3275" s="24">
        <v>5.2680000000000007</v>
      </c>
      <c r="R3275" s="24">
        <v>38.631999999999998</v>
      </c>
      <c r="S3275" s="21">
        <f t="shared" si="155"/>
        <v>6.2486248624862448E-2</v>
      </c>
    </row>
    <row r="3276" spans="2:19" ht="11.4" customHeight="1" x14ac:dyDescent="0.2">
      <c r="B3276" s="24"/>
      <c r="C3276" s="14">
        <v>39128</v>
      </c>
      <c r="D3276" s="18" t="s">
        <v>3414</v>
      </c>
      <c r="E3276" s="18" t="s">
        <v>3339</v>
      </c>
      <c r="F3276" s="17">
        <v>20</v>
      </c>
      <c r="G3276" s="18" t="s">
        <v>23</v>
      </c>
      <c r="H3276" s="17">
        <v>11.7</v>
      </c>
      <c r="I3276" s="15">
        <v>14.6</v>
      </c>
      <c r="J3276" s="21">
        <f t="shared" si="153"/>
        <v>0.2478632478632479</v>
      </c>
      <c r="K3276" s="1">
        <v>2</v>
      </c>
      <c r="L3276" s="24">
        <v>1.4</v>
      </c>
      <c r="M3276" s="24">
        <v>13.14</v>
      </c>
      <c r="N3276" s="21">
        <f t="shared" si="154"/>
        <v>0.12307692307692319</v>
      </c>
      <c r="P3276" s="1">
        <v>4</v>
      </c>
      <c r="Q3276" s="24">
        <v>1.7520000000000007</v>
      </c>
      <c r="R3276" s="24">
        <v>12.847999999999999</v>
      </c>
      <c r="S3276" s="21">
        <f t="shared" si="155"/>
        <v>9.8119658119658101E-2</v>
      </c>
    </row>
    <row r="3277" spans="2:19" ht="11.4" customHeight="1" x14ac:dyDescent="0.2">
      <c r="B3277" s="24"/>
      <c r="C3277" s="14">
        <v>39132</v>
      </c>
      <c r="D3277" s="18" t="s">
        <v>3415</v>
      </c>
      <c r="E3277" s="18" t="s">
        <v>3339</v>
      </c>
      <c r="F3277" s="17">
        <v>25</v>
      </c>
      <c r="G3277" s="18" t="s">
        <v>23</v>
      </c>
      <c r="H3277" s="17">
        <v>11.7</v>
      </c>
      <c r="I3277" s="15">
        <v>12.6</v>
      </c>
      <c r="J3277" s="21">
        <f t="shared" si="153"/>
        <v>7.6923076923076955E-2</v>
      </c>
      <c r="K3277" s="1">
        <v>2</v>
      </c>
      <c r="L3277" s="24">
        <v>1.2</v>
      </c>
      <c r="M3277" s="24">
        <v>11.34</v>
      </c>
      <c r="N3277" s="21">
        <f t="shared" si="154"/>
        <v>-3.0769230769230722E-2</v>
      </c>
      <c r="P3277" s="1">
        <v>4</v>
      </c>
      <c r="Q3277" s="24">
        <v>1.5120000000000005</v>
      </c>
      <c r="R3277" s="24">
        <v>11.087999999999999</v>
      </c>
      <c r="S3277" s="21">
        <f t="shared" si="155"/>
        <v>-5.2307692307692319E-2</v>
      </c>
    </row>
    <row r="3278" spans="2:19" ht="11.4" customHeight="1" x14ac:dyDescent="0.2">
      <c r="B3278" s="24"/>
      <c r="C3278" s="14">
        <v>25194</v>
      </c>
      <c r="D3278" s="18" t="s">
        <v>3416</v>
      </c>
      <c r="E3278" s="18" t="s">
        <v>3339</v>
      </c>
      <c r="F3278" s="17">
        <v>200</v>
      </c>
      <c r="G3278" s="18" t="s">
        <v>23</v>
      </c>
      <c r="H3278" s="17">
        <v>10.81</v>
      </c>
      <c r="I3278" s="15">
        <v>12.8</v>
      </c>
      <c r="J3278" s="21">
        <f t="shared" si="153"/>
        <v>0.18408880666049954</v>
      </c>
      <c r="K3278" s="1">
        <v>2</v>
      </c>
      <c r="L3278" s="24">
        <v>1.2</v>
      </c>
      <c r="M3278" s="24">
        <v>11.520000000000001</v>
      </c>
      <c r="N3278" s="21">
        <f t="shared" si="154"/>
        <v>6.5679925994449662E-2</v>
      </c>
      <c r="P3278" s="1">
        <v>4</v>
      </c>
      <c r="Q3278" s="24">
        <v>1.5359999999999996</v>
      </c>
      <c r="R3278" s="24">
        <v>11.264000000000001</v>
      </c>
      <c r="S3278" s="21">
        <f t="shared" si="155"/>
        <v>4.1998149861239648E-2</v>
      </c>
    </row>
    <row r="3279" spans="2:19" ht="11.4" customHeight="1" x14ac:dyDescent="0.2">
      <c r="B3279" s="24"/>
      <c r="C3279" s="14">
        <v>38377</v>
      </c>
      <c r="D3279" s="18" t="s">
        <v>3417</v>
      </c>
      <c r="E3279" s="18" t="s">
        <v>3339</v>
      </c>
      <c r="F3279" s="17">
        <v>200</v>
      </c>
      <c r="G3279" s="18" t="s">
        <v>23</v>
      </c>
      <c r="H3279" s="17">
        <v>10.81</v>
      </c>
      <c r="I3279" s="15">
        <v>12.8</v>
      </c>
      <c r="J3279" s="21">
        <f t="shared" si="153"/>
        <v>0.18408880666049954</v>
      </c>
      <c r="K3279" s="1">
        <v>2</v>
      </c>
      <c r="L3279" s="24">
        <v>1.2</v>
      </c>
      <c r="M3279" s="24">
        <v>11.520000000000001</v>
      </c>
      <c r="N3279" s="21">
        <f t="shared" si="154"/>
        <v>6.5679925994449662E-2</v>
      </c>
      <c r="P3279" s="1">
        <v>4</v>
      </c>
      <c r="Q3279" s="24">
        <v>1.5359999999999996</v>
      </c>
      <c r="R3279" s="24">
        <v>11.264000000000001</v>
      </c>
      <c r="S3279" s="21">
        <f t="shared" si="155"/>
        <v>4.1998149861239648E-2</v>
      </c>
    </row>
    <row r="3280" spans="2:19" ht="11.4" customHeight="1" x14ac:dyDescent="0.2">
      <c r="B3280" s="24"/>
      <c r="C3280" s="14">
        <v>25195</v>
      </c>
      <c r="D3280" s="18" t="s">
        <v>3418</v>
      </c>
      <c r="E3280" s="18" t="s">
        <v>3339</v>
      </c>
      <c r="F3280" s="17">
        <v>200</v>
      </c>
      <c r="G3280" s="18" t="s">
        <v>23</v>
      </c>
      <c r="H3280" s="17">
        <v>10.81</v>
      </c>
      <c r="I3280" s="15">
        <v>13.9</v>
      </c>
      <c r="J3280" s="21">
        <f t="shared" si="153"/>
        <v>0.28584643848288621</v>
      </c>
      <c r="K3280" s="1">
        <v>2</v>
      </c>
      <c r="L3280" s="24">
        <v>1.3</v>
      </c>
      <c r="M3280" s="24">
        <v>12.51</v>
      </c>
      <c r="N3280" s="21">
        <f t="shared" si="154"/>
        <v>0.15726179463459752</v>
      </c>
      <c r="P3280" s="1">
        <v>4</v>
      </c>
      <c r="Q3280" s="24">
        <v>1.6679999999999993</v>
      </c>
      <c r="R3280" s="24">
        <v>12.232000000000001</v>
      </c>
      <c r="S3280" s="21">
        <f t="shared" si="155"/>
        <v>0.13154486586493991</v>
      </c>
    </row>
    <row r="3281" spans="2:19" ht="11.4" customHeight="1" x14ac:dyDescent="0.2">
      <c r="B3281" s="24"/>
      <c r="C3281" s="14">
        <v>42475</v>
      </c>
      <c r="D3281" s="18" t="s">
        <v>3419</v>
      </c>
      <c r="E3281" s="18" t="s">
        <v>3339</v>
      </c>
      <c r="F3281" s="17">
        <v>35</v>
      </c>
      <c r="G3281" s="18" t="s">
        <v>23</v>
      </c>
      <c r="H3281" s="17">
        <v>10.74</v>
      </c>
      <c r="I3281" s="15">
        <v>18.899999999999999</v>
      </c>
      <c r="J3281" s="21">
        <f t="shared" si="153"/>
        <v>0.75977653631284903</v>
      </c>
      <c r="K3281" s="1">
        <v>2</v>
      </c>
      <c r="L3281" s="24">
        <v>1.8</v>
      </c>
      <c r="M3281" s="24">
        <v>17.009999999999998</v>
      </c>
      <c r="N3281" s="21">
        <f t="shared" si="154"/>
        <v>0.58379888268156399</v>
      </c>
      <c r="P3281" s="1">
        <v>4</v>
      </c>
      <c r="Q3281" s="24">
        <v>2.2680000000000007</v>
      </c>
      <c r="R3281" s="24">
        <v>16.631999999999998</v>
      </c>
      <c r="S3281" s="21">
        <f t="shared" si="155"/>
        <v>0.54860335195530707</v>
      </c>
    </row>
    <row r="3282" spans="2:19" ht="11.4" customHeight="1" x14ac:dyDescent="0.2">
      <c r="B3282" s="24"/>
      <c r="C3282" s="14">
        <v>42476</v>
      </c>
      <c r="D3282" s="18" t="s">
        <v>3420</v>
      </c>
      <c r="E3282" s="18" t="s">
        <v>3339</v>
      </c>
      <c r="F3282" s="17">
        <v>35</v>
      </c>
      <c r="G3282" s="18" t="s">
        <v>23</v>
      </c>
      <c r="H3282" s="17">
        <v>10.74</v>
      </c>
      <c r="I3282" s="15">
        <v>18.899999999999999</v>
      </c>
      <c r="J3282" s="21">
        <f t="shared" si="153"/>
        <v>0.75977653631284903</v>
      </c>
      <c r="K3282" s="1">
        <v>2</v>
      </c>
      <c r="L3282" s="24">
        <v>1.8</v>
      </c>
      <c r="M3282" s="24">
        <v>17.009999999999998</v>
      </c>
      <c r="N3282" s="21">
        <f t="shared" si="154"/>
        <v>0.58379888268156399</v>
      </c>
      <c r="P3282" s="1">
        <v>4</v>
      </c>
      <c r="Q3282" s="24">
        <v>2.2680000000000007</v>
      </c>
      <c r="R3282" s="24">
        <v>16.631999999999998</v>
      </c>
      <c r="S3282" s="21">
        <f t="shared" si="155"/>
        <v>0.54860335195530707</v>
      </c>
    </row>
    <row r="3283" spans="2:19" ht="11.4" customHeight="1" x14ac:dyDescent="0.2">
      <c r="B3283" s="24"/>
      <c r="C3283" s="14">
        <v>35560</v>
      </c>
      <c r="D3283" s="18" t="s">
        <v>3421</v>
      </c>
      <c r="E3283" s="18" t="s">
        <v>3356</v>
      </c>
      <c r="F3283" s="17">
        <v>36</v>
      </c>
      <c r="G3283" s="18" t="s">
        <v>23</v>
      </c>
      <c r="H3283" s="17">
        <v>9.6999999999999993</v>
      </c>
      <c r="I3283" s="15">
        <v>12.9</v>
      </c>
      <c r="J3283" s="21">
        <f t="shared" si="153"/>
        <v>0.32989690721649501</v>
      </c>
      <c r="K3283" s="1">
        <v>2</v>
      </c>
      <c r="L3283" s="24">
        <v>1.2</v>
      </c>
      <c r="M3283" s="24">
        <v>11.610000000000001</v>
      </c>
      <c r="N3283" s="21">
        <f t="shared" si="154"/>
        <v>0.19690721649484558</v>
      </c>
      <c r="P3283" s="1">
        <v>4</v>
      </c>
      <c r="Q3283" s="24">
        <v>1.548</v>
      </c>
      <c r="R3283" s="24">
        <v>11.352</v>
      </c>
      <c r="S3283" s="21">
        <f t="shared" si="155"/>
        <v>0.17030927835051557</v>
      </c>
    </row>
    <row r="3284" spans="2:19" ht="11.4" customHeight="1" x14ac:dyDescent="0.2">
      <c r="B3284" s="24"/>
      <c r="C3284" s="14">
        <v>34564</v>
      </c>
      <c r="D3284" s="18" t="s">
        <v>3422</v>
      </c>
      <c r="E3284" s="18" t="s">
        <v>3356</v>
      </c>
      <c r="F3284" s="17">
        <v>36</v>
      </c>
      <c r="G3284" s="18" t="s">
        <v>23</v>
      </c>
      <c r="H3284" s="17">
        <v>19.8</v>
      </c>
      <c r="I3284" s="15">
        <v>23.5</v>
      </c>
      <c r="J3284" s="21">
        <f t="shared" si="153"/>
        <v>0.18686868686868682</v>
      </c>
      <c r="K3284" s="1">
        <v>2</v>
      </c>
      <c r="L3284" s="24">
        <v>2.2999999999999998</v>
      </c>
      <c r="M3284" s="24">
        <v>21.150000000000002</v>
      </c>
      <c r="N3284" s="21">
        <f t="shared" si="154"/>
        <v>6.8181818181818246E-2</v>
      </c>
      <c r="P3284" s="1">
        <v>4</v>
      </c>
      <c r="Q3284" s="24">
        <v>2.8200000000000003</v>
      </c>
      <c r="R3284" s="24">
        <v>20.68</v>
      </c>
      <c r="S3284" s="21">
        <f t="shared" si="155"/>
        <v>4.4444444444444391E-2</v>
      </c>
    </row>
    <row r="3285" spans="2:19" ht="11.4" customHeight="1" x14ac:dyDescent="0.2">
      <c r="B3285" s="24"/>
      <c r="C3285" s="14">
        <v>34712</v>
      </c>
      <c r="D3285" s="18" t="s">
        <v>3423</v>
      </c>
      <c r="E3285" s="18" t="s">
        <v>3356</v>
      </c>
      <c r="F3285" s="17">
        <v>36</v>
      </c>
      <c r="G3285" s="18" t="s">
        <v>23</v>
      </c>
      <c r="H3285" s="17">
        <v>22.5</v>
      </c>
      <c r="I3285" s="15">
        <v>27.5</v>
      </c>
      <c r="J3285" s="21">
        <f t="shared" si="153"/>
        <v>0.22222222222222221</v>
      </c>
      <c r="K3285" s="1">
        <v>2</v>
      </c>
      <c r="L3285" s="24">
        <v>2.7</v>
      </c>
      <c r="M3285" s="24">
        <v>24.75</v>
      </c>
      <c r="N3285" s="21">
        <f t="shared" si="154"/>
        <v>0.1</v>
      </c>
      <c r="P3285" s="1">
        <v>4</v>
      </c>
      <c r="Q3285" s="24">
        <v>3.3000000000000007</v>
      </c>
      <c r="R3285" s="24">
        <v>24.2</v>
      </c>
      <c r="S3285" s="21">
        <f t="shared" si="155"/>
        <v>7.5555555555555529E-2</v>
      </c>
    </row>
    <row r="3286" spans="2:19" ht="11.4" customHeight="1" x14ac:dyDescent="0.2">
      <c r="B3286" s="24"/>
      <c r="C3286" s="14">
        <v>35559</v>
      </c>
      <c r="D3286" s="18" t="s">
        <v>3424</v>
      </c>
      <c r="E3286" s="18" t="s">
        <v>3356</v>
      </c>
      <c r="F3286" s="17">
        <v>36</v>
      </c>
      <c r="G3286" s="18" t="s">
        <v>23</v>
      </c>
      <c r="H3286" s="17">
        <v>22.5</v>
      </c>
      <c r="I3286" s="15">
        <v>27.5</v>
      </c>
      <c r="J3286" s="21">
        <f t="shared" si="153"/>
        <v>0.22222222222222221</v>
      </c>
      <c r="K3286" s="1">
        <v>2</v>
      </c>
      <c r="L3286" s="24">
        <v>2.7</v>
      </c>
      <c r="M3286" s="24">
        <v>24.75</v>
      </c>
      <c r="N3286" s="21">
        <f t="shared" si="154"/>
        <v>0.1</v>
      </c>
      <c r="P3286" s="1">
        <v>4</v>
      </c>
      <c r="Q3286" s="24">
        <v>3.3000000000000007</v>
      </c>
      <c r="R3286" s="24">
        <v>24.2</v>
      </c>
      <c r="S3286" s="21">
        <f t="shared" si="155"/>
        <v>7.5555555555555529E-2</v>
      </c>
    </row>
    <row r="3287" spans="2:19" ht="11.4" customHeight="1" x14ac:dyDescent="0.2">
      <c r="B3287" s="24"/>
      <c r="C3287" s="14">
        <v>34711</v>
      </c>
      <c r="D3287" s="18" t="s">
        <v>3425</v>
      </c>
      <c r="E3287" s="18" t="s">
        <v>3356</v>
      </c>
      <c r="F3287" s="17">
        <v>36</v>
      </c>
      <c r="G3287" s="18" t="s">
        <v>23</v>
      </c>
      <c r="H3287" s="17">
        <v>22.5</v>
      </c>
      <c r="I3287" s="15">
        <v>27.5</v>
      </c>
      <c r="J3287" s="21">
        <f t="shared" si="153"/>
        <v>0.22222222222222221</v>
      </c>
      <c r="K3287" s="1">
        <v>2</v>
      </c>
      <c r="L3287" s="24">
        <v>2.7</v>
      </c>
      <c r="M3287" s="24">
        <v>24.75</v>
      </c>
      <c r="N3287" s="21">
        <f t="shared" si="154"/>
        <v>0.1</v>
      </c>
      <c r="P3287" s="1">
        <v>4</v>
      </c>
      <c r="Q3287" s="24">
        <v>3.3000000000000007</v>
      </c>
      <c r="R3287" s="24">
        <v>24.2</v>
      </c>
      <c r="S3287" s="21">
        <f t="shared" si="155"/>
        <v>7.5555555555555529E-2</v>
      </c>
    </row>
    <row r="3288" spans="2:19" ht="11.4" customHeight="1" x14ac:dyDescent="0.2">
      <c r="B3288" s="24"/>
      <c r="C3288" s="14">
        <v>34713</v>
      </c>
      <c r="D3288" s="18" t="s">
        <v>3426</v>
      </c>
      <c r="E3288" s="18" t="s">
        <v>3356</v>
      </c>
      <c r="F3288" s="17">
        <v>36</v>
      </c>
      <c r="G3288" s="18" t="s">
        <v>23</v>
      </c>
      <c r="H3288" s="17">
        <v>22.5</v>
      </c>
      <c r="I3288" s="15">
        <v>27.5</v>
      </c>
      <c r="J3288" s="21">
        <f t="shared" si="153"/>
        <v>0.22222222222222221</v>
      </c>
      <c r="K3288" s="1">
        <v>2</v>
      </c>
      <c r="L3288" s="24">
        <v>2.7</v>
      </c>
      <c r="M3288" s="24">
        <v>24.75</v>
      </c>
      <c r="N3288" s="21">
        <f t="shared" si="154"/>
        <v>0.1</v>
      </c>
      <c r="P3288" s="1">
        <v>4</v>
      </c>
      <c r="Q3288" s="24">
        <v>3.3000000000000007</v>
      </c>
      <c r="R3288" s="24">
        <v>24.2</v>
      </c>
      <c r="S3288" s="21">
        <f t="shared" si="155"/>
        <v>7.5555555555555529E-2</v>
      </c>
    </row>
    <row r="3289" spans="2:19" ht="11.4" customHeight="1" x14ac:dyDescent="0.2">
      <c r="B3289" s="24"/>
      <c r="C3289" s="14">
        <v>37985</v>
      </c>
      <c r="D3289" s="18" t="s">
        <v>3427</v>
      </c>
      <c r="E3289" s="18" t="s">
        <v>3428</v>
      </c>
      <c r="F3289" s="18"/>
      <c r="G3289" s="18" t="s">
        <v>23</v>
      </c>
      <c r="H3289" s="17">
        <v>61.9</v>
      </c>
      <c r="I3289" s="15">
        <v>64.900000000000006</v>
      </c>
      <c r="J3289" s="21">
        <f t="shared" si="153"/>
        <v>4.8465266558966193E-2</v>
      </c>
      <c r="K3289" s="1">
        <v>2</v>
      </c>
      <c r="L3289" s="24">
        <v>6.4</v>
      </c>
      <c r="M3289" s="24">
        <v>58.410000000000004</v>
      </c>
      <c r="N3289" s="21">
        <f t="shared" si="154"/>
        <v>-5.6381260096930452E-2</v>
      </c>
      <c r="P3289" s="1">
        <v>4</v>
      </c>
      <c r="Q3289" s="24">
        <v>7.7880000000000038</v>
      </c>
      <c r="R3289" s="24">
        <v>57.112000000000002</v>
      </c>
      <c r="S3289" s="21">
        <f t="shared" si="155"/>
        <v>-7.7350565428109808E-2</v>
      </c>
    </row>
    <row r="3290" spans="2:19" ht="11.4" customHeight="1" x14ac:dyDescent="0.2">
      <c r="B3290" s="24"/>
      <c r="C3290" s="14">
        <v>37984</v>
      </c>
      <c r="D3290" s="18" t="s">
        <v>3429</v>
      </c>
      <c r="E3290" s="18" t="s">
        <v>3428</v>
      </c>
      <c r="F3290" s="18"/>
      <c r="G3290" s="18" t="s">
        <v>23</v>
      </c>
      <c r="H3290" s="17">
        <v>61.9</v>
      </c>
      <c r="I3290" s="15">
        <v>67.900000000000006</v>
      </c>
      <c r="J3290" s="21">
        <f t="shared" si="153"/>
        <v>9.693053311793226E-2</v>
      </c>
      <c r="K3290" s="1">
        <v>2</v>
      </c>
      <c r="L3290" s="24">
        <v>6.7</v>
      </c>
      <c r="M3290" s="24">
        <v>61.110000000000007</v>
      </c>
      <c r="N3290" s="21">
        <f t="shared" si="154"/>
        <v>-1.2762520193860937E-2</v>
      </c>
      <c r="P3290" s="1">
        <v>4</v>
      </c>
      <c r="Q3290" s="24">
        <v>8.1480000000000032</v>
      </c>
      <c r="R3290" s="24">
        <v>59.752000000000002</v>
      </c>
      <c r="S3290" s="21">
        <f t="shared" si="155"/>
        <v>-3.4701130856219647E-2</v>
      </c>
    </row>
    <row r="3291" spans="2:19" ht="11.4" customHeight="1" x14ac:dyDescent="0.2">
      <c r="B3291" s="24"/>
      <c r="C3291" s="14">
        <v>33513</v>
      </c>
      <c r="D3291" s="18" t="s">
        <v>3430</v>
      </c>
      <c r="E3291" s="18" t="s">
        <v>3431</v>
      </c>
      <c r="F3291" s="17">
        <v>30</v>
      </c>
      <c r="G3291" s="18" t="s">
        <v>23</v>
      </c>
      <c r="H3291" s="17">
        <v>15.3</v>
      </c>
      <c r="I3291" s="15">
        <v>19.899999999999999</v>
      </c>
      <c r="J3291" s="21">
        <f t="shared" si="153"/>
        <v>0.30065359477124165</v>
      </c>
      <c r="K3291" s="1">
        <v>2</v>
      </c>
      <c r="L3291" s="24">
        <v>1.9</v>
      </c>
      <c r="M3291" s="24">
        <v>17.91</v>
      </c>
      <c r="N3291" s="21">
        <f t="shared" si="154"/>
        <v>0.1705882352941176</v>
      </c>
      <c r="P3291" s="1">
        <v>4</v>
      </c>
      <c r="Q3291" s="24">
        <v>2.3879999999999981</v>
      </c>
      <c r="R3291" s="24">
        <v>17.512</v>
      </c>
      <c r="S3291" s="21">
        <f t="shared" si="155"/>
        <v>0.14457516339869278</v>
      </c>
    </row>
    <row r="3292" spans="2:19" ht="11.4" customHeight="1" x14ac:dyDescent="0.2">
      <c r="B3292" s="24"/>
      <c r="C3292" s="14">
        <v>33512</v>
      </c>
      <c r="D3292" s="18" t="s">
        <v>3432</v>
      </c>
      <c r="E3292" s="18" t="s">
        <v>3431</v>
      </c>
      <c r="F3292" s="17">
        <v>30</v>
      </c>
      <c r="G3292" s="18" t="s">
        <v>23</v>
      </c>
      <c r="H3292" s="17">
        <v>14.5</v>
      </c>
      <c r="I3292" s="15">
        <v>19.899999999999999</v>
      </c>
      <c r="J3292" s="21">
        <f t="shared" si="153"/>
        <v>0.37241379310344819</v>
      </c>
      <c r="K3292" s="1">
        <v>2</v>
      </c>
      <c r="L3292" s="24">
        <v>1.9</v>
      </c>
      <c r="M3292" s="24">
        <v>17.91</v>
      </c>
      <c r="N3292" s="21">
        <f t="shared" si="154"/>
        <v>0.23517241379310347</v>
      </c>
      <c r="P3292" s="1">
        <v>4</v>
      </c>
      <c r="Q3292" s="24">
        <v>2.3879999999999981</v>
      </c>
      <c r="R3292" s="24">
        <v>17.512</v>
      </c>
      <c r="S3292" s="21">
        <f t="shared" si="155"/>
        <v>0.2077241379310345</v>
      </c>
    </row>
    <row r="3293" spans="2:19" ht="11.4" customHeight="1" x14ac:dyDescent="0.2">
      <c r="B3293" s="24"/>
      <c r="C3293" s="14">
        <v>42474</v>
      </c>
      <c r="D3293" s="18" t="s">
        <v>3433</v>
      </c>
      <c r="E3293" s="18" t="s">
        <v>3431</v>
      </c>
      <c r="F3293" s="17">
        <v>30</v>
      </c>
      <c r="G3293" s="18" t="s">
        <v>23</v>
      </c>
      <c r="H3293" s="17">
        <v>11.52</v>
      </c>
      <c r="I3293" s="15">
        <v>19.899999999999999</v>
      </c>
      <c r="J3293" s="21">
        <f t="shared" si="153"/>
        <v>0.72743055555555547</v>
      </c>
      <c r="K3293" s="1">
        <v>2</v>
      </c>
      <c r="L3293" s="24">
        <v>1.9</v>
      </c>
      <c r="M3293" s="24">
        <v>17.91</v>
      </c>
      <c r="N3293" s="21">
        <f t="shared" si="154"/>
        <v>0.55468750000000011</v>
      </c>
      <c r="P3293" s="1">
        <v>4</v>
      </c>
      <c r="Q3293" s="24">
        <v>2.3879999999999981</v>
      </c>
      <c r="R3293" s="24">
        <v>17.512</v>
      </c>
      <c r="S3293" s="21">
        <f t="shared" si="155"/>
        <v>0.52013888888888904</v>
      </c>
    </row>
    <row r="3294" spans="2:19" ht="11.4" customHeight="1" x14ac:dyDescent="0.2">
      <c r="B3294" s="24"/>
      <c r="C3294" s="14">
        <v>42473</v>
      </c>
      <c r="D3294" s="18" t="s">
        <v>3434</v>
      </c>
      <c r="E3294" s="18" t="s">
        <v>3431</v>
      </c>
      <c r="F3294" s="17">
        <v>30</v>
      </c>
      <c r="G3294" s="18" t="s">
        <v>23</v>
      </c>
      <c r="H3294" s="17">
        <v>11.52</v>
      </c>
      <c r="I3294" s="15">
        <v>19.899999999999999</v>
      </c>
      <c r="J3294" s="21">
        <f t="shared" si="153"/>
        <v>0.72743055555555547</v>
      </c>
      <c r="K3294" s="1">
        <v>2</v>
      </c>
      <c r="L3294" s="24">
        <v>1.9</v>
      </c>
      <c r="M3294" s="24">
        <v>17.91</v>
      </c>
      <c r="N3294" s="21">
        <f t="shared" si="154"/>
        <v>0.55468750000000011</v>
      </c>
      <c r="P3294" s="1">
        <v>4</v>
      </c>
      <c r="Q3294" s="24">
        <v>2.3879999999999981</v>
      </c>
      <c r="R3294" s="24">
        <v>17.512</v>
      </c>
      <c r="S3294" s="21">
        <f t="shared" si="155"/>
        <v>0.52013888888888904</v>
      </c>
    </row>
    <row r="3295" spans="2:19" ht="11.4" customHeight="1" x14ac:dyDescent="0.2">
      <c r="B3295" s="24"/>
      <c r="C3295" s="14">
        <v>33511</v>
      </c>
      <c r="D3295" s="18" t="s">
        <v>3435</v>
      </c>
      <c r="E3295" s="18" t="s">
        <v>3431</v>
      </c>
      <c r="F3295" s="17">
        <v>30</v>
      </c>
      <c r="G3295" s="18" t="s">
        <v>23</v>
      </c>
      <c r="H3295" s="17">
        <v>14.5</v>
      </c>
      <c r="I3295" s="15">
        <v>19.899999999999999</v>
      </c>
      <c r="J3295" s="21">
        <f t="shared" si="153"/>
        <v>0.37241379310344819</v>
      </c>
      <c r="K3295" s="1">
        <v>2</v>
      </c>
      <c r="L3295" s="24">
        <v>1.9</v>
      </c>
      <c r="M3295" s="24">
        <v>17.91</v>
      </c>
      <c r="N3295" s="21">
        <f t="shared" si="154"/>
        <v>0.23517241379310347</v>
      </c>
      <c r="P3295" s="1">
        <v>4</v>
      </c>
      <c r="Q3295" s="24">
        <v>2.3879999999999981</v>
      </c>
      <c r="R3295" s="24">
        <v>17.512</v>
      </c>
      <c r="S3295" s="21">
        <f t="shared" si="155"/>
        <v>0.2077241379310345</v>
      </c>
    </row>
    <row r="3296" spans="2:19" ht="11.4" customHeight="1" x14ac:dyDescent="0.2">
      <c r="B3296" s="24"/>
      <c r="C3296" s="14">
        <v>42061</v>
      </c>
      <c r="D3296" s="18" t="s">
        <v>3436</v>
      </c>
      <c r="E3296" s="18" t="s">
        <v>3431</v>
      </c>
      <c r="F3296" s="17">
        <v>24</v>
      </c>
      <c r="G3296" s="18" t="s">
        <v>23</v>
      </c>
      <c r="H3296" s="17">
        <v>11.99</v>
      </c>
      <c r="I3296" s="15">
        <v>17.899999999999999</v>
      </c>
      <c r="J3296" s="21">
        <f t="shared" si="153"/>
        <v>0.49291075896580472</v>
      </c>
      <c r="K3296" s="1">
        <v>2</v>
      </c>
      <c r="L3296" s="24">
        <v>1.7</v>
      </c>
      <c r="M3296" s="24">
        <v>16.11</v>
      </c>
      <c r="N3296" s="21">
        <f t="shared" si="154"/>
        <v>0.3436196830692243</v>
      </c>
      <c r="P3296" s="1">
        <v>4</v>
      </c>
      <c r="Q3296" s="24">
        <v>2.1479999999999997</v>
      </c>
      <c r="R3296" s="24">
        <v>15.751999999999999</v>
      </c>
      <c r="S3296" s="21">
        <f t="shared" si="155"/>
        <v>0.31376146788990816</v>
      </c>
    </row>
    <row r="3297" spans="2:19" ht="11.4" customHeight="1" x14ac:dyDescent="0.2">
      <c r="B3297" s="24"/>
      <c r="C3297" s="14">
        <v>42060</v>
      </c>
      <c r="D3297" s="18" t="s">
        <v>3437</v>
      </c>
      <c r="E3297" s="18" t="s">
        <v>3431</v>
      </c>
      <c r="F3297" s="17">
        <v>24</v>
      </c>
      <c r="G3297" s="18" t="s">
        <v>23</v>
      </c>
      <c r="H3297" s="17">
        <v>11.99</v>
      </c>
      <c r="I3297" s="15">
        <v>17.899999999999999</v>
      </c>
      <c r="J3297" s="21">
        <f t="shared" si="153"/>
        <v>0.49291075896580472</v>
      </c>
      <c r="K3297" s="1">
        <v>2</v>
      </c>
      <c r="L3297" s="24">
        <v>1.7</v>
      </c>
      <c r="M3297" s="24">
        <v>16.11</v>
      </c>
      <c r="N3297" s="21">
        <f t="shared" si="154"/>
        <v>0.3436196830692243</v>
      </c>
      <c r="P3297" s="1">
        <v>4</v>
      </c>
      <c r="Q3297" s="24">
        <v>2.1479999999999997</v>
      </c>
      <c r="R3297" s="24">
        <v>15.751999999999999</v>
      </c>
      <c r="S3297" s="21">
        <f t="shared" si="155"/>
        <v>0.31376146788990816</v>
      </c>
    </row>
    <row r="3298" spans="2:19" ht="11.4" customHeight="1" x14ac:dyDescent="0.2">
      <c r="B3298" s="24"/>
      <c r="C3298" s="14">
        <v>9165</v>
      </c>
      <c r="D3298" s="18" t="s">
        <v>3438</v>
      </c>
      <c r="E3298" s="18" t="s">
        <v>3324</v>
      </c>
      <c r="F3298" s="17">
        <v>24</v>
      </c>
      <c r="G3298" s="18" t="s">
        <v>23</v>
      </c>
      <c r="H3298" s="17">
        <v>11.62</v>
      </c>
      <c r="I3298" s="15">
        <v>16.899999999999999</v>
      </c>
      <c r="J3298" s="21">
        <f t="shared" si="153"/>
        <v>0.45438898450946641</v>
      </c>
      <c r="K3298" s="1">
        <v>2</v>
      </c>
      <c r="L3298" s="24">
        <v>1.6</v>
      </c>
      <c r="M3298" s="24">
        <v>15.209999999999999</v>
      </c>
      <c r="N3298" s="21">
        <f t="shared" si="154"/>
        <v>0.30895008605851981</v>
      </c>
      <c r="P3298" s="1">
        <v>4</v>
      </c>
      <c r="Q3298" s="24">
        <v>2.0280000000000005</v>
      </c>
      <c r="R3298" s="24">
        <v>14.871999999999998</v>
      </c>
      <c r="S3298" s="21">
        <f t="shared" si="155"/>
        <v>0.27986230636833037</v>
      </c>
    </row>
    <row r="3299" spans="2:19" ht="11.4" customHeight="1" x14ac:dyDescent="0.2">
      <c r="B3299" s="24"/>
      <c r="C3299" s="14">
        <v>38352</v>
      </c>
      <c r="D3299" s="18" t="s">
        <v>3439</v>
      </c>
      <c r="E3299" s="18" t="s">
        <v>3324</v>
      </c>
      <c r="F3299" s="17">
        <v>20</v>
      </c>
      <c r="G3299" s="18" t="s">
        <v>23</v>
      </c>
      <c r="H3299" s="17">
        <v>65.099999999999994</v>
      </c>
      <c r="I3299" s="15">
        <v>78.5</v>
      </c>
      <c r="J3299" s="21">
        <f t="shared" si="153"/>
        <v>0.20583717357910916</v>
      </c>
      <c r="K3299" s="1">
        <v>2</v>
      </c>
      <c r="L3299" s="24">
        <v>7.8</v>
      </c>
      <c r="M3299" s="24">
        <v>70.650000000000006</v>
      </c>
      <c r="N3299" s="21">
        <f t="shared" si="154"/>
        <v>8.5253456221198343E-2</v>
      </c>
      <c r="P3299" s="1">
        <v>4</v>
      </c>
      <c r="Q3299" s="24">
        <v>9.4200000000000017</v>
      </c>
      <c r="R3299" s="24">
        <v>69.08</v>
      </c>
      <c r="S3299" s="21">
        <f t="shared" si="155"/>
        <v>6.1136712749616039E-2</v>
      </c>
    </row>
    <row r="3300" spans="2:19" ht="11.4" customHeight="1" x14ac:dyDescent="0.2">
      <c r="B3300" s="24"/>
      <c r="C3300" s="14">
        <v>40006</v>
      </c>
      <c r="D3300" s="18" t="s">
        <v>3440</v>
      </c>
      <c r="E3300" s="18" t="s">
        <v>3324</v>
      </c>
      <c r="F3300" s="18"/>
      <c r="G3300" s="18" t="s">
        <v>23</v>
      </c>
      <c r="H3300" s="17">
        <v>32.700000000000003</v>
      </c>
      <c r="I3300" s="15">
        <v>39.9</v>
      </c>
      <c r="J3300" s="21">
        <f t="shared" si="153"/>
        <v>0.22018348623853196</v>
      </c>
      <c r="K3300" s="1">
        <v>2</v>
      </c>
      <c r="L3300" s="24">
        <v>3.9</v>
      </c>
      <c r="M3300" s="24">
        <v>35.909999999999997</v>
      </c>
      <c r="N3300" s="21">
        <f t="shared" si="154"/>
        <v>9.8165137614678696E-2</v>
      </c>
      <c r="P3300" s="1">
        <v>4</v>
      </c>
      <c r="Q3300" s="24">
        <v>4.7879999999999967</v>
      </c>
      <c r="R3300" s="24">
        <v>35.112000000000002</v>
      </c>
      <c r="S3300" s="21">
        <f t="shared" si="155"/>
        <v>7.3761467889908228E-2</v>
      </c>
    </row>
    <row r="3301" spans="2:19" ht="11.4" customHeight="1" x14ac:dyDescent="0.2">
      <c r="B3301" s="24"/>
      <c r="C3301" s="14">
        <v>4693</v>
      </c>
      <c r="D3301" s="18" t="s">
        <v>3441</v>
      </c>
      <c r="E3301" s="18" t="s">
        <v>3442</v>
      </c>
      <c r="F3301" s="17">
        <v>5</v>
      </c>
      <c r="G3301" s="18" t="s">
        <v>23</v>
      </c>
      <c r="H3301" s="17">
        <v>20.5</v>
      </c>
      <c r="I3301" s="15">
        <v>24.9</v>
      </c>
      <c r="J3301" s="21">
        <f t="shared" si="153"/>
        <v>0.21463414634146336</v>
      </c>
      <c r="K3301" s="1">
        <v>2</v>
      </c>
      <c r="L3301" s="24">
        <v>2.4</v>
      </c>
      <c r="M3301" s="24">
        <v>22.41</v>
      </c>
      <c r="N3301" s="21">
        <f t="shared" si="154"/>
        <v>9.3170731707317087E-2</v>
      </c>
      <c r="P3301" s="1">
        <v>4</v>
      </c>
      <c r="Q3301" s="24">
        <v>2.9879999999999995</v>
      </c>
      <c r="R3301" s="24">
        <v>21.911999999999999</v>
      </c>
      <c r="S3301" s="21">
        <f t="shared" si="155"/>
        <v>6.8878048780487755E-2</v>
      </c>
    </row>
    <row r="3302" spans="2:19" ht="11.4" customHeight="1" x14ac:dyDescent="0.2">
      <c r="B3302" s="24"/>
      <c r="C3302" s="14">
        <v>6302</v>
      </c>
      <c r="D3302" s="18" t="s">
        <v>3443</v>
      </c>
      <c r="E3302" s="18" t="s">
        <v>3442</v>
      </c>
      <c r="F3302" s="17">
        <v>24</v>
      </c>
      <c r="G3302" s="18" t="s">
        <v>23</v>
      </c>
      <c r="H3302" s="17">
        <v>16.899999999999999</v>
      </c>
      <c r="I3302" s="15">
        <v>19.899999999999999</v>
      </c>
      <c r="J3302" s="21">
        <f t="shared" si="153"/>
        <v>0.1775147928994083</v>
      </c>
      <c r="K3302" s="1">
        <v>2</v>
      </c>
      <c r="L3302" s="24">
        <v>1.9</v>
      </c>
      <c r="M3302" s="24">
        <v>17.91</v>
      </c>
      <c r="N3302" s="21">
        <f t="shared" si="154"/>
        <v>5.9763313609467551E-2</v>
      </c>
      <c r="P3302" s="1">
        <v>4</v>
      </c>
      <c r="Q3302" s="24">
        <v>2.3879999999999981</v>
      </c>
      <c r="R3302" s="24">
        <v>17.512</v>
      </c>
      <c r="S3302" s="21">
        <f t="shared" si="155"/>
        <v>3.6213017751479407E-2</v>
      </c>
    </row>
    <row r="3303" spans="2:19" ht="11.4" customHeight="1" x14ac:dyDescent="0.2">
      <c r="B3303" s="24"/>
      <c r="C3303" s="14">
        <v>23550</v>
      </c>
      <c r="D3303" s="18" t="s">
        <v>3444</v>
      </c>
      <c r="E3303" s="18" t="s">
        <v>3324</v>
      </c>
      <c r="F3303" s="17">
        <v>36</v>
      </c>
      <c r="G3303" s="18" t="s">
        <v>23</v>
      </c>
      <c r="H3303" s="17">
        <v>24.2</v>
      </c>
      <c r="I3303" s="15">
        <v>27.5</v>
      </c>
      <c r="J3303" s="21">
        <f t="shared" si="153"/>
        <v>0.13636363636363641</v>
      </c>
      <c r="K3303" s="1">
        <v>2</v>
      </c>
      <c r="L3303" s="24">
        <v>2.7</v>
      </c>
      <c r="M3303" s="24">
        <v>24.75</v>
      </c>
      <c r="N3303" s="21">
        <f t="shared" si="154"/>
        <v>2.2727272727272756E-2</v>
      </c>
      <c r="P3303" s="1">
        <v>4</v>
      </c>
      <c r="Q3303" s="24">
        <v>3.3000000000000007</v>
      </c>
      <c r="R3303" s="24">
        <v>24.2</v>
      </c>
      <c r="S3303" s="21">
        <f t="shared" si="155"/>
        <v>0</v>
      </c>
    </row>
    <row r="3304" spans="2:19" ht="11.4" customHeight="1" x14ac:dyDescent="0.2">
      <c r="B3304" s="24"/>
      <c r="C3304" s="14">
        <v>12794</v>
      </c>
      <c r="D3304" s="18" t="s">
        <v>3445</v>
      </c>
      <c r="E3304" s="18" t="s">
        <v>3324</v>
      </c>
      <c r="F3304" s="17">
        <v>20</v>
      </c>
      <c r="G3304" s="18" t="s">
        <v>23</v>
      </c>
      <c r="H3304" s="17">
        <v>16</v>
      </c>
      <c r="I3304" s="15">
        <v>19.5</v>
      </c>
      <c r="J3304" s="21">
        <f t="shared" si="153"/>
        <v>0.21875</v>
      </c>
      <c r="K3304" s="1">
        <v>2</v>
      </c>
      <c r="L3304" s="24">
        <v>1.9</v>
      </c>
      <c r="M3304" s="24">
        <v>17.55</v>
      </c>
      <c r="N3304" s="21">
        <f t="shared" si="154"/>
        <v>9.6875000000000044E-2</v>
      </c>
      <c r="P3304" s="1">
        <v>4</v>
      </c>
      <c r="Q3304" s="24">
        <v>2.34</v>
      </c>
      <c r="R3304" s="24">
        <v>17.16</v>
      </c>
      <c r="S3304" s="21">
        <f t="shared" si="155"/>
        <v>7.2500000000000009E-2</v>
      </c>
    </row>
    <row r="3305" spans="2:19" ht="11.4" customHeight="1" x14ac:dyDescent="0.2">
      <c r="B3305" s="24"/>
      <c r="C3305" s="14">
        <v>4963</v>
      </c>
      <c r="D3305" s="18" t="s">
        <v>3446</v>
      </c>
      <c r="E3305" s="18" t="s">
        <v>3447</v>
      </c>
      <c r="F3305" s="17">
        <v>24</v>
      </c>
      <c r="G3305" s="18" t="s">
        <v>23</v>
      </c>
      <c r="H3305" s="17">
        <v>67.5</v>
      </c>
      <c r="I3305" s="15">
        <v>75.900000000000006</v>
      </c>
      <c r="J3305" s="21">
        <f t="shared" si="153"/>
        <v>0.12444444444444452</v>
      </c>
      <c r="K3305" s="1">
        <v>2</v>
      </c>
      <c r="L3305" s="24">
        <v>7.5</v>
      </c>
      <c r="M3305" s="24">
        <v>68.31</v>
      </c>
      <c r="N3305" s="21">
        <f t="shared" si="154"/>
        <v>1.2000000000000033E-2</v>
      </c>
      <c r="P3305" s="1">
        <v>4</v>
      </c>
      <c r="Q3305" s="24">
        <v>9.1080000000000041</v>
      </c>
      <c r="R3305" s="24">
        <v>66.792000000000002</v>
      </c>
      <c r="S3305" s="21">
        <f t="shared" si="155"/>
        <v>-1.0488888888888865E-2</v>
      </c>
    </row>
    <row r="3306" spans="2:19" ht="11.4" customHeight="1" x14ac:dyDescent="0.2">
      <c r="B3306" s="24"/>
      <c r="C3306" s="14">
        <v>4964</v>
      </c>
      <c r="D3306" s="18" t="s">
        <v>3448</v>
      </c>
      <c r="E3306" s="18" t="s">
        <v>3447</v>
      </c>
      <c r="F3306" s="17">
        <v>36</v>
      </c>
      <c r="G3306" s="18" t="s">
        <v>23</v>
      </c>
      <c r="H3306" s="17">
        <v>55.5</v>
      </c>
      <c r="I3306" s="15">
        <v>62.8</v>
      </c>
      <c r="J3306" s="21">
        <f t="shared" si="153"/>
        <v>0.13153153153153149</v>
      </c>
      <c r="K3306" s="1">
        <v>2</v>
      </c>
      <c r="L3306" s="24">
        <v>6.2</v>
      </c>
      <c r="M3306" s="24">
        <v>56.519999999999996</v>
      </c>
      <c r="N3306" s="21">
        <f t="shared" si="154"/>
        <v>1.8378378378378305E-2</v>
      </c>
      <c r="P3306" s="1">
        <v>4</v>
      </c>
      <c r="Q3306" s="24">
        <v>7.5360000000000014</v>
      </c>
      <c r="R3306" s="24">
        <v>55.263999999999996</v>
      </c>
      <c r="S3306" s="21">
        <f t="shared" si="155"/>
        <v>-4.2522522522523282E-3</v>
      </c>
    </row>
    <row r="3307" spans="2:19" ht="11.4" customHeight="1" x14ac:dyDescent="0.2">
      <c r="B3307" s="24"/>
      <c r="C3307" s="14">
        <v>4966</v>
      </c>
      <c r="D3307" s="18" t="s">
        <v>3449</v>
      </c>
      <c r="E3307" s="18" t="s">
        <v>3447</v>
      </c>
      <c r="F3307" s="17">
        <v>36</v>
      </c>
      <c r="G3307" s="18" t="s">
        <v>23</v>
      </c>
      <c r="H3307" s="17">
        <v>55.5</v>
      </c>
      <c r="I3307" s="15">
        <v>65.2</v>
      </c>
      <c r="J3307" s="21">
        <f t="shared" si="153"/>
        <v>0.17477477477477482</v>
      </c>
      <c r="K3307" s="1">
        <v>2</v>
      </c>
      <c r="L3307" s="24">
        <v>6.5</v>
      </c>
      <c r="M3307" s="24">
        <v>58.680000000000007</v>
      </c>
      <c r="N3307" s="21">
        <f t="shared" si="154"/>
        <v>5.729729729729742E-2</v>
      </c>
      <c r="P3307" s="1">
        <v>4</v>
      </c>
      <c r="Q3307" s="24">
        <v>7.8239999999999981</v>
      </c>
      <c r="R3307" s="24">
        <v>57.376000000000005</v>
      </c>
      <c r="S3307" s="21">
        <f t="shared" si="155"/>
        <v>3.3801801801801888E-2</v>
      </c>
    </row>
    <row r="3308" spans="2:19" ht="11.4" customHeight="1" x14ac:dyDescent="0.2">
      <c r="B3308" s="24"/>
      <c r="C3308" s="14">
        <v>8255</v>
      </c>
      <c r="D3308" s="18" t="s">
        <v>3450</v>
      </c>
      <c r="E3308" s="18" t="s">
        <v>3447</v>
      </c>
      <c r="F3308" s="17">
        <v>12</v>
      </c>
      <c r="G3308" s="18" t="s">
        <v>23</v>
      </c>
      <c r="H3308" s="17">
        <v>253.4</v>
      </c>
      <c r="I3308" s="15">
        <v>289.89999999999998</v>
      </c>
      <c r="J3308" s="21">
        <f t="shared" si="153"/>
        <v>0.14404104183109698</v>
      </c>
      <c r="K3308" s="1">
        <v>2</v>
      </c>
      <c r="L3308" s="24">
        <v>28.9</v>
      </c>
      <c r="M3308" s="24">
        <v>260.90999999999997</v>
      </c>
      <c r="N3308" s="21">
        <f t="shared" si="154"/>
        <v>2.9636937647987222E-2</v>
      </c>
      <c r="P3308" s="1">
        <v>4</v>
      </c>
      <c r="Q3308" s="24">
        <v>34.787999999999982</v>
      </c>
      <c r="R3308" s="24">
        <v>255.11199999999999</v>
      </c>
      <c r="S3308" s="21">
        <f t="shared" si="155"/>
        <v>6.7561168113653867E-3</v>
      </c>
    </row>
    <row r="3309" spans="2:19" ht="11.4" customHeight="1" x14ac:dyDescent="0.2">
      <c r="B3309" s="24"/>
      <c r="C3309" s="14">
        <v>34024</v>
      </c>
      <c r="D3309" s="18" t="s">
        <v>3451</v>
      </c>
      <c r="E3309" s="18" t="s">
        <v>3447</v>
      </c>
      <c r="F3309" s="18"/>
      <c r="G3309" s="18" t="s">
        <v>23</v>
      </c>
      <c r="H3309" s="17">
        <v>36.659999999999997</v>
      </c>
      <c r="I3309" s="15">
        <v>49.9</v>
      </c>
      <c r="J3309" s="21">
        <f t="shared" si="153"/>
        <v>0.36115657392253148</v>
      </c>
      <c r="K3309" s="1">
        <v>2</v>
      </c>
      <c r="L3309" s="24">
        <v>4.9000000000000004</v>
      </c>
      <c r="M3309" s="24">
        <v>44.91</v>
      </c>
      <c r="N3309" s="21">
        <f t="shared" si="154"/>
        <v>0.22504091653027825</v>
      </c>
      <c r="P3309" s="1">
        <v>4</v>
      </c>
      <c r="Q3309" s="24">
        <v>5.9879999999999995</v>
      </c>
      <c r="R3309" s="24">
        <v>43.911999999999999</v>
      </c>
      <c r="S3309" s="21">
        <f t="shared" si="155"/>
        <v>0.19781778505182768</v>
      </c>
    </row>
    <row r="3310" spans="2:19" ht="11.4" customHeight="1" x14ac:dyDescent="0.2">
      <c r="B3310" s="24"/>
      <c r="C3310" s="14">
        <v>15963</v>
      </c>
      <c r="D3310" s="18" t="s">
        <v>3452</v>
      </c>
      <c r="E3310" s="18" t="s">
        <v>3453</v>
      </c>
      <c r="F3310" s="18"/>
      <c r="G3310" s="18" t="s">
        <v>23</v>
      </c>
      <c r="H3310" s="17">
        <v>26.64</v>
      </c>
      <c r="I3310" s="15">
        <v>35.5</v>
      </c>
      <c r="J3310" s="21">
        <f t="shared" si="153"/>
        <v>0.33258258258258255</v>
      </c>
      <c r="K3310" s="1">
        <v>2</v>
      </c>
      <c r="L3310" s="24">
        <v>3.5</v>
      </c>
      <c r="M3310" s="24">
        <v>31.95</v>
      </c>
      <c r="N3310" s="21">
        <f t="shared" si="154"/>
        <v>0.19932432432432426</v>
      </c>
      <c r="P3310" s="1">
        <v>4</v>
      </c>
      <c r="Q3310" s="24">
        <v>4.2600000000000016</v>
      </c>
      <c r="R3310" s="24">
        <v>31.24</v>
      </c>
      <c r="S3310" s="21">
        <f t="shared" si="155"/>
        <v>0.17267267267267258</v>
      </c>
    </row>
    <row r="3311" spans="2:19" ht="11.4" customHeight="1" x14ac:dyDescent="0.2">
      <c r="B3311" s="24"/>
      <c r="C3311" s="14">
        <v>46956</v>
      </c>
      <c r="D3311" s="18" t="s">
        <v>3454</v>
      </c>
      <c r="E3311" s="18" t="s">
        <v>3455</v>
      </c>
      <c r="F3311" s="17">
        <v>2</v>
      </c>
      <c r="G3311" s="18" t="s">
        <v>902</v>
      </c>
      <c r="H3311" s="17">
        <v>144.41999999999999</v>
      </c>
      <c r="I3311" s="15">
        <v>209.9</v>
      </c>
      <c r="J3311" s="21">
        <f t="shared" si="153"/>
        <v>0.45339980612103603</v>
      </c>
      <c r="K3311" s="1">
        <v>1</v>
      </c>
      <c r="L3311" s="24">
        <v>20.9</v>
      </c>
      <c r="M3311" s="24">
        <v>188.91</v>
      </c>
      <c r="N3311" s="21">
        <f t="shared" si="154"/>
        <v>0.30805982550893235</v>
      </c>
      <c r="P3311" s="1">
        <v>4</v>
      </c>
      <c r="Q3311" s="24">
        <v>20.990000000000009</v>
      </c>
      <c r="R3311" s="24">
        <v>188.91</v>
      </c>
      <c r="S3311" s="21">
        <f t="shared" si="155"/>
        <v>0.30805982550893235</v>
      </c>
    </row>
    <row r="3312" spans="2:19" ht="11.4" customHeight="1" x14ac:dyDescent="0.2">
      <c r="B3312" s="24"/>
      <c r="C3312" s="14">
        <v>13013</v>
      </c>
      <c r="D3312" s="18" t="s">
        <v>3456</v>
      </c>
      <c r="E3312" s="18" t="s">
        <v>3455</v>
      </c>
      <c r="F3312" s="18"/>
      <c r="G3312" s="18" t="s">
        <v>902</v>
      </c>
      <c r="H3312" s="17">
        <v>158.16999999999999</v>
      </c>
      <c r="I3312" s="15">
        <v>232.5</v>
      </c>
      <c r="J3312" s="21">
        <f t="shared" si="153"/>
        <v>0.46993740911677323</v>
      </c>
      <c r="K3312" s="1">
        <v>1</v>
      </c>
      <c r="L3312" s="24">
        <v>23.2</v>
      </c>
      <c r="M3312" s="24">
        <v>209.25</v>
      </c>
      <c r="N3312" s="21">
        <f t="shared" si="154"/>
        <v>0.3229436682050959</v>
      </c>
      <c r="P3312" s="1">
        <v>4</v>
      </c>
      <c r="Q3312" s="24">
        <v>23.25</v>
      </c>
      <c r="R3312" s="24">
        <v>209.25</v>
      </c>
      <c r="S3312" s="21">
        <f t="shared" si="155"/>
        <v>0.3229436682050959</v>
      </c>
    </row>
    <row r="3313" spans="2:19" ht="11.4" customHeight="1" x14ac:dyDescent="0.2">
      <c r="B3313" s="24"/>
      <c r="C3313" s="14">
        <v>12269</v>
      </c>
      <c r="D3313" s="18" t="s">
        <v>3457</v>
      </c>
      <c r="E3313" s="18" t="s">
        <v>3455</v>
      </c>
      <c r="F3313" s="18"/>
      <c r="G3313" s="18" t="s">
        <v>902</v>
      </c>
      <c r="H3313" s="17">
        <v>158.16999999999999</v>
      </c>
      <c r="I3313" s="15">
        <v>232.5</v>
      </c>
      <c r="J3313" s="21">
        <f t="shared" si="153"/>
        <v>0.46993740911677323</v>
      </c>
      <c r="K3313" s="1">
        <v>1</v>
      </c>
      <c r="L3313" s="24">
        <v>23.2</v>
      </c>
      <c r="M3313" s="24">
        <v>209.25</v>
      </c>
      <c r="N3313" s="21">
        <f t="shared" si="154"/>
        <v>0.3229436682050959</v>
      </c>
      <c r="P3313" s="1">
        <v>4</v>
      </c>
      <c r="Q3313" s="24">
        <v>23.25</v>
      </c>
      <c r="R3313" s="24">
        <v>209.25</v>
      </c>
      <c r="S3313" s="21">
        <f t="shared" si="155"/>
        <v>0.3229436682050959</v>
      </c>
    </row>
    <row r="3314" spans="2:19" ht="11.4" customHeight="1" x14ac:dyDescent="0.2">
      <c r="B3314" s="24"/>
      <c r="C3314" s="14">
        <v>13144</v>
      </c>
      <c r="D3314" s="18" t="s">
        <v>3458</v>
      </c>
      <c r="E3314" s="18" t="s">
        <v>3455</v>
      </c>
      <c r="F3314" s="18"/>
      <c r="G3314" s="18" t="s">
        <v>902</v>
      </c>
      <c r="H3314" s="17">
        <v>140.66999999999999</v>
      </c>
      <c r="I3314" s="15">
        <v>208.5</v>
      </c>
      <c r="J3314" s="21">
        <f t="shared" si="153"/>
        <v>0.48219236510983166</v>
      </c>
      <c r="K3314" s="1">
        <v>1</v>
      </c>
      <c r="L3314" s="24">
        <v>20.8</v>
      </c>
      <c r="M3314" s="24">
        <v>187.65</v>
      </c>
      <c r="N3314" s="21">
        <f t="shared" si="154"/>
        <v>0.33397312859884853</v>
      </c>
      <c r="P3314" s="1">
        <v>4</v>
      </c>
      <c r="Q3314" s="24">
        <v>20.849999999999994</v>
      </c>
      <c r="R3314" s="24">
        <v>187.65</v>
      </c>
      <c r="S3314" s="21">
        <f t="shared" si="155"/>
        <v>0.33397312859884853</v>
      </c>
    </row>
    <row r="3315" spans="2:19" ht="11.4" customHeight="1" x14ac:dyDescent="0.2">
      <c r="B3315" s="24"/>
      <c r="C3315" s="14">
        <v>21093</v>
      </c>
      <c r="D3315" s="18" t="s">
        <v>3459</v>
      </c>
      <c r="E3315" s="18" t="s">
        <v>3455</v>
      </c>
      <c r="F3315" s="17">
        <v>1.8</v>
      </c>
      <c r="G3315" s="18" t="s">
        <v>902</v>
      </c>
      <c r="H3315" s="17">
        <v>199.9</v>
      </c>
      <c r="I3315" s="15">
        <v>257.89999999999998</v>
      </c>
      <c r="J3315" s="21">
        <f t="shared" si="153"/>
        <v>0.29014507253626798</v>
      </c>
      <c r="K3315" s="1">
        <v>1</v>
      </c>
      <c r="L3315" s="24">
        <v>25.7</v>
      </c>
      <c r="M3315" s="24">
        <v>232.10999999999999</v>
      </c>
      <c r="N3315" s="21">
        <f t="shared" si="154"/>
        <v>0.16113056528264122</v>
      </c>
      <c r="P3315" s="1">
        <v>4</v>
      </c>
      <c r="Q3315" s="24">
        <v>25.789999999999992</v>
      </c>
      <c r="R3315" s="24">
        <v>232.10999999999999</v>
      </c>
      <c r="S3315" s="21">
        <f t="shared" si="155"/>
        <v>0.16113056528264122</v>
      </c>
    </row>
    <row r="3316" spans="2:19" ht="11.4" customHeight="1" x14ac:dyDescent="0.2">
      <c r="B3316" s="24"/>
      <c r="C3316" s="14">
        <v>46337</v>
      </c>
      <c r="D3316" s="18" t="s">
        <v>3460</v>
      </c>
      <c r="E3316" s="18" t="s">
        <v>3455</v>
      </c>
      <c r="F3316" s="18"/>
      <c r="G3316" s="18" t="s">
        <v>902</v>
      </c>
      <c r="H3316" s="17">
        <v>158.16999999999999</v>
      </c>
      <c r="I3316" s="15">
        <v>232.5</v>
      </c>
      <c r="J3316" s="21">
        <f t="shared" si="153"/>
        <v>0.46993740911677323</v>
      </c>
      <c r="K3316" s="1">
        <v>1</v>
      </c>
      <c r="L3316" s="24">
        <v>23.2</v>
      </c>
      <c r="M3316" s="24">
        <v>209.25</v>
      </c>
      <c r="N3316" s="21">
        <f t="shared" si="154"/>
        <v>0.3229436682050959</v>
      </c>
      <c r="P3316" s="1">
        <v>4</v>
      </c>
      <c r="Q3316" s="24">
        <v>23.25</v>
      </c>
      <c r="R3316" s="24">
        <v>209.25</v>
      </c>
      <c r="S3316" s="21">
        <f t="shared" si="155"/>
        <v>0.3229436682050959</v>
      </c>
    </row>
    <row r="3317" spans="2:19" ht="11.4" customHeight="1" x14ac:dyDescent="0.2">
      <c r="B3317" s="24"/>
      <c r="C3317" s="14">
        <v>42109</v>
      </c>
      <c r="D3317" s="18" t="s">
        <v>3461</v>
      </c>
      <c r="E3317" s="18" t="s">
        <v>3455</v>
      </c>
      <c r="F3317" s="18"/>
      <c r="G3317" s="18" t="s">
        <v>902</v>
      </c>
      <c r="H3317" s="17">
        <v>113.94</v>
      </c>
      <c r="I3317" s="15">
        <v>165.9</v>
      </c>
      <c r="J3317" s="21">
        <f t="shared" si="153"/>
        <v>0.45602948920484471</v>
      </c>
      <c r="K3317" s="1">
        <v>1</v>
      </c>
      <c r="L3317" s="24">
        <v>16.5</v>
      </c>
      <c r="M3317" s="24">
        <v>149.31</v>
      </c>
      <c r="N3317" s="21">
        <f t="shared" si="154"/>
        <v>0.31042654028436023</v>
      </c>
      <c r="P3317" s="1">
        <v>4</v>
      </c>
      <c r="Q3317" s="24">
        <v>16.590000000000003</v>
      </c>
      <c r="R3317" s="24">
        <v>149.31</v>
      </c>
      <c r="S3317" s="21">
        <f t="shared" si="155"/>
        <v>0.31042654028436023</v>
      </c>
    </row>
    <row r="3318" spans="2:19" ht="11.4" customHeight="1" x14ac:dyDescent="0.2">
      <c r="B3318" s="24"/>
      <c r="C3318" s="14">
        <v>45142</v>
      </c>
      <c r="D3318" s="18" t="s">
        <v>3462</v>
      </c>
      <c r="E3318" s="18" t="s">
        <v>3455</v>
      </c>
      <c r="F3318" s="17">
        <v>2</v>
      </c>
      <c r="G3318" s="18" t="s">
        <v>902</v>
      </c>
      <c r="H3318" s="17">
        <v>122.6</v>
      </c>
      <c r="I3318" s="15">
        <v>221.5</v>
      </c>
      <c r="J3318" s="21">
        <f t="shared" si="153"/>
        <v>0.80668841761827093</v>
      </c>
      <c r="K3318" s="1">
        <v>1</v>
      </c>
      <c r="L3318" s="24">
        <v>22.1</v>
      </c>
      <c r="M3318" s="24">
        <v>199.35</v>
      </c>
      <c r="N3318" s="21">
        <f t="shared" si="154"/>
        <v>0.62601957585644374</v>
      </c>
      <c r="P3318" s="1">
        <v>4</v>
      </c>
      <c r="Q3318" s="24">
        <v>22.150000000000006</v>
      </c>
      <c r="R3318" s="24">
        <v>199.35</v>
      </c>
      <c r="S3318" s="21">
        <f t="shared" si="155"/>
        <v>0.62601957585644374</v>
      </c>
    </row>
    <row r="3319" spans="2:19" ht="11.4" customHeight="1" x14ac:dyDescent="0.2">
      <c r="B3319" s="24"/>
      <c r="C3319" s="14">
        <v>45139</v>
      </c>
      <c r="D3319" s="18" t="s">
        <v>3463</v>
      </c>
      <c r="E3319" s="18" t="s">
        <v>3455</v>
      </c>
      <c r="F3319" s="17">
        <v>2</v>
      </c>
      <c r="G3319" s="18" t="s">
        <v>902</v>
      </c>
      <c r="H3319" s="17">
        <v>118.8</v>
      </c>
      <c r="I3319" s="15">
        <v>193.5</v>
      </c>
      <c r="J3319" s="21">
        <f t="shared" si="153"/>
        <v>0.62878787878787878</v>
      </c>
      <c r="K3319" s="1">
        <v>1</v>
      </c>
      <c r="L3319" s="24">
        <v>19.3</v>
      </c>
      <c r="M3319" s="24">
        <v>174.15</v>
      </c>
      <c r="N3319" s="21">
        <f t="shared" si="154"/>
        <v>0.46590909090909099</v>
      </c>
      <c r="P3319" s="1">
        <v>4</v>
      </c>
      <c r="Q3319" s="24">
        <v>19.349999999999994</v>
      </c>
      <c r="R3319" s="24">
        <v>174.15</v>
      </c>
      <c r="S3319" s="21">
        <f t="shared" si="155"/>
        <v>0.46590909090909099</v>
      </c>
    </row>
    <row r="3320" spans="2:19" ht="11.4" customHeight="1" x14ac:dyDescent="0.2">
      <c r="B3320" s="24"/>
      <c r="C3320" s="14">
        <v>45136</v>
      </c>
      <c r="D3320" s="18" t="s">
        <v>3464</v>
      </c>
      <c r="E3320" s="18" t="s">
        <v>3465</v>
      </c>
      <c r="F3320" s="17">
        <v>2</v>
      </c>
      <c r="G3320" s="18" t="s">
        <v>902</v>
      </c>
      <c r="H3320" s="17">
        <v>130</v>
      </c>
      <c r="I3320" s="15">
        <v>216.9</v>
      </c>
      <c r="J3320" s="21">
        <f t="shared" si="153"/>
        <v>0.66846153846153855</v>
      </c>
      <c r="K3320" s="1">
        <v>1</v>
      </c>
      <c r="L3320" s="24">
        <v>21.6</v>
      </c>
      <c r="M3320" s="24">
        <v>195.21</v>
      </c>
      <c r="N3320" s="21">
        <f t="shared" si="154"/>
        <v>0.50161538461538469</v>
      </c>
      <c r="P3320" s="1">
        <v>4</v>
      </c>
      <c r="Q3320" s="24">
        <v>21.689999999999998</v>
      </c>
      <c r="R3320" s="24">
        <v>195.21</v>
      </c>
      <c r="S3320" s="21">
        <f t="shared" si="155"/>
        <v>0.50161538461538469</v>
      </c>
    </row>
    <row r="3321" spans="2:19" ht="11.4" customHeight="1" x14ac:dyDescent="0.2">
      <c r="B3321" s="24"/>
      <c r="C3321" s="14">
        <v>7914</v>
      </c>
      <c r="D3321" s="18" t="s">
        <v>3466</v>
      </c>
      <c r="E3321" s="18" t="s">
        <v>3467</v>
      </c>
      <c r="F3321" s="17">
        <v>14</v>
      </c>
      <c r="G3321" s="18" t="s">
        <v>23</v>
      </c>
      <c r="H3321" s="17">
        <v>42.5</v>
      </c>
      <c r="I3321" s="15">
        <v>45</v>
      </c>
      <c r="J3321" s="21">
        <f t="shared" si="153"/>
        <v>5.8823529411764705E-2</v>
      </c>
      <c r="K3321" s="1">
        <v>2</v>
      </c>
      <c r="L3321" s="24">
        <v>4.5</v>
      </c>
      <c r="M3321" s="24">
        <v>40.5</v>
      </c>
      <c r="N3321" s="21">
        <f t="shared" si="154"/>
        <v>-4.7058823529411764E-2</v>
      </c>
      <c r="P3321" s="1">
        <v>4</v>
      </c>
      <c r="Q3321" s="24">
        <v>5.3999999999999986</v>
      </c>
      <c r="R3321" s="24">
        <v>39.6</v>
      </c>
      <c r="S3321" s="21">
        <f t="shared" si="155"/>
        <v>-6.8235294117647019E-2</v>
      </c>
    </row>
    <row r="3322" spans="2:19" ht="11.4" customHeight="1" x14ac:dyDescent="0.2">
      <c r="B3322" s="24"/>
      <c r="C3322" s="14">
        <v>34719</v>
      </c>
      <c r="D3322" s="18" t="s">
        <v>3468</v>
      </c>
      <c r="E3322" s="18" t="s">
        <v>3467</v>
      </c>
      <c r="F3322" s="17">
        <v>12</v>
      </c>
      <c r="G3322" s="18" t="s">
        <v>23</v>
      </c>
      <c r="H3322" s="17">
        <v>58.9</v>
      </c>
      <c r="I3322" s="15">
        <v>69.900000000000006</v>
      </c>
      <c r="J3322" s="21">
        <f t="shared" si="153"/>
        <v>0.18675721561969452</v>
      </c>
      <c r="K3322" s="1">
        <v>2</v>
      </c>
      <c r="L3322" s="24">
        <v>6.9</v>
      </c>
      <c r="M3322" s="24">
        <v>62.910000000000004</v>
      </c>
      <c r="N3322" s="21">
        <f t="shared" si="154"/>
        <v>6.8081494057725039E-2</v>
      </c>
      <c r="P3322" s="1">
        <v>4</v>
      </c>
      <c r="Q3322" s="24">
        <v>8.3879999999999981</v>
      </c>
      <c r="R3322" s="24">
        <v>61.512000000000008</v>
      </c>
      <c r="S3322" s="21">
        <f t="shared" si="155"/>
        <v>4.4346349745331221E-2</v>
      </c>
    </row>
    <row r="3323" spans="2:19" ht="11.4" customHeight="1" x14ac:dyDescent="0.2">
      <c r="B3323" s="24"/>
      <c r="C3323" s="14">
        <v>7919</v>
      </c>
      <c r="D3323" s="18" t="s">
        <v>3469</v>
      </c>
      <c r="E3323" s="18" t="s">
        <v>3467</v>
      </c>
      <c r="F3323" s="17">
        <v>14</v>
      </c>
      <c r="G3323" s="18" t="s">
        <v>23</v>
      </c>
      <c r="H3323" s="17">
        <v>42.5</v>
      </c>
      <c r="I3323" s="15">
        <v>45</v>
      </c>
      <c r="J3323" s="21">
        <f t="shared" si="153"/>
        <v>5.8823529411764705E-2</v>
      </c>
      <c r="K3323" s="1">
        <v>2</v>
      </c>
      <c r="L3323" s="24">
        <v>4.5</v>
      </c>
      <c r="M3323" s="24">
        <v>40.5</v>
      </c>
      <c r="N3323" s="21">
        <f t="shared" si="154"/>
        <v>-4.7058823529411764E-2</v>
      </c>
      <c r="P3323" s="1">
        <v>4</v>
      </c>
      <c r="Q3323" s="24">
        <v>5.3999999999999986</v>
      </c>
      <c r="R3323" s="24">
        <v>39.6</v>
      </c>
      <c r="S3323" s="21">
        <f t="shared" si="155"/>
        <v>-6.8235294117647019E-2</v>
      </c>
    </row>
    <row r="3324" spans="2:19" ht="11.4" customHeight="1" x14ac:dyDescent="0.2">
      <c r="B3324" s="24"/>
      <c r="C3324" s="14">
        <v>7918</v>
      </c>
      <c r="D3324" s="18" t="s">
        <v>3470</v>
      </c>
      <c r="E3324" s="18" t="s">
        <v>3467</v>
      </c>
      <c r="F3324" s="17">
        <v>14</v>
      </c>
      <c r="G3324" s="18" t="s">
        <v>23</v>
      </c>
      <c r="H3324" s="17">
        <v>42.5</v>
      </c>
      <c r="I3324" s="15">
        <v>45</v>
      </c>
      <c r="J3324" s="21">
        <f t="shared" si="153"/>
        <v>5.8823529411764705E-2</v>
      </c>
      <c r="K3324" s="1">
        <v>2</v>
      </c>
      <c r="L3324" s="24">
        <v>4.5</v>
      </c>
      <c r="M3324" s="24">
        <v>40.5</v>
      </c>
      <c r="N3324" s="21">
        <f t="shared" si="154"/>
        <v>-4.7058823529411764E-2</v>
      </c>
      <c r="P3324" s="1">
        <v>4</v>
      </c>
      <c r="Q3324" s="24">
        <v>5.3999999999999986</v>
      </c>
      <c r="R3324" s="24">
        <v>39.6</v>
      </c>
      <c r="S3324" s="21">
        <f t="shared" si="155"/>
        <v>-6.8235294117647019E-2</v>
      </c>
    </row>
    <row r="3325" spans="2:19" ht="11.4" customHeight="1" x14ac:dyDescent="0.2">
      <c r="B3325" s="24"/>
      <c r="C3325" s="14">
        <v>7641</v>
      </c>
      <c r="D3325" s="18" t="s">
        <v>3471</v>
      </c>
      <c r="E3325" s="18" t="s">
        <v>3453</v>
      </c>
      <c r="F3325" s="17">
        <v>9</v>
      </c>
      <c r="G3325" s="18" t="s">
        <v>23</v>
      </c>
      <c r="H3325" s="17">
        <v>69.5</v>
      </c>
      <c r="I3325" s="15">
        <v>83</v>
      </c>
      <c r="J3325" s="21">
        <f t="shared" si="153"/>
        <v>0.19424460431654678</v>
      </c>
      <c r="K3325" s="1">
        <v>2</v>
      </c>
      <c r="L3325" s="24">
        <v>8.3000000000000007</v>
      </c>
      <c r="M3325" s="24">
        <v>74.7</v>
      </c>
      <c r="N3325" s="21">
        <f t="shared" si="154"/>
        <v>7.4820143884892124E-2</v>
      </c>
      <c r="P3325" s="1">
        <v>4</v>
      </c>
      <c r="Q3325" s="24">
        <v>9.9599999999999937</v>
      </c>
      <c r="R3325" s="24">
        <v>73.040000000000006</v>
      </c>
      <c r="S3325" s="21">
        <f t="shared" si="155"/>
        <v>5.0935251798561239E-2</v>
      </c>
    </row>
    <row r="3326" spans="2:19" ht="11.4" customHeight="1" x14ac:dyDescent="0.2">
      <c r="B3326" s="24"/>
      <c r="C3326" s="14">
        <v>43195</v>
      </c>
      <c r="D3326" s="18" t="s">
        <v>3472</v>
      </c>
      <c r="E3326" s="18" t="s">
        <v>3453</v>
      </c>
      <c r="F3326" s="17">
        <v>12</v>
      </c>
      <c r="G3326" s="18" t="s">
        <v>23</v>
      </c>
      <c r="H3326" s="17">
        <v>53.26</v>
      </c>
      <c r="I3326" s="15">
        <v>63.9</v>
      </c>
      <c r="J3326" s="21">
        <f t="shared" si="153"/>
        <v>0.19977469019902366</v>
      </c>
      <c r="K3326" s="1">
        <v>2</v>
      </c>
      <c r="L3326" s="24">
        <v>6.3</v>
      </c>
      <c r="M3326" s="24">
        <v>57.51</v>
      </c>
      <c r="N3326" s="21">
        <f t="shared" si="154"/>
        <v>7.9797221179121289E-2</v>
      </c>
      <c r="P3326" s="1">
        <v>4</v>
      </c>
      <c r="Q3326" s="24">
        <v>7.6679999999999993</v>
      </c>
      <c r="R3326" s="24">
        <v>56.231999999999999</v>
      </c>
      <c r="S3326" s="21">
        <f t="shared" si="155"/>
        <v>5.5801727375140844E-2</v>
      </c>
    </row>
    <row r="3327" spans="2:19" ht="11.4" customHeight="1" x14ac:dyDescent="0.2">
      <c r="B3327" s="24"/>
      <c r="C3327" s="14">
        <v>43196</v>
      </c>
      <c r="D3327" s="18" t="s">
        <v>3473</v>
      </c>
      <c r="E3327" s="18" t="s">
        <v>3453</v>
      </c>
      <c r="F3327" s="17">
        <v>12</v>
      </c>
      <c r="G3327" s="18" t="s">
        <v>23</v>
      </c>
      <c r="H3327" s="17">
        <v>53.26</v>
      </c>
      <c r="I3327" s="15">
        <v>63.9</v>
      </c>
      <c r="J3327" s="21">
        <f t="shared" si="153"/>
        <v>0.19977469019902366</v>
      </c>
      <c r="K3327" s="1">
        <v>2</v>
      </c>
      <c r="L3327" s="24">
        <v>6.3</v>
      </c>
      <c r="M3327" s="24">
        <v>57.51</v>
      </c>
      <c r="N3327" s="21">
        <f t="shared" si="154"/>
        <v>7.9797221179121289E-2</v>
      </c>
      <c r="P3327" s="1">
        <v>4</v>
      </c>
      <c r="Q3327" s="24">
        <v>7.6679999999999993</v>
      </c>
      <c r="R3327" s="24">
        <v>56.231999999999999</v>
      </c>
      <c r="S3327" s="21">
        <f t="shared" si="155"/>
        <v>5.5801727375140844E-2</v>
      </c>
    </row>
    <row r="3328" spans="2:19" ht="11.4" customHeight="1" x14ac:dyDescent="0.2">
      <c r="B3328" s="24"/>
      <c r="C3328" s="14">
        <v>43197</v>
      </c>
      <c r="D3328" s="18" t="s">
        <v>3474</v>
      </c>
      <c r="E3328" s="18" t="s">
        <v>3453</v>
      </c>
      <c r="F3328" s="17">
        <v>12</v>
      </c>
      <c r="G3328" s="18" t="s">
        <v>23</v>
      </c>
      <c r="H3328" s="17">
        <v>53.26</v>
      </c>
      <c r="I3328" s="15">
        <v>63.9</v>
      </c>
      <c r="J3328" s="21">
        <f t="shared" si="153"/>
        <v>0.19977469019902366</v>
      </c>
      <c r="K3328" s="1">
        <v>2</v>
      </c>
      <c r="L3328" s="24">
        <v>6.3</v>
      </c>
      <c r="M3328" s="24">
        <v>57.51</v>
      </c>
      <c r="N3328" s="21">
        <f t="shared" si="154"/>
        <v>7.9797221179121289E-2</v>
      </c>
      <c r="P3328" s="1">
        <v>4</v>
      </c>
      <c r="Q3328" s="24">
        <v>7.6679999999999993</v>
      </c>
      <c r="R3328" s="24">
        <v>56.231999999999999</v>
      </c>
      <c r="S3328" s="21">
        <f t="shared" si="155"/>
        <v>5.5801727375140844E-2</v>
      </c>
    </row>
    <row r="3329" spans="2:22" ht="11.4" customHeight="1" x14ac:dyDescent="0.2">
      <c r="B3329" s="24"/>
      <c r="C3329" s="14">
        <v>7371</v>
      </c>
      <c r="D3329" s="18" t="s">
        <v>3475</v>
      </c>
      <c r="E3329" s="18" t="s">
        <v>3453</v>
      </c>
      <c r="F3329" s="17">
        <v>9</v>
      </c>
      <c r="G3329" s="18" t="s">
        <v>23</v>
      </c>
      <c r="H3329" s="17">
        <v>69.5</v>
      </c>
      <c r="I3329" s="15">
        <v>83</v>
      </c>
      <c r="J3329" s="21">
        <f t="shared" si="153"/>
        <v>0.19424460431654678</v>
      </c>
      <c r="K3329" s="1">
        <v>2</v>
      </c>
      <c r="L3329" s="24">
        <v>8.3000000000000007</v>
      </c>
      <c r="M3329" s="24">
        <v>74.7</v>
      </c>
      <c r="N3329" s="21">
        <f t="shared" si="154"/>
        <v>7.4820143884892124E-2</v>
      </c>
      <c r="P3329" s="1">
        <v>4</v>
      </c>
      <c r="Q3329" s="24">
        <v>9.9599999999999937</v>
      </c>
      <c r="R3329" s="24">
        <v>73.040000000000006</v>
      </c>
      <c r="S3329" s="21">
        <f t="shared" si="155"/>
        <v>5.0935251798561239E-2</v>
      </c>
    </row>
    <row r="3330" spans="2:22" ht="11.4" customHeight="1" x14ac:dyDescent="0.2">
      <c r="B3330" s="24"/>
      <c r="C3330" s="14">
        <v>7366</v>
      </c>
      <c r="D3330" s="18" t="s">
        <v>3476</v>
      </c>
      <c r="E3330" s="18" t="s">
        <v>3453</v>
      </c>
      <c r="F3330" s="17">
        <v>9</v>
      </c>
      <c r="G3330" s="18" t="s">
        <v>23</v>
      </c>
      <c r="H3330" s="17">
        <v>69.5</v>
      </c>
      <c r="I3330" s="15">
        <v>83</v>
      </c>
      <c r="J3330" s="21">
        <f t="shared" si="153"/>
        <v>0.19424460431654678</v>
      </c>
      <c r="K3330" s="1">
        <v>2</v>
      </c>
      <c r="L3330" s="24">
        <v>8.3000000000000007</v>
      </c>
      <c r="M3330" s="24">
        <v>74.7</v>
      </c>
      <c r="N3330" s="21">
        <f t="shared" si="154"/>
        <v>7.4820143884892124E-2</v>
      </c>
      <c r="P3330" s="1">
        <v>4</v>
      </c>
      <c r="Q3330" s="24">
        <v>9.9599999999999937</v>
      </c>
      <c r="R3330" s="24">
        <v>73.040000000000006</v>
      </c>
      <c r="S3330" s="21">
        <f t="shared" si="155"/>
        <v>5.0935251798561239E-2</v>
      </c>
    </row>
    <row r="3331" spans="2:22" ht="11.4" customHeight="1" x14ac:dyDescent="0.2">
      <c r="B3331" s="24"/>
      <c r="C3331" s="14">
        <v>4961</v>
      </c>
      <c r="D3331" s="18" t="s">
        <v>3477</v>
      </c>
      <c r="E3331" s="18" t="s">
        <v>3453</v>
      </c>
      <c r="F3331" s="17">
        <v>20</v>
      </c>
      <c r="G3331" s="18" t="s">
        <v>23</v>
      </c>
      <c r="H3331" s="17">
        <v>29.9</v>
      </c>
      <c r="I3331" s="15">
        <v>34.299999999999997</v>
      </c>
      <c r="J3331" s="21">
        <f t="shared" ref="J3331:J3394" si="156">(I3331-H3331)/H3331</f>
        <v>0.14715719063545146</v>
      </c>
      <c r="K3331" s="1">
        <v>2</v>
      </c>
      <c r="L3331" s="24">
        <v>3.4</v>
      </c>
      <c r="M3331" s="24">
        <v>30.869999999999997</v>
      </c>
      <c r="N3331" s="21">
        <f t="shared" ref="N3331:N3394" si="157">(M3331-H3331)/H3331</f>
        <v>3.244147157190632E-2</v>
      </c>
      <c r="P3331" s="1">
        <v>4</v>
      </c>
      <c r="Q3331" s="24">
        <v>4.1159999999999997</v>
      </c>
      <c r="R3331" s="24">
        <v>30.183999999999997</v>
      </c>
      <c r="S3331" s="21">
        <f t="shared" ref="S3331:S3394" si="158">(R3331-H3331)/H3331</f>
        <v>9.4983277591972892E-3</v>
      </c>
    </row>
    <row r="3332" spans="2:22" ht="11.4" customHeight="1" x14ac:dyDescent="0.2">
      <c r="B3332" s="24"/>
      <c r="C3332" s="14">
        <v>14949</v>
      </c>
      <c r="D3332" s="18" t="s">
        <v>3478</v>
      </c>
      <c r="E3332" s="18" t="s">
        <v>3479</v>
      </c>
      <c r="F3332" s="18"/>
      <c r="G3332" s="18" t="s">
        <v>902</v>
      </c>
      <c r="H3332" s="17">
        <v>135.1</v>
      </c>
      <c r="I3332" s="15">
        <v>162.5</v>
      </c>
      <c r="J3332" s="21">
        <f t="shared" si="156"/>
        <v>0.20281273131014069</v>
      </c>
      <c r="K3332" s="1">
        <v>1</v>
      </c>
      <c r="L3332" s="24">
        <v>16.2</v>
      </c>
      <c r="M3332" s="24">
        <v>146.25</v>
      </c>
      <c r="N3332" s="21">
        <f t="shared" si="157"/>
        <v>8.2531458179126618E-2</v>
      </c>
      <c r="P3332" s="1">
        <v>4</v>
      </c>
      <c r="Q3332" s="24">
        <v>16.25</v>
      </c>
      <c r="R3332" s="24">
        <v>146.25</v>
      </c>
      <c r="S3332" s="21">
        <f t="shared" si="158"/>
        <v>8.2531458179126618E-2</v>
      </c>
    </row>
    <row r="3333" spans="2:22" ht="11.4" customHeight="1" x14ac:dyDescent="0.2">
      <c r="B3333" s="24"/>
      <c r="C3333" s="14">
        <v>30791</v>
      </c>
      <c r="D3333" s="18" t="s">
        <v>3480</v>
      </c>
      <c r="E3333" s="18" t="s">
        <v>3339</v>
      </c>
      <c r="F3333" s="17">
        <v>15</v>
      </c>
      <c r="G3333" s="18" t="s">
        <v>23</v>
      </c>
      <c r="H3333" s="17">
        <v>32.1</v>
      </c>
      <c r="I3333" s="15">
        <v>33.9</v>
      </c>
      <c r="J3333" s="21">
        <f t="shared" si="156"/>
        <v>5.6074766355140096E-2</v>
      </c>
      <c r="K3333" s="1">
        <v>2</v>
      </c>
      <c r="L3333" s="24">
        <v>3.3</v>
      </c>
      <c r="M3333" s="24">
        <v>30.509999999999998</v>
      </c>
      <c r="N3333" s="21">
        <f t="shared" si="157"/>
        <v>-4.9532710280373933E-2</v>
      </c>
      <c r="P3333" s="1">
        <v>4</v>
      </c>
      <c r="Q3333" s="24">
        <v>4.0680000000000014</v>
      </c>
      <c r="R3333" s="24">
        <v>29.831999999999997</v>
      </c>
      <c r="S3333" s="21">
        <f t="shared" si="158"/>
        <v>-7.0654205607476761E-2</v>
      </c>
    </row>
    <row r="3334" spans="2:22" ht="11.4" customHeight="1" x14ac:dyDescent="0.2">
      <c r="B3334" s="24"/>
      <c r="C3334" s="14">
        <v>25628</v>
      </c>
      <c r="D3334" s="18" t="s">
        <v>3481</v>
      </c>
      <c r="E3334" s="18" t="s">
        <v>3339</v>
      </c>
      <c r="F3334" s="17">
        <v>15</v>
      </c>
      <c r="G3334" s="18" t="s">
        <v>23</v>
      </c>
      <c r="H3334" s="17">
        <v>32.5</v>
      </c>
      <c r="I3334" s="15">
        <v>33.9</v>
      </c>
      <c r="J3334" s="21">
        <f t="shared" si="156"/>
        <v>4.3076923076923034E-2</v>
      </c>
      <c r="K3334" s="1">
        <v>2</v>
      </c>
      <c r="L3334" s="24">
        <v>3.3</v>
      </c>
      <c r="M3334" s="24">
        <v>30.509999999999998</v>
      </c>
      <c r="N3334" s="21">
        <f t="shared" si="157"/>
        <v>-6.123076923076929E-2</v>
      </c>
      <c r="P3334" s="1">
        <v>4</v>
      </c>
      <c r="Q3334" s="24">
        <v>4.0680000000000014</v>
      </c>
      <c r="R3334" s="24">
        <v>29.831999999999997</v>
      </c>
      <c r="S3334" s="21">
        <f t="shared" si="158"/>
        <v>-8.2092307692307784E-2</v>
      </c>
    </row>
    <row r="3335" spans="2:22" ht="11.4" customHeight="1" x14ac:dyDescent="0.2">
      <c r="B3335" s="24"/>
      <c r="C3335" s="14">
        <v>25627</v>
      </c>
      <c r="D3335" s="18" t="s">
        <v>3482</v>
      </c>
      <c r="E3335" s="18" t="s">
        <v>3339</v>
      </c>
      <c r="F3335" s="17">
        <v>15</v>
      </c>
      <c r="G3335" s="18" t="s">
        <v>23</v>
      </c>
      <c r="H3335" s="17">
        <v>30.7</v>
      </c>
      <c r="I3335" s="15">
        <v>33.9</v>
      </c>
      <c r="J3335" s="21">
        <f t="shared" si="156"/>
        <v>0.10423452768729639</v>
      </c>
      <c r="K3335" s="1">
        <v>2</v>
      </c>
      <c r="L3335" s="24">
        <v>3.3</v>
      </c>
      <c r="M3335" s="24">
        <v>30.509999999999998</v>
      </c>
      <c r="N3335" s="21">
        <f t="shared" si="157"/>
        <v>-6.1889250814332669E-3</v>
      </c>
      <c r="P3335" s="1">
        <v>4</v>
      </c>
      <c r="Q3335" s="24">
        <v>4.0680000000000014</v>
      </c>
      <c r="R3335" s="24">
        <v>29.831999999999997</v>
      </c>
      <c r="S3335" s="21">
        <f t="shared" si="158"/>
        <v>-2.8273615635179224E-2</v>
      </c>
    </row>
    <row r="3336" spans="2:22" ht="11.4" customHeight="1" x14ac:dyDescent="0.2">
      <c r="B3336" s="24"/>
      <c r="C3336" s="14">
        <v>16885</v>
      </c>
      <c r="D3336" s="18" t="s">
        <v>3483</v>
      </c>
      <c r="E3336" s="18" t="s">
        <v>3339</v>
      </c>
      <c r="F3336" s="17">
        <v>15</v>
      </c>
      <c r="G3336" s="18" t="s">
        <v>23</v>
      </c>
      <c r="H3336" s="17">
        <v>32.5</v>
      </c>
      <c r="I3336" s="15">
        <v>33.9</v>
      </c>
      <c r="J3336" s="21">
        <f t="shared" si="156"/>
        <v>4.3076923076923034E-2</v>
      </c>
      <c r="K3336" s="1">
        <v>2</v>
      </c>
      <c r="L3336" s="24">
        <v>3.3</v>
      </c>
      <c r="M3336" s="24">
        <v>30.509999999999998</v>
      </c>
      <c r="N3336" s="21">
        <f t="shared" si="157"/>
        <v>-6.123076923076929E-2</v>
      </c>
      <c r="P3336" s="1">
        <v>4</v>
      </c>
      <c r="Q3336" s="24">
        <v>4.0680000000000014</v>
      </c>
      <c r="R3336" s="24">
        <v>29.831999999999997</v>
      </c>
      <c r="S3336" s="21">
        <f t="shared" si="158"/>
        <v>-8.2092307692307784E-2</v>
      </c>
    </row>
    <row r="3337" spans="2:22" ht="11.4" customHeight="1" x14ac:dyDescent="0.2">
      <c r="B3337" s="24"/>
      <c r="C3337" s="14">
        <v>27890</v>
      </c>
      <c r="D3337" s="18" t="s">
        <v>3484</v>
      </c>
      <c r="E3337" s="18" t="s">
        <v>3339</v>
      </c>
      <c r="F3337" s="17">
        <v>15</v>
      </c>
      <c r="G3337" s="18" t="s">
        <v>23</v>
      </c>
      <c r="H3337" s="17">
        <v>32.5</v>
      </c>
      <c r="I3337" s="15">
        <v>33.9</v>
      </c>
      <c r="J3337" s="21">
        <f t="shared" si="156"/>
        <v>4.3076923076923034E-2</v>
      </c>
      <c r="K3337" s="1">
        <v>2</v>
      </c>
      <c r="L3337" s="24">
        <v>3.3</v>
      </c>
      <c r="M3337" s="24">
        <v>30.509999999999998</v>
      </c>
      <c r="N3337" s="21">
        <f t="shared" si="157"/>
        <v>-6.123076923076929E-2</v>
      </c>
      <c r="P3337" s="1">
        <v>4</v>
      </c>
      <c r="Q3337" s="24">
        <v>4.0680000000000014</v>
      </c>
      <c r="R3337" s="24">
        <v>29.831999999999997</v>
      </c>
      <c r="S3337" s="21">
        <f t="shared" si="158"/>
        <v>-8.2092307692307784E-2</v>
      </c>
    </row>
    <row r="3338" spans="2:22" ht="11.4" customHeight="1" x14ac:dyDescent="0.2">
      <c r="B3338" s="24"/>
      <c r="C3338" s="14">
        <v>45721</v>
      </c>
      <c r="D3338" s="18" t="s">
        <v>3485</v>
      </c>
      <c r="E3338" s="18" t="s">
        <v>3339</v>
      </c>
      <c r="F3338" s="17">
        <v>30</v>
      </c>
      <c r="G3338" s="18" t="s">
        <v>23</v>
      </c>
      <c r="H3338" s="17">
        <v>7.98</v>
      </c>
      <c r="I3338" s="15">
        <v>19.899999999999999</v>
      </c>
      <c r="J3338" s="21">
        <f t="shared" si="156"/>
        <v>1.4937343358395987</v>
      </c>
      <c r="K3338" s="1">
        <v>2</v>
      </c>
      <c r="L3338" s="24">
        <v>1.9</v>
      </c>
      <c r="M3338" s="24">
        <v>17.91</v>
      </c>
      <c r="N3338" s="21">
        <f t="shared" si="157"/>
        <v>1.244360902255639</v>
      </c>
      <c r="P3338" s="1">
        <v>4</v>
      </c>
      <c r="Q3338" s="24">
        <v>2.3879999999999981</v>
      </c>
      <c r="R3338" s="24">
        <v>17.512</v>
      </c>
      <c r="S3338" s="21">
        <f t="shared" si="158"/>
        <v>1.1944862155388472</v>
      </c>
    </row>
    <row r="3339" spans="2:22" ht="11.4" customHeight="1" x14ac:dyDescent="0.2">
      <c r="B3339" s="24"/>
      <c r="C3339" s="14">
        <v>45254</v>
      </c>
      <c r="D3339" s="18" t="s">
        <v>3486</v>
      </c>
      <c r="E3339" s="18" t="s">
        <v>3479</v>
      </c>
      <c r="F3339" s="17">
        <v>4</v>
      </c>
      <c r="G3339" s="18" t="s">
        <v>902</v>
      </c>
      <c r="H3339" s="17">
        <v>93</v>
      </c>
      <c r="I3339" s="15">
        <v>179.9</v>
      </c>
      <c r="J3339" s="21">
        <f t="shared" si="156"/>
        <v>0.93440860215053767</v>
      </c>
      <c r="K3339" s="1">
        <v>1</v>
      </c>
      <c r="L3339" s="24">
        <v>17.899999999999999</v>
      </c>
      <c r="M3339" s="24">
        <v>161.91</v>
      </c>
      <c r="N3339" s="21">
        <f t="shared" si="157"/>
        <v>0.74096774193548387</v>
      </c>
      <c r="P3339" s="1">
        <v>4</v>
      </c>
      <c r="Q3339" s="24">
        <v>17.990000000000009</v>
      </c>
      <c r="R3339" s="24">
        <v>161.91</v>
      </c>
      <c r="S3339" s="21">
        <f t="shared" si="158"/>
        <v>0.74096774193548387</v>
      </c>
      <c r="V3339" s="24"/>
    </row>
    <row r="3340" spans="2:22" ht="11.4" customHeight="1" x14ac:dyDescent="0.2">
      <c r="B3340" s="24"/>
      <c r="C3340" s="14">
        <v>45262</v>
      </c>
      <c r="D3340" s="18" t="s">
        <v>3487</v>
      </c>
      <c r="E3340" s="18" t="s">
        <v>3479</v>
      </c>
      <c r="F3340" s="17">
        <v>4</v>
      </c>
      <c r="G3340" s="18" t="s">
        <v>902</v>
      </c>
      <c r="H3340" s="17">
        <v>93</v>
      </c>
      <c r="I3340" s="15">
        <v>179.9</v>
      </c>
      <c r="J3340" s="21">
        <f t="shared" si="156"/>
        <v>0.93440860215053767</v>
      </c>
      <c r="K3340" s="1">
        <v>1</v>
      </c>
      <c r="L3340" s="24">
        <v>17.899999999999999</v>
      </c>
      <c r="M3340" s="24">
        <v>161.91</v>
      </c>
      <c r="N3340" s="21">
        <f t="shared" si="157"/>
        <v>0.74096774193548387</v>
      </c>
      <c r="P3340" s="1">
        <v>4</v>
      </c>
      <c r="Q3340" s="24">
        <v>17.990000000000009</v>
      </c>
      <c r="R3340" s="24">
        <v>161.91</v>
      </c>
      <c r="S3340" s="21">
        <f t="shared" si="158"/>
        <v>0.74096774193548387</v>
      </c>
      <c r="V3340" s="24"/>
    </row>
    <row r="3341" spans="2:22" ht="11.4" customHeight="1" x14ac:dyDescent="0.2">
      <c r="B3341" s="24"/>
      <c r="C3341" s="14">
        <v>13975</v>
      </c>
      <c r="D3341" s="18" t="s">
        <v>3488</v>
      </c>
      <c r="E3341" s="18" t="s">
        <v>3479</v>
      </c>
      <c r="F3341" s="17">
        <v>4</v>
      </c>
      <c r="G3341" s="18" t="s">
        <v>902</v>
      </c>
      <c r="H3341" s="17">
        <v>129.9</v>
      </c>
      <c r="I3341" s="15">
        <v>164.9</v>
      </c>
      <c r="J3341" s="21">
        <f t="shared" si="156"/>
        <v>0.26943802925327176</v>
      </c>
      <c r="K3341" s="1">
        <v>1</v>
      </c>
      <c r="L3341" s="24">
        <v>16.399999999999999</v>
      </c>
      <c r="M3341" s="24">
        <v>148.41</v>
      </c>
      <c r="N3341" s="21">
        <f t="shared" si="157"/>
        <v>0.14249422632794451</v>
      </c>
      <c r="P3341" s="1">
        <v>4</v>
      </c>
      <c r="Q3341" s="24">
        <v>16.490000000000009</v>
      </c>
      <c r="R3341" s="24">
        <v>148.41</v>
      </c>
      <c r="S3341" s="21">
        <f t="shared" si="158"/>
        <v>0.14249422632794451</v>
      </c>
      <c r="V3341" s="24"/>
    </row>
    <row r="3342" spans="2:22" ht="11.4" customHeight="1" x14ac:dyDescent="0.2">
      <c r="B3342" s="24"/>
      <c r="C3342" s="14">
        <v>2887</v>
      </c>
      <c r="D3342" s="18" t="s">
        <v>3489</v>
      </c>
      <c r="E3342" s="18" t="s">
        <v>3339</v>
      </c>
      <c r="F3342" s="17">
        <v>69</v>
      </c>
      <c r="G3342" s="18" t="s">
        <v>23</v>
      </c>
      <c r="H3342" s="17">
        <v>19.899999999999999</v>
      </c>
      <c r="I3342" s="15">
        <v>21.6</v>
      </c>
      <c r="J3342" s="21">
        <f t="shared" si="156"/>
        <v>8.5427135678392108E-2</v>
      </c>
      <c r="K3342" s="1">
        <v>2</v>
      </c>
      <c r="L3342" s="24">
        <v>2.1</v>
      </c>
      <c r="M3342" s="24">
        <v>19.440000000000001</v>
      </c>
      <c r="N3342" s="21">
        <f t="shared" si="157"/>
        <v>-2.3115577889447101E-2</v>
      </c>
      <c r="P3342" s="1">
        <v>4</v>
      </c>
      <c r="Q3342" s="24">
        <v>2.5919999999999987</v>
      </c>
      <c r="R3342" s="24">
        <v>19.008000000000003</v>
      </c>
      <c r="S3342" s="21">
        <f t="shared" si="158"/>
        <v>-4.4824120603014876E-2</v>
      </c>
      <c r="V3342" s="38"/>
    </row>
    <row r="3343" spans="2:22" ht="11.4" customHeight="1" x14ac:dyDescent="0.2">
      <c r="B3343" s="24"/>
      <c r="C3343" s="14">
        <v>16809</v>
      </c>
      <c r="D3343" s="18" t="s">
        <v>3490</v>
      </c>
      <c r="E3343" s="18" t="s">
        <v>3479</v>
      </c>
      <c r="F3343" s="18"/>
      <c r="G3343" s="18" t="s">
        <v>902</v>
      </c>
      <c r="H3343" s="17">
        <v>151.80000000000001</v>
      </c>
      <c r="I3343" s="15">
        <v>219.9</v>
      </c>
      <c r="J3343" s="21">
        <f t="shared" si="156"/>
        <v>0.44861660079051374</v>
      </c>
      <c r="K3343" s="1">
        <v>1</v>
      </c>
      <c r="L3343" s="24">
        <v>21.9</v>
      </c>
      <c r="M3343" s="24">
        <v>197.91</v>
      </c>
      <c r="N3343" s="21">
        <f t="shared" si="157"/>
        <v>0.30375494071146231</v>
      </c>
      <c r="P3343" s="1">
        <v>4</v>
      </c>
      <c r="Q3343" s="24">
        <v>21.990000000000009</v>
      </c>
      <c r="R3343" s="24">
        <v>197.91</v>
      </c>
      <c r="S3343" s="21">
        <f t="shared" si="158"/>
        <v>0.30375494071146231</v>
      </c>
      <c r="V3343" s="24"/>
    </row>
    <row r="3344" spans="2:22" ht="11.4" customHeight="1" x14ac:dyDescent="0.2">
      <c r="B3344" s="24"/>
      <c r="C3344" s="14">
        <v>45257</v>
      </c>
      <c r="D3344" s="18" t="s">
        <v>3491</v>
      </c>
      <c r="E3344" s="18" t="s">
        <v>3479</v>
      </c>
      <c r="F3344" s="18"/>
      <c r="G3344" s="18" t="s">
        <v>902</v>
      </c>
      <c r="H3344" s="17">
        <v>88.81</v>
      </c>
      <c r="I3344" s="15">
        <v>148.9</v>
      </c>
      <c r="J3344" s="21">
        <f t="shared" si="156"/>
        <v>0.67661299403220365</v>
      </c>
      <c r="K3344" s="1">
        <v>1</v>
      </c>
      <c r="L3344" s="24">
        <v>14.8</v>
      </c>
      <c r="M3344" s="24">
        <v>134.01000000000002</v>
      </c>
      <c r="N3344" s="21">
        <f t="shared" si="157"/>
        <v>0.50895169462898338</v>
      </c>
      <c r="P3344" s="1">
        <v>4</v>
      </c>
      <c r="Q3344" s="24">
        <v>14.889999999999986</v>
      </c>
      <c r="R3344" s="24">
        <v>134.01000000000002</v>
      </c>
      <c r="S3344" s="21">
        <f t="shared" si="158"/>
        <v>0.50895169462898338</v>
      </c>
      <c r="V3344" s="24"/>
    </row>
    <row r="3345" spans="1:27" ht="11.4" customHeight="1" x14ac:dyDescent="0.2">
      <c r="B3345" s="24"/>
      <c r="C3345" s="14">
        <v>46077</v>
      </c>
      <c r="D3345" s="18" t="s">
        <v>3492</v>
      </c>
      <c r="E3345" s="18" t="s">
        <v>3339</v>
      </c>
      <c r="F3345" s="17">
        <v>16</v>
      </c>
      <c r="G3345" s="18" t="s">
        <v>23</v>
      </c>
      <c r="H3345" s="17">
        <v>40</v>
      </c>
      <c r="I3345" s="15">
        <v>48</v>
      </c>
      <c r="J3345" s="21">
        <f t="shared" si="156"/>
        <v>0.2</v>
      </c>
      <c r="K3345" s="1">
        <v>2</v>
      </c>
      <c r="L3345" s="24">
        <v>4.8</v>
      </c>
      <c r="M3345" s="24">
        <v>43.2</v>
      </c>
      <c r="N3345" s="21">
        <f t="shared" si="157"/>
        <v>8.0000000000000071E-2</v>
      </c>
      <c r="P3345" s="1">
        <v>4</v>
      </c>
      <c r="Q3345" s="24">
        <v>5.759999999999998</v>
      </c>
      <c r="R3345" s="24">
        <v>42.24</v>
      </c>
      <c r="S3345" s="21">
        <f t="shared" si="158"/>
        <v>5.600000000000005E-2</v>
      </c>
      <c r="V3345" s="24"/>
    </row>
    <row r="3346" spans="1:27" ht="11.4" customHeight="1" x14ac:dyDescent="0.2">
      <c r="B3346" s="24"/>
      <c r="C3346" s="14">
        <v>26931</v>
      </c>
      <c r="D3346" s="18" t="s">
        <v>3493</v>
      </c>
      <c r="E3346" s="18" t="s">
        <v>3479</v>
      </c>
      <c r="F3346" s="18"/>
      <c r="G3346" s="18" t="s">
        <v>902</v>
      </c>
      <c r="H3346" s="17">
        <v>216.3</v>
      </c>
      <c r="I3346" s="15">
        <v>259.89999999999998</v>
      </c>
      <c r="J3346" s="21">
        <f t="shared" si="156"/>
        <v>0.20157189089227906</v>
      </c>
      <c r="K3346" s="1">
        <v>1</v>
      </c>
      <c r="L3346" s="24">
        <v>25.9</v>
      </c>
      <c r="M3346" s="24">
        <v>233.91</v>
      </c>
      <c r="N3346" s="21">
        <f t="shared" si="157"/>
        <v>8.1414701803051243E-2</v>
      </c>
      <c r="P3346" s="1">
        <v>4</v>
      </c>
      <c r="Q3346" s="24">
        <v>25.989999999999981</v>
      </c>
      <c r="R3346" s="24">
        <v>233.91</v>
      </c>
      <c r="S3346" s="21">
        <f t="shared" si="158"/>
        <v>8.1414701803051243E-2</v>
      </c>
    </row>
    <row r="3347" spans="1:27" ht="11.4" customHeight="1" x14ac:dyDescent="0.2">
      <c r="B3347" s="24"/>
      <c r="C3347" s="14">
        <v>45290</v>
      </c>
      <c r="D3347" s="18" t="s">
        <v>3494</v>
      </c>
      <c r="E3347" s="18" t="s">
        <v>3339</v>
      </c>
      <c r="F3347" s="17">
        <v>9</v>
      </c>
      <c r="G3347" s="18" t="s">
        <v>23</v>
      </c>
      <c r="H3347" s="18"/>
      <c r="I3347" s="15">
        <v>113.7</v>
      </c>
      <c r="J3347" s="21" t="e">
        <f t="shared" si="156"/>
        <v>#DIV/0!</v>
      </c>
      <c r="K3347" s="1">
        <v>2</v>
      </c>
      <c r="L3347" s="24">
        <v>11.3</v>
      </c>
      <c r="M3347" s="24">
        <v>102.33</v>
      </c>
      <c r="N3347" s="21" t="e">
        <f t="shared" si="157"/>
        <v>#DIV/0!</v>
      </c>
      <c r="P3347" s="1">
        <v>4</v>
      </c>
      <c r="Q3347" s="24">
        <v>13.644000000000005</v>
      </c>
      <c r="R3347" s="24">
        <v>100.056</v>
      </c>
      <c r="S3347" s="21" t="e">
        <f t="shared" si="158"/>
        <v>#DIV/0!</v>
      </c>
    </row>
    <row r="3348" spans="1:27" ht="11.4" customHeight="1" x14ac:dyDescent="0.2">
      <c r="B3348" s="24"/>
      <c r="C3348" s="14">
        <v>47370</v>
      </c>
      <c r="D3348" s="18" t="s">
        <v>3495</v>
      </c>
      <c r="E3348" s="18" t="s">
        <v>3339</v>
      </c>
      <c r="F3348" s="17">
        <v>18</v>
      </c>
      <c r="G3348" s="18" t="s">
        <v>23</v>
      </c>
      <c r="H3348" s="17">
        <v>63.72</v>
      </c>
      <c r="I3348" s="15">
        <v>76.5</v>
      </c>
      <c r="J3348" s="21">
        <f t="shared" si="156"/>
        <v>0.20056497175141244</v>
      </c>
      <c r="K3348" s="1">
        <v>2</v>
      </c>
      <c r="L3348" s="24">
        <v>7.6</v>
      </c>
      <c r="M3348" s="24">
        <v>68.850000000000009</v>
      </c>
      <c r="N3348" s="21">
        <f t="shared" si="157"/>
        <v>8.0508474576271333E-2</v>
      </c>
      <c r="P3348" s="1">
        <v>4</v>
      </c>
      <c r="Q3348" s="24">
        <v>9.1799999999999926</v>
      </c>
      <c r="R3348" s="24">
        <v>67.320000000000007</v>
      </c>
      <c r="S3348" s="21">
        <f t="shared" si="158"/>
        <v>5.6497175141243069E-2</v>
      </c>
    </row>
    <row r="3349" spans="1:27" ht="11.4" customHeight="1" x14ac:dyDescent="0.2">
      <c r="B3349" s="24"/>
      <c r="C3349" s="14">
        <v>20396</v>
      </c>
      <c r="D3349" s="18" t="s">
        <v>3496</v>
      </c>
      <c r="E3349" s="18" t="s">
        <v>3479</v>
      </c>
      <c r="F3349" s="17">
        <v>3</v>
      </c>
      <c r="G3349" s="18" t="s">
        <v>902</v>
      </c>
      <c r="H3349" s="17">
        <v>165.8</v>
      </c>
      <c r="I3349" s="15">
        <v>159.9</v>
      </c>
      <c r="J3349" s="21">
        <f t="shared" si="156"/>
        <v>-3.5585042219541646E-2</v>
      </c>
      <c r="K3349" s="1">
        <v>1</v>
      </c>
      <c r="L3349" s="24">
        <v>15.9</v>
      </c>
      <c r="M3349" s="24">
        <v>143.91</v>
      </c>
      <c r="N3349" s="21">
        <f t="shared" si="157"/>
        <v>-0.13202653799758754</v>
      </c>
      <c r="P3349" s="1">
        <v>4</v>
      </c>
      <c r="Q3349" s="24">
        <v>15.990000000000009</v>
      </c>
      <c r="R3349" s="24">
        <v>143.91</v>
      </c>
      <c r="S3349" s="21">
        <f t="shared" si="158"/>
        <v>-0.13202653799758754</v>
      </c>
    </row>
    <row r="3350" spans="1:27" ht="11.4" customHeight="1" x14ac:dyDescent="0.2">
      <c r="B3350" s="24"/>
      <c r="C3350" s="14">
        <v>34743</v>
      </c>
      <c r="D3350" s="18" t="s">
        <v>3497</v>
      </c>
      <c r="E3350" s="18" t="s">
        <v>3339</v>
      </c>
      <c r="F3350" s="17">
        <v>45</v>
      </c>
      <c r="G3350" s="18" t="s">
        <v>23</v>
      </c>
      <c r="H3350" s="17">
        <v>18.899999999999999</v>
      </c>
      <c r="I3350" s="15">
        <v>23.5</v>
      </c>
      <c r="J3350" s="21">
        <f t="shared" si="156"/>
        <v>0.24338624338624348</v>
      </c>
      <c r="K3350" s="1">
        <v>2</v>
      </c>
      <c r="L3350" s="24">
        <v>2.2999999999999998</v>
      </c>
      <c r="M3350" s="24">
        <v>21.150000000000002</v>
      </c>
      <c r="N3350" s="21">
        <f t="shared" si="157"/>
        <v>0.11904761904761925</v>
      </c>
      <c r="P3350" s="1">
        <v>4</v>
      </c>
      <c r="Q3350" s="24">
        <v>2.8200000000000003</v>
      </c>
      <c r="R3350" s="24">
        <v>20.68</v>
      </c>
      <c r="S3350" s="21">
        <f t="shared" si="158"/>
        <v>9.4179894179894252E-2</v>
      </c>
    </row>
    <row r="3351" spans="1:27" ht="11.4" customHeight="1" x14ac:dyDescent="0.2">
      <c r="B3351" s="24"/>
      <c r="C3351" s="14">
        <v>46068</v>
      </c>
      <c r="D3351" s="18" t="s">
        <v>3498</v>
      </c>
      <c r="E3351" s="18" t="s">
        <v>3339</v>
      </c>
      <c r="F3351" s="17">
        <v>16</v>
      </c>
      <c r="G3351" s="18" t="s">
        <v>23</v>
      </c>
      <c r="H3351" s="17">
        <v>40</v>
      </c>
      <c r="I3351" s="15">
        <v>48</v>
      </c>
      <c r="J3351" s="21">
        <f t="shared" si="156"/>
        <v>0.2</v>
      </c>
      <c r="K3351" s="1">
        <v>2</v>
      </c>
      <c r="L3351" s="24">
        <v>4.8</v>
      </c>
      <c r="M3351" s="24">
        <v>43.2</v>
      </c>
      <c r="N3351" s="21">
        <f t="shared" si="157"/>
        <v>8.0000000000000071E-2</v>
      </c>
      <c r="P3351" s="1">
        <v>4</v>
      </c>
      <c r="Q3351" s="24">
        <v>5.759999999999998</v>
      </c>
      <c r="R3351" s="24">
        <v>42.24</v>
      </c>
      <c r="S3351" s="21">
        <f t="shared" si="158"/>
        <v>5.600000000000005E-2</v>
      </c>
    </row>
    <row r="3352" spans="1:27" ht="11.4" customHeight="1" x14ac:dyDescent="0.2">
      <c r="B3352" s="24"/>
      <c r="C3352" s="14">
        <v>46070</v>
      </c>
      <c r="D3352" s="18" t="s">
        <v>3499</v>
      </c>
      <c r="E3352" s="18" t="s">
        <v>3339</v>
      </c>
      <c r="F3352" s="17">
        <v>16</v>
      </c>
      <c r="G3352" s="18" t="s">
        <v>23</v>
      </c>
      <c r="H3352" s="17">
        <v>40</v>
      </c>
      <c r="I3352" s="15">
        <v>48</v>
      </c>
      <c r="J3352" s="21">
        <f t="shared" si="156"/>
        <v>0.2</v>
      </c>
      <c r="K3352" s="1">
        <v>2</v>
      </c>
      <c r="L3352" s="24">
        <v>4.8</v>
      </c>
      <c r="M3352" s="24">
        <v>43.2</v>
      </c>
      <c r="N3352" s="21">
        <f t="shared" si="157"/>
        <v>8.0000000000000071E-2</v>
      </c>
      <c r="P3352" s="1">
        <v>4</v>
      </c>
      <c r="Q3352" s="24">
        <v>5.759999999999998</v>
      </c>
      <c r="R3352" s="24">
        <v>42.24</v>
      </c>
      <c r="S3352" s="21">
        <f t="shared" si="158"/>
        <v>5.600000000000005E-2</v>
      </c>
    </row>
    <row r="3353" spans="1:27" s="32" customFormat="1" ht="11.4" customHeight="1" x14ac:dyDescent="0.2">
      <c r="A3353" s="25"/>
      <c r="B3353" s="24"/>
      <c r="C3353" s="33">
        <v>45719</v>
      </c>
      <c r="D3353" s="27" t="s">
        <v>3500</v>
      </c>
      <c r="E3353" s="27" t="s">
        <v>3339</v>
      </c>
      <c r="F3353" s="28">
        <v>30</v>
      </c>
      <c r="G3353" s="27" t="s">
        <v>23</v>
      </c>
      <c r="H3353" s="28">
        <v>9.84</v>
      </c>
      <c r="I3353" s="34">
        <v>19.899999999999999</v>
      </c>
      <c r="J3353" s="30">
        <f t="shared" si="156"/>
        <v>1.0223577235772356</v>
      </c>
      <c r="K3353" s="25">
        <v>2</v>
      </c>
      <c r="L3353" s="31">
        <v>1.9</v>
      </c>
      <c r="M3353" s="31">
        <v>17.91</v>
      </c>
      <c r="N3353" s="30">
        <f t="shared" si="157"/>
        <v>0.82012195121951226</v>
      </c>
      <c r="O3353" s="25"/>
      <c r="P3353" s="25">
        <v>4</v>
      </c>
      <c r="Q3353" s="31">
        <v>2.4</v>
      </c>
      <c r="R3353" s="31">
        <v>17.512</v>
      </c>
      <c r="S3353" s="30">
        <f t="shared" si="158"/>
        <v>0.77967479674796758</v>
      </c>
      <c r="T3353" s="25"/>
      <c r="U3353" s="25"/>
      <c r="V3353" s="25">
        <f ca="1">RANDBETWEEN(0,K3353*100)/100</f>
        <v>0.43</v>
      </c>
      <c r="W3353" s="35">
        <f ca="1">RANDBETWEEN(K3353*100,P3353*100)/100</f>
        <v>3.59</v>
      </c>
      <c r="X3353" s="35">
        <f ca="1">RANDBETWEEN(P3353*100,P3353*300)/100</f>
        <v>9.24</v>
      </c>
      <c r="Y3353" s="35">
        <f ca="1">IF(V3353&lt;K3353,I3353)*V3353</f>
        <v>8.5569999999999986</v>
      </c>
      <c r="Z3353" s="35">
        <f ca="1">IF(AND(W3353&gt;=K3353,W3353&lt;P3353),I3353-L3353)*W3353</f>
        <v>64.62</v>
      </c>
      <c r="AA3353" s="35">
        <f ca="1">IF(X3353&gt;=P3353,I3353-Q3353)*X3353</f>
        <v>161.70000000000002</v>
      </c>
    </row>
    <row r="3354" spans="1:27" ht="11.4" customHeight="1" x14ac:dyDescent="0.2">
      <c r="B3354" s="24"/>
      <c r="C3354" s="14">
        <v>7430</v>
      </c>
      <c r="D3354" s="18" t="s">
        <v>3501</v>
      </c>
      <c r="E3354" s="18" t="s">
        <v>3339</v>
      </c>
      <c r="F3354" s="17">
        <v>45</v>
      </c>
      <c r="G3354" s="18" t="s">
        <v>23</v>
      </c>
      <c r="H3354" s="17">
        <v>18.899999999999999</v>
      </c>
      <c r="I3354" s="15">
        <v>23.5</v>
      </c>
      <c r="J3354" s="21">
        <f t="shared" si="156"/>
        <v>0.24338624338624348</v>
      </c>
      <c r="K3354" s="1">
        <v>2</v>
      </c>
      <c r="L3354" s="24">
        <v>2.2999999999999998</v>
      </c>
      <c r="M3354" s="24">
        <v>21.150000000000002</v>
      </c>
      <c r="N3354" s="21">
        <f t="shared" si="157"/>
        <v>0.11904761904761925</v>
      </c>
      <c r="P3354" s="1">
        <v>4</v>
      </c>
      <c r="Q3354" s="24">
        <v>2.8200000000000003</v>
      </c>
      <c r="R3354" s="24">
        <v>20.68</v>
      </c>
      <c r="S3354" s="21">
        <f t="shared" si="158"/>
        <v>9.4179894179894252E-2</v>
      </c>
    </row>
    <row r="3355" spans="1:27" ht="11.4" customHeight="1" x14ac:dyDescent="0.2">
      <c r="B3355" s="24"/>
      <c r="C3355" s="14">
        <v>46071</v>
      </c>
      <c r="D3355" s="18" t="s">
        <v>3502</v>
      </c>
      <c r="E3355" s="18" t="s">
        <v>3339</v>
      </c>
      <c r="F3355" s="17">
        <v>16</v>
      </c>
      <c r="G3355" s="18" t="s">
        <v>23</v>
      </c>
      <c r="H3355" s="17">
        <v>40</v>
      </c>
      <c r="I3355" s="15">
        <v>48</v>
      </c>
      <c r="J3355" s="21">
        <f t="shared" si="156"/>
        <v>0.2</v>
      </c>
      <c r="K3355" s="1">
        <v>2</v>
      </c>
      <c r="L3355" s="24">
        <v>4.8</v>
      </c>
      <c r="M3355" s="24">
        <v>43.2</v>
      </c>
      <c r="N3355" s="21">
        <f t="shared" si="157"/>
        <v>8.0000000000000071E-2</v>
      </c>
      <c r="P3355" s="1">
        <v>4</v>
      </c>
      <c r="Q3355" s="24">
        <v>5.759999999999998</v>
      </c>
      <c r="R3355" s="24">
        <v>42.24</v>
      </c>
      <c r="S3355" s="21">
        <f t="shared" si="158"/>
        <v>5.600000000000005E-2</v>
      </c>
    </row>
    <row r="3356" spans="1:27" ht="11.4" customHeight="1" x14ac:dyDescent="0.2">
      <c r="B3356" s="24"/>
      <c r="C3356" s="14">
        <v>32136</v>
      </c>
      <c r="D3356" s="18" t="s">
        <v>3503</v>
      </c>
      <c r="E3356" s="18" t="s">
        <v>3339</v>
      </c>
      <c r="F3356" s="17">
        <v>15</v>
      </c>
      <c r="G3356" s="18" t="s">
        <v>23</v>
      </c>
      <c r="H3356" s="17">
        <v>34.9</v>
      </c>
      <c r="I3356" s="15">
        <v>39.9</v>
      </c>
      <c r="J3356" s="21">
        <f t="shared" si="156"/>
        <v>0.14326647564469916</v>
      </c>
      <c r="K3356" s="1">
        <v>2</v>
      </c>
      <c r="L3356" s="24">
        <v>3.9</v>
      </c>
      <c r="M3356" s="24">
        <v>35.909999999999997</v>
      </c>
      <c r="N3356" s="21">
        <f t="shared" si="157"/>
        <v>2.8939828080229171E-2</v>
      </c>
      <c r="P3356" s="1">
        <v>4</v>
      </c>
      <c r="Q3356" s="24">
        <v>4.7879999999999967</v>
      </c>
      <c r="R3356" s="24">
        <v>35.112000000000002</v>
      </c>
      <c r="S3356" s="21">
        <f t="shared" si="158"/>
        <v>6.0744985673353387E-3</v>
      </c>
    </row>
    <row r="3357" spans="1:27" ht="11.4" customHeight="1" x14ac:dyDescent="0.2">
      <c r="B3357" s="24"/>
      <c r="C3357" s="14">
        <v>32137</v>
      </c>
      <c r="D3357" s="18" t="s">
        <v>3504</v>
      </c>
      <c r="E3357" s="18" t="s">
        <v>3339</v>
      </c>
      <c r="F3357" s="17">
        <v>15</v>
      </c>
      <c r="G3357" s="18" t="s">
        <v>23</v>
      </c>
      <c r="H3357" s="17">
        <v>34.9</v>
      </c>
      <c r="I3357" s="15">
        <v>39.9</v>
      </c>
      <c r="J3357" s="21">
        <f t="shared" si="156"/>
        <v>0.14326647564469916</v>
      </c>
      <c r="K3357" s="1">
        <v>2</v>
      </c>
      <c r="L3357" s="24">
        <v>3.9</v>
      </c>
      <c r="M3357" s="24">
        <v>35.909999999999997</v>
      </c>
      <c r="N3357" s="21">
        <f t="shared" si="157"/>
        <v>2.8939828080229171E-2</v>
      </c>
      <c r="P3357" s="1">
        <v>4</v>
      </c>
      <c r="Q3357" s="24">
        <v>4.7879999999999967</v>
      </c>
      <c r="R3357" s="24">
        <v>35.112000000000002</v>
      </c>
      <c r="S3357" s="21">
        <f t="shared" si="158"/>
        <v>6.0744985673353387E-3</v>
      </c>
    </row>
    <row r="3358" spans="1:27" ht="11.4" customHeight="1" x14ac:dyDescent="0.2">
      <c r="B3358" s="24"/>
      <c r="C3358" s="14">
        <v>32135</v>
      </c>
      <c r="D3358" s="18" t="s">
        <v>3505</v>
      </c>
      <c r="E3358" s="18" t="s">
        <v>3339</v>
      </c>
      <c r="F3358" s="17">
        <v>15</v>
      </c>
      <c r="G3358" s="18" t="s">
        <v>23</v>
      </c>
      <c r="H3358" s="17">
        <v>34.9</v>
      </c>
      <c r="I3358" s="15">
        <v>39.9</v>
      </c>
      <c r="J3358" s="21">
        <f t="shared" si="156"/>
        <v>0.14326647564469916</v>
      </c>
      <c r="K3358" s="1">
        <v>2</v>
      </c>
      <c r="L3358" s="24">
        <v>3.9</v>
      </c>
      <c r="M3358" s="24">
        <v>35.909999999999997</v>
      </c>
      <c r="N3358" s="21">
        <f t="shared" si="157"/>
        <v>2.8939828080229171E-2</v>
      </c>
      <c r="P3358" s="1">
        <v>4</v>
      </c>
      <c r="Q3358" s="24">
        <v>4.7879999999999967</v>
      </c>
      <c r="R3358" s="24">
        <v>35.112000000000002</v>
      </c>
      <c r="S3358" s="21">
        <f t="shared" si="158"/>
        <v>6.0744985673353387E-3</v>
      </c>
    </row>
    <row r="3359" spans="1:27" ht="11.4" customHeight="1" x14ac:dyDescent="0.2">
      <c r="B3359" s="24"/>
      <c r="C3359" s="14">
        <v>46073</v>
      </c>
      <c r="D3359" s="18" t="s">
        <v>3506</v>
      </c>
      <c r="E3359" s="18" t="s">
        <v>3339</v>
      </c>
      <c r="F3359" s="17">
        <v>16</v>
      </c>
      <c r="G3359" s="18" t="s">
        <v>23</v>
      </c>
      <c r="H3359" s="17">
        <v>40</v>
      </c>
      <c r="I3359" s="15">
        <v>48</v>
      </c>
      <c r="J3359" s="21">
        <f t="shared" si="156"/>
        <v>0.2</v>
      </c>
      <c r="K3359" s="1">
        <v>2</v>
      </c>
      <c r="L3359" s="24">
        <v>4.8</v>
      </c>
      <c r="M3359" s="24">
        <v>43.2</v>
      </c>
      <c r="N3359" s="21">
        <f t="shared" si="157"/>
        <v>8.0000000000000071E-2</v>
      </c>
      <c r="P3359" s="1">
        <v>4</v>
      </c>
      <c r="Q3359" s="24">
        <v>5.759999999999998</v>
      </c>
      <c r="R3359" s="24">
        <v>42.24</v>
      </c>
      <c r="S3359" s="21">
        <f t="shared" si="158"/>
        <v>5.600000000000005E-2</v>
      </c>
    </row>
    <row r="3360" spans="1:27" ht="11.4" customHeight="1" x14ac:dyDescent="0.2">
      <c r="B3360" s="24"/>
      <c r="C3360" s="14">
        <v>37976</v>
      </c>
      <c r="D3360" s="18" t="s">
        <v>3507</v>
      </c>
      <c r="E3360" s="18" t="s">
        <v>3339</v>
      </c>
      <c r="F3360" s="17">
        <v>15</v>
      </c>
      <c r="G3360" s="18" t="s">
        <v>23</v>
      </c>
      <c r="H3360" s="17">
        <v>34.9</v>
      </c>
      <c r="I3360" s="15">
        <v>39.9</v>
      </c>
      <c r="J3360" s="21">
        <f t="shared" si="156"/>
        <v>0.14326647564469916</v>
      </c>
      <c r="K3360" s="1">
        <v>2</v>
      </c>
      <c r="L3360" s="24">
        <v>3.9</v>
      </c>
      <c r="M3360" s="24">
        <v>35.909999999999997</v>
      </c>
      <c r="N3360" s="21">
        <f t="shared" si="157"/>
        <v>2.8939828080229171E-2</v>
      </c>
      <c r="P3360" s="1">
        <v>4</v>
      </c>
      <c r="Q3360" s="24">
        <v>4.7879999999999967</v>
      </c>
      <c r="R3360" s="24">
        <v>35.112000000000002</v>
      </c>
      <c r="S3360" s="21">
        <f t="shared" si="158"/>
        <v>6.0744985673353387E-3</v>
      </c>
    </row>
    <row r="3361" spans="2:19" ht="11.4" customHeight="1" x14ac:dyDescent="0.2">
      <c r="B3361" s="24"/>
      <c r="C3361" s="14">
        <v>37304</v>
      </c>
      <c r="D3361" s="18" t="s">
        <v>3508</v>
      </c>
      <c r="E3361" s="18" t="s">
        <v>3479</v>
      </c>
      <c r="F3361" s="17">
        <v>4</v>
      </c>
      <c r="G3361" s="18" t="s">
        <v>902</v>
      </c>
      <c r="H3361" s="17">
        <v>120.5</v>
      </c>
      <c r="I3361" s="15">
        <v>163.9</v>
      </c>
      <c r="J3361" s="21">
        <f t="shared" si="156"/>
        <v>0.36016597510373449</v>
      </c>
      <c r="K3361" s="1">
        <v>1</v>
      </c>
      <c r="L3361" s="24">
        <v>16.3</v>
      </c>
      <c r="M3361" s="24">
        <v>147.51000000000002</v>
      </c>
      <c r="N3361" s="21">
        <f t="shared" si="157"/>
        <v>0.22414937759336115</v>
      </c>
      <c r="P3361" s="1">
        <v>4</v>
      </c>
      <c r="Q3361" s="24">
        <v>16.389999999999986</v>
      </c>
      <c r="R3361" s="24">
        <v>147.51000000000002</v>
      </c>
      <c r="S3361" s="21">
        <f t="shared" si="158"/>
        <v>0.22414937759336115</v>
      </c>
    </row>
    <row r="3362" spans="2:19" ht="11.4" customHeight="1" x14ac:dyDescent="0.2">
      <c r="B3362" s="24"/>
      <c r="C3362" s="14">
        <v>45724</v>
      </c>
      <c r="D3362" s="18" t="s">
        <v>3509</v>
      </c>
      <c r="E3362" s="18" t="s">
        <v>3339</v>
      </c>
      <c r="F3362" s="17">
        <v>30</v>
      </c>
      <c r="G3362" s="18" t="s">
        <v>23</v>
      </c>
      <c r="H3362" s="17">
        <v>5.45</v>
      </c>
      <c r="I3362" s="15">
        <v>8.5</v>
      </c>
      <c r="J3362" s="21">
        <f t="shared" si="156"/>
        <v>0.55963302752293576</v>
      </c>
      <c r="K3362" s="1">
        <v>2</v>
      </c>
      <c r="L3362" s="24">
        <v>0.8</v>
      </c>
      <c r="M3362" s="24">
        <v>7.65</v>
      </c>
      <c r="N3362" s="21">
        <f t="shared" si="157"/>
        <v>0.40366972477064222</v>
      </c>
      <c r="P3362" s="1">
        <v>4</v>
      </c>
      <c r="Q3362" s="24">
        <v>1.0199999999999996</v>
      </c>
      <c r="R3362" s="24">
        <v>7.48</v>
      </c>
      <c r="S3362" s="21">
        <f t="shared" si="158"/>
        <v>0.37247706422018351</v>
      </c>
    </row>
    <row r="3363" spans="2:19" ht="11.4" customHeight="1" x14ac:dyDescent="0.2">
      <c r="B3363" s="24"/>
      <c r="C3363" s="14">
        <v>35374</v>
      </c>
      <c r="D3363" s="18" t="s">
        <v>3510</v>
      </c>
      <c r="E3363" s="18" t="s">
        <v>3479</v>
      </c>
      <c r="F3363" s="18"/>
      <c r="G3363" s="18" t="s">
        <v>902</v>
      </c>
      <c r="H3363" s="17">
        <v>148</v>
      </c>
      <c r="I3363" s="15">
        <v>167.9</v>
      </c>
      <c r="J3363" s="21">
        <f t="shared" si="156"/>
        <v>0.1344594594594595</v>
      </c>
      <c r="K3363" s="1">
        <v>1</v>
      </c>
      <c r="L3363" s="24">
        <v>16.7</v>
      </c>
      <c r="M3363" s="24">
        <v>151.11000000000001</v>
      </c>
      <c r="N3363" s="21">
        <f t="shared" si="157"/>
        <v>2.1013513513513604E-2</v>
      </c>
      <c r="P3363" s="1">
        <v>4</v>
      </c>
      <c r="Q3363" s="24">
        <v>16.789999999999992</v>
      </c>
      <c r="R3363" s="24">
        <v>151.11000000000001</v>
      </c>
      <c r="S3363" s="21">
        <f t="shared" si="158"/>
        <v>2.1013513513513604E-2</v>
      </c>
    </row>
    <row r="3364" spans="2:19" ht="11.4" customHeight="1" x14ac:dyDescent="0.2">
      <c r="B3364" s="24"/>
      <c r="C3364" s="14">
        <v>46075</v>
      </c>
      <c r="D3364" s="18" t="s">
        <v>3511</v>
      </c>
      <c r="E3364" s="18" t="s">
        <v>3339</v>
      </c>
      <c r="F3364" s="17">
        <v>16</v>
      </c>
      <c r="G3364" s="18" t="s">
        <v>23</v>
      </c>
      <c r="H3364" s="17">
        <v>40</v>
      </c>
      <c r="I3364" s="15">
        <v>48</v>
      </c>
      <c r="J3364" s="21">
        <f t="shared" si="156"/>
        <v>0.2</v>
      </c>
      <c r="K3364" s="1">
        <v>2</v>
      </c>
      <c r="L3364" s="24">
        <v>4.8</v>
      </c>
      <c r="M3364" s="24">
        <v>43.2</v>
      </c>
      <c r="N3364" s="21">
        <f t="shared" si="157"/>
        <v>8.0000000000000071E-2</v>
      </c>
      <c r="P3364" s="1">
        <v>4</v>
      </c>
      <c r="Q3364" s="24">
        <v>5.759999999999998</v>
      </c>
      <c r="R3364" s="24">
        <v>42.24</v>
      </c>
      <c r="S3364" s="21">
        <f t="shared" si="158"/>
        <v>5.600000000000005E-2</v>
      </c>
    </row>
    <row r="3365" spans="2:19" ht="11.4" customHeight="1" x14ac:dyDescent="0.2">
      <c r="B3365" s="24"/>
      <c r="C3365" s="14">
        <v>45722</v>
      </c>
      <c r="D3365" s="18" t="s">
        <v>3512</v>
      </c>
      <c r="E3365" s="18" t="s">
        <v>3339</v>
      </c>
      <c r="F3365" s="17">
        <v>30</v>
      </c>
      <c r="G3365" s="18" t="s">
        <v>23</v>
      </c>
      <c r="H3365" s="17">
        <v>5.46</v>
      </c>
      <c r="I3365" s="15">
        <v>8.5</v>
      </c>
      <c r="J3365" s="21">
        <f t="shared" si="156"/>
        <v>0.5567765567765568</v>
      </c>
      <c r="K3365" s="1">
        <v>2</v>
      </c>
      <c r="L3365" s="24">
        <v>0.8</v>
      </c>
      <c r="M3365" s="24">
        <v>7.65</v>
      </c>
      <c r="N3365" s="21">
        <f t="shared" si="157"/>
        <v>0.40109890109890117</v>
      </c>
      <c r="P3365" s="1">
        <v>4</v>
      </c>
      <c r="Q3365" s="24">
        <v>1.0199999999999996</v>
      </c>
      <c r="R3365" s="24">
        <v>7.48</v>
      </c>
      <c r="S3365" s="21">
        <f t="shared" si="158"/>
        <v>0.36996336996337004</v>
      </c>
    </row>
    <row r="3366" spans="2:19" ht="11.4" customHeight="1" x14ac:dyDescent="0.2">
      <c r="B3366" s="24"/>
      <c r="C3366" s="14">
        <v>45720</v>
      </c>
      <c r="D3366" s="18" t="s">
        <v>3513</v>
      </c>
      <c r="E3366" s="18" t="s">
        <v>3339</v>
      </c>
      <c r="F3366" s="17">
        <v>30</v>
      </c>
      <c r="G3366" s="18" t="s">
        <v>23</v>
      </c>
      <c r="H3366" s="17">
        <v>7.98</v>
      </c>
      <c r="I3366" s="15">
        <v>19.899999999999999</v>
      </c>
      <c r="J3366" s="21">
        <f t="shared" si="156"/>
        <v>1.4937343358395987</v>
      </c>
      <c r="K3366" s="1">
        <v>2</v>
      </c>
      <c r="L3366" s="24">
        <v>1.9</v>
      </c>
      <c r="M3366" s="24">
        <v>17.91</v>
      </c>
      <c r="N3366" s="21">
        <f t="shared" si="157"/>
        <v>1.244360902255639</v>
      </c>
      <c r="P3366" s="1">
        <v>4</v>
      </c>
      <c r="Q3366" s="24">
        <v>2.3879999999999981</v>
      </c>
      <c r="R3366" s="24">
        <v>17.512</v>
      </c>
      <c r="S3366" s="21">
        <f t="shared" si="158"/>
        <v>1.1944862155388472</v>
      </c>
    </row>
    <row r="3367" spans="2:19" ht="11.4" customHeight="1" x14ac:dyDescent="0.2">
      <c r="B3367" s="24"/>
      <c r="C3367" s="14">
        <v>37303</v>
      </c>
      <c r="D3367" s="18" t="s">
        <v>3514</v>
      </c>
      <c r="E3367" s="18" t="s">
        <v>3479</v>
      </c>
      <c r="F3367" s="17">
        <v>4</v>
      </c>
      <c r="G3367" s="18" t="s">
        <v>902</v>
      </c>
      <c r="H3367" s="17">
        <v>117.5</v>
      </c>
      <c r="I3367" s="15">
        <v>164.9</v>
      </c>
      <c r="J3367" s="21">
        <f t="shared" si="156"/>
        <v>0.40340425531914897</v>
      </c>
      <c r="K3367" s="1">
        <v>1</v>
      </c>
      <c r="L3367" s="24">
        <v>16.399999999999999</v>
      </c>
      <c r="M3367" s="24">
        <v>148.41</v>
      </c>
      <c r="N3367" s="21">
        <f t="shared" si="157"/>
        <v>0.26306382978723403</v>
      </c>
      <c r="P3367" s="1">
        <v>4</v>
      </c>
      <c r="Q3367" s="24">
        <v>16.490000000000009</v>
      </c>
      <c r="R3367" s="24">
        <v>148.41</v>
      </c>
      <c r="S3367" s="21">
        <f t="shared" si="158"/>
        <v>0.26306382978723403</v>
      </c>
    </row>
    <row r="3368" spans="2:19" ht="11.4" customHeight="1" x14ac:dyDescent="0.2">
      <c r="B3368" s="24"/>
      <c r="C3368" s="14">
        <v>37975</v>
      </c>
      <c r="D3368" s="18" t="s">
        <v>3515</v>
      </c>
      <c r="E3368" s="18" t="s">
        <v>3339</v>
      </c>
      <c r="F3368" s="17">
        <v>15</v>
      </c>
      <c r="G3368" s="18" t="s">
        <v>23</v>
      </c>
      <c r="H3368" s="17">
        <v>34.9</v>
      </c>
      <c r="I3368" s="15">
        <v>39.9</v>
      </c>
      <c r="J3368" s="21">
        <f t="shared" si="156"/>
        <v>0.14326647564469916</v>
      </c>
      <c r="K3368" s="1">
        <v>2</v>
      </c>
      <c r="L3368" s="24">
        <v>3.9</v>
      </c>
      <c r="M3368" s="24">
        <v>35.909999999999997</v>
      </c>
      <c r="N3368" s="21">
        <f t="shared" si="157"/>
        <v>2.8939828080229171E-2</v>
      </c>
      <c r="P3368" s="1">
        <v>4</v>
      </c>
      <c r="Q3368" s="24">
        <v>4.7879999999999967</v>
      </c>
      <c r="R3368" s="24">
        <v>35.112000000000002</v>
      </c>
      <c r="S3368" s="21">
        <f t="shared" si="158"/>
        <v>6.0744985673353387E-3</v>
      </c>
    </row>
    <row r="3369" spans="2:19" ht="11.4" customHeight="1" x14ac:dyDescent="0.2">
      <c r="B3369" s="24"/>
      <c r="C3369" s="14">
        <v>27104</v>
      </c>
      <c r="D3369" s="18" t="s">
        <v>3516</v>
      </c>
      <c r="E3369" s="18" t="s">
        <v>3339</v>
      </c>
      <c r="F3369" s="18"/>
      <c r="G3369" s="18" t="s">
        <v>23</v>
      </c>
      <c r="H3369" s="17">
        <v>45.16</v>
      </c>
      <c r="I3369" s="15">
        <v>60.9</v>
      </c>
      <c r="J3369" s="21">
        <f t="shared" si="156"/>
        <v>0.34853852967227644</v>
      </c>
      <c r="K3369" s="1">
        <v>2</v>
      </c>
      <c r="L3369" s="24">
        <v>6</v>
      </c>
      <c r="M3369" s="24">
        <v>54.81</v>
      </c>
      <c r="N3369" s="21">
        <f t="shared" si="157"/>
        <v>0.21368467670504887</v>
      </c>
      <c r="P3369" s="1">
        <v>4</v>
      </c>
      <c r="Q3369" s="24">
        <v>7.3079999999999998</v>
      </c>
      <c r="R3369" s="24">
        <v>53.591999999999999</v>
      </c>
      <c r="S3369" s="21">
        <f t="shared" si="158"/>
        <v>0.18671390611160324</v>
      </c>
    </row>
    <row r="3370" spans="2:19" ht="11.4" customHeight="1" x14ac:dyDescent="0.2">
      <c r="B3370" s="24"/>
      <c r="C3370" s="14">
        <v>45011</v>
      </c>
      <c r="D3370" s="18" t="s">
        <v>3517</v>
      </c>
      <c r="E3370" s="18" t="s">
        <v>3518</v>
      </c>
      <c r="F3370" s="17">
        <v>12</v>
      </c>
      <c r="G3370" s="18" t="s">
        <v>23</v>
      </c>
      <c r="H3370" s="17">
        <v>27.9</v>
      </c>
      <c r="I3370" s="15">
        <v>38.9</v>
      </c>
      <c r="J3370" s="21">
        <f t="shared" si="156"/>
        <v>0.3942652329749104</v>
      </c>
      <c r="K3370" s="1">
        <v>2</v>
      </c>
      <c r="L3370" s="24">
        <v>3.8</v>
      </c>
      <c r="M3370" s="24">
        <v>35.01</v>
      </c>
      <c r="N3370" s="21">
        <f t="shared" si="157"/>
        <v>0.25483870967741934</v>
      </c>
      <c r="P3370" s="1">
        <v>4</v>
      </c>
      <c r="Q3370" s="24">
        <v>4.6679999999999993</v>
      </c>
      <c r="R3370" s="24">
        <v>34.231999999999999</v>
      </c>
      <c r="S3370" s="21">
        <f t="shared" si="158"/>
        <v>0.22695340501792119</v>
      </c>
    </row>
    <row r="3371" spans="2:19" ht="11.4" customHeight="1" x14ac:dyDescent="0.2">
      <c r="B3371" s="24"/>
      <c r="C3371" s="14">
        <v>45010</v>
      </c>
      <c r="D3371" s="18" t="s">
        <v>3519</v>
      </c>
      <c r="E3371" s="18" t="s">
        <v>3518</v>
      </c>
      <c r="F3371" s="17">
        <v>12</v>
      </c>
      <c r="G3371" s="18" t="s">
        <v>23</v>
      </c>
      <c r="H3371" s="17">
        <v>27.9</v>
      </c>
      <c r="I3371" s="15">
        <v>38.9</v>
      </c>
      <c r="J3371" s="21">
        <f t="shared" si="156"/>
        <v>0.3942652329749104</v>
      </c>
      <c r="K3371" s="1">
        <v>2</v>
      </c>
      <c r="L3371" s="24">
        <v>3.8</v>
      </c>
      <c r="M3371" s="24">
        <v>35.01</v>
      </c>
      <c r="N3371" s="21">
        <f t="shared" si="157"/>
        <v>0.25483870967741934</v>
      </c>
      <c r="P3371" s="1">
        <v>4</v>
      </c>
      <c r="Q3371" s="24">
        <v>4.6679999999999993</v>
      </c>
      <c r="R3371" s="24">
        <v>34.231999999999999</v>
      </c>
      <c r="S3371" s="21">
        <f t="shared" si="158"/>
        <v>0.22695340501792119</v>
      </c>
    </row>
    <row r="3372" spans="2:19" ht="11.4" customHeight="1" x14ac:dyDescent="0.2">
      <c r="B3372" s="24"/>
      <c r="C3372" s="14">
        <v>45012</v>
      </c>
      <c r="D3372" s="18" t="s">
        <v>3520</v>
      </c>
      <c r="E3372" s="18" t="s">
        <v>3518</v>
      </c>
      <c r="F3372" s="17">
        <v>12</v>
      </c>
      <c r="G3372" s="18" t="s">
        <v>23</v>
      </c>
      <c r="H3372" s="17">
        <v>27.9</v>
      </c>
      <c r="I3372" s="15">
        <v>38.9</v>
      </c>
      <c r="J3372" s="21">
        <f t="shared" si="156"/>
        <v>0.3942652329749104</v>
      </c>
      <c r="K3372" s="1">
        <v>2</v>
      </c>
      <c r="L3372" s="24">
        <v>3.8</v>
      </c>
      <c r="M3372" s="24">
        <v>35.01</v>
      </c>
      <c r="N3372" s="21">
        <f t="shared" si="157"/>
        <v>0.25483870967741934</v>
      </c>
      <c r="P3372" s="1">
        <v>4</v>
      </c>
      <c r="Q3372" s="24">
        <v>4.6679999999999993</v>
      </c>
      <c r="R3372" s="24">
        <v>34.231999999999999</v>
      </c>
      <c r="S3372" s="21">
        <f t="shared" si="158"/>
        <v>0.22695340501792119</v>
      </c>
    </row>
    <row r="3373" spans="2:19" ht="11.4" customHeight="1" x14ac:dyDescent="0.2">
      <c r="B3373" s="24"/>
      <c r="C3373" s="14">
        <v>42710</v>
      </c>
      <c r="D3373" s="18" t="s">
        <v>3521</v>
      </c>
      <c r="E3373" s="18" t="s">
        <v>3339</v>
      </c>
      <c r="F3373" s="18"/>
      <c r="G3373" s="18" t="s">
        <v>23</v>
      </c>
      <c r="H3373" s="17">
        <v>105.42</v>
      </c>
      <c r="I3373" s="15">
        <v>142.5</v>
      </c>
      <c r="J3373" s="21">
        <f t="shared" si="156"/>
        <v>0.35173591348890154</v>
      </c>
      <c r="K3373" s="1">
        <v>2</v>
      </c>
      <c r="L3373" s="24">
        <v>14.2</v>
      </c>
      <c r="M3373" s="24">
        <v>128.25</v>
      </c>
      <c r="N3373" s="21">
        <f t="shared" si="157"/>
        <v>0.21656232214001137</v>
      </c>
      <c r="P3373" s="1">
        <v>4</v>
      </c>
      <c r="Q3373" s="24">
        <v>17.099999999999994</v>
      </c>
      <c r="R3373" s="24">
        <v>125.4</v>
      </c>
      <c r="S3373" s="21">
        <f t="shared" si="158"/>
        <v>0.18952760387023337</v>
      </c>
    </row>
    <row r="3374" spans="2:19" ht="11.4" customHeight="1" x14ac:dyDescent="0.2">
      <c r="B3374" s="24"/>
      <c r="C3374" s="14">
        <v>45723</v>
      </c>
      <c r="D3374" s="18" t="s">
        <v>3522</v>
      </c>
      <c r="E3374" s="18" t="s">
        <v>3339</v>
      </c>
      <c r="F3374" s="17">
        <v>30</v>
      </c>
      <c r="G3374" s="18" t="s">
        <v>23</v>
      </c>
      <c r="H3374" s="17">
        <v>6.06</v>
      </c>
      <c r="I3374" s="15">
        <v>8.5</v>
      </c>
      <c r="J3374" s="21">
        <f t="shared" si="156"/>
        <v>0.40264026402640274</v>
      </c>
      <c r="K3374" s="1">
        <v>2</v>
      </c>
      <c r="L3374" s="24">
        <v>0.8</v>
      </c>
      <c r="M3374" s="24">
        <v>7.65</v>
      </c>
      <c r="N3374" s="21">
        <f t="shared" si="157"/>
        <v>0.2623762376237625</v>
      </c>
      <c r="P3374" s="1">
        <v>4</v>
      </c>
      <c r="Q3374" s="24">
        <v>1.0199999999999996</v>
      </c>
      <c r="R3374" s="24">
        <v>7.48</v>
      </c>
      <c r="S3374" s="21">
        <f t="shared" si="158"/>
        <v>0.23432343234323447</v>
      </c>
    </row>
    <row r="3375" spans="2:19" ht="11.4" customHeight="1" x14ac:dyDescent="0.2">
      <c r="B3375" s="24"/>
      <c r="C3375" s="14">
        <v>44076</v>
      </c>
      <c r="D3375" s="18" t="s">
        <v>3523</v>
      </c>
      <c r="E3375" s="18" t="s">
        <v>3431</v>
      </c>
      <c r="F3375" s="17">
        <v>5</v>
      </c>
      <c r="G3375" s="18" t="s">
        <v>23</v>
      </c>
      <c r="H3375" s="17">
        <v>42.16</v>
      </c>
      <c r="I3375" s="15">
        <v>66.900000000000006</v>
      </c>
      <c r="J3375" s="21">
        <f t="shared" si="156"/>
        <v>0.58681214421252403</v>
      </c>
      <c r="K3375" s="1">
        <v>2</v>
      </c>
      <c r="L3375" s="24">
        <v>6.6</v>
      </c>
      <c r="M3375" s="24">
        <v>60.210000000000008</v>
      </c>
      <c r="N3375" s="21">
        <f t="shared" si="157"/>
        <v>0.42813092979127165</v>
      </c>
      <c r="P3375" s="1">
        <v>4</v>
      </c>
      <c r="Q3375" s="24">
        <v>8.0279999999999987</v>
      </c>
      <c r="R3375" s="24">
        <v>58.872000000000007</v>
      </c>
      <c r="S3375" s="21">
        <f t="shared" si="158"/>
        <v>0.39639468690702118</v>
      </c>
    </row>
    <row r="3376" spans="2:19" ht="11.4" customHeight="1" x14ac:dyDescent="0.2">
      <c r="B3376" s="24"/>
      <c r="C3376" s="14">
        <v>44079</v>
      </c>
      <c r="D3376" s="18" t="s">
        <v>3524</v>
      </c>
      <c r="E3376" s="18" t="s">
        <v>3431</v>
      </c>
      <c r="F3376" s="17">
        <v>5</v>
      </c>
      <c r="G3376" s="18" t="s">
        <v>23</v>
      </c>
      <c r="H3376" s="17">
        <v>42.16</v>
      </c>
      <c r="I3376" s="15">
        <v>66.900000000000006</v>
      </c>
      <c r="J3376" s="21">
        <f t="shared" si="156"/>
        <v>0.58681214421252403</v>
      </c>
      <c r="K3376" s="1">
        <v>2</v>
      </c>
      <c r="L3376" s="24">
        <v>6.6</v>
      </c>
      <c r="M3376" s="24">
        <v>60.210000000000008</v>
      </c>
      <c r="N3376" s="21">
        <f t="shared" si="157"/>
        <v>0.42813092979127165</v>
      </c>
      <c r="P3376" s="1">
        <v>4</v>
      </c>
      <c r="Q3376" s="24">
        <v>8.0279999999999987</v>
      </c>
      <c r="R3376" s="24">
        <v>58.872000000000007</v>
      </c>
      <c r="S3376" s="21">
        <f t="shared" si="158"/>
        <v>0.39639468690702118</v>
      </c>
    </row>
    <row r="3377" spans="2:19" ht="11.4" customHeight="1" x14ac:dyDescent="0.2">
      <c r="B3377" s="24"/>
      <c r="C3377" s="14">
        <v>44084</v>
      </c>
      <c r="D3377" s="18" t="s">
        <v>3525</v>
      </c>
      <c r="E3377" s="18" t="s">
        <v>3431</v>
      </c>
      <c r="F3377" s="17">
        <v>5</v>
      </c>
      <c r="G3377" s="18" t="s">
        <v>23</v>
      </c>
      <c r="H3377" s="17">
        <v>48.5</v>
      </c>
      <c r="I3377" s="15">
        <v>66.900000000000006</v>
      </c>
      <c r="J3377" s="21">
        <f t="shared" si="156"/>
        <v>0.37938144329896917</v>
      </c>
      <c r="K3377" s="1">
        <v>2</v>
      </c>
      <c r="L3377" s="24">
        <v>6.6</v>
      </c>
      <c r="M3377" s="24">
        <v>60.210000000000008</v>
      </c>
      <c r="N3377" s="21">
        <f t="shared" si="157"/>
        <v>0.24144329896907232</v>
      </c>
      <c r="P3377" s="1">
        <v>4</v>
      </c>
      <c r="Q3377" s="24">
        <v>8.0279999999999987</v>
      </c>
      <c r="R3377" s="24">
        <v>58.872000000000007</v>
      </c>
      <c r="S3377" s="21">
        <f t="shared" si="158"/>
        <v>0.21385567010309292</v>
      </c>
    </row>
    <row r="3378" spans="2:19" ht="11.4" customHeight="1" x14ac:dyDescent="0.2">
      <c r="B3378" s="24"/>
      <c r="C3378" s="14">
        <v>44081</v>
      </c>
      <c r="D3378" s="18" t="s">
        <v>3526</v>
      </c>
      <c r="E3378" s="18" t="s">
        <v>3431</v>
      </c>
      <c r="F3378" s="17">
        <v>5</v>
      </c>
      <c r="G3378" s="18" t="s">
        <v>23</v>
      </c>
      <c r="H3378" s="17">
        <v>42.16</v>
      </c>
      <c r="I3378" s="15">
        <v>66.900000000000006</v>
      </c>
      <c r="J3378" s="21">
        <f t="shared" si="156"/>
        <v>0.58681214421252403</v>
      </c>
      <c r="K3378" s="1">
        <v>2</v>
      </c>
      <c r="L3378" s="24">
        <v>6.6</v>
      </c>
      <c r="M3378" s="24">
        <v>60.210000000000008</v>
      </c>
      <c r="N3378" s="21">
        <f t="shared" si="157"/>
        <v>0.42813092979127165</v>
      </c>
      <c r="P3378" s="1">
        <v>4</v>
      </c>
      <c r="Q3378" s="24">
        <v>8.0279999999999987</v>
      </c>
      <c r="R3378" s="24">
        <v>58.872000000000007</v>
      </c>
      <c r="S3378" s="21">
        <f t="shared" si="158"/>
        <v>0.39639468690702118</v>
      </c>
    </row>
    <row r="3379" spans="2:19" ht="11.4" customHeight="1" x14ac:dyDescent="0.2">
      <c r="B3379" s="24"/>
      <c r="C3379" s="14">
        <v>44082</v>
      </c>
      <c r="D3379" s="18" t="s">
        <v>3527</v>
      </c>
      <c r="E3379" s="18" t="s">
        <v>3431</v>
      </c>
      <c r="F3379" s="17">
        <v>5</v>
      </c>
      <c r="G3379" s="18" t="s">
        <v>23</v>
      </c>
      <c r="H3379" s="17">
        <v>48.5</v>
      </c>
      <c r="I3379" s="15">
        <v>66.900000000000006</v>
      </c>
      <c r="J3379" s="21">
        <f t="shared" si="156"/>
        <v>0.37938144329896917</v>
      </c>
      <c r="K3379" s="1">
        <v>2</v>
      </c>
      <c r="L3379" s="24">
        <v>6.6</v>
      </c>
      <c r="M3379" s="24">
        <v>60.210000000000008</v>
      </c>
      <c r="N3379" s="21">
        <f t="shared" si="157"/>
        <v>0.24144329896907232</v>
      </c>
      <c r="P3379" s="1">
        <v>4</v>
      </c>
      <c r="Q3379" s="24">
        <v>8.0279999999999987</v>
      </c>
      <c r="R3379" s="24">
        <v>58.872000000000007</v>
      </c>
      <c r="S3379" s="21">
        <f t="shared" si="158"/>
        <v>0.21385567010309292</v>
      </c>
    </row>
    <row r="3380" spans="2:19" ht="11.4" customHeight="1" x14ac:dyDescent="0.2">
      <c r="B3380" s="24"/>
      <c r="C3380" s="14">
        <v>43329</v>
      </c>
      <c r="D3380" s="18" t="s">
        <v>3528</v>
      </c>
      <c r="E3380" s="18" t="s">
        <v>3431</v>
      </c>
      <c r="F3380" s="17">
        <v>12</v>
      </c>
      <c r="G3380" s="18" t="s">
        <v>23</v>
      </c>
      <c r="H3380" s="17">
        <v>205.58</v>
      </c>
      <c r="I3380" s="15">
        <v>267.89999999999998</v>
      </c>
      <c r="J3380" s="21">
        <f t="shared" si="156"/>
        <v>0.3031423290203325</v>
      </c>
      <c r="K3380" s="1">
        <v>2</v>
      </c>
      <c r="L3380" s="24">
        <v>26.7</v>
      </c>
      <c r="M3380" s="24">
        <v>241.10999999999999</v>
      </c>
      <c r="N3380" s="21">
        <f t="shared" si="157"/>
        <v>0.1728280961182993</v>
      </c>
      <c r="P3380" s="1">
        <v>4</v>
      </c>
      <c r="Q3380" s="24">
        <v>32.147999999999996</v>
      </c>
      <c r="R3380" s="24">
        <v>235.75199999999998</v>
      </c>
      <c r="S3380" s="21">
        <f t="shared" si="158"/>
        <v>0.14676524953789263</v>
      </c>
    </row>
    <row r="3381" spans="2:19" ht="11.4" customHeight="1" x14ac:dyDescent="0.2">
      <c r="B3381" s="24"/>
      <c r="C3381" s="14">
        <v>43326</v>
      </c>
      <c r="D3381" s="18" t="s">
        <v>3529</v>
      </c>
      <c r="E3381" s="18" t="s">
        <v>3431</v>
      </c>
      <c r="F3381" s="17">
        <v>4</v>
      </c>
      <c r="G3381" s="18" t="s">
        <v>23</v>
      </c>
      <c r="H3381" s="17">
        <v>464.41</v>
      </c>
      <c r="I3381" s="15">
        <v>599.9</v>
      </c>
      <c r="J3381" s="21">
        <f t="shared" si="156"/>
        <v>0.29174651708619526</v>
      </c>
      <c r="K3381" s="1">
        <v>2</v>
      </c>
      <c r="L3381" s="24">
        <v>59.9</v>
      </c>
      <c r="M3381" s="24">
        <v>539.91</v>
      </c>
      <c r="N3381" s="21">
        <f t="shared" si="157"/>
        <v>0.16257186537757573</v>
      </c>
      <c r="P3381" s="1">
        <v>4</v>
      </c>
      <c r="Q3381" s="24">
        <v>71.987999999999943</v>
      </c>
      <c r="R3381" s="24">
        <v>527.91200000000003</v>
      </c>
      <c r="S3381" s="21">
        <f t="shared" si="158"/>
        <v>0.13673693503585196</v>
      </c>
    </row>
    <row r="3382" spans="2:19" ht="11.4" customHeight="1" x14ac:dyDescent="0.2">
      <c r="B3382" s="24"/>
      <c r="C3382" s="14">
        <v>7518</v>
      </c>
      <c r="D3382" s="18" t="s">
        <v>3530</v>
      </c>
      <c r="E3382" s="18" t="s">
        <v>3531</v>
      </c>
      <c r="F3382" s="17">
        <v>14</v>
      </c>
      <c r="G3382" s="18" t="s">
        <v>23</v>
      </c>
      <c r="H3382" s="17">
        <v>14.16</v>
      </c>
      <c r="I3382" s="15">
        <v>26.9</v>
      </c>
      <c r="J3382" s="21">
        <f t="shared" si="156"/>
        <v>0.89971751412429368</v>
      </c>
      <c r="K3382" s="1">
        <v>2</v>
      </c>
      <c r="L3382" s="24">
        <v>2.6</v>
      </c>
      <c r="M3382" s="24">
        <v>24.21</v>
      </c>
      <c r="N3382" s="21">
        <f t="shared" si="157"/>
        <v>0.7097457627118644</v>
      </c>
      <c r="P3382" s="1">
        <v>4</v>
      </c>
      <c r="Q3382" s="24">
        <v>3.227999999999998</v>
      </c>
      <c r="R3382" s="24">
        <v>23.672000000000001</v>
      </c>
      <c r="S3382" s="21">
        <f t="shared" si="158"/>
        <v>0.67175141242937852</v>
      </c>
    </row>
    <row r="3383" spans="2:19" ht="11.4" customHeight="1" x14ac:dyDescent="0.2">
      <c r="B3383" s="24"/>
      <c r="C3383" s="14">
        <v>19010</v>
      </c>
      <c r="D3383" s="18" t="s">
        <v>3532</v>
      </c>
      <c r="E3383" s="18" t="s">
        <v>3533</v>
      </c>
      <c r="F3383" s="17">
        <v>12</v>
      </c>
      <c r="G3383" s="18" t="s">
        <v>23</v>
      </c>
      <c r="H3383" s="17">
        <v>44.4</v>
      </c>
      <c r="I3383" s="15">
        <v>46.9</v>
      </c>
      <c r="J3383" s="21">
        <f t="shared" si="156"/>
        <v>5.6306306306306307E-2</v>
      </c>
      <c r="K3383" s="1">
        <v>2</v>
      </c>
      <c r="L3383" s="24">
        <v>4.5999999999999996</v>
      </c>
      <c r="M3383" s="24">
        <v>42.21</v>
      </c>
      <c r="N3383" s="21">
        <f t="shared" si="157"/>
        <v>-4.9324324324324272E-2</v>
      </c>
      <c r="P3383" s="1">
        <v>4</v>
      </c>
      <c r="Q3383" s="24">
        <v>5.6280000000000001</v>
      </c>
      <c r="R3383" s="24">
        <v>41.271999999999998</v>
      </c>
      <c r="S3383" s="21">
        <f t="shared" si="158"/>
        <v>-7.0450450450450453E-2</v>
      </c>
    </row>
    <row r="3384" spans="2:19" ht="11.4" customHeight="1" x14ac:dyDescent="0.2">
      <c r="B3384" s="24"/>
      <c r="C3384" s="14">
        <v>2619</v>
      </c>
      <c r="D3384" s="18" t="s">
        <v>3534</v>
      </c>
      <c r="E3384" s="18" t="s">
        <v>3535</v>
      </c>
      <c r="F3384" s="17">
        <v>1.6</v>
      </c>
      <c r="G3384" s="18" t="s">
        <v>902</v>
      </c>
      <c r="H3384" s="17">
        <v>141.5</v>
      </c>
      <c r="I3384" s="15">
        <v>149.9</v>
      </c>
      <c r="J3384" s="21">
        <f t="shared" si="156"/>
        <v>5.9363957597173188E-2</v>
      </c>
      <c r="K3384" s="1">
        <v>1</v>
      </c>
      <c r="L3384" s="24">
        <v>14.9</v>
      </c>
      <c r="M3384" s="24">
        <v>134.91</v>
      </c>
      <c r="N3384" s="21">
        <f t="shared" si="157"/>
        <v>-4.6572438162544194E-2</v>
      </c>
      <c r="P3384" s="1">
        <v>4</v>
      </c>
      <c r="Q3384" s="24">
        <v>14.990000000000009</v>
      </c>
      <c r="R3384" s="24">
        <v>134.91</v>
      </c>
      <c r="S3384" s="21">
        <f t="shared" si="158"/>
        <v>-4.6572438162544194E-2</v>
      </c>
    </row>
    <row r="3385" spans="2:19" ht="11.4" customHeight="1" x14ac:dyDescent="0.2">
      <c r="B3385" s="24"/>
      <c r="C3385" s="14">
        <v>21990</v>
      </c>
      <c r="D3385" s="18" t="s">
        <v>3536</v>
      </c>
      <c r="E3385" s="18" t="s">
        <v>3535</v>
      </c>
      <c r="F3385" s="17">
        <v>3.5</v>
      </c>
      <c r="G3385" s="18" t="s">
        <v>902</v>
      </c>
      <c r="H3385" s="17">
        <v>142.9</v>
      </c>
      <c r="I3385" s="15">
        <v>151.9</v>
      </c>
      <c r="J3385" s="21">
        <f t="shared" si="156"/>
        <v>6.2981105668299509E-2</v>
      </c>
      <c r="K3385" s="1">
        <v>1</v>
      </c>
      <c r="L3385" s="24">
        <v>15.1</v>
      </c>
      <c r="M3385" s="24">
        <v>136.71</v>
      </c>
      <c r="N3385" s="21">
        <f t="shared" si="157"/>
        <v>-4.3317004898530423E-2</v>
      </c>
      <c r="P3385" s="1">
        <v>4</v>
      </c>
      <c r="Q3385" s="24">
        <v>15.189999999999998</v>
      </c>
      <c r="R3385" s="24">
        <v>136.71</v>
      </c>
      <c r="S3385" s="21">
        <f t="shared" si="158"/>
        <v>-4.3317004898530423E-2</v>
      </c>
    </row>
    <row r="3386" spans="2:19" ht="11.4" customHeight="1" x14ac:dyDescent="0.2">
      <c r="B3386" s="24"/>
      <c r="C3386" s="14">
        <v>25893</v>
      </c>
      <c r="D3386" s="18" t="s">
        <v>3537</v>
      </c>
      <c r="E3386" s="18" t="s">
        <v>3533</v>
      </c>
      <c r="F3386" s="17">
        <v>6</v>
      </c>
      <c r="G3386" s="18" t="s">
        <v>23</v>
      </c>
      <c r="H3386" s="17">
        <v>78.099999999999994</v>
      </c>
      <c r="I3386" s="15">
        <v>82.9</v>
      </c>
      <c r="J3386" s="21">
        <f t="shared" si="156"/>
        <v>6.1459667093470061E-2</v>
      </c>
      <c r="K3386" s="1">
        <v>2</v>
      </c>
      <c r="L3386" s="24">
        <v>8.1999999999999993</v>
      </c>
      <c r="M3386" s="24">
        <v>74.610000000000014</v>
      </c>
      <c r="N3386" s="21">
        <f t="shared" si="157"/>
        <v>-4.4686299615876834E-2</v>
      </c>
      <c r="P3386" s="1">
        <v>4</v>
      </c>
      <c r="Q3386" s="24">
        <v>9.9479999999999933</v>
      </c>
      <c r="R3386" s="24">
        <v>72.952000000000012</v>
      </c>
      <c r="S3386" s="21">
        <f t="shared" si="158"/>
        <v>-6.591549295774625E-2</v>
      </c>
    </row>
    <row r="3387" spans="2:19" ht="11.4" customHeight="1" x14ac:dyDescent="0.2">
      <c r="B3387" s="24"/>
      <c r="C3387" s="14">
        <v>27881</v>
      </c>
      <c r="D3387" s="18" t="s">
        <v>3538</v>
      </c>
      <c r="E3387" s="18" t="s">
        <v>3535</v>
      </c>
      <c r="F3387" s="17">
        <v>2.8</v>
      </c>
      <c r="G3387" s="18" t="s">
        <v>902</v>
      </c>
      <c r="H3387" s="17">
        <v>141.80000000000001</v>
      </c>
      <c r="I3387" s="15">
        <v>149.9</v>
      </c>
      <c r="J3387" s="21">
        <f t="shared" si="156"/>
        <v>5.7122708039492195E-2</v>
      </c>
      <c r="K3387" s="1">
        <v>1</v>
      </c>
      <c r="L3387" s="24">
        <v>14.9</v>
      </c>
      <c r="M3387" s="24">
        <v>134.91</v>
      </c>
      <c r="N3387" s="21">
        <f t="shared" si="157"/>
        <v>-4.8589562764457084E-2</v>
      </c>
      <c r="P3387" s="1">
        <v>4</v>
      </c>
      <c r="Q3387" s="24">
        <v>14.990000000000009</v>
      </c>
      <c r="R3387" s="24">
        <v>134.91</v>
      </c>
      <c r="S3387" s="21">
        <f t="shared" si="158"/>
        <v>-4.8589562764457084E-2</v>
      </c>
    </row>
    <row r="3388" spans="2:19" ht="11.4" customHeight="1" x14ac:dyDescent="0.2">
      <c r="B3388" s="24"/>
      <c r="C3388" s="14">
        <v>27816</v>
      </c>
      <c r="D3388" s="18" t="s">
        <v>3539</v>
      </c>
      <c r="E3388" s="18" t="s">
        <v>3535</v>
      </c>
      <c r="F3388" s="17">
        <v>1.8</v>
      </c>
      <c r="G3388" s="18" t="s">
        <v>902</v>
      </c>
      <c r="H3388" s="17">
        <v>133</v>
      </c>
      <c r="I3388" s="15">
        <v>140.9</v>
      </c>
      <c r="J3388" s="21">
        <f t="shared" si="156"/>
        <v>5.9398496240601548E-2</v>
      </c>
      <c r="K3388" s="1">
        <v>1</v>
      </c>
      <c r="L3388" s="24">
        <v>14</v>
      </c>
      <c r="M3388" s="24">
        <v>126.81</v>
      </c>
      <c r="N3388" s="21">
        <f t="shared" si="157"/>
        <v>-4.6541353383458627E-2</v>
      </c>
      <c r="P3388" s="1">
        <v>4</v>
      </c>
      <c r="Q3388" s="24">
        <v>14.090000000000003</v>
      </c>
      <c r="R3388" s="24">
        <v>126.81</v>
      </c>
      <c r="S3388" s="21">
        <f t="shared" si="158"/>
        <v>-4.6541353383458627E-2</v>
      </c>
    </row>
    <row r="3389" spans="2:19" ht="11.4" customHeight="1" x14ac:dyDescent="0.2">
      <c r="B3389" s="24"/>
      <c r="C3389" s="14">
        <v>47029</v>
      </c>
      <c r="D3389" s="18" t="s">
        <v>3540</v>
      </c>
      <c r="E3389" s="18" t="s">
        <v>3447</v>
      </c>
      <c r="F3389" s="18"/>
      <c r="G3389" s="18" t="s">
        <v>23</v>
      </c>
      <c r="H3389" s="17">
        <v>4.4400000000000004</v>
      </c>
      <c r="I3389" s="15">
        <v>7.5</v>
      </c>
      <c r="J3389" s="21">
        <f t="shared" si="156"/>
        <v>0.68918918918918903</v>
      </c>
      <c r="K3389" s="1">
        <v>2</v>
      </c>
      <c r="L3389" s="24">
        <v>0.7</v>
      </c>
      <c r="M3389" s="24">
        <v>6.75</v>
      </c>
      <c r="N3389" s="21">
        <f t="shared" si="157"/>
        <v>0.52027027027027017</v>
      </c>
      <c r="P3389" s="1">
        <v>4</v>
      </c>
      <c r="Q3389" s="24">
        <v>0.90000000000000036</v>
      </c>
      <c r="R3389" s="24">
        <v>6.6</v>
      </c>
      <c r="S3389" s="21">
        <f t="shared" si="158"/>
        <v>0.48648648648648629</v>
      </c>
    </row>
    <row r="3390" spans="2:19" ht="11.4" customHeight="1" x14ac:dyDescent="0.2">
      <c r="B3390" s="24"/>
      <c r="C3390" s="14">
        <v>42056</v>
      </c>
      <c r="D3390" s="18" t="s">
        <v>3541</v>
      </c>
      <c r="E3390" s="18" t="s">
        <v>3533</v>
      </c>
      <c r="F3390" s="17">
        <v>18</v>
      </c>
      <c r="G3390" s="18" t="s">
        <v>23</v>
      </c>
      <c r="H3390" s="17">
        <v>35.99</v>
      </c>
      <c r="I3390" s="15">
        <v>69.900000000000006</v>
      </c>
      <c r="J3390" s="21">
        <f t="shared" si="156"/>
        <v>0.94220616838010562</v>
      </c>
      <c r="K3390" s="1">
        <v>2</v>
      </c>
      <c r="L3390" s="24">
        <v>6.9</v>
      </c>
      <c r="M3390" s="24">
        <v>62.910000000000004</v>
      </c>
      <c r="N3390" s="21">
        <f t="shared" si="157"/>
        <v>0.74798555154209501</v>
      </c>
      <c r="P3390" s="1">
        <v>4</v>
      </c>
      <c r="Q3390" s="24">
        <v>8.3879999999999981</v>
      </c>
      <c r="R3390" s="24">
        <v>61.512000000000008</v>
      </c>
      <c r="S3390" s="21">
        <f t="shared" si="158"/>
        <v>0.70914142817449299</v>
      </c>
    </row>
    <row r="3391" spans="2:19" ht="11.4" customHeight="1" x14ac:dyDescent="0.2">
      <c r="B3391" s="24"/>
      <c r="C3391" s="14">
        <v>42058</v>
      </c>
      <c r="D3391" s="18" t="s">
        <v>3542</v>
      </c>
      <c r="E3391" s="18" t="s">
        <v>3533</v>
      </c>
      <c r="F3391" s="17">
        <v>18</v>
      </c>
      <c r="G3391" s="18" t="s">
        <v>23</v>
      </c>
      <c r="H3391" s="17">
        <v>79.7</v>
      </c>
      <c r="I3391" s="15">
        <v>107.9</v>
      </c>
      <c r="J3391" s="21">
        <f t="shared" si="156"/>
        <v>0.35382685069008785</v>
      </c>
      <c r="K3391" s="1">
        <v>2</v>
      </c>
      <c r="L3391" s="24">
        <v>10.7</v>
      </c>
      <c r="M3391" s="24">
        <v>97.110000000000014</v>
      </c>
      <c r="N3391" s="21">
        <f t="shared" si="157"/>
        <v>0.21844416562107918</v>
      </c>
      <c r="P3391" s="1">
        <v>4</v>
      </c>
      <c r="Q3391" s="24">
        <v>12.947999999999993</v>
      </c>
      <c r="R3391" s="24">
        <v>94.952000000000012</v>
      </c>
      <c r="S3391" s="21">
        <f t="shared" si="158"/>
        <v>0.19136762860727741</v>
      </c>
    </row>
    <row r="3392" spans="2:19" ht="11.4" customHeight="1" x14ac:dyDescent="0.2">
      <c r="B3392" s="24"/>
      <c r="C3392" s="14">
        <v>42057</v>
      </c>
      <c r="D3392" s="18" t="s">
        <v>3543</v>
      </c>
      <c r="E3392" s="18" t="s">
        <v>3533</v>
      </c>
      <c r="F3392" s="17">
        <v>18</v>
      </c>
      <c r="G3392" s="18" t="s">
        <v>23</v>
      </c>
      <c r="H3392" s="17">
        <v>63.36</v>
      </c>
      <c r="I3392" s="15">
        <v>107.9</v>
      </c>
      <c r="J3392" s="21">
        <f t="shared" si="156"/>
        <v>0.70296717171717182</v>
      </c>
      <c r="K3392" s="1">
        <v>2</v>
      </c>
      <c r="L3392" s="24">
        <v>10.7</v>
      </c>
      <c r="M3392" s="24">
        <v>97.110000000000014</v>
      </c>
      <c r="N3392" s="21">
        <f t="shared" si="157"/>
        <v>0.53267045454545481</v>
      </c>
      <c r="P3392" s="1">
        <v>4</v>
      </c>
      <c r="Q3392" s="24">
        <v>12.947999999999993</v>
      </c>
      <c r="R3392" s="24">
        <v>94.952000000000012</v>
      </c>
      <c r="S3392" s="21">
        <f t="shared" si="158"/>
        <v>0.49861111111111134</v>
      </c>
    </row>
    <row r="3393" spans="2:19" ht="11.4" customHeight="1" x14ac:dyDescent="0.2">
      <c r="B3393" s="24"/>
      <c r="C3393" s="14">
        <v>47028</v>
      </c>
      <c r="D3393" s="18" t="s">
        <v>3544</v>
      </c>
      <c r="E3393" s="18" t="s">
        <v>3447</v>
      </c>
      <c r="F3393" s="18"/>
      <c r="G3393" s="18" t="s">
        <v>23</v>
      </c>
      <c r="H3393" s="17">
        <v>4.4400000000000004</v>
      </c>
      <c r="I3393" s="15">
        <v>7.5</v>
      </c>
      <c r="J3393" s="21">
        <f t="shared" si="156"/>
        <v>0.68918918918918903</v>
      </c>
      <c r="K3393" s="1">
        <v>2</v>
      </c>
      <c r="L3393" s="24">
        <v>0.7</v>
      </c>
      <c r="M3393" s="24">
        <v>6.75</v>
      </c>
      <c r="N3393" s="21">
        <f t="shared" si="157"/>
        <v>0.52027027027027017</v>
      </c>
      <c r="P3393" s="1">
        <v>4</v>
      </c>
      <c r="Q3393" s="24">
        <v>0.90000000000000036</v>
      </c>
      <c r="R3393" s="24">
        <v>6.6</v>
      </c>
      <c r="S3393" s="21">
        <f t="shared" si="158"/>
        <v>0.48648648648648629</v>
      </c>
    </row>
    <row r="3394" spans="2:19" ht="11.4" customHeight="1" x14ac:dyDescent="0.2">
      <c r="B3394" s="24"/>
      <c r="C3394" s="14">
        <v>41275</v>
      </c>
      <c r="D3394" s="18" t="s">
        <v>3545</v>
      </c>
      <c r="E3394" s="18" t="s">
        <v>3533</v>
      </c>
      <c r="F3394" s="18"/>
      <c r="G3394" s="18" t="s">
        <v>23</v>
      </c>
      <c r="H3394" s="17">
        <v>110.88</v>
      </c>
      <c r="I3394" s="15">
        <v>169.9</v>
      </c>
      <c r="J3394" s="21">
        <f t="shared" si="156"/>
        <v>0.53228715728715736</v>
      </c>
      <c r="K3394" s="1">
        <v>2</v>
      </c>
      <c r="L3394" s="24">
        <v>16.899999999999999</v>
      </c>
      <c r="M3394" s="24">
        <v>152.91</v>
      </c>
      <c r="N3394" s="21">
        <f t="shared" si="157"/>
        <v>0.37905844155844159</v>
      </c>
      <c r="P3394" s="1">
        <v>4</v>
      </c>
      <c r="Q3394" s="24">
        <v>20.388000000000005</v>
      </c>
      <c r="R3394" s="24">
        <v>149.512</v>
      </c>
      <c r="S3394" s="21">
        <f t="shared" si="158"/>
        <v>0.34841269841269845</v>
      </c>
    </row>
    <row r="3395" spans="2:19" ht="11.4" customHeight="1" x14ac:dyDescent="0.2">
      <c r="B3395" s="24"/>
      <c r="C3395" s="14">
        <v>42874</v>
      </c>
      <c r="D3395" s="18" t="s">
        <v>3546</v>
      </c>
      <c r="E3395" s="18" t="s">
        <v>3533</v>
      </c>
      <c r="F3395" s="18"/>
      <c r="G3395" s="18" t="s">
        <v>23</v>
      </c>
      <c r="H3395" s="17">
        <v>242.75</v>
      </c>
      <c r="I3395" s="15">
        <v>324.89999999999998</v>
      </c>
      <c r="J3395" s="21">
        <f t="shared" ref="J3395:J3458" si="159">(I3395-H3395)/H3395</f>
        <v>0.33841400617919659</v>
      </c>
      <c r="K3395" s="1">
        <v>2</v>
      </c>
      <c r="L3395" s="24">
        <v>32.4</v>
      </c>
      <c r="M3395" s="24">
        <v>292.40999999999997</v>
      </c>
      <c r="N3395" s="21">
        <f t="shared" ref="N3395:N3458" si="160">(M3395-H3395)/H3395</f>
        <v>0.2045726055612769</v>
      </c>
      <c r="P3395" s="1">
        <v>4</v>
      </c>
      <c r="Q3395" s="24">
        <v>38.988</v>
      </c>
      <c r="R3395" s="24">
        <v>285.91199999999998</v>
      </c>
      <c r="S3395" s="21">
        <f t="shared" ref="S3395:S3458" si="161">(R3395-H3395)/H3395</f>
        <v>0.17780432543769301</v>
      </c>
    </row>
    <row r="3396" spans="2:19" ht="11.4" customHeight="1" x14ac:dyDescent="0.2">
      <c r="B3396" s="24"/>
      <c r="C3396" s="14">
        <v>42875</v>
      </c>
      <c r="D3396" s="18" t="s">
        <v>3547</v>
      </c>
      <c r="E3396" s="18" t="s">
        <v>3533</v>
      </c>
      <c r="F3396" s="18"/>
      <c r="G3396" s="18" t="s">
        <v>23</v>
      </c>
      <c r="H3396" s="17">
        <v>124.5</v>
      </c>
      <c r="I3396" s="15">
        <v>153.9</v>
      </c>
      <c r="J3396" s="21">
        <f t="shared" si="159"/>
        <v>0.23614457831325306</v>
      </c>
      <c r="K3396" s="1">
        <v>2</v>
      </c>
      <c r="L3396" s="24">
        <v>15.3</v>
      </c>
      <c r="M3396" s="24">
        <v>138.51000000000002</v>
      </c>
      <c r="N3396" s="21">
        <f t="shared" si="160"/>
        <v>0.11253012048192787</v>
      </c>
      <c r="P3396" s="1">
        <v>4</v>
      </c>
      <c r="Q3396" s="24">
        <v>18.467999999999989</v>
      </c>
      <c r="R3396" s="24">
        <v>135.43200000000002</v>
      </c>
      <c r="S3396" s="21">
        <f t="shared" si="161"/>
        <v>8.7807228915662783E-2</v>
      </c>
    </row>
    <row r="3397" spans="2:19" ht="11.4" customHeight="1" x14ac:dyDescent="0.2">
      <c r="B3397" s="24"/>
      <c r="C3397" s="14">
        <v>40010</v>
      </c>
      <c r="D3397" s="18" t="s">
        <v>3548</v>
      </c>
      <c r="E3397" s="18" t="s">
        <v>3533</v>
      </c>
      <c r="F3397" s="18"/>
      <c r="G3397" s="18" t="s">
        <v>23</v>
      </c>
      <c r="H3397" s="17">
        <v>140</v>
      </c>
      <c r="I3397" s="15">
        <v>169.9</v>
      </c>
      <c r="J3397" s="21">
        <f t="shared" si="159"/>
        <v>0.21357142857142861</v>
      </c>
      <c r="K3397" s="1">
        <v>2</v>
      </c>
      <c r="L3397" s="24">
        <v>16.899999999999999</v>
      </c>
      <c r="M3397" s="24">
        <v>152.91</v>
      </c>
      <c r="N3397" s="21">
        <f t="shared" si="160"/>
        <v>9.2214285714285693E-2</v>
      </c>
      <c r="P3397" s="1">
        <v>4</v>
      </c>
      <c r="Q3397" s="24">
        <v>20.388000000000005</v>
      </c>
      <c r="R3397" s="24">
        <v>149.512</v>
      </c>
      <c r="S3397" s="21">
        <f t="shared" si="161"/>
        <v>6.7942857142857152E-2</v>
      </c>
    </row>
    <row r="3398" spans="2:19" ht="11.4" customHeight="1" x14ac:dyDescent="0.2">
      <c r="B3398" s="24"/>
      <c r="C3398" s="14">
        <v>42876</v>
      </c>
      <c r="D3398" s="18" t="s">
        <v>3549</v>
      </c>
      <c r="E3398" s="18" t="s">
        <v>3533</v>
      </c>
      <c r="F3398" s="18"/>
      <c r="G3398" s="18" t="s">
        <v>23</v>
      </c>
      <c r="H3398" s="17">
        <v>124.5</v>
      </c>
      <c r="I3398" s="15">
        <v>153.9</v>
      </c>
      <c r="J3398" s="21">
        <f t="shared" si="159"/>
        <v>0.23614457831325306</v>
      </c>
      <c r="K3398" s="1">
        <v>2</v>
      </c>
      <c r="L3398" s="24">
        <v>15.3</v>
      </c>
      <c r="M3398" s="24">
        <v>138.51000000000002</v>
      </c>
      <c r="N3398" s="21">
        <f t="shared" si="160"/>
        <v>0.11253012048192787</v>
      </c>
      <c r="P3398" s="1">
        <v>4</v>
      </c>
      <c r="Q3398" s="24">
        <v>18.467999999999989</v>
      </c>
      <c r="R3398" s="24">
        <v>135.43200000000002</v>
      </c>
      <c r="S3398" s="21">
        <f t="shared" si="161"/>
        <v>8.7807228915662783E-2</v>
      </c>
    </row>
    <row r="3399" spans="2:19" ht="11.4" customHeight="1" x14ac:dyDescent="0.2">
      <c r="B3399" s="24"/>
      <c r="C3399" s="14">
        <v>9333</v>
      </c>
      <c r="D3399" s="18" t="s">
        <v>3550</v>
      </c>
      <c r="E3399" s="18" t="s">
        <v>3551</v>
      </c>
      <c r="F3399" s="18"/>
      <c r="G3399" s="18" t="s">
        <v>23</v>
      </c>
      <c r="H3399" s="17">
        <v>24.24</v>
      </c>
      <c r="I3399" s="15">
        <v>31.9</v>
      </c>
      <c r="J3399" s="21">
        <f t="shared" si="159"/>
        <v>0.31600660066006603</v>
      </c>
      <c r="K3399" s="1">
        <v>2</v>
      </c>
      <c r="L3399" s="24">
        <v>3.1</v>
      </c>
      <c r="M3399" s="24">
        <v>28.71</v>
      </c>
      <c r="N3399" s="21">
        <f t="shared" si="160"/>
        <v>0.18440594059405951</v>
      </c>
      <c r="P3399" s="1">
        <v>4</v>
      </c>
      <c r="Q3399" s="24">
        <v>3.8279999999999994</v>
      </c>
      <c r="R3399" s="24">
        <v>28.071999999999999</v>
      </c>
      <c r="S3399" s="21">
        <f t="shared" si="161"/>
        <v>0.15808580858085813</v>
      </c>
    </row>
    <row r="3400" spans="2:19" ht="11.4" customHeight="1" x14ac:dyDescent="0.2">
      <c r="B3400" s="24"/>
      <c r="C3400" s="14">
        <v>35354</v>
      </c>
      <c r="D3400" s="18" t="s">
        <v>3552</v>
      </c>
      <c r="E3400" s="18" t="s">
        <v>3551</v>
      </c>
      <c r="F3400" s="17">
        <v>24</v>
      </c>
      <c r="G3400" s="18" t="s">
        <v>23</v>
      </c>
      <c r="H3400" s="17">
        <v>34.4</v>
      </c>
      <c r="I3400" s="15">
        <v>36.9</v>
      </c>
      <c r="J3400" s="21">
        <f t="shared" si="159"/>
        <v>7.2674418604651167E-2</v>
      </c>
      <c r="K3400" s="1">
        <v>2</v>
      </c>
      <c r="L3400" s="24">
        <v>3.6</v>
      </c>
      <c r="M3400" s="24">
        <v>33.21</v>
      </c>
      <c r="N3400" s="21">
        <f t="shared" si="160"/>
        <v>-3.4593023255813891E-2</v>
      </c>
      <c r="P3400" s="1">
        <v>4</v>
      </c>
      <c r="Q3400" s="24">
        <v>4.4279999999999973</v>
      </c>
      <c r="R3400" s="24">
        <v>32.472000000000001</v>
      </c>
      <c r="S3400" s="21">
        <f t="shared" si="161"/>
        <v>-5.60465116279069E-2</v>
      </c>
    </row>
    <row r="3401" spans="2:19" ht="11.4" customHeight="1" x14ac:dyDescent="0.2">
      <c r="B3401" s="24"/>
      <c r="C3401" s="14">
        <v>40175</v>
      </c>
      <c r="D3401" s="18" t="s">
        <v>3553</v>
      </c>
      <c r="E3401" s="18" t="s">
        <v>3554</v>
      </c>
      <c r="F3401" s="17">
        <v>22</v>
      </c>
      <c r="G3401" s="18" t="s">
        <v>23</v>
      </c>
      <c r="H3401" s="17">
        <v>15.92</v>
      </c>
      <c r="I3401" s="15">
        <v>19.899999999999999</v>
      </c>
      <c r="J3401" s="21">
        <f t="shared" si="159"/>
        <v>0.24999999999999992</v>
      </c>
      <c r="K3401" s="1">
        <v>2</v>
      </c>
      <c r="L3401" s="24">
        <v>1.9</v>
      </c>
      <c r="M3401" s="24">
        <v>17.91</v>
      </c>
      <c r="N3401" s="21">
        <f t="shared" si="160"/>
        <v>0.12500000000000003</v>
      </c>
      <c r="P3401" s="1">
        <v>4</v>
      </c>
      <c r="Q3401" s="24">
        <v>2.3879999999999981</v>
      </c>
      <c r="R3401" s="24">
        <v>17.512</v>
      </c>
      <c r="S3401" s="21">
        <f t="shared" si="161"/>
        <v>0.10000000000000003</v>
      </c>
    </row>
    <row r="3402" spans="2:19" ht="11.4" customHeight="1" x14ac:dyDescent="0.2">
      <c r="B3402" s="24"/>
      <c r="C3402" s="14">
        <v>36260</v>
      </c>
      <c r="D3402" s="18" t="s">
        <v>3555</v>
      </c>
      <c r="E3402" s="18" t="s">
        <v>3556</v>
      </c>
      <c r="F3402" s="18"/>
      <c r="G3402" s="18" t="s">
        <v>902</v>
      </c>
      <c r="H3402" s="17">
        <v>429.6</v>
      </c>
      <c r="I3402" s="15">
        <v>399.9</v>
      </c>
      <c r="J3402" s="21">
        <f t="shared" si="159"/>
        <v>-6.9134078212290603E-2</v>
      </c>
      <c r="K3402" s="1">
        <v>1</v>
      </c>
      <c r="L3402" s="24">
        <v>39.9</v>
      </c>
      <c r="M3402" s="24">
        <v>359.90999999999997</v>
      </c>
      <c r="N3402" s="21">
        <f t="shared" si="160"/>
        <v>-0.16222067039106158</v>
      </c>
      <c r="P3402" s="1">
        <v>4</v>
      </c>
      <c r="Q3402" s="24">
        <v>39.990000000000009</v>
      </c>
      <c r="R3402" s="24">
        <v>359.90999999999997</v>
      </c>
      <c r="S3402" s="21">
        <f t="shared" si="161"/>
        <v>-0.16222067039106158</v>
      </c>
    </row>
    <row r="3403" spans="2:19" ht="11.4" customHeight="1" x14ac:dyDescent="0.2">
      <c r="B3403" s="24"/>
      <c r="C3403" s="14">
        <v>40978</v>
      </c>
      <c r="D3403" s="18" t="s">
        <v>3557</v>
      </c>
      <c r="E3403" s="18" t="s">
        <v>3556</v>
      </c>
      <c r="F3403" s="17">
        <v>1</v>
      </c>
      <c r="G3403" s="18" t="s">
        <v>902</v>
      </c>
      <c r="H3403" s="17">
        <v>313.61</v>
      </c>
      <c r="I3403" s="15">
        <v>439.9</v>
      </c>
      <c r="J3403" s="21">
        <f t="shared" si="159"/>
        <v>0.40269761806064847</v>
      </c>
      <c r="K3403" s="1">
        <v>1</v>
      </c>
      <c r="L3403" s="24">
        <v>43.9</v>
      </c>
      <c r="M3403" s="24">
        <v>395.90999999999997</v>
      </c>
      <c r="N3403" s="21">
        <f t="shared" si="160"/>
        <v>0.26242785625458354</v>
      </c>
      <c r="P3403" s="1">
        <v>4</v>
      </c>
      <c r="Q3403" s="24">
        <v>43.990000000000009</v>
      </c>
      <c r="R3403" s="24">
        <v>395.90999999999997</v>
      </c>
      <c r="S3403" s="21">
        <f t="shared" si="161"/>
        <v>0.26242785625458354</v>
      </c>
    </row>
    <row r="3404" spans="2:19" ht="11.4" customHeight="1" x14ac:dyDescent="0.2">
      <c r="B3404" s="24"/>
      <c r="C3404" s="14">
        <v>34796</v>
      </c>
      <c r="D3404" s="18" t="s">
        <v>3558</v>
      </c>
      <c r="E3404" s="18" t="s">
        <v>3556</v>
      </c>
      <c r="F3404" s="17">
        <v>1</v>
      </c>
      <c r="G3404" s="18" t="s">
        <v>902</v>
      </c>
      <c r="H3404" s="17">
        <v>413.5</v>
      </c>
      <c r="I3404" s="15">
        <v>399.9</v>
      </c>
      <c r="J3404" s="21">
        <f t="shared" si="159"/>
        <v>-3.288996372430477E-2</v>
      </c>
      <c r="K3404" s="1">
        <v>1</v>
      </c>
      <c r="L3404" s="24">
        <v>39.9</v>
      </c>
      <c r="M3404" s="24">
        <v>359.90999999999997</v>
      </c>
      <c r="N3404" s="21">
        <f t="shared" si="160"/>
        <v>-0.12960096735187432</v>
      </c>
      <c r="P3404" s="1">
        <v>4</v>
      </c>
      <c r="Q3404" s="24">
        <v>39.990000000000009</v>
      </c>
      <c r="R3404" s="24">
        <v>359.90999999999997</v>
      </c>
      <c r="S3404" s="21">
        <f t="shared" si="161"/>
        <v>-0.12960096735187432</v>
      </c>
    </row>
    <row r="3405" spans="2:19" ht="11.4" customHeight="1" x14ac:dyDescent="0.2">
      <c r="B3405" s="24"/>
      <c r="C3405" s="14">
        <v>42156</v>
      </c>
      <c r="D3405" s="18" t="s">
        <v>3559</v>
      </c>
      <c r="E3405" s="18" t="s">
        <v>3554</v>
      </c>
      <c r="F3405" s="17">
        <v>22</v>
      </c>
      <c r="G3405" s="18" t="s">
        <v>23</v>
      </c>
      <c r="H3405" s="17">
        <v>15.92</v>
      </c>
      <c r="I3405" s="15">
        <v>19.899999999999999</v>
      </c>
      <c r="J3405" s="21">
        <f t="shared" si="159"/>
        <v>0.24999999999999992</v>
      </c>
      <c r="K3405" s="1">
        <v>2</v>
      </c>
      <c r="L3405" s="24">
        <v>1.9</v>
      </c>
      <c r="M3405" s="24">
        <v>17.91</v>
      </c>
      <c r="N3405" s="21">
        <f t="shared" si="160"/>
        <v>0.12500000000000003</v>
      </c>
      <c r="P3405" s="1">
        <v>4</v>
      </c>
      <c r="Q3405" s="24">
        <v>2.3879999999999981</v>
      </c>
      <c r="R3405" s="24">
        <v>17.512</v>
      </c>
      <c r="S3405" s="21">
        <f t="shared" si="161"/>
        <v>0.10000000000000003</v>
      </c>
    </row>
    <row r="3406" spans="2:19" ht="11.4" customHeight="1" x14ac:dyDescent="0.2">
      <c r="B3406" s="24"/>
      <c r="C3406" s="14">
        <v>34799</v>
      </c>
      <c r="D3406" s="18" t="s">
        <v>3560</v>
      </c>
      <c r="E3406" s="18" t="s">
        <v>3556</v>
      </c>
      <c r="F3406" s="18"/>
      <c r="G3406" s="18" t="s">
        <v>902</v>
      </c>
      <c r="H3406" s="17">
        <v>429.6</v>
      </c>
      <c r="I3406" s="15">
        <v>399.9</v>
      </c>
      <c r="J3406" s="21">
        <f t="shared" si="159"/>
        <v>-6.9134078212290603E-2</v>
      </c>
      <c r="K3406" s="1">
        <v>1</v>
      </c>
      <c r="L3406" s="24">
        <v>39.9</v>
      </c>
      <c r="M3406" s="24">
        <v>359.90999999999997</v>
      </c>
      <c r="N3406" s="21">
        <f t="shared" si="160"/>
        <v>-0.16222067039106158</v>
      </c>
      <c r="P3406" s="1">
        <v>4</v>
      </c>
      <c r="Q3406" s="24">
        <v>39.990000000000009</v>
      </c>
      <c r="R3406" s="24">
        <v>359.90999999999997</v>
      </c>
      <c r="S3406" s="21">
        <f t="shared" si="161"/>
        <v>-0.16222067039106158</v>
      </c>
    </row>
    <row r="3407" spans="2:19" ht="11.4" customHeight="1" x14ac:dyDescent="0.2">
      <c r="B3407" s="24"/>
      <c r="C3407" s="14">
        <v>44719</v>
      </c>
      <c r="D3407" s="18" t="s">
        <v>3561</v>
      </c>
      <c r="E3407" s="18" t="s">
        <v>3554</v>
      </c>
      <c r="F3407" s="17">
        <v>22</v>
      </c>
      <c r="G3407" s="18" t="s">
        <v>23</v>
      </c>
      <c r="H3407" s="17">
        <v>25.75</v>
      </c>
      <c r="I3407" s="15">
        <v>34.5</v>
      </c>
      <c r="J3407" s="21">
        <f t="shared" si="159"/>
        <v>0.33980582524271846</v>
      </c>
      <c r="K3407" s="1">
        <v>2</v>
      </c>
      <c r="L3407" s="24">
        <v>3.4</v>
      </c>
      <c r="M3407" s="24">
        <v>31.05</v>
      </c>
      <c r="N3407" s="21">
        <f t="shared" si="160"/>
        <v>0.20582524271844663</v>
      </c>
      <c r="P3407" s="1">
        <v>4</v>
      </c>
      <c r="Q3407" s="24">
        <v>4.1400000000000006</v>
      </c>
      <c r="R3407" s="24">
        <v>30.36</v>
      </c>
      <c r="S3407" s="21">
        <f t="shared" si="161"/>
        <v>0.17902912621359221</v>
      </c>
    </row>
    <row r="3408" spans="2:19" ht="11.4" customHeight="1" x14ac:dyDescent="0.2">
      <c r="B3408" s="24"/>
      <c r="C3408" s="14">
        <v>44098</v>
      </c>
      <c r="D3408" s="18" t="s">
        <v>3562</v>
      </c>
      <c r="E3408" s="18" t="s">
        <v>3554</v>
      </c>
      <c r="F3408" s="17">
        <v>22</v>
      </c>
      <c r="G3408" s="18" t="s">
        <v>23</v>
      </c>
      <c r="H3408" s="17">
        <v>15.93</v>
      </c>
      <c r="I3408" s="15">
        <v>19.899999999999999</v>
      </c>
      <c r="J3408" s="21">
        <f t="shared" si="159"/>
        <v>0.24921531701192712</v>
      </c>
      <c r="K3408" s="1">
        <v>2</v>
      </c>
      <c r="L3408" s="24">
        <v>1.9</v>
      </c>
      <c r="M3408" s="24">
        <v>17.91</v>
      </c>
      <c r="N3408" s="21">
        <f t="shared" si="160"/>
        <v>0.1242937853107345</v>
      </c>
      <c r="P3408" s="1">
        <v>4</v>
      </c>
      <c r="Q3408" s="24">
        <v>2.3879999999999981</v>
      </c>
      <c r="R3408" s="24">
        <v>17.512</v>
      </c>
      <c r="S3408" s="21">
        <f t="shared" si="161"/>
        <v>9.9309478970495968E-2</v>
      </c>
    </row>
    <row r="3409" spans="2:19" ht="11.4" customHeight="1" x14ac:dyDescent="0.2">
      <c r="B3409" s="24"/>
      <c r="C3409" s="14">
        <v>45673</v>
      </c>
      <c r="D3409" s="18" t="s">
        <v>3563</v>
      </c>
      <c r="E3409" s="18" t="s">
        <v>3554</v>
      </c>
      <c r="F3409" s="17">
        <v>12</v>
      </c>
      <c r="G3409" s="18" t="s">
        <v>23</v>
      </c>
      <c r="H3409" s="17">
        <v>35.42</v>
      </c>
      <c r="I3409" s="15">
        <v>56.9</v>
      </c>
      <c r="J3409" s="21">
        <f t="shared" si="159"/>
        <v>0.60643704121964981</v>
      </c>
      <c r="K3409" s="1">
        <v>2</v>
      </c>
      <c r="L3409" s="24">
        <v>5.6</v>
      </c>
      <c r="M3409" s="24">
        <v>51.21</v>
      </c>
      <c r="N3409" s="21">
        <f t="shared" si="160"/>
        <v>0.44579333709768487</v>
      </c>
      <c r="P3409" s="1">
        <v>4</v>
      </c>
      <c r="Q3409" s="24">
        <v>6.828000000000003</v>
      </c>
      <c r="R3409" s="24">
        <v>50.071999999999996</v>
      </c>
      <c r="S3409" s="21">
        <f t="shared" si="161"/>
        <v>0.41366459627329172</v>
      </c>
    </row>
    <row r="3410" spans="2:19" ht="11.4" customHeight="1" x14ac:dyDescent="0.2">
      <c r="B3410" s="24"/>
      <c r="C3410" s="14">
        <v>34803</v>
      </c>
      <c r="D3410" s="18" t="s">
        <v>3564</v>
      </c>
      <c r="E3410" s="18" t="s">
        <v>3556</v>
      </c>
      <c r="F3410" s="18"/>
      <c r="G3410" s="18" t="s">
        <v>902</v>
      </c>
      <c r="H3410" s="17">
        <v>429.6</v>
      </c>
      <c r="I3410" s="15">
        <v>399.9</v>
      </c>
      <c r="J3410" s="21">
        <f t="shared" si="159"/>
        <v>-6.9134078212290603E-2</v>
      </c>
      <c r="K3410" s="1">
        <v>1</v>
      </c>
      <c r="L3410" s="24">
        <v>39.9</v>
      </c>
      <c r="M3410" s="24">
        <v>359.90999999999997</v>
      </c>
      <c r="N3410" s="21">
        <f t="shared" si="160"/>
        <v>-0.16222067039106158</v>
      </c>
      <c r="P3410" s="1">
        <v>4</v>
      </c>
      <c r="Q3410" s="24">
        <v>39.990000000000009</v>
      </c>
      <c r="R3410" s="24">
        <v>359.90999999999997</v>
      </c>
      <c r="S3410" s="21">
        <f t="shared" si="161"/>
        <v>-0.16222067039106158</v>
      </c>
    </row>
    <row r="3411" spans="2:19" ht="11.4" customHeight="1" x14ac:dyDescent="0.2">
      <c r="B3411" s="24"/>
      <c r="C3411" s="14">
        <v>44718</v>
      </c>
      <c r="D3411" s="18" t="s">
        <v>3565</v>
      </c>
      <c r="E3411" s="18" t="s">
        <v>3554</v>
      </c>
      <c r="F3411" s="17">
        <v>14</v>
      </c>
      <c r="G3411" s="18" t="s">
        <v>23</v>
      </c>
      <c r="H3411" s="17">
        <v>54.79</v>
      </c>
      <c r="I3411" s="15">
        <v>68.5</v>
      </c>
      <c r="J3411" s="21">
        <f t="shared" si="159"/>
        <v>0.25022814382186531</v>
      </c>
      <c r="K3411" s="1">
        <v>2</v>
      </c>
      <c r="L3411" s="24">
        <v>6.8</v>
      </c>
      <c r="M3411" s="24">
        <v>61.65</v>
      </c>
      <c r="N3411" s="21">
        <f t="shared" si="160"/>
        <v>0.12520532943967877</v>
      </c>
      <c r="P3411" s="1">
        <v>4</v>
      </c>
      <c r="Q3411" s="24">
        <v>8.2199999999999989</v>
      </c>
      <c r="R3411" s="24">
        <v>60.28</v>
      </c>
      <c r="S3411" s="21">
        <f t="shared" si="161"/>
        <v>0.10020076656324151</v>
      </c>
    </row>
    <row r="3412" spans="2:19" ht="11.4" customHeight="1" x14ac:dyDescent="0.2">
      <c r="B3412" s="24"/>
      <c r="C3412" s="14">
        <v>46904</v>
      </c>
      <c r="D3412" s="18" t="s">
        <v>3566</v>
      </c>
      <c r="E3412" s="18" t="s">
        <v>3554</v>
      </c>
      <c r="F3412" s="17">
        <v>14</v>
      </c>
      <c r="G3412" s="18" t="s">
        <v>23</v>
      </c>
      <c r="H3412" s="17">
        <v>34.32</v>
      </c>
      <c r="I3412" s="15">
        <v>42.9</v>
      </c>
      <c r="J3412" s="21">
        <f t="shared" si="159"/>
        <v>0.24999999999999994</v>
      </c>
      <c r="K3412" s="1">
        <v>2</v>
      </c>
      <c r="L3412" s="24">
        <v>4.2</v>
      </c>
      <c r="M3412" s="24">
        <v>38.61</v>
      </c>
      <c r="N3412" s="21">
        <f t="shared" si="160"/>
        <v>0.12499999999999997</v>
      </c>
      <c r="P3412" s="1">
        <v>4</v>
      </c>
      <c r="Q3412" s="24">
        <v>5.1479999999999961</v>
      </c>
      <c r="R3412" s="24">
        <v>37.752000000000002</v>
      </c>
      <c r="S3412" s="21">
        <f t="shared" si="161"/>
        <v>0.10000000000000006</v>
      </c>
    </row>
    <row r="3413" spans="2:19" ht="11.4" customHeight="1" x14ac:dyDescent="0.2">
      <c r="B3413" s="24"/>
      <c r="C3413" s="14">
        <v>45674</v>
      </c>
      <c r="D3413" s="18" t="s">
        <v>3567</v>
      </c>
      <c r="E3413" s="18" t="s">
        <v>3554</v>
      </c>
      <c r="F3413" s="17">
        <v>18</v>
      </c>
      <c r="G3413" s="18" t="s">
        <v>23</v>
      </c>
      <c r="H3413" s="17">
        <v>13.7</v>
      </c>
      <c r="I3413" s="15">
        <v>21.9</v>
      </c>
      <c r="J3413" s="21">
        <f t="shared" si="159"/>
        <v>0.5985401459854014</v>
      </c>
      <c r="K3413" s="1">
        <v>2</v>
      </c>
      <c r="L3413" s="24">
        <v>2.1</v>
      </c>
      <c r="M3413" s="24">
        <v>19.71</v>
      </c>
      <c r="N3413" s="21">
        <f t="shared" si="160"/>
        <v>0.43868613138686147</v>
      </c>
      <c r="P3413" s="1">
        <v>4</v>
      </c>
      <c r="Q3413" s="24">
        <v>2.6280000000000001</v>
      </c>
      <c r="R3413" s="24">
        <v>19.271999999999998</v>
      </c>
      <c r="S3413" s="21">
        <f t="shared" si="161"/>
        <v>0.40671532846715325</v>
      </c>
    </row>
    <row r="3414" spans="2:19" ht="11.4" customHeight="1" x14ac:dyDescent="0.2">
      <c r="B3414" s="24"/>
      <c r="C3414" s="14">
        <v>44715</v>
      </c>
      <c r="D3414" s="18" t="s">
        <v>3568</v>
      </c>
      <c r="E3414" s="18" t="s">
        <v>3554</v>
      </c>
      <c r="F3414" s="17">
        <v>14</v>
      </c>
      <c r="G3414" s="18" t="s">
        <v>23</v>
      </c>
      <c r="H3414" s="17">
        <v>51.88</v>
      </c>
      <c r="I3414" s="15">
        <v>68.5</v>
      </c>
      <c r="J3414" s="21">
        <f t="shared" si="159"/>
        <v>0.32035466461063988</v>
      </c>
      <c r="K3414" s="1">
        <v>2</v>
      </c>
      <c r="L3414" s="24">
        <v>6.8</v>
      </c>
      <c r="M3414" s="24">
        <v>61.65</v>
      </c>
      <c r="N3414" s="21">
        <f t="shared" si="160"/>
        <v>0.18831919814957584</v>
      </c>
      <c r="P3414" s="1">
        <v>4</v>
      </c>
      <c r="Q3414" s="24">
        <v>8.2199999999999989</v>
      </c>
      <c r="R3414" s="24">
        <v>60.28</v>
      </c>
      <c r="S3414" s="21">
        <f t="shared" si="161"/>
        <v>0.1619121048573631</v>
      </c>
    </row>
    <row r="3415" spans="2:19" ht="11.4" customHeight="1" x14ac:dyDescent="0.2">
      <c r="B3415" s="24"/>
      <c r="C3415" s="14">
        <v>42155</v>
      </c>
      <c r="D3415" s="18" t="s">
        <v>3569</v>
      </c>
      <c r="E3415" s="18" t="s">
        <v>3554</v>
      </c>
      <c r="F3415" s="17">
        <v>22</v>
      </c>
      <c r="G3415" s="18" t="s">
        <v>23</v>
      </c>
      <c r="H3415" s="17">
        <v>15.92</v>
      </c>
      <c r="I3415" s="15">
        <v>19.899999999999999</v>
      </c>
      <c r="J3415" s="21">
        <f t="shared" si="159"/>
        <v>0.24999999999999992</v>
      </c>
      <c r="K3415" s="1">
        <v>2</v>
      </c>
      <c r="L3415" s="24">
        <v>1.9</v>
      </c>
      <c r="M3415" s="24">
        <v>17.91</v>
      </c>
      <c r="N3415" s="21">
        <f t="shared" si="160"/>
        <v>0.12500000000000003</v>
      </c>
      <c r="P3415" s="1">
        <v>4</v>
      </c>
      <c r="Q3415" s="24">
        <v>2.3879999999999981</v>
      </c>
      <c r="R3415" s="24">
        <v>17.512</v>
      </c>
      <c r="S3415" s="21">
        <f t="shared" si="161"/>
        <v>0.10000000000000003</v>
      </c>
    </row>
    <row r="3416" spans="2:19" ht="11.4" customHeight="1" x14ac:dyDescent="0.2">
      <c r="B3416" s="24"/>
      <c r="C3416" s="14">
        <v>44717</v>
      </c>
      <c r="D3416" s="18" t="s">
        <v>3570</v>
      </c>
      <c r="E3416" s="18" t="s">
        <v>3554</v>
      </c>
      <c r="F3416" s="17">
        <v>22</v>
      </c>
      <c r="G3416" s="18" t="s">
        <v>23</v>
      </c>
      <c r="H3416" s="17">
        <v>25.75</v>
      </c>
      <c r="I3416" s="15">
        <v>34.5</v>
      </c>
      <c r="J3416" s="21">
        <f t="shared" si="159"/>
        <v>0.33980582524271846</v>
      </c>
      <c r="K3416" s="1">
        <v>2</v>
      </c>
      <c r="L3416" s="24">
        <v>3.4</v>
      </c>
      <c r="M3416" s="24">
        <v>31.05</v>
      </c>
      <c r="N3416" s="21">
        <f t="shared" si="160"/>
        <v>0.20582524271844663</v>
      </c>
      <c r="P3416" s="1">
        <v>4</v>
      </c>
      <c r="Q3416" s="24">
        <v>4.1400000000000006</v>
      </c>
      <c r="R3416" s="24">
        <v>30.36</v>
      </c>
      <c r="S3416" s="21">
        <f t="shared" si="161"/>
        <v>0.17902912621359221</v>
      </c>
    </row>
    <row r="3417" spans="2:19" ht="11.4" customHeight="1" x14ac:dyDescent="0.2">
      <c r="B3417" s="24"/>
      <c r="C3417" s="14">
        <v>34802</v>
      </c>
      <c r="D3417" s="18" t="s">
        <v>3571</v>
      </c>
      <c r="E3417" s="18" t="s">
        <v>3556</v>
      </c>
      <c r="F3417" s="18"/>
      <c r="G3417" s="18" t="s">
        <v>902</v>
      </c>
      <c r="H3417" s="17">
        <v>429.6</v>
      </c>
      <c r="I3417" s="15">
        <v>399.9</v>
      </c>
      <c r="J3417" s="21">
        <f t="shared" si="159"/>
        <v>-6.9134078212290603E-2</v>
      </c>
      <c r="K3417" s="1">
        <v>1</v>
      </c>
      <c r="L3417" s="24">
        <v>39.9</v>
      </c>
      <c r="M3417" s="24">
        <v>359.90999999999997</v>
      </c>
      <c r="N3417" s="21">
        <f t="shared" si="160"/>
        <v>-0.16222067039106158</v>
      </c>
      <c r="P3417" s="1">
        <v>4</v>
      </c>
      <c r="Q3417" s="24">
        <v>39.990000000000009</v>
      </c>
      <c r="R3417" s="24">
        <v>359.90999999999997</v>
      </c>
      <c r="S3417" s="21">
        <f t="shared" si="161"/>
        <v>-0.16222067039106158</v>
      </c>
    </row>
    <row r="3418" spans="2:19" ht="11.4" customHeight="1" x14ac:dyDescent="0.2">
      <c r="B3418" s="24"/>
      <c r="C3418" s="14">
        <v>45686</v>
      </c>
      <c r="D3418" s="18" t="s">
        <v>3572</v>
      </c>
      <c r="E3418" s="18" t="s">
        <v>3554</v>
      </c>
      <c r="F3418" s="17">
        <v>12</v>
      </c>
      <c r="G3418" s="18" t="s">
        <v>23</v>
      </c>
      <c r="H3418" s="17">
        <v>35.42</v>
      </c>
      <c r="I3418" s="15">
        <v>56.9</v>
      </c>
      <c r="J3418" s="21">
        <f t="shared" si="159"/>
        <v>0.60643704121964981</v>
      </c>
      <c r="K3418" s="1">
        <v>2</v>
      </c>
      <c r="L3418" s="24">
        <v>5.6</v>
      </c>
      <c r="M3418" s="24">
        <v>51.21</v>
      </c>
      <c r="N3418" s="21">
        <f t="shared" si="160"/>
        <v>0.44579333709768487</v>
      </c>
      <c r="P3418" s="1">
        <v>4</v>
      </c>
      <c r="Q3418" s="24">
        <v>6.828000000000003</v>
      </c>
      <c r="R3418" s="24">
        <v>50.071999999999996</v>
      </c>
      <c r="S3418" s="21">
        <f t="shared" si="161"/>
        <v>0.41366459627329172</v>
      </c>
    </row>
    <row r="3419" spans="2:19" ht="11.4" customHeight="1" x14ac:dyDescent="0.2">
      <c r="B3419" s="24"/>
      <c r="C3419" s="14">
        <v>34795</v>
      </c>
      <c r="D3419" s="18" t="s">
        <v>3573</v>
      </c>
      <c r="E3419" s="18" t="s">
        <v>3556</v>
      </c>
      <c r="F3419" s="18"/>
      <c r="G3419" s="18" t="s">
        <v>902</v>
      </c>
      <c r="H3419" s="17">
        <v>413.5</v>
      </c>
      <c r="I3419" s="15">
        <v>399.9</v>
      </c>
      <c r="J3419" s="21">
        <f t="shared" si="159"/>
        <v>-3.288996372430477E-2</v>
      </c>
      <c r="K3419" s="1">
        <v>1</v>
      </c>
      <c r="L3419" s="24">
        <v>39.9</v>
      </c>
      <c r="M3419" s="24">
        <v>359.90999999999997</v>
      </c>
      <c r="N3419" s="21">
        <f t="shared" si="160"/>
        <v>-0.12960096735187432</v>
      </c>
      <c r="P3419" s="1">
        <v>4</v>
      </c>
      <c r="Q3419" s="24">
        <v>39.990000000000009</v>
      </c>
      <c r="R3419" s="24">
        <v>359.90999999999997</v>
      </c>
      <c r="S3419" s="21">
        <f t="shared" si="161"/>
        <v>-0.12960096735187432</v>
      </c>
    </row>
    <row r="3420" spans="2:19" ht="11.4" customHeight="1" x14ac:dyDescent="0.2">
      <c r="B3420" s="24"/>
      <c r="C3420" s="14">
        <v>45214</v>
      </c>
      <c r="D3420" s="18" t="s">
        <v>3574</v>
      </c>
      <c r="E3420" s="18" t="s">
        <v>3554</v>
      </c>
      <c r="F3420" s="17">
        <v>22</v>
      </c>
      <c r="G3420" s="18" t="s">
        <v>23</v>
      </c>
      <c r="H3420" s="17">
        <v>15.92</v>
      </c>
      <c r="I3420" s="15">
        <v>19.899999999999999</v>
      </c>
      <c r="J3420" s="21">
        <f t="shared" si="159"/>
        <v>0.24999999999999992</v>
      </c>
      <c r="K3420" s="1">
        <v>2</v>
      </c>
      <c r="L3420" s="24">
        <v>1.9</v>
      </c>
      <c r="M3420" s="24">
        <v>17.91</v>
      </c>
      <c r="N3420" s="21">
        <f t="shared" si="160"/>
        <v>0.12500000000000003</v>
      </c>
      <c r="P3420" s="1">
        <v>4</v>
      </c>
      <c r="Q3420" s="24">
        <v>2.3879999999999981</v>
      </c>
      <c r="R3420" s="24">
        <v>17.512</v>
      </c>
      <c r="S3420" s="21">
        <f t="shared" si="161"/>
        <v>0.10000000000000003</v>
      </c>
    </row>
    <row r="3421" spans="2:19" ht="11.4" customHeight="1" x14ac:dyDescent="0.2">
      <c r="B3421" s="24"/>
      <c r="C3421" s="14">
        <v>45211</v>
      </c>
      <c r="D3421" s="18" t="s">
        <v>3575</v>
      </c>
      <c r="E3421" s="18" t="s">
        <v>3554</v>
      </c>
      <c r="F3421" s="17">
        <v>22</v>
      </c>
      <c r="G3421" s="18" t="s">
        <v>23</v>
      </c>
      <c r="H3421" s="17">
        <v>10.06</v>
      </c>
      <c r="I3421" s="15">
        <v>19.899999999999999</v>
      </c>
      <c r="J3421" s="21">
        <f t="shared" si="159"/>
        <v>0.97813121272365777</v>
      </c>
      <c r="K3421" s="1">
        <v>2</v>
      </c>
      <c r="L3421" s="24">
        <v>1.9</v>
      </c>
      <c r="M3421" s="24">
        <v>17.91</v>
      </c>
      <c r="N3421" s="21">
        <f t="shared" si="160"/>
        <v>0.78031809145129216</v>
      </c>
      <c r="P3421" s="1">
        <v>4</v>
      </c>
      <c r="Q3421" s="24">
        <v>2.3879999999999981</v>
      </c>
      <c r="R3421" s="24">
        <v>17.512</v>
      </c>
      <c r="S3421" s="21">
        <f t="shared" si="161"/>
        <v>0.74075546719681906</v>
      </c>
    </row>
    <row r="3422" spans="2:19" ht="11.4" customHeight="1" x14ac:dyDescent="0.2">
      <c r="B3422" s="24"/>
      <c r="C3422" s="14">
        <v>45217</v>
      </c>
      <c r="D3422" s="18" t="s">
        <v>3576</v>
      </c>
      <c r="E3422" s="18" t="s">
        <v>3554</v>
      </c>
      <c r="F3422" s="17">
        <v>22</v>
      </c>
      <c r="G3422" s="18" t="s">
        <v>23</v>
      </c>
      <c r="H3422" s="17">
        <v>15.92</v>
      </c>
      <c r="I3422" s="15">
        <v>19.899999999999999</v>
      </c>
      <c r="J3422" s="21">
        <f t="shared" si="159"/>
        <v>0.24999999999999992</v>
      </c>
      <c r="K3422" s="1">
        <v>2</v>
      </c>
      <c r="L3422" s="24">
        <v>1.9</v>
      </c>
      <c r="M3422" s="24">
        <v>17.91</v>
      </c>
      <c r="N3422" s="21">
        <f t="shared" si="160"/>
        <v>0.12500000000000003</v>
      </c>
      <c r="P3422" s="1">
        <v>4</v>
      </c>
      <c r="Q3422" s="24">
        <v>2.3879999999999981</v>
      </c>
      <c r="R3422" s="24">
        <v>17.512</v>
      </c>
      <c r="S3422" s="21">
        <f t="shared" si="161"/>
        <v>0.10000000000000003</v>
      </c>
    </row>
    <row r="3423" spans="2:19" ht="11.4" customHeight="1" x14ac:dyDescent="0.2">
      <c r="B3423" s="24"/>
      <c r="C3423" s="14">
        <v>46902</v>
      </c>
      <c r="D3423" s="18" t="s">
        <v>3577</v>
      </c>
      <c r="E3423" s="18" t="s">
        <v>3554</v>
      </c>
      <c r="F3423" s="17">
        <v>14</v>
      </c>
      <c r="G3423" s="18" t="s">
        <v>23</v>
      </c>
      <c r="H3423" s="17">
        <v>34.32</v>
      </c>
      <c r="I3423" s="15">
        <v>42.9</v>
      </c>
      <c r="J3423" s="21">
        <f t="shared" si="159"/>
        <v>0.24999999999999994</v>
      </c>
      <c r="K3423" s="1">
        <v>2</v>
      </c>
      <c r="L3423" s="24">
        <v>4.2</v>
      </c>
      <c r="M3423" s="24">
        <v>38.61</v>
      </c>
      <c r="N3423" s="21">
        <f t="shared" si="160"/>
        <v>0.12499999999999997</v>
      </c>
      <c r="P3423" s="1">
        <v>4</v>
      </c>
      <c r="Q3423" s="24">
        <v>5.1479999999999961</v>
      </c>
      <c r="R3423" s="24">
        <v>37.752000000000002</v>
      </c>
      <c r="S3423" s="21">
        <f t="shared" si="161"/>
        <v>0.10000000000000006</v>
      </c>
    </row>
    <row r="3424" spans="2:19" ht="11.4" customHeight="1" x14ac:dyDescent="0.2">
      <c r="B3424" s="24"/>
      <c r="C3424" s="14">
        <v>45215</v>
      </c>
      <c r="D3424" s="18" t="s">
        <v>3578</v>
      </c>
      <c r="E3424" s="18" t="s">
        <v>3554</v>
      </c>
      <c r="F3424" s="17">
        <v>22</v>
      </c>
      <c r="G3424" s="18" t="s">
        <v>23</v>
      </c>
      <c r="H3424" s="17">
        <v>15.92</v>
      </c>
      <c r="I3424" s="15">
        <v>19.899999999999999</v>
      </c>
      <c r="J3424" s="21">
        <f t="shared" si="159"/>
        <v>0.24999999999999992</v>
      </c>
      <c r="K3424" s="1">
        <v>2</v>
      </c>
      <c r="L3424" s="24">
        <v>1.9</v>
      </c>
      <c r="M3424" s="24">
        <v>17.91</v>
      </c>
      <c r="N3424" s="21">
        <f t="shared" si="160"/>
        <v>0.12500000000000003</v>
      </c>
      <c r="P3424" s="1">
        <v>4</v>
      </c>
      <c r="Q3424" s="24">
        <v>2.3879999999999981</v>
      </c>
      <c r="R3424" s="24">
        <v>17.512</v>
      </c>
      <c r="S3424" s="21">
        <f t="shared" si="161"/>
        <v>0.10000000000000003</v>
      </c>
    </row>
    <row r="3425" spans="2:19" ht="11.4" customHeight="1" x14ac:dyDescent="0.2">
      <c r="B3425" s="24"/>
      <c r="C3425" s="14">
        <v>45212</v>
      </c>
      <c r="D3425" s="18" t="s">
        <v>3579</v>
      </c>
      <c r="E3425" s="18" t="s">
        <v>3554</v>
      </c>
      <c r="F3425" s="17">
        <v>22</v>
      </c>
      <c r="G3425" s="18" t="s">
        <v>23</v>
      </c>
      <c r="H3425" s="17">
        <v>15.92</v>
      </c>
      <c r="I3425" s="15">
        <v>19.899999999999999</v>
      </c>
      <c r="J3425" s="21">
        <f t="shared" si="159"/>
        <v>0.24999999999999992</v>
      </c>
      <c r="K3425" s="1">
        <v>2</v>
      </c>
      <c r="L3425" s="24">
        <v>1.9</v>
      </c>
      <c r="M3425" s="24">
        <v>17.91</v>
      </c>
      <c r="N3425" s="21">
        <f t="shared" si="160"/>
        <v>0.12500000000000003</v>
      </c>
      <c r="P3425" s="1">
        <v>4</v>
      </c>
      <c r="Q3425" s="24">
        <v>2.3879999999999981</v>
      </c>
      <c r="R3425" s="24">
        <v>17.512</v>
      </c>
      <c r="S3425" s="21">
        <f t="shared" si="161"/>
        <v>0.10000000000000003</v>
      </c>
    </row>
    <row r="3426" spans="2:19" ht="11.4" customHeight="1" x14ac:dyDescent="0.2">
      <c r="B3426" s="24"/>
      <c r="C3426" s="14">
        <v>45218</v>
      </c>
      <c r="D3426" s="18" t="s">
        <v>3580</v>
      </c>
      <c r="E3426" s="18" t="s">
        <v>3554</v>
      </c>
      <c r="F3426" s="17">
        <v>22</v>
      </c>
      <c r="G3426" s="18" t="s">
        <v>23</v>
      </c>
      <c r="H3426" s="17">
        <v>15.93</v>
      </c>
      <c r="I3426" s="15">
        <v>19.899999999999999</v>
      </c>
      <c r="J3426" s="21">
        <f t="shared" si="159"/>
        <v>0.24921531701192712</v>
      </c>
      <c r="K3426" s="1">
        <v>2</v>
      </c>
      <c r="L3426" s="24">
        <v>1.9</v>
      </c>
      <c r="M3426" s="24">
        <v>17.91</v>
      </c>
      <c r="N3426" s="21">
        <f t="shared" si="160"/>
        <v>0.1242937853107345</v>
      </c>
      <c r="P3426" s="1">
        <v>4</v>
      </c>
      <c r="Q3426" s="24">
        <v>2.3879999999999981</v>
      </c>
      <c r="R3426" s="24">
        <v>17.512</v>
      </c>
      <c r="S3426" s="21">
        <f t="shared" si="161"/>
        <v>9.9309478970495968E-2</v>
      </c>
    </row>
    <row r="3427" spans="2:19" ht="11.4" customHeight="1" x14ac:dyDescent="0.2">
      <c r="B3427" s="24"/>
      <c r="C3427" s="14">
        <v>45213</v>
      </c>
      <c r="D3427" s="18" t="s">
        <v>3581</v>
      </c>
      <c r="E3427" s="18" t="s">
        <v>3554</v>
      </c>
      <c r="F3427" s="17">
        <v>22</v>
      </c>
      <c r="G3427" s="18" t="s">
        <v>23</v>
      </c>
      <c r="H3427" s="17">
        <v>15.93</v>
      </c>
      <c r="I3427" s="15">
        <v>19.899999999999999</v>
      </c>
      <c r="J3427" s="21">
        <f t="shared" si="159"/>
        <v>0.24921531701192712</v>
      </c>
      <c r="K3427" s="1">
        <v>2</v>
      </c>
      <c r="L3427" s="24">
        <v>1.9</v>
      </c>
      <c r="M3427" s="24">
        <v>17.91</v>
      </c>
      <c r="N3427" s="21">
        <f t="shared" si="160"/>
        <v>0.1242937853107345</v>
      </c>
      <c r="P3427" s="1">
        <v>4</v>
      </c>
      <c r="Q3427" s="24">
        <v>2.3879999999999981</v>
      </c>
      <c r="R3427" s="24">
        <v>17.512</v>
      </c>
      <c r="S3427" s="21">
        <f t="shared" si="161"/>
        <v>9.9309478970495968E-2</v>
      </c>
    </row>
    <row r="3428" spans="2:19" ht="11.4" customHeight="1" x14ac:dyDescent="0.2">
      <c r="B3428" s="24"/>
      <c r="C3428" s="14">
        <v>45216</v>
      </c>
      <c r="D3428" s="18" t="s">
        <v>3582</v>
      </c>
      <c r="E3428" s="18" t="s">
        <v>3554</v>
      </c>
      <c r="F3428" s="17">
        <v>22</v>
      </c>
      <c r="G3428" s="18" t="s">
        <v>23</v>
      </c>
      <c r="H3428" s="17">
        <v>15.92</v>
      </c>
      <c r="I3428" s="15">
        <v>19.899999999999999</v>
      </c>
      <c r="J3428" s="21">
        <f t="shared" si="159"/>
        <v>0.24999999999999992</v>
      </c>
      <c r="K3428" s="1">
        <v>2</v>
      </c>
      <c r="L3428" s="24">
        <v>1.9</v>
      </c>
      <c r="M3428" s="24">
        <v>17.91</v>
      </c>
      <c r="N3428" s="21">
        <f t="shared" si="160"/>
        <v>0.12500000000000003</v>
      </c>
      <c r="P3428" s="1">
        <v>4</v>
      </c>
      <c r="Q3428" s="24">
        <v>2.3879999999999981</v>
      </c>
      <c r="R3428" s="24">
        <v>17.512</v>
      </c>
      <c r="S3428" s="21">
        <f t="shared" si="161"/>
        <v>0.10000000000000003</v>
      </c>
    </row>
    <row r="3429" spans="2:19" ht="11.4" customHeight="1" x14ac:dyDescent="0.2">
      <c r="B3429" s="24"/>
      <c r="C3429" s="14">
        <v>40177</v>
      </c>
      <c r="D3429" s="18" t="s">
        <v>3583</v>
      </c>
      <c r="E3429" s="18" t="s">
        <v>3554</v>
      </c>
      <c r="F3429" s="17">
        <v>22</v>
      </c>
      <c r="G3429" s="18" t="s">
        <v>23</v>
      </c>
      <c r="H3429" s="17">
        <v>15.92</v>
      </c>
      <c r="I3429" s="15">
        <v>19.899999999999999</v>
      </c>
      <c r="J3429" s="21">
        <f t="shared" si="159"/>
        <v>0.24999999999999992</v>
      </c>
      <c r="K3429" s="1">
        <v>2</v>
      </c>
      <c r="L3429" s="24">
        <v>1.9</v>
      </c>
      <c r="M3429" s="24">
        <v>17.91</v>
      </c>
      <c r="N3429" s="21">
        <f t="shared" si="160"/>
        <v>0.12500000000000003</v>
      </c>
      <c r="P3429" s="1">
        <v>4</v>
      </c>
      <c r="Q3429" s="24">
        <v>2.3879999999999981</v>
      </c>
      <c r="R3429" s="24">
        <v>17.512</v>
      </c>
      <c r="S3429" s="21">
        <f t="shared" si="161"/>
        <v>0.10000000000000003</v>
      </c>
    </row>
    <row r="3430" spans="2:19" ht="11.4" customHeight="1" x14ac:dyDescent="0.2">
      <c r="B3430" s="24"/>
      <c r="C3430" s="14">
        <v>7396</v>
      </c>
      <c r="D3430" s="18" t="s">
        <v>3584</v>
      </c>
      <c r="E3430" s="18" t="s">
        <v>3554</v>
      </c>
      <c r="F3430" s="17">
        <v>18</v>
      </c>
      <c r="G3430" s="18" t="s">
        <v>23</v>
      </c>
      <c r="H3430" s="17">
        <v>36.1</v>
      </c>
      <c r="I3430" s="15">
        <v>41.9</v>
      </c>
      <c r="J3430" s="21">
        <f t="shared" si="159"/>
        <v>0.16066481994459825</v>
      </c>
      <c r="K3430" s="1">
        <v>2</v>
      </c>
      <c r="L3430" s="24">
        <v>4.0999999999999996</v>
      </c>
      <c r="M3430" s="24">
        <v>37.71</v>
      </c>
      <c r="N3430" s="21">
        <f t="shared" si="160"/>
        <v>4.4598337950138484E-2</v>
      </c>
      <c r="P3430" s="1">
        <v>4</v>
      </c>
      <c r="Q3430" s="24">
        <v>5.0279999999999987</v>
      </c>
      <c r="R3430" s="24">
        <v>36.872</v>
      </c>
      <c r="S3430" s="21">
        <f t="shared" si="161"/>
        <v>2.1385041551246493E-2</v>
      </c>
    </row>
    <row r="3431" spans="2:19" ht="11.4" customHeight="1" x14ac:dyDescent="0.2">
      <c r="B3431" s="24"/>
      <c r="C3431" s="14">
        <v>34063</v>
      </c>
      <c r="D3431" s="18" t="s">
        <v>3585</v>
      </c>
      <c r="E3431" s="18" t="s">
        <v>3556</v>
      </c>
      <c r="F3431" s="18"/>
      <c r="G3431" s="18" t="s">
        <v>902</v>
      </c>
      <c r="H3431" s="17">
        <v>399.9</v>
      </c>
      <c r="I3431" s="15">
        <v>419.9</v>
      </c>
      <c r="J3431" s="21">
        <f t="shared" si="159"/>
        <v>5.0012503125781448E-2</v>
      </c>
      <c r="K3431" s="1">
        <v>1</v>
      </c>
      <c r="L3431" s="24">
        <v>41.9</v>
      </c>
      <c r="M3431" s="24">
        <v>377.90999999999997</v>
      </c>
      <c r="N3431" s="21">
        <f t="shared" si="160"/>
        <v>-5.4988747186796728E-2</v>
      </c>
      <c r="P3431" s="1">
        <v>4</v>
      </c>
      <c r="Q3431" s="24">
        <v>41.990000000000009</v>
      </c>
      <c r="R3431" s="24">
        <v>377.90999999999997</v>
      </c>
      <c r="S3431" s="21">
        <f t="shared" si="161"/>
        <v>-5.4988747186796728E-2</v>
      </c>
    </row>
    <row r="3432" spans="2:19" ht="11.4" customHeight="1" x14ac:dyDescent="0.2">
      <c r="B3432" s="24"/>
      <c r="C3432" s="14">
        <v>34748</v>
      </c>
      <c r="D3432" s="18" t="s">
        <v>3586</v>
      </c>
      <c r="E3432" s="18" t="s">
        <v>3556</v>
      </c>
      <c r="F3432" s="18"/>
      <c r="G3432" s="18" t="s">
        <v>902</v>
      </c>
      <c r="H3432" s="17">
        <v>337.4</v>
      </c>
      <c r="I3432" s="15">
        <v>459.9</v>
      </c>
      <c r="J3432" s="21">
        <f t="shared" si="159"/>
        <v>0.36307053941908718</v>
      </c>
      <c r="K3432" s="1">
        <v>1</v>
      </c>
      <c r="L3432" s="24">
        <v>45.9</v>
      </c>
      <c r="M3432" s="24">
        <v>413.90999999999997</v>
      </c>
      <c r="N3432" s="21">
        <f t="shared" si="160"/>
        <v>0.22676348547717842</v>
      </c>
      <c r="P3432" s="1">
        <v>4</v>
      </c>
      <c r="Q3432" s="24">
        <v>45.990000000000009</v>
      </c>
      <c r="R3432" s="24">
        <v>413.90999999999997</v>
      </c>
      <c r="S3432" s="21">
        <f t="shared" si="161"/>
        <v>0.22676348547717842</v>
      </c>
    </row>
    <row r="3433" spans="2:19" ht="11.4" customHeight="1" x14ac:dyDescent="0.2">
      <c r="B3433" s="24"/>
      <c r="C3433" s="14">
        <v>34279</v>
      </c>
      <c r="D3433" s="18" t="s">
        <v>3587</v>
      </c>
      <c r="E3433" s="18" t="s">
        <v>3535</v>
      </c>
      <c r="F3433" s="18"/>
      <c r="G3433" s="18" t="s">
        <v>902</v>
      </c>
      <c r="H3433" s="17">
        <v>399.9</v>
      </c>
      <c r="I3433" s="15">
        <v>419.9</v>
      </c>
      <c r="J3433" s="21">
        <f t="shared" si="159"/>
        <v>5.0012503125781448E-2</v>
      </c>
      <c r="K3433" s="1">
        <v>1</v>
      </c>
      <c r="L3433" s="24">
        <v>41.9</v>
      </c>
      <c r="M3433" s="24">
        <v>377.90999999999997</v>
      </c>
      <c r="N3433" s="21">
        <f t="shared" si="160"/>
        <v>-5.4988747186796728E-2</v>
      </c>
      <c r="P3433" s="1">
        <v>4</v>
      </c>
      <c r="Q3433" s="24">
        <v>41.990000000000009</v>
      </c>
      <c r="R3433" s="24">
        <v>377.90999999999997</v>
      </c>
      <c r="S3433" s="21">
        <f t="shared" si="161"/>
        <v>-5.4988747186796728E-2</v>
      </c>
    </row>
    <row r="3434" spans="2:19" ht="11.4" customHeight="1" x14ac:dyDescent="0.2">
      <c r="B3434" s="24"/>
      <c r="C3434" s="14">
        <v>33998</v>
      </c>
      <c r="D3434" s="18" t="s">
        <v>3588</v>
      </c>
      <c r="E3434" s="18" t="s">
        <v>3556</v>
      </c>
      <c r="F3434" s="18"/>
      <c r="G3434" s="18" t="s">
        <v>902</v>
      </c>
      <c r="H3434" s="17">
        <v>399.9</v>
      </c>
      <c r="I3434" s="15">
        <v>419.9</v>
      </c>
      <c r="J3434" s="21">
        <f t="shared" si="159"/>
        <v>5.0012503125781448E-2</v>
      </c>
      <c r="K3434" s="1">
        <v>1</v>
      </c>
      <c r="L3434" s="24">
        <v>41.9</v>
      </c>
      <c r="M3434" s="24">
        <v>377.90999999999997</v>
      </c>
      <c r="N3434" s="21">
        <f t="shared" si="160"/>
        <v>-5.4988747186796728E-2</v>
      </c>
      <c r="P3434" s="1">
        <v>4</v>
      </c>
      <c r="Q3434" s="24">
        <v>41.990000000000009</v>
      </c>
      <c r="R3434" s="24">
        <v>377.90999999999997</v>
      </c>
      <c r="S3434" s="21">
        <f t="shared" si="161"/>
        <v>-5.4988747186796728E-2</v>
      </c>
    </row>
    <row r="3435" spans="2:19" ht="11.4" customHeight="1" x14ac:dyDescent="0.2">
      <c r="B3435" s="24"/>
      <c r="C3435" s="14">
        <v>39080</v>
      </c>
      <c r="D3435" s="18" t="s">
        <v>3589</v>
      </c>
      <c r="E3435" s="18" t="s">
        <v>3556</v>
      </c>
      <c r="F3435" s="18"/>
      <c r="G3435" s="18" t="s">
        <v>902</v>
      </c>
      <c r="H3435" s="17">
        <v>320.5</v>
      </c>
      <c r="I3435" s="15">
        <v>419.9</v>
      </c>
      <c r="J3435" s="21">
        <f t="shared" si="159"/>
        <v>0.31014040561622458</v>
      </c>
      <c r="K3435" s="1">
        <v>1</v>
      </c>
      <c r="L3435" s="24">
        <v>41.9</v>
      </c>
      <c r="M3435" s="24">
        <v>377.90999999999997</v>
      </c>
      <c r="N3435" s="21">
        <f t="shared" si="160"/>
        <v>0.17912636505460208</v>
      </c>
      <c r="P3435" s="1">
        <v>4</v>
      </c>
      <c r="Q3435" s="24">
        <v>41.990000000000009</v>
      </c>
      <c r="R3435" s="24">
        <v>377.90999999999997</v>
      </c>
      <c r="S3435" s="21">
        <f t="shared" si="161"/>
        <v>0.17912636505460208</v>
      </c>
    </row>
    <row r="3436" spans="2:19" ht="11.4" customHeight="1" x14ac:dyDescent="0.2">
      <c r="B3436" s="24"/>
      <c r="C3436" s="14">
        <v>33996</v>
      </c>
      <c r="D3436" s="18" t="s">
        <v>3590</v>
      </c>
      <c r="E3436" s="18" t="s">
        <v>3556</v>
      </c>
      <c r="F3436" s="18"/>
      <c r="G3436" s="18" t="s">
        <v>902</v>
      </c>
      <c r="H3436" s="17">
        <v>399.9</v>
      </c>
      <c r="I3436" s="15">
        <v>419.9</v>
      </c>
      <c r="J3436" s="21">
        <f t="shared" si="159"/>
        <v>5.0012503125781448E-2</v>
      </c>
      <c r="K3436" s="1">
        <v>1</v>
      </c>
      <c r="L3436" s="24">
        <v>41.9</v>
      </c>
      <c r="M3436" s="24">
        <v>377.90999999999997</v>
      </c>
      <c r="N3436" s="21">
        <f t="shared" si="160"/>
        <v>-5.4988747186796728E-2</v>
      </c>
      <c r="P3436" s="1">
        <v>4</v>
      </c>
      <c r="Q3436" s="24">
        <v>41.990000000000009</v>
      </c>
      <c r="R3436" s="24">
        <v>377.90999999999997</v>
      </c>
      <c r="S3436" s="21">
        <f t="shared" si="161"/>
        <v>-5.4988747186796728E-2</v>
      </c>
    </row>
    <row r="3437" spans="2:19" ht="11.4" customHeight="1" x14ac:dyDescent="0.2">
      <c r="B3437" s="24"/>
      <c r="C3437" s="14">
        <v>34747</v>
      </c>
      <c r="D3437" s="18" t="s">
        <v>3591</v>
      </c>
      <c r="E3437" s="18" t="s">
        <v>3556</v>
      </c>
      <c r="F3437" s="18"/>
      <c r="G3437" s="18" t="s">
        <v>902</v>
      </c>
      <c r="H3437" s="17">
        <v>362.3</v>
      </c>
      <c r="I3437" s="15">
        <v>399.9</v>
      </c>
      <c r="J3437" s="21">
        <f t="shared" si="159"/>
        <v>0.1037813966326248</v>
      </c>
      <c r="K3437" s="1">
        <v>1</v>
      </c>
      <c r="L3437" s="24">
        <v>39.9</v>
      </c>
      <c r="M3437" s="24">
        <v>359.90999999999997</v>
      </c>
      <c r="N3437" s="21">
        <f t="shared" si="160"/>
        <v>-6.5967430306377124E-3</v>
      </c>
      <c r="P3437" s="1">
        <v>4</v>
      </c>
      <c r="Q3437" s="24">
        <v>39.990000000000009</v>
      </c>
      <c r="R3437" s="24">
        <v>359.90999999999997</v>
      </c>
      <c r="S3437" s="21">
        <f t="shared" si="161"/>
        <v>-6.5967430306377124E-3</v>
      </c>
    </row>
    <row r="3438" spans="2:19" ht="11.4" customHeight="1" x14ac:dyDescent="0.2">
      <c r="B3438" s="24"/>
      <c r="C3438" s="14">
        <v>33997</v>
      </c>
      <c r="D3438" s="18" t="s">
        <v>3592</v>
      </c>
      <c r="E3438" s="18" t="s">
        <v>3556</v>
      </c>
      <c r="F3438" s="18"/>
      <c r="G3438" s="18" t="s">
        <v>902</v>
      </c>
      <c r="H3438" s="17">
        <v>399.9</v>
      </c>
      <c r="I3438" s="15">
        <v>419.9</v>
      </c>
      <c r="J3438" s="21">
        <f t="shared" si="159"/>
        <v>5.0012503125781448E-2</v>
      </c>
      <c r="K3438" s="1">
        <v>1</v>
      </c>
      <c r="L3438" s="24">
        <v>41.9</v>
      </c>
      <c r="M3438" s="24">
        <v>377.90999999999997</v>
      </c>
      <c r="N3438" s="21">
        <f t="shared" si="160"/>
        <v>-5.4988747186796728E-2</v>
      </c>
      <c r="P3438" s="1">
        <v>4</v>
      </c>
      <c r="Q3438" s="24">
        <v>41.990000000000009</v>
      </c>
      <c r="R3438" s="24">
        <v>377.90999999999997</v>
      </c>
      <c r="S3438" s="21">
        <f t="shared" si="161"/>
        <v>-5.4988747186796728E-2</v>
      </c>
    </row>
    <row r="3439" spans="2:19" ht="11.4" customHeight="1" x14ac:dyDescent="0.2">
      <c r="B3439" s="24"/>
      <c r="C3439" s="14">
        <v>40176</v>
      </c>
      <c r="D3439" s="18" t="s">
        <v>3593</v>
      </c>
      <c r="E3439" s="18" t="s">
        <v>3554</v>
      </c>
      <c r="F3439" s="17">
        <v>22</v>
      </c>
      <c r="G3439" s="18" t="s">
        <v>23</v>
      </c>
      <c r="H3439" s="17">
        <v>15.6</v>
      </c>
      <c r="I3439" s="15">
        <v>19.5</v>
      </c>
      <c r="J3439" s="21">
        <f t="shared" si="159"/>
        <v>0.25000000000000006</v>
      </c>
      <c r="K3439" s="1">
        <v>2</v>
      </c>
      <c r="L3439" s="24">
        <v>1.9</v>
      </c>
      <c r="M3439" s="24">
        <v>17.55</v>
      </c>
      <c r="N3439" s="21">
        <f t="shared" si="160"/>
        <v>0.12500000000000008</v>
      </c>
      <c r="P3439" s="1">
        <v>4</v>
      </c>
      <c r="Q3439" s="24">
        <v>2.34</v>
      </c>
      <c r="R3439" s="24">
        <v>17.16</v>
      </c>
      <c r="S3439" s="21">
        <f t="shared" si="161"/>
        <v>0.10000000000000003</v>
      </c>
    </row>
    <row r="3440" spans="2:19" ht="11.4" customHeight="1" x14ac:dyDescent="0.2">
      <c r="B3440" s="24"/>
      <c r="C3440" s="14">
        <v>37794</v>
      </c>
      <c r="D3440" s="18" t="s">
        <v>3594</v>
      </c>
      <c r="E3440" s="18" t="s">
        <v>3554</v>
      </c>
      <c r="F3440" s="17">
        <v>22</v>
      </c>
      <c r="G3440" s="18" t="s">
        <v>23</v>
      </c>
      <c r="H3440" s="17">
        <v>20.399999999999999</v>
      </c>
      <c r="I3440" s="15">
        <v>19.899999999999999</v>
      </c>
      <c r="J3440" s="21">
        <f t="shared" si="159"/>
        <v>-2.4509803921568631E-2</v>
      </c>
      <c r="K3440" s="1">
        <v>2</v>
      </c>
      <c r="L3440" s="24">
        <v>1.9</v>
      </c>
      <c r="M3440" s="24">
        <v>17.91</v>
      </c>
      <c r="N3440" s="21">
        <f t="shared" si="160"/>
        <v>-0.12205882352941169</v>
      </c>
      <c r="P3440" s="1">
        <v>4</v>
      </c>
      <c r="Q3440" s="24">
        <v>2.3879999999999981</v>
      </c>
      <c r="R3440" s="24">
        <v>17.512</v>
      </c>
      <c r="S3440" s="21">
        <f t="shared" si="161"/>
        <v>-0.14156862745098031</v>
      </c>
    </row>
    <row r="3441" spans="2:19" ht="11.4" customHeight="1" x14ac:dyDescent="0.2">
      <c r="B3441" s="24"/>
      <c r="C3441" s="14">
        <v>36261</v>
      </c>
      <c r="D3441" s="18" t="s">
        <v>3595</v>
      </c>
      <c r="E3441" s="18" t="s">
        <v>3556</v>
      </c>
      <c r="F3441" s="18"/>
      <c r="G3441" s="18" t="s">
        <v>902</v>
      </c>
      <c r="H3441" s="17">
        <v>413.3</v>
      </c>
      <c r="I3441" s="15">
        <v>399.9</v>
      </c>
      <c r="J3441" s="21">
        <f t="shared" si="159"/>
        <v>-3.2421969513670539E-2</v>
      </c>
      <c r="K3441" s="1">
        <v>1</v>
      </c>
      <c r="L3441" s="24">
        <v>39.9</v>
      </c>
      <c r="M3441" s="24">
        <v>359.90999999999997</v>
      </c>
      <c r="N3441" s="21">
        <f t="shared" si="160"/>
        <v>-0.12917977256230351</v>
      </c>
      <c r="P3441" s="1">
        <v>4</v>
      </c>
      <c r="Q3441" s="24">
        <v>39.990000000000009</v>
      </c>
      <c r="R3441" s="24">
        <v>359.90999999999997</v>
      </c>
      <c r="S3441" s="21">
        <f t="shared" si="161"/>
        <v>-0.12917977256230351</v>
      </c>
    </row>
    <row r="3442" spans="2:19" ht="11.4" customHeight="1" x14ac:dyDescent="0.2">
      <c r="B3442" s="24"/>
      <c r="C3442" s="14">
        <v>7397</v>
      </c>
      <c r="D3442" s="18" t="s">
        <v>3596</v>
      </c>
      <c r="E3442" s="18" t="s">
        <v>3554</v>
      </c>
      <c r="F3442" s="17">
        <v>18</v>
      </c>
      <c r="G3442" s="18" t="s">
        <v>23</v>
      </c>
      <c r="H3442" s="17">
        <v>36.1</v>
      </c>
      <c r="I3442" s="15">
        <v>41.9</v>
      </c>
      <c r="J3442" s="21">
        <f t="shared" si="159"/>
        <v>0.16066481994459825</v>
      </c>
      <c r="K3442" s="1">
        <v>2</v>
      </c>
      <c r="L3442" s="24">
        <v>4.0999999999999996</v>
      </c>
      <c r="M3442" s="24">
        <v>37.71</v>
      </c>
      <c r="N3442" s="21">
        <f t="shared" si="160"/>
        <v>4.4598337950138484E-2</v>
      </c>
      <c r="P3442" s="1">
        <v>4</v>
      </c>
      <c r="Q3442" s="24">
        <v>5.0279999999999987</v>
      </c>
      <c r="R3442" s="24">
        <v>36.872</v>
      </c>
      <c r="S3442" s="21">
        <f t="shared" si="161"/>
        <v>2.1385041551246493E-2</v>
      </c>
    </row>
    <row r="3443" spans="2:19" ht="11.4" customHeight="1" x14ac:dyDescent="0.2">
      <c r="B3443" s="24"/>
      <c r="C3443" s="14">
        <v>39163</v>
      </c>
      <c r="D3443" s="18" t="s">
        <v>3597</v>
      </c>
      <c r="E3443" s="18" t="s">
        <v>3598</v>
      </c>
      <c r="F3443" s="17">
        <v>22</v>
      </c>
      <c r="G3443" s="18" t="s">
        <v>23</v>
      </c>
      <c r="H3443" s="17">
        <v>33.9</v>
      </c>
      <c r="I3443" s="15">
        <v>35.5</v>
      </c>
      <c r="J3443" s="21">
        <f t="shared" si="159"/>
        <v>4.7197640117994141E-2</v>
      </c>
      <c r="K3443" s="1">
        <v>2</v>
      </c>
      <c r="L3443" s="24">
        <v>3.5</v>
      </c>
      <c r="M3443" s="24">
        <v>31.95</v>
      </c>
      <c r="N3443" s="21">
        <f t="shared" si="160"/>
        <v>-5.7522123893805288E-2</v>
      </c>
      <c r="P3443" s="1">
        <v>4</v>
      </c>
      <c r="Q3443" s="24">
        <v>4.2600000000000016</v>
      </c>
      <c r="R3443" s="24">
        <v>31.24</v>
      </c>
      <c r="S3443" s="21">
        <f t="shared" si="161"/>
        <v>-7.8466076696165205E-2</v>
      </c>
    </row>
    <row r="3444" spans="2:19" ht="11.4" customHeight="1" x14ac:dyDescent="0.2">
      <c r="B3444" s="24"/>
      <c r="C3444" s="14">
        <v>39165</v>
      </c>
      <c r="D3444" s="18" t="s">
        <v>3599</v>
      </c>
      <c r="E3444" s="18" t="s">
        <v>3598</v>
      </c>
      <c r="F3444" s="17">
        <v>6</v>
      </c>
      <c r="G3444" s="18" t="s">
        <v>23</v>
      </c>
      <c r="H3444" s="17">
        <v>71.2</v>
      </c>
      <c r="I3444" s="15">
        <v>72.5</v>
      </c>
      <c r="J3444" s="21">
        <f t="shared" si="159"/>
        <v>1.8258426966292093E-2</v>
      </c>
      <c r="K3444" s="1">
        <v>2</v>
      </c>
      <c r="L3444" s="24">
        <v>7.2</v>
      </c>
      <c r="M3444" s="24">
        <v>65.25</v>
      </c>
      <c r="N3444" s="21">
        <f t="shared" si="160"/>
        <v>-8.3567415730337116E-2</v>
      </c>
      <c r="P3444" s="1">
        <v>4</v>
      </c>
      <c r="Q3444" s="24">
        <v>8.7000000000000028</v>
      </c>
      <c r="R3444" s="24">
        <v>63.8</v>
      </c>
      <c r="S3444" s="21">
        <f t="shared" si="161"/>
        <v>-0.10393258426966299</v>
      </c>
    </row>
    <row r="3445" spans="2:19" ht="11.4" customHeight="1" x14ac:dyDescent="0.2">
      <c r="B3445" s="24"/>
      <c r="C3445" s="14">
        <v>15269</v>
      </c>
      <c r="D3445" s="18" t="s">
        <v>3600</v>
      </c>
      <c r="E3445" s="18" t="s">
        <v>3598</v>
      </c>
      <c r="F3445" s="17">
        <v>30</v>
      </c>
      <c r="G3445" s="18" t="s">
        <v>23</v>
      </c>
      <c r="H3445" s="17">
        <v>16.600000000000001</v>
      </c>
      <c r="I3445" s="15">
        <v>18.600000000000001</v>
      </c>
      <c r="J3445" s="21">
        <f t="shared" si="159"/>
        <v>0.12048192771084336</v>
      </c>
      <c r="K3445" s="1">
        <v>2</v>
      </c>
      <c r="L3445" s="24">
        <v>1.8</v>
      </c>
      <c r="M3445" s="24">
        <v>16.740000000000002</v>
      </c>
      <c r="N3445" s="21">
        <f t="shared" si="160"/>
        <v>8.4337349397590692E-3</v>
      </c>
      <c r="P3445" s="1">
        <v>4</v>
      </c>
      <c r="Q3445" s="24">
        <v>2.2319999999999993</v>
      </c>
      <c r="R3445" s="24">
        <v>16.368000000000002</v>
      </c>
      <c r="S3445" s="21">
        <f t="shared" si="161"/>
        <v>-1.397590361445779E-2</v>
      </c>
    </row>
    <row r="3446" spans="2:19" ht="11.4" customHeight="1" x14ac:dyDescent="0.2">
      <c r="B3446" s="24"/>
      <c r="C3446" s="14">
        <v>17894</v>
      </c>
      <c r="D3446" s="18" t="s">
        <v>3601</v>
      </c>
      <c r="E3446" s="18" t="s">
        <v>3598</v>
      </c>
      <c r="F3446" s="17">
        <v>30</v>
      </c>
      <c r="G3446" s="18" t="s">
        <v>23</v>
      </c>
      <c r="H3446" s="17">
        <v>16.600000000000001</v>
      </c>
      <c r="I3446" s="15">
        <v>18.899999999999999</v>
      </c>
      <c r="J3446" s="21">
        <f t="shared" si="159"/>
        <v>0.13855421686746969</v>
      </c>
      <c r="K3446" s="1">
        <v>2</v>
      </c>
      <c r="L3446" s="24">
        <v>1.8</v>
      </c>
      <c r="M3446" s="24">
        <v>17.009999999999998</v>
      </c>
      <c r="N3446" s="21">
        <f t="shared" si="160"/>
        <v>2.4698795180722682E-2</v>
      </c>
      <c r="P3446" s="1">
        <v>4</v>
      </c>
      <c r="Q3446" s="24">
        <v>2.2680000000000007</v>
      </c>
      <c r="R3446" s="24">
        <v>16.631999999999998</v>
      </c>
      <c r="S3446" s="21">
        <f t="shared" si="161"/>
        <v>1.9277108433732816E-3</v>
      </c>
    </row>
    <row r="3447" spans="2:19" ht="11.4" customHeight="1" x14ac:dyDescent="0.2">
      <c r="B3447" s="24"/>
      <c r="C3447" s="14">
        <v>30928</v>
      </c>
      <c r="D3447" s="18" t="s">
        <v>3602</v>
      </c>
      <c r="E3447" s="18" t="s">
        <v>3598</v>
      </c>
      <c r="F3447" s="17">
        <v>30</v>
      </c>
      <c r="G3447" s="18" t="s">
        <v>23</v>
      </c>
      <c r="H3447" s="17">
        <v>16.600000000000001</v>
      </c>
      <c r="I3447" s="15">
        <v>18.899999999999999</v>
      </c>
      <c r="J3447" s="21">
        <f t="shared" si="159"/>
        <v>0.13855421686746969</v>
      </c>
      <c r="K3447" s="1">
        <v>2</v>
      </c>
      <c r="L3447" s="24">
        <v>1.8</v>
      </c>
      <c r="M3447" s="24">
        <v>17.009999999999998</v>
      </c>
      <c r="N3447" s="21">
        <f t="shared" si="160"/>
        <v>2.4698795180722682E-2</v>
      </c>
      <c r="P3447" s="1">
        <v>4</v>
      </c>
      <c r="Q3447" s="24">
        <v>2.2680000000000007</v>
      </c>
      <c r="R3447" s="24">
        <v>16.631999999999998</v>
      </c>
      <c r="S3447" s="21">
        <f t="shared" si="161"/>
        <v>1.9277108433732816E-3</v>
      </c>
    </row>
    <row r="3448" spans="2:19" ht="11.4" customHeight="1" x14ac:dyDescent="0.2">
      <c r="B3448" s="24"/>
      <c r="C3448" s="14">
        <v>47067</v>
      </c>
      <c r="D3448" s="18" t="s">
        <v>3603</v>
      </c>
      <c r="E3448" s="18" t="s">
        <v>3598</v>
      </c>
      <c r="F3448" s="17">
        <v>21</v>
      </c>
      <c r="G3448" s="18" t="s">
        <v>23</v>
      </c>
      <c r="H3448" s="17">
        <v>21.79</v>
      </c>
      <c r="I3448" s="15">
        <v>25.9</v>
      </c>
      <c r="J3448" s="21">
        <f t="shared" si="159"/>
        <v>0.18861863240018356</v>
      </c>
      <c r="K3448" s="1">
        <v>2</v>
      </c>
      <c r="L3448" s="24">
        <v>2.5</v>
      </c>
      <c r="M3448" s="24">
        <v>23.31</v>
      </c>
      <c r="N3448" s="21">
        <f t="shared" si="160"/>
        <v>6.9756769160165197E-2</v>
      </c>
      <c r="P3448" s="1">
        <v>4</v>
      </c>
      <c r="Q3448" s="24">
        <v>3.1080000000000005</v>
      </c>
      <c r="R3448" s="24">
        <v>22.791999999999998</v>
      </c>
      <c r="S3448" s="21">
        <f t="shared" si="161"/>
        <v>4.5984396512161491E-2</v>
      </c>
    </row>
    <row r="3449" spans="2:19" ht="11.4" customHeight="1" x14ac:dyDescent="0.2">
      <c r="B3449" s="24"/>
      <c r="C3449" s="14">
        <v>14862</v>
      </c>
      <c r="D3449" s="18" t="s">
        <v>3604</v>
      </c>
      <c r="E3449" s="18" t="s">
        <v>3598</v>
      </c>
      <c r="F3449" s="17">
        <v>30</v>
      </c>
      <c r="G3449" s="18" t="s">
        <v>23</v>
      </c>
      <c r="H3449" s="17">
        <v>16.600000000000001</v>
      </c>
      <c r="I3449" s="15">
        <v>18.899999999999999</v>
      </c>
      <c r="J3449" s="21">
        <f t="shared" si="159"/>
        <v>0.13855421686746969</v>
      </c>
      <c r="K3449" s="1">
        <v>2</v>
      </c>
      <c r="L3449" s="24">
        <v>1.8</v>
      </c>
      <c r="M3449" s="24">
        <v>17.009999999999998</v>
      </c>
      <c r="N3449" s="21">
        <f t="shared" si="160"/>
        <v>2.4698795180722682E-2</v>
      </c>
      <c r="P3449" s="1">
        <v>4</v>
      </c>
      <c r="Q3449" s="24">
        <v>2.2680000000000007</v>
      </c>
      <c r="R3449" s="24">
        <v>16.631999999999998</v>
      </c>
      <c r="S3449" s="21">
        <f t="shared" si="161"/>
        <v>1.9277108433732816E-3</v>
      </c>
    </row>
    <row r="3450" spans="2:19" ht="11.4" customHeight="1" x14ac:dyDescent="0.2">
      <c r="B3450" s="24"/>
      <c r="C3450" s="14">
        <v>17899</v>
      </c>
      <c r="D3450" s="18" t="s">
        <v>3605</v>
      </c>
      <c r="E3450" s="18" t="s">
        <v>3598</v>
      </c>
      <c r="F3450" s="17">
        <v>30</v>
      </c>
      <c r="G3450" s="18" t="s">
        <v>23</v>
      </c>
      <c r="H3450" s="17">
        <v>16.600000000000001</v>
      </c>
      <c r="I3450" s="15">
        <v>18.899999999999999</v>
      </c>
      <c r="J3450" s="21">
        <f t="shared" si="159"/>
        <v>0.13855421686746969</v>
      </c>
      <c r="K3450" s="1">
        <v>2</v>
      </c>
      <c r="L3450" s="24">
        <v>1.8</v>
      </c>
      <c r="M3450" s="24">
        <v>17.009999999999998</v>
      </c>
      <c r="N3450" s="21">
        <f t="shared" si="160"/>
        <v>2.4698795180722682E-2</v>
      </c>
      <c r="P3450" s="1">
        <v>4</v>
      </c>
      <c r="Q3450" s="24">
        <v>2.2680000000000007</v>
      </c>
      <c r="R3450" s="24">
        <v>16.631999999999998</v>
      </c>
      <c r="S3450" s="21">
        <f t="shared" si="161"/>
        <v>1.9277108433732816E-3</v>
      </c>
    </row>
    <row r="3451" spans="2:19" ht="11.4" customHeight="1" x14ac:dyDescent="0.2">
      <c r="B3451" s="24"/>
      <c r="C3451" s="14">
        <v>41702</v>
      </c>
      <c r="D3451" s="18" t="s">
        <v>3606</v>
      </c>
      <c r="E3451" s="18" t="s">
        <v>3598</v>
      </c>
      <c r="F3451" s="17">
        <v>30</v>
      </c>
      <c r="G3451" s="18" t="s">
        <v>23</v>
      </c>
      <c r="H3451" s="17">
        <v>15.96</v>
      </c>
      <c r="I3451" s="15">
        <v>18.899999999999999</v>
      </c>
      <c r="J3451" s="21">
        <f t="shared" si="159"/>
        <v>0.18421052631578932</v>
      </c>
      <c r="K3451" s="1">
        <v>2</v>
      </c>
      <c r="L3451" s="24">
        <v>1.8</v>
      </c>
      <c r="M3451" s="24">
        <v>17.009999999999998</v>
      </c>
      <c r="N3451" s="21">
        <f t="shared" si="160"/>
        <v>6.5789473684210342E-2</v>
      </c>
      <c r="P3451" s="1">
        <v>4</v>
      </c>
      <c r="Q3451" s="24">
        <v>2.2680000000000007</v>
      </c>
      <c r="R3451" s="24">
        <v>16.631999999999998</v>
      </c>
      <c r="S3451" s="21">
        <f t="shared" si="161"/>
        <v>4.2105263157894549E-2</v>
      </c>
    </row>
    <row r="3452" spans="2:19" ht="11.4" customHeight="1" x14ac:dyDescent="0.2">
      <c r="B3452" s="24"/>
      <c r="C3452" s="14">
        <v>17902</v>
      </c>
      <c r="D3452" s="18" t="s">
        <v>3607</v>
      </c>
      <c r="E3452" s="18" t="s">
        <v>3598</v>
      </c>
      <c r="F3452" s="17">
        <v>30</v>
      </c>
      <c r="G3452" s="18" t="s">
        <v>23</v>
      </c>
      <c r="H3452" s="17">
        <v>16.600000000000001</v>
      </c>
      <c r="I3452" s="15">
        <v>18.899999999999999</v>
      </c>
      <c r="J3452" s="21">
        <f t="shared" si="159"/>
        <v>0.13855421686746969</v>
      </c>
      <c r="K3452" s="1">
        <v>2</v>
      </c>
      <c r="L3452" s="24">
        <v>1.8</v>
      </c>
      <c r="M3452" s="24">
        <v>17.009999999999998</v>
      </c>
      <c r="N3452" s="21">
        <f t="shared" si="160"/>
        <v>2.4698795180722682E-2</v>
      </c>
      <c r="P3452" s="1">
        <v>4</v>
      </c>
      <c r="Q3452" s="24">
        <v>2.2680000000000007</v>
      </c>
      <c r="R3452" s="24">
        <v>16.631999999999998</v>
      </c>
      <c r="S3452" s="21">
        <f t="shared" si="161"/>
        <v>1.9277108433732816E-3</v>
      </c>
    </row>
    <row r="3453" spans="2:19" ht="11.4" customHeight="1" x14ac:dyDescent="0.2">
      <c r="B3453" s="24"/>
      <c r="C3453" s="14">
        <v>39166</v>
      </c>
      <c r="D3453" s="18" t="s">
        <v>3608</v>
      </c>
      <c r="E3453" s="18" t="s">
        <v>3598</v>
      </c>
      <c r="F3453" s="17">
        <v>6</v>
      </c>
      <c r="G3453" s="18" t="s">
        <v>23</v>
      </c>
      <c r="H3453" s="17">
        <v>71.2</v>
      </c>
      <c r="I3453" s="15">
        <v>72.5</v>
      </c>
      <c r="J3453" s="21">
        <f t="shared" si="159"/>
        <v>1.8258426966292093E-2</v>
      </c>
      <c r="K3453" s="1">
        <v>2</v>
      </c>
      <c r="L3453" s="24">
        <v>7.2</v>
      </c>
      <c r="M3453" s="24">
        <v>65.25</v>
      </c>
      <c r="N3453" s="21">
        <f t="shared" si="160"/>
        <v>-8.3567415730337116E-2</v>
      </c>
      <c r="P3453" s="1">
        <v>4</v>
      </c>
      <c r="Q3453" s="24">
        <v>8.7000000000000028</v>
      </c>
      <c r="R3453" s="24">
        <v>63.8</v>
      </c>
      <c r="S3453" s="21">
        <f t="shared" si="161"/>
        <v>-0.10393258426966299</v>
      </c>
    </row>
    <row r="3454" spans="2:19" ht="11.4" customHeight="1" x14ac:dyDescent="0.2">
      <c r="B3454" s="24"/>
      <c r="C3454" s="14">
        <v>47177</v>
      </c>
      <c r="D3454" s="18" t="s">
        <v>3609</v>
      </c>
      <c r="E3454" s="18" t="s">
        <v>3598</v>
      </c>
      <c r="F3454" s="17">
        <v>21</v>
      </c>
      <c r="G3454" s="18" t="s">
        <v>23</v>
      </c>
      <c r="H3454" s="17">
        <v>21.79</v>
      </c>
      <c r="I3454" s="15">
        <v>25.9</v>
      </c>
      <c r="J3454" s="21">
        <f t="shared" si="159"/>
        <v>0.18861863240018356</v>
      </c>
      <c r="K3454" s="1">
        <v>2</v>
      </c>
      <c r="L3454" s="24">
        <v>2.5</v>
      </c>
      <c r="M3454" s="24">
        <v>23.31</v>
      </c>
      <c r="N3454" s="21">
        <f t="shared" si="160"/>
        <v>6.9756769160165197E-2</v>
      </c>
      <c r="P3454" s="1">
        <v>4</v>
      </c>
      <c r="Q3454" s="24">
        <v>3.1080000000000005</v>
      </c>
      <c r="R3454" s="24">
        <v>22.791999999999998</v>
      </c>
      <c r="S3454" s="21">
        <f t="shared" si="161"/>
        <v>4.5984396512161491E-2</v>
      </c>
    </row>
    <row r="3455" spans="2:19" ht="11.4" customHeight="1" x14ac:dyDescent="0.2">
      <c r="B3455" s="24"/>
      <c r="C3455" s="14">
        <v>17904</v>
      </c>
      <c r="D3455" s="18" t="s">
        <v>3610</v>
      </c>
      <c r="E3455" s="18" t="s">
        <v>3598</v>
      </c>
      <c r="F3455" s="17">
        <v>30</v>
      </c>
      <c r="G3455" s="18" t="s">
        <v>23</v>
      </c>
      <c r="H3455" s="17">
        <v>16.600000000000001</v>
      </c>
      <c r="I3455" s="15">
        <v>18.899999999999999</v>
      </c>
      <c r="J3455" s="21">
        <f t="shared" si="159"/>
        <v>0.13855421686746969</v>
      </c>
      <c r="K3455" s="1">
        <v>2</v>
      </c>
      <c r="L3455" s="24">
        <v>1.8</v>
      </c>
      <c r="M3455" s="24">
        <v>17.009999999999998</v>
      </c>
      <c r="N3455" s="21">
        <f t="shared" si="160"/>
        <v>2.4698795180722682E-2</v>
      </c>
      <c r="P3455" s="1">
        <v>4</v>
      </c>
      <c r="Q3455" s="24">
        <v>2.2680000000000007</v>
      </c>
      <c r="R3455" s="24">
        <v>16.631999999999998</v>
      </c>
      <c r="S3455" s="21">
        <f t="shared" si="161"/>
        <v>1.9277108433732816E-3</v>
      </c>
    </row>
    <row r="3456" spans="2:19" ht="11.4" customHeight="1" x14ac:dyDescent="0.2">
      <c r="B3456" s="24"/>
      <c r="C3456" s="14">
        <v>7510</v>
      </c>
      <c r="D3456" s="18" t="s">
        <v>3611</v>
      </c>
      <c r="E3456" s="18" t="s">
        <v>3598</v>
      </c>
      <c r="F3456" s="17">
        <v>30</v>
      </c>
      <c r="G3456" s="18" t="s">
        <v>23</v>
      </c>
      <c r="H3456" s="17">
        <v>17.8</v>
      </c>
      <c r="I3456" s="15">
        <v>18.899999999999999</v>
      </c>
      <c r="J3456" s="21">
        <f t="shared" si="159"/>
        <v>6.1797752808988644E-2</v>
      </c>
      <c r="K3456" s="1">
        <v>2</v>
      </c>
      <c r="L3456" s="24">
        <v>1.8</v>
      </c>
      <c r="M3456" s="24">
        <v>17.009999999999998</v>
      </c>
      <c r="N3456" s="21">
        <f t="shared" si="160"/>
        <v>-4.4382022471910261E-2</v>
      </c>
      <c r="P3456" s="1">
        <v>4</v>
      </c>
      <c r="Q3456" s="24">
        <v>2.2680000000000007</v>
      </c>
      <c r="R3456" s="24">
        <v>16.631999999999998</v>
      </c>
      <c r="S3456" s="21">
        <f t="shared" si="161"/>
        <v>-6.5617977528090038E-2</v>
      </c>
    </row>
    <row r="3457" spans="2:19" ht="11.4" customHeight="1" x14ac:dyDescent="0.2">
      <c r="B3457" s="24"/>
      <c r="C3457" s="14">
        <v>39164</v>
      </c>
      <c r="D3457" s="18" t="s">
        <v>3612</v>
      </c>
      <c r="E3457" s="18" t="s">
        <v>3598</v>
      </c>
      <c r="F3457" s="17">
        <v>22</v>
      </c>
      <c r="G3457" s="18" t="s">
        <v>23</v>
      </c>
      <c r="H3457" s="17">
        <v>33.9</v>
      </c>
      <c r="I3457" s="15">
        <v>35.5</v>
      </c>
      <c r="J3457" s="21">
        <f t="shared" si="159"/>
        <v>4.7197640117994141E-2</v>
      </c>
      <c r="K3457" s="1">
        <v>2</v>
      </c>
      <c r="L3457" s="24">
        <v>3.5</v>
      </c>
      <c r="M3457" s="24">
        <v>31.95</v>
      </c>
      <c r="N3457" s="21">
        <f t="shared" si="160"/>
        <v>-5.7522123893805288E-2</v>
      </c>
      <c r="P3457" s="1">
        <v>4</v>
      </c>
      <c r="Q3457" s="24">
        <v>4.2600000000000016</v>
      </c>
      <c r="R3457" s="24">
        <v>31.24</v>
      </c>
      <c r="S3457" s="21">
        <f t="shared" si="161"/>
        <v>-7.8466076696165205E-2</v>
      </c>
    </row>
    <row r="3458" spans="2:19" ht="11.4" customHeight="1" x14ac:dyDescent="0.2">
      <c r="B3458" s="24"/>
      <c r="C3458" s="14">
        <v>24105</v>
      </c>
      <c r="D3458" s="18" t="s">
        <v>3613</v>
      </c>
      <c r="E3458" s="18" t="s">
        <v>3598</v>
      </c>
      <c r="F3458" s="17">
        <v>20</v>
      </c>
      <c r="G3458" s="18" t="s">
        <v>23</v>
      </c>
      <c r="H3458" s="17">
        <v>20.74</v>
      </c>
      <c r="I3458" s="15">
        <v>25.5</v>
      </c>
      <c r="J3458" s="21">
        <f t="shared" si="159"/>
        <v>0.22950819672131156</v>
      </c>
      <c r="K3458" s="1">
        <v>2</v>
      </c>
      <c r="L3458" s="24">
        <v>2.5</v>
      </c>
      <c r="M3458" s="24">
        <v>22.95</v>
      </c>
      <c r="N3458" s="21">
        <f t="shared" si="160"/>
        <v>0.10655737704918038</v>
      </c>
      <c r="P3458" s="1">
        <v>4</v>
      </c>
      <c r="Q3458" s="24">
        <v>3.0599999999999987</v>
      </c>
      <c r="R3458" s="24">
        <v>22.44</v>
      </c>
      <c r="S3458" s="21">
        <f t="shared" si="161"/>
        <v>8.1967213114754245E-2</v>
      </c>
    </row>
    <row r="3459" spans="2:19" ht="11.4" customHeight="1" x14ac:dyDescent="0.2">
      <c r="B3459" s="24"/>
      <c r="C3459" s="14">
        <v>34782</v>
      </c>
      <c r="D3459" s="18" t="s">
        <v>3614</v>
      </c>
      <c r="E3459" s="18" t="s">
        <v>3598</v>
      </c>
      <c r="F3459" s="17">
        <v>12</v>
      </c>
      <c r="G3459" s="18" t="s">
        <v>23</v>
      </c>
      <c r="H3459" s="17">
        <v>49.5</v>
      </c>
      <c r="I3459" s="15">
        <v>56.9</v>
      </c>
      <c r="J3459" s="21">
        <f t="shared" ref="J3459:J3522" si="162">(I3459-H3459)/H3459</f>
        <v>0.14949494949494946</v>
      </c>
      <c r="K3459" s="1">
        <v>2</v>
      </c>
      <c r="L3459" s="24">
        <v>5.6</v>
      </c>
      <c r="M3459" s="24">
        <v>51.21</v>
      </c>
      <c r="N3459" s="21">
        <f t="shared" ref="N3459:N3522" si="163">(M3459-H3459)/H3459</f>
        <v>3.454545454545456E-2</v>
      </c>
      <c r="P3459" s="1">
        <v>4</v>
      </c>
      <c r="Q3459" s="24">
        <v>6.828000000000003</v>
      </c>
      <c r="R3459" s="24">
        <v>50.071999999999996</v>
      </c>
      <c r="S3459" s="21">
        <f t="shared" ref="S3459:S3522" si="164">(R3459-H3459)/H3459</f>
        <v>1.1555555555555467E-2</v>
      </c>
    </row>
    <row r="3460" spans="2:19" ht="11.4" customHeight="1" x14ac:dyDescent="0.2">
      <c r="B3460" s="24"/>
      <c r="C3460" s="14">
        <v>24106</v>
      </c>
      <c r="D3460" s="18" t="s">
        <v>3615</v>
      </c>
      <c r="E3460" s="18" t="s">
        <v>3598</v>
      </c>
      <c r="F3460" s="17">
        <v>20</v>
      </c>
      <c r="G3460" s="18" t="s">
        <v>23</v>
      </c>
      <c r="H3460" s="17">
        <v>20.74</v>
      </c>
      <c r="I3460" s="15">
        <v>25.5</v>
      </c>
      <c r="J3460" s="21">
        <f t="shared" si="162"/>
        <v>0.22950819672131156</v>
      </c>
      <c r="K3460" s="1">
        <v>2</v>
      </c>
      <c r="L3460" s="24">
        <v>2.5</v>
      </c>
      <c r="M3460" s="24">
        <v>22.95</v>
      </c>
      <c r="N3460" s="21">
        <f t="shared" si="163"/>
        <v>0.10655737704918038</v>
      </c>
      <c r="P3460" s="1">
        <v>4</v>
      </c>
      <c r="Q3460" s="24">
        <v>3.0599999999999987</v>
      </c>
      <c r="R3460" s="24">
        <v>22.44</v>
      </c>
      <c r="S3460" s="21">
        <f t="shared" si="164"/>
        <v>8.1967213114754245E-2</v>
      </c>
    </row>
    <row r="3461" spans="2:19" ht="11.4" customHeight="1" x14ac:dyDescent="0.2">
      <c r="B3461" s="24"/>
      <c r="C3461" s="14">
        <v>24108</v>
      </c>
      <c r="D3461" s="18" t="s">
        <v>3616</v>
      </c>
      <c r="E3461" s="18" t="s">
        <v>3617</v>
      </c>
      <c r="F3461" s="17">
        <v>24</v>
      </c>
      <c r="G3461" s="18" t="s">
        <v>23</v>
      </c>
      <c r="H3461" s="17">
        <v>20.260000000000002</v>
      </c>
      <c r="I3461" s="15">
        <v>25.5</v>
      </c>
      <c r="J3461" s="21">
        <f t="shared" si="162"/>
        <v>0.25863770977295153</v>
      </c>
      <c r="K3461" s="1">
        <v>2</v>
      </c>
      <c r="L3461" s="24">
        <v>2.5</v>
      </c>
      <c r="M3461" s="24">
        <v>22.95</v>
      </c>
      <c r="N3461" s="21">
        <f t="shared" si="163"/>
        <v>0.13277393879565635</v>
      </c>
      <c r="P3461" s="1">
        <v>4</v>
      </c>
      <c r="Q3461" s="24">
        <v>3.0599999999999987</v>
      </c>
      <c r="R3461" s="24">
        <v>22.44</v>
      </c>
      <c r="S3461" s="21">
        <f t="shared" si="164"/>
        <v>0.10760118460019741</v>
      </c>
    </row>
    <row r="3462" spans="2:19" ht="11.4" customHeight="1" x14ac:dyDescent="0.2">
      <c r="B3462" s="24"/>
      <c r="C3462" s="14">
        <v>47052</v>
      </c>
      <c r="D3462" s="18" t="s">
        <v>3618</v>
      </c>
      <c r="E3462" s="18" t="s">
        <v>3447</v>
      </c>
      <c r="F3462" s="18"/>
      <c r="G3462" s="18" t="s">
        <v>23</v>
      </c>
      <c r="H3462" s="17">
        <v>30</v>
      </c>
      <c r="I3462" s="15">
        <v>51.5</v>
      </c>
      <c r="J3462" s="21">
        <f t="shared" si="162"/>
        <v>0.71666666666666667</v>
      </c>
      <c r="K3462" s="1">
        <v>2</v>
      </c>
      <c r="L3462" s="24">
        <v>5.0999999999999996</v>
      </c>
      <c r="M3462" s="24">
        <v>46.35</v>
      </c>
      <c r="N3462" s="21">
        <f t="shared" si="163"/>
        <v>0.54500000000000004</v>
      </c>
      <c r="P3462" s="1">
        <v>4</v>
      </c>
      <c r="Q3462" s="24">
        <v>6.18</v>
      </c>
      <c r="R3462" s="24">
        <v>45.32</v>
      </c>
      <c r="S3462" s="21">
        <f t="shared" si="164"/>
        <v>0.51066666666666671</v>
      </c>
    </row>
    <row r="3463" spans="2:19" ht="11.4" customHeight="1" x14ac:dyDescent="0.2">
      <c r="B3463" s="24"/>
      <c r="C3463" s="14">
        <v>34555</v>
      </c>
      <c r="D3463" s="18" t="s">
        <v>3619</v>
      </c>
      <c r="E3463" s="18" t="s">
        <v>3598</v>
      </c>
      <c r="F3463" s="18"/>
      <c r="G3463" s="18" t="s">
        <v>23</v>
      </c>
      <c r="H3463" s="17">
        <v>11.94</v>
      </c>
      <c r="I3463" s="15">
        <v>18.899999999999999</v>
      </c>
      <c r="J3463" s="21">
        <f t="shared" si="162"/>
        <v>0.58291457286432158</v>
      </c>
      <c r="K3463" s="1">
        <v>2</v>
      </c>
      <c r="L3463" s="24">
        <v>1.8</v>
      </c>
      <c r="M3463" s="24">
        <v>17.009999999999998</v>
      </c>
      <c r="N3463" s="21">
        <f t="shared" si="163"/>
        <v>0.42462311557788934</v>
      </c>
      <c r="P3463" s="1">
        <v>4</v>
      </c>
      <c r="Q3463" s="24">
        <v>2.2680000000000007</v>
      </c>
      <c r="R3463" s="24">
        <v>16.631999999999998</v>
      </c>
      <c r="S3463" s="21">
        <f t="shared" si="164"/>
        <v>0.39296482412060291</v>
      </c>
    </row>
    <row r="3464" spans="2:19" ht="11.4" customHeight="1" x14ac:dyDescent="0.2">
      <c r="B3464" s="24"/>
      <c r="C3464" s="14">
        <v>34780</v>
      </c>
      <c r="D3464" s="18" t="s">
        <v>3620</v>
      </c>
      <c r="E3464" s="18" t="s">
        <v>3598</v>
      </c>
      <c r="F3464" s="18"/>
      <c r="G3464" s="18" t="s">
        <v>23</v>
      </c>
      <c r="H3464" s="17">
        <v>49.5</v>
      </c>
      <c r="I3464" s="15">
        <v>56.9</v>
      </c>
      <c r="J3464" s="21">
        <f t="shared" si="162"/>
        <v>0.14949494949494946</v>
      </c>
      <c r="K3464" s="1">
        <v>2</v>
      </c>
      <c r="L3464" s="24">
        <v>5.6</v>
      </c>
      <c r="M3464" s="24">
        <v>51.21</v>
      </c>
      <c r="N3464" s="21">
        <f t="shared" si="163"/>
        <v>3.454545454545456E-2</v>
      </c>
      <c r="P3464" s="1">
        <v>4</v>
      </c>
      <c r="Q3464" s="24">
        <v>6.828000000000003</v>
      </c>
      <c r="R3464" s="24">
        <v>50.071999999999996</v>
      </c>
      <c r="S3464" s="21">
        <f t="shared" si="164"/>
        <v>1.1555555555555467E-2</v>
      </c>
    </row>
    <row r="3465" spans="2:19" ht="11.4" customHeight="1" x14ac:dyDescent="0.2">
      <c r="B3465" s="24"/>
      <c r="C3465" s="14">
        <v>47037</v>
      </c>
      <c r="D3465" s="18" t="s">
        <v>3621</v>
      </c>
      <c r="E3465" s="18" t="s">
        <v>3447</v>
      </c>
      <c r="F3465" s="18"/>
      <c r="G3465" s="18" t="s">
        <v>23</v>
      </c>
      <c r="H3465" s="17">
        <v>50</v>
      </c>
      <c r="I3465" s="15">
        <v>85</v>
      </c>
      <c r="J3465" s="21">
        <f t="shared" si="162"/>
        <v>0.7</v>
      </c>
      <c r="K3465" s="1">
        <v>2</v>
      </c>
      <c r="L3465" s="24">
        <v>8.5</v>
      </c>
      <c r="M3465" s="24">
        <v>76.5</v>
      </c>
      <c r="N3465" s="21">
        <f t="shared" si="163"/>
        <v>0.53</v>
      </c>
      <c r="P3465" s="1">
        <v>4</v>
      </c>
      <c r="Q3465" s="24">
        <v>10.200000000000003</v>
      </c>
      <c r="R3465" s="24">
        <v>74.8</v>
      </c>
      <c r="S3465" s="21">
        <f t="shared" si="164"/>
        <v>0.49599999999999994</v>
      </c>
    </row>
    <row r="3466" spans="2:19" ht="11.4" customHeight="1" x14ac:dyDescent="0.2">
      <c r="B3466" s="24"/>
      <c r="C3466" s="14">
        <v>47038</v>
      </c>
      <c r="D3466" s="18" t="s">
        <v>3622</v>
      </c>
      <c r="E3466" s="18" t="s">
        <v>3447</v>
      </c>
      <c r="F3466" s="18"/>
      <c r="G3466" s="18" t="s">
        <v>23</v>
      </c>
      <c r="H3466" s="17">
        <v>47</v>
      </c>
      <c r="I3466" s="15">
        <v>79.900000000000006</v>
      </c>
      <c r="J3466" s="21">
        <f t="shared" si="162"/>
        <v>0.70000000000000007</v>
      </c>
      <c r="K3466" s="1">
        <v>2</v>
      </c>
      <c r="L3466" s="24">
        <v>7.9</v>
      </c>
      <c r="M3466" s="24">
        <v>71.910000000000011</v>
      </c>
      <c r="N3466" s="21">
        <f t="shared" si="163"/>
        <v>0.53000000000000025</v>
      </c>
      <c r="P3466" s="1">
        <v>4</v>
      </c>
      <c r="Q3466" s="24">
        <v>9.5879999999999939</v>
      </c>
      <c r="R3466" s="24">
        <v>70.312000000000012</v>
      </c>
      <c r="S3466" s="21">
        <f t="shared" si="164"/>
        <v>0.49600000000000027</v>
      </c>
    </row>
    <row r="3467" spans="2:19" ht="11.4" customHeight="1" x14ac:dyDescent="0.2">
      <c r="B3467" s="24"/>
      <c r="C3467" s="14">
        <v>45021</v>
      </c>
      <c r="D3467" s="18" t="s">
        <v>3623</v>
      </c>
      <c r="E3467" s="18" t="s">
        <v>3624</v>
      </c>
      <c r="F3467" s="17">
        <v>16</v>
      </c>
      <c r="G3467" s="18" t="s">
        <v>23</v>
      </c>
      <c r="H3467" s="17">
        <v>20.399999999999999</v>
      </c>
      <c r="I3467" s="15">
        <v>27.4</v>
      </c>
      <c r="J3467" s="21">
        <f t="shared" si="162"/>
        <v>0.34313725490196079</v>
      </c>
      <c r="K3467" s="1">
        <v>2</v>
      </c>
      <c r="L3467" s="24">
        <v>2.7</v>
      </c>
      <c r="M3467" s="24">
        <v>24.66</v>
      </c>
      <c r="N3467" s="21">
        <f t="shared" si="163"/>
        <v>0.2088235294117648</v>
      </c>
      <c r="P3467" s="1">
        <v>4</v>
      </c>
      <c r="Q3467" s="24">
        <v>3.2880000000000003</v>
      </c>
      <c r="R3467" s="24">
        <v>24.111999999999998</v>
      </c>
      <c r="S3467" s="21">
        <f t="shared" si="164"/>
        <v>0.18196078431372548</v>
      </c>
    </row>
    <row r="3468" spans="2:19" ht="11.4" customHeight="1" x14ac:dyDescent="0.2">
      <c r="B3468" s="24"/>
      <c r="C3468" s="14">
        <v>45020</v>
      </c>
      <c r="D3468" s="18" t="s">
        <v>3625</v>
      </c>
      <c r="E3468" s="18" t="s">
        <v>3624</v>
      </c>
      <c r="F3468" s="17">
        <v>16</v>
      </c>
      <c r="G3468" s="18" t="s">
        <v>23</v>
      </c>
      <c r="H3468" s="17">
        <v>20.399999999999999</v>
      </c>
      <c r="I3468" s="15">
        <v>27.4</v>
      </c>
      <c r="J3468" s="21">
        <f t="shared" si="162"/>
        <v>0.34313725490196079</v>
      </c>
      <c r="K3468" s="1">
        <v>2</v>
      </c>
      <c r="L3468" s="24">
        <v>2.7</v>
      </c>
      <c r="M3468" s="24">
        <v>24.66</v>
      </c>
      <c r="N3468" s="21">
        <f t="shared" si="163"/>
        <v>0.2088235294117648</v>
      </c>
      <c r="P3468" s="1">
        <v>4</v>
      </c>
      <c r="Q3468" s="24">
        <v>3.2880000000000003</v>
      </c>
      <c r="R3468" s="24">
        <v>24.111999999999998</v>
      </c>
      <c r="S3468" s="21">
        <f t="shared" si="164"/>
        <v>0.18196078431372548</v>
      </c>
    </row>
    <row r="3469" spans="2:19" ht="11.4" customHeight="1" x14ac:dyDescent="0.2">
      <c r="B3469" s="24"/>
      <c r="C3469" s="14">
        <v>45019</v>
      </c>
      <c r="D3469" s="18" t="s">
        <v>3626</v>
      </c>
      <c r="E3469" s="18" t="s">
        <v>3624</v>
      </c>
      <c r="F3469" s="17">
        <v>16</v>
      </c>
      <c r="G3469" s="18" t="s">
        <v>23</v>
      </c>
      <c r="H3469" s="17">
        <v>20.399999999999999</v>
      </c>
      <c r="I3469" s="15">
        <v>27.4</v>
      </c>
      <c r="J3469" s="21">
        <f t="shared" si="162"/>
        <v>0.34313725490196079</v>
      </c>
      <c r="K3469" s="1">
        <v>2</v>
      </c>
      <c r="L3469" s="24">
        <v>2.7</v>
      </c>
      <c r="M3469" s="24">
        <v>24.66</v>
      </c>
      <c r="N3469" s="21">
        <f t="shared" si="163"/>
        <v>0.2088235294117648</v>
      </c>
      <c r="P3469" s="1">
        <v>4</v>
      </c>
      <c r="Q3469" s="24">
        <v>3.2880000000000003</v>
      </c>
      <c r="R3469" s="24">
        <v>24.111999999999998</v>
      </c>
      <c r="S3469" s="21">
        <f t="shared" si="164"/>
        <v>0.18196078431372548</v>
      </c>
    </row>
    <row r="3470" spans="2:19" ht="11.4" customHeight="1" x14ac:dyDescent="0.2">
      <c r="B3470" s="24"/>
      <c r="C3470" s="14">
        <v>25629</v>
      </c>
      <c r="D3470" s="18" t="s">
        <v>3627</v>
      </c>
      <c r="E3470" s="18" t="s">
        <v>3628</v>
      </c>
      <c r="F3470" s="17">
        <v>1</v>
      </c>
      <c r="G3470" s="18" t="s">
        <v>23</v>
      </c>
      <c r="H3470" s="17">
        <v>79.2</v>
      </c>
      <c r="I3470" s="15">
        <v>86.5</v>
      </c>
      <c r="J3470" s="21">
        <f t="shared" si="162"/>
        <v>9.2171717171717127E-2</v>
      </c>
      <c r="K3470" s="1">
        <v>2</v>
      </c>
      <c r="L3470" s="24">
        <v>8.6</v>
      </c>
      <c r="M3470" s="24">
        <v>77.850000000000009</v>
      </c>
      <c r="N3470" s="21">
        <f t="shared" si="163"/>
        <v>-1.7045454545454475E-2</v>
      </c>
      <c r="P3470" s="1">
        <v>4</v>
      </c>
      <c r="Q3470" s="24">
        <v>10.379999999999995</v>
      </c>
      <c r="R3470" s="24">
        <v>76.12</v>
      </c>
      <c r="S3470" s="21">
        <f t="shared" si="164"/>
        <v>-3.8888888888888869E-2</v>
      </c>
    </row>
    <row r="3471" spans="2:19" ht="11.4" customHeight="1" x14ac:dyDescent="0.2">
      <c r="B3471" s="24"/>
      <c r="C3471" s="14">
        <v>34727</v>
      </c>
      <c r="D3471" s="18" t="s">
        <v>3629</v>
      </c>
      <c r="E3471" s="18" t="s">
        <v>3628</v>
      </c>
      <c r="F3471" s="17">
        <v>1</v>
      </c>
      <c r="G3471" s="18" t="s">
        <v>23</v>
      </c>
      <c r="H3471" s="17">
        <v>79.2</v>
      </c>
      <c r="I3471" s="15">
        <v>86.5</v>
      </c>
      <c r="J3471" s="21">
        <f t="shared" si="162"/>
        <v>9.2171717171717127E-2</v>
      </c>
      <c r="K3471" s="1">
        <v>2</v>
      </c>
      <c r="L3471" s="24">
        <v>8.6</v>
      </c>
      <c r="M3471" s="24">
        <v>77.850000000000009</v>
      </c>
      <c r="N3471" s="21">
        <f t="shared" si="163"/>
        <v>-1.7045454545454475E-2</v>
      </c>
      <c r="P3471" s="1">
        <v>4</v>
      </c>
      <c r="Q3471" s="24">
        <v>10.379999999999995</v>
      </c>
      <c r="R3471" s="24">
        <v>76.12</v>
      </c>
      <c r="S3471" s="21">
        <f t="shared" si="164"/>
        <v>-3.8888888888888869E-2</v>
      </c>
    </row>
    <row r="3472" spans="2:19" ht="11.4" customHeight="1" x14ac:dyDescent="0.2">
      <c r="B3472" s="24"/>
      <c r="C3472" s="14">
        <v>12284</v>
      </c>
      <c r="D3472" s="18" t="s">
        <v>3630</v>
      </c>
      <c r="E3472" s="18" t="s">
        <v>3631</v>
      </c>
      <c r="F3472" s="18"/>
      <c r="G3472" s="18" t="s">
        <v>902</v>
      </c>
      <c r="H3472" s="17">
        <v>165.5</v>
      </c>
      <c r="I3472" s="15">
        <v>229</v>
      </c>
      <c r="J3472" s="21">
        <f t="shared" si="162"/>
        <v>0.38368580060422963</v>
      </c>
      <c r="K3472" s="1">
        <v>1</v>
      </c>
      <c r="L3472" s="24">
        <v>22.9</v>
      </c>
      <c r="M3472" s="24">
        <v>206.1</v>
      </c>
      <c r="N3472" s="21">
        <f t="shared" si="163"/>
        <v>0.24531722054380661</v>
      </c>
      <c r="P3472" s="1">
        <v>4</v>
      </c>
      <c r="Q3472" s="24">
        <v>22.900000000000006</v>
      </c>
      <c r="R3472" s="24">
        <v>206.1</v>
      </c>
      <c r="S3472" s="21">
        <f t="shared" si="164"/>
        <v>0.24531722054380661</v>
      </c>
    </row>
    <row r="3473" spans="2:19" ht="11.4" customHeight="1" x14ac:dyDescent="0.2">
      <c r="B3473" s="24"/>
      <c r="C3473" s="14">
        <v>18342</v>
      </c>
      <c r="D3473" s="18" t="s">
        <v>3632</v>
      </c>
      <c r="E3473" s="18" t="s">
        <v>3631</v>
      </c>
      <c r="F3473" s="17">
        <v>3</v>
      </c>
      <c r="G3473" s="18" t="s">
        <v>902</v>
      </c>
      <c r="H3473" s="17">
        <v>98.28</v>
      </c>
      <c r="I3473" s="15">
        <v>197.9</v>
      </c>
      <c r="J3473" s="21">
        <f t="shared" si="162"/>
        <v>1.0136345136345137</v>
      </c>
      <c r="K3473" s="1">
        <v>1</v>
      </c>
      <c r="L3473" s="24">
        <v>19.7</v>
      </c>
      <c r="M3473" s="24">
        <v>178.11</v>
      </c>
      <c r="N3473" s="21">
        <f t="shared" si="163"/>
        <v>0.81227106227106238</v>
      </c>
      <c r="P3473" s="1">
        <v>4</v>
      </c>
      <c r="Q3473" s="24">
        <v>19.789999999999992</v>
      </c>
      <c r="R3473" s="24">
        <v>178.11</v>
      </c>
      <c r="S3473" s="21">
        <f t="shared" si="164"/>
        <v>0.81227106227106238</v>
      </c>
    </row>
    <row r="3474" spans="2:19" ht="11.4" customHeight="1" x14ac:dyDescent="0.2">
      <c r="B3474" s="24"/>
      <c r="C3474" s="14">
        <v>36977</v>
      </c>
      <c r="D3474" s="18" t="s">
        <v>3633</v>
      </c>
      <c r="E3474" s="18" t="s">
        <v>3628</v>
      </c>
      <c r="F3474" s="17">
        <v>7</v>
      </c>
      <c r="G3474" s="18" t="s">
        <v>23</v>
      </c>
      <c r="H3474" s="17">
        <v>73.680000000000007</v>
      </c>
      <c r="I3474" s="15">
        <v>111.9</v>
      </c>
      <c r="J3474" s="21">
        <f t="shared" si="162"/>
        <v>0.51872964169381097</v>
      </c>
      <c r="K3474" s="1">
        <v>2</v>
      </c>
      <c r="L3474" s="24">
        <v>11.1</v>
      </c>
      <c r="M3474" s="24">
        <v>100.71000000000001</v>
      </c>
      <c r="N3474" s="21">
        <f t="shared" si="163"/>
        <v>0.36685667752442996</v>
      </c>
      <c r="P3474" s="1">
        <v>4</v>
      </c>
      <c r="Q3474" s="24">
        <v>13.427999999999997</v>
      </c>
      <c r="R3474" s="24">
        <v>98.472000000000008</v>
      </c>
      <c r="S3474" s="21">
        <f t="shared" si="164"/>
        <v>0.33648208469055374</v>
      </c>
    </row>
    <row r="3475" spans="2:19" ht="11.4" customHeight="1" x14ac:dyDescent="0.2">
      <c r="B3475" s="24"/>
      <c r="C3475" s="14">
        <v>14830</v>
      </c>
      <c r="D3475" s="18" t="s">
        <v>3634</v>
      </c>
      <c r="E3475" s="18" t="s">
        <v>3631</v>
      </c>
      <c r="F3475" s="17">
        <v>2</v>
      </c>
      <c r="G3475" s="18" t="s">
        <v>902</v>
      </c>
      <c r="H3475" s="17">
        <v>148.31</v>
      </c>
      <c r="I3475" s="15">
        <v>192.9</v>
      </c>
      <c r="J3475" s="21">
        <f t="shared" si="162"/>
        <v>0.30065403546625313</v>
      </c>
      <c r="K3475" s="1">
        <v>1</v>
      </c>
      <c r="L3475" s="24">
        <v>19.2</v>
      </c>
      <c r="M3475" s="24">
        <v>173.61</v>
      </c>
      <c r="N3475" s="21">
        <f t="shared" si="163"/>
        <v>0.17058863191962789</v>
      </c>
      <c r="P3475" s="1">
        <v>4</v>
      </c>
      <c r="Q3475" s="24">
        <v>19.289999999999992</v>
      </c>
      <c r="R3475" s="24">
        <v>173.61</v>
      </c>
      <c r="S3475" s="21">
        <f t="shared" si="164"/>
        <v>0.17058863191962789</v>
      </c>
    </row>
    <row r="3476" spans="2:19" ht="11.4" customHeight="1" x14ac:dyDescent="0.2">
      <c r="B3476" s="24"/>
      <c r="C3476" s="14">
        <v>40693</v>
      </c>
      <c r="D3476" s="18" t="s">
        <v>3635</v>
      </c>
      <c r="E3476" s="18" t="s">
        <v>3636</v>
      </c>
      <c r="F3476" s="18"/>
      <c r="G3476" s="18" t="s">
        <v>23</v>
      </c>
      <c r="H3476" s="17">
        <v>5.76</v>
      </c>
      <c r="I3476" s="15">
        <v>9.3000000000000007</v>
      </c>
      <c r="J3476" s="21">
        <f t="shared" si="162"/>
        <v>0.61458333333333348</v>
      </c>
      <c r="K3476" s="1">
        <v>2</v>
      </c>
      <c r="L3476" s="24">
        <v>0.9</v>
      </c>
      <c r="M3476" s="24">
        <v>8.370000000000001</v>
      </c>
      <c r="N3476" s="21">
        <f t="shared" si="163"/>
        <v>0.45312500000000022</v>
      </c>
      <c r="P3476" s="1">
        <v>4</v>
      </c>
      <c r="Q3476" s="24">
        <v>1.1159999999999997</v>
      </c>
      <c r="R3476" s="24">
        <v>8.1840000000000011</v>
      </c>
      <c r="S3476" s="21">
        <f t="shared" si="164"/>
        <v>0.42083333333333356</v>
      </c>
    </row>
    <row r="3477" spans="2:19" ht="11.4" customHeight="1" x14ac:dyDescent="0.2">
      <c r="B3477" s="24"/>
      <c r="C3477" s="14">
        <v>9876</v>
      </c>
      <c r="D3477" s="18" t="s">
        <v>3637</v>
      </c>
      <c r="E3477" s="18" t="s">
        <v>3631</v>
      </c>
      <c r="F3477" s="17">
        <v>3</v>
      </c>
      <c r="G3477" s="18" t="s">
        <v>902</v>
      </c>
      <c r="H3477" s="17">
        <v>152.94</v>
      </c>
      <c r="I3477" s="15">
        <v>269.89999999999998</v>
      </c>
      <c r="J3477" s="21">
        <f t="shared" si="162"/>
        <v>0.76474434418726289</v>
      </c>
      <c r="K3477" s="1">
        <v>1</v>
      </c>
      <c r="L3477" s="24">
        <v>26.9</v>
      </c>
      <c r="M3477" s="24">
        <v>242.91</v>
      </c>
      <c r="N3477" s="21">
        <f t="shared" si="163"/>
        <v>0.58826990976853666</v>
      </c>
      <c r="P3477" s="1">
        <v>4</v>
      </c>
      <c r="Q3477" s="24">
        <v>26.989999999999981</v>
      </c>
      <c r="R3477" s="24">
        <v>242.91</v>
      </c>
      <c r="S3477" s="21">
        <f t="shared" si="164"/>
        <v>0.58826990976853666</v>
      </c>
    </row>
    <row r="3478" spans="2:19" ht="11.4" customHeight="1" x14ac:dyDescent="0.2">
      <c r="B3478" s="24"/>
      <c r="C3478" s="14">
        <v>34725</v>
      </c>
      <c r="D3478" s="18" t="s">
        <v>3638</v>
      </c>
      <c r="E3478" s="18" t="s">
        <v>3628</v>
      </c>
      <c r="F3478" s="17">
        <v>1</v>
      </c>
      <c r="G3478" s="18" t="s">
        <v>23</v>
      </c>
      <c r="H3478" s="17">
        <v>79.2</v>
      </c>
      <c r="I3478" s="15">
        <v>86.5</v>
      </c>
      <c r="J3478" s="21">
        <f t="shared" si="162"/>
        <v>9.2171717171717127E-2</v>
      </c>
      <c r="K3478" s="1">
        <v>2</v>
      </c>
      <c r="L3478" s="24">
        <v>8.6</v>
      </c>
      <c r="M3478" s="24">
        <v>77.850000000000009</v>
      </c>
      <c r="N3478" s="21">
        <f t="shared" si="163"/>
        <v>-1.7045454545454475E-2</v>
      </c>
      <c r="P3478" s="1">
        <v>4</v>
      </c>
      <c r="Q3478" s="24">
        <v>10.379999999999995</v>
      </c>
      <c r="R3478" s="24">
        <v>76.12</v>
      </c>
      <c r="S3478" s="21">
        <f t="shared" si="164"/>
        <v>-3.8888888888888869E-2</v>
      </c>
    </row>
    <row r="3479" spans="2:19" ht="11.4" customHeight="1" x14ac:dyDescent="0.2">
      <c r="B3479" s="24"/>
      <c r="C3479" s="14">
        <v>33149</v>
      </c>
      <c r="D3479" s="18" t="s">
        <v>3639</v>
      </c>
      <c r="E3479" s="18" t="s">
        <v>3636</v>
      </c>
      <c r="F3479" s="17">
        <v>8</v>
      </c>
      <c r="G3479" s="18" t="s">
        <v>23</v>
      </c>
      <c r="H3479" s="17">
        <v>84.9</v>
      </c>
      <c r="I3479" s="15">
        <v>91.3</v>
      </c>
      <c r="J3479" s="21">
        <f t="shared" si="162"/>
        <v>7.5382803297997542E-2</v>
      </c>
      <c r="K3479" s="1">
        <v>2</v>
      </c>
      <c r="L3479" s="24">
        <v>9.1</v>
      </c>
      <c r="M3479" s="24">
        <v>82.17</v>
      </c>
      <c r="N3479" s="21">
        <f t="shared" si="163"/>
        <v>-3.2155477031802167E-2</v>
      </c>
      <c r="P3479" s="1">
        <v>4</v>
      </c>
      <c r="Q3479" s="24">
        <v>10.956000000000003</v>
      </c>
      <c r="R3479" s="24">
        <v>80.343999999999994</v>
      </c>
      <c r="S3479" s="21">
        <f t="shared" si="164"/>
        <v>-5.3663133097762203E-2</v>
      </c>
    </row>
    <row r="3480" spans="2:19" ht="11.4" customHeight="1" x14ac:dyDescent="0.2">
      <c r="B3480" s="24"/>
      <c r="C3480" s="14">
        <v>44970</v>
      </c>
      <c r="D3480" s="18" t="s">
        <v>3640</v>
      </c>
      <c r="E3480" s="18" t="s">
        <v>3636</v>
      </c>
      <c r="F3480" s="17">
        <v>7</v>
      </c>
      <c r="G3480" s="18" t="s">
        <v>23</v>
      </c>
      <c r="H3480" s="18"/>
      <c r="I3480" s="15">
        <v>48.5</v>
      </c>
      <c r="J3480" s="21" t="e">
        <f t="shared" si="162"/>
        <v>#DIV/0!</v>
      </c>
      <c r="K3480" s="1">
        <v>2</v>
      </c>
      <c r="L3480" s="24">
        <v>4.8</v>
      </c>
      <c r="M3480" s="24">
        <v>43.65</v>
      </c>
      <c r="N3480" s="21" t="e">
        <f t="shared" si="163"/>
        <v>#DIV/0!</v>
      </c>
      <c r="P3480" s="1">
        <v>4</v>
      </c>
      <c r="Q3480" s="24">
        <v>5.82</v>
      </c>
      <c r="R3480" s="24">
        <v>42.68</v>
      </c>
      <c r="S3480" s="21" t="e">
        <f t="shared" si="164"/>
        <v>#DIV/0!</v>
      </c>
    </row>
    <row r="3481" spans="2:19" ht="11.4" customHeight="1" x14ac:dyDescent="0.2">
      <c r="B3481" s="24"/>
      <c r="C3481" s="14">
        <v>33147</v>
      </c>
      <c r="D3481" s="18" t="s">
        <v>3641</v>
      </c>
      <c r="E3481" s="18" t="s">
        <v>3636</v>
      </c>
      <c r="F3481" s="17">
        <v>12</v>
      </c>
      <c r="G3481" s="18" t="s">
        <v>23</v>
      </c>
      <c r="H3481" s="17">
        <v>65.900000000000006</v>
      </c>
      <c r="I3481" s="15">
        <v>64.5</v>
      </c>
      <c r="J3481" s="21">
        <f t="shared" si="162"/>
        <v>-2.1244309559939386E-2</v>
      </c>
      <c r="K3481" s="1">
        <v>2</v>
      </c>
      <c r="L3481" s="24">
        <v>6.4</v>
      </c>
      <c r="M3481" s="24">
        <v>58.050000000000004</v>
      </c>
      <c r="N3481" s="21">
        <f t="shared" si="163"/>
        <v>-0.11911987860394538</v>
      </c>
      <c r="P3481" s="1">
        <v>4</v>
      </c>
      <c r="Q3481" s="24">
        <v>7.740000000000002</v>
      </c>
      <c r="R3481" s="24">
        <v>56.76</v>
      </c>
      <c r="S3481" s="21">
        <f t="shared" si="164"/>
        <v>-0.13869499241274669</v>
      </c>
    </row>
    <row r="3482" spans="2:19" ht="11.4" customHeight="1" x14ac:dyDescent="0.2">
      <c r="B3482" s="24"/>
      <c r="C3482" s="14">
        <v>45393</v>
      </c>
      <c r="D3482" s="18" t="s">
        <v>3642</v>
      </c>
      <c r="E3482" s="18" t="s">
        <v>3636</v>
      </c>
      <c r="F3482" s="17">
        <v>30</v>
      </c>
      <c r="G3482" s="18" t="s">
        <v>23</v>
      </c>
      <c r="H3482" s="17">
        <v>17.22</v>
      </c>
      <c r="I3482" s="15">
        <v>25.9</v>
      </c>
      <c r="J3482" s="21">
        <f t="shared" si="162"/>
        <v>0.50406504065040647</v>
      </c>
      <c r="K3482" s="1">
        <v>2</v>
      </c>
      <c r="L3482" s="24">
        <v>2.5</v>
      </c>
      <c r="M3482" s="24">
        <v>23.31</v>
      </c>
      <c r="N3482" s="21">
        <f t="shared" si="163"/>
        <v>0.35365853658536589</v>
      </c>
      <c r="P3482" s="1">
        <v>4</v>
      </c>
      <c r="Q3482" s="24">
        <v>3.1080000000000005</v>
      </c>
      <c r="R3482" s="24">
        <v>22.791999999999998</v>
      </c>
      <c r="S3482" s="21">
        <f t="shared" si="164"/>
        <v>0.3235772357723577</v>
      </c>
    </row>
    <row r="3483" spans="2:19" ht="11.4" customHeight="1" x14ac:dyDescent="0.2">
      <c r="B3483" s="24"/>
      <c r="C3483" s="14">
        <v>45678</v>
      </c>
      <c r="D3483" s="18" t="s">
        <v>3643</v>
      </c>
      <c r="E3483" s="18" t="s">
        <v>3636</v>
      </c>
      <c r="F3483" s="17">
        <v>12</v>
      </c>
      <c r="G3483" s="18" t="s">
        <v>23</v>
      </c>
      <c r="H3483" s="18"/>
      <c r="I3483" s="15">
        <v>64.900000000000006</v>
      </c>
      <c r="J3483" s="21" t="e">
        <f t="shared" si="162"/>
        <v>#DIV/0!</v>
      </c>
      <c r="K3483" s="1">
        <v>2</v>
      </c>
      <c r="L3483" s="24">
        <v>6.4</v>
      </c>
      <c r="M3483" s="24">
        <v>58.410000000000004</v>
      </c>
      <c r="N3483" s="21" t="e">
        <f t="shared" si="163"/>
        <v>#DIV/0!</v>
      </c>
      <c r="P3483" s="1">
        <v>4</v>
      </c>
      <c r="Q3483" s="24">
        <v>7.7880000000000038</v>
      </c>
      <c r="R3483" s="24">
        <v>57.112000000000002</v>
      </c>
      <c r="S3483" s="21" t="e">
        <f t="shared" si="164"/>
        <v>#DIV/0!</v>
      </c>
    </row>
    <row r="3484" spans="2:19" ht="11.4" customHeight="1" x14ac:dyDescent="0.2">
      <c r="B3484" s="24"/>
      <c r="C3484" s="14">
        <v>44030</v>
      </c>
      <c r="D3484" s="18" t="s">
        <v>3644</v>
      </c>
      <c r="E3484" s="18" t="s">
        <v>3636</v>
      </c>
      <c r="F3484" s="17">
        <v>18</v>
      </c>
      <c r="G3484" s="18" t="s">
        <v>23</v>
      </c>
      <c r="H3484" s="17">
        <v>18.96</v>
      </c>
      <c r="I3484" s="15">
        <v>29.9</v>
      </c>
      <c r="J3484" s="21">
        <f t="shared" si="162"/>
        <v>0.57700421940928259</v>
      </c>
      <c r="K3484" s="1">
        <v>2</v>
      </c>
      <c r="L3484" s="24">
        <v>2.9</v>
      </c>
      <c r="M3484" s="24">
        <v>26.91</v>
      </c>
      <c r="N3484" s="21">
        <f t="shared" si="163"/>
        <v>0.41930379746835439</v>
      </c>
      <c r="P3484" s="1">
        <v>4</v>
      </c>
      <c r="Q3484" s="24">
        <v>3.588000000000001</v>
      </c>
      <c r="R3484" s="24">
        <v>26.311999999999998</v>
      </c>
      <c r="S3484" s="21">
        <f t="shared" si="164"/>
        <v>0.3877637130801686</v>
      </c>
    </row>
    <row r="3485" spans="2:19" ht="11.4" customHeight="1" x14ac:dyDescent="0.2">
      <c r="B3485" s="24"/>
      <c r="C3485" s="14">
        <v>44969</v>
      </c>
      <c r="D3485" s="18" t="s">
        <v>3645</v>
      </c>
      <c r="E3485" s="18" t="s">
        <v>3636</v>
      </c>
      <c r="F3485" s="17">
        <v>10</v>
      </c>
      <c r="G3485" s="18" t="s">
        <v>23</v>
      </c>
      <c r="H3485" s="18"/>
      <c r="I3485" s="15">
        <v>21.5</v>
      </c>
      <c r="J3485" s="21" t="e">
        <f t="shared" si="162"/>
        <v>#DIV/0!</v>
      </c>
      <c r="K3485" s="1">
        <v>2</v>
      </c>
      <c r="L3485" s="24">
        <v>2.1</v>
      </c>
      <c r="M3485" s="24">
        <v>19.350000000000001</v>
      </c>
      <c r="N3485" s="21" t="e">
        <f t="shared" si="163"/>
        <v>#DIV/0!</v>
      </c>
      <c r="P3485" s="1">
        <v>4</v>
      </c>
      <c r="Q3485" s="24">
        <v>2.5799999999999983</v>
      </c>
      <c r="R3485" s="24">
        <v>18.920000000000002</v>
      </c>
      <c r="S3485" s="21" t="e">
        <f t="shared" si="164"/>
        <v>#DIV/0!</v>
      </c>
    </row>
    <row r="3486" spans="2:19" ht="11.4" customHeight="1" x14ac:dyDescent="0.2">
      <c r="B3486" s="24"/>
      <c r="C3486" s="14">
        <v>44974</v>
      </c>
      <c r="D3486" s="18" t="s">
        <v>3646</v>
      </c>
      <c r="E3486" s="18" t="s">
        <v>3636</v>
      </c>
      <c r="F3486" s="17">
        <v>7</v>
      </c>
      <c r="G3486" s="18" t="s">
        <v>23</v>
      </c>
      <c r="H3486" s="17">
        <v>33</v>
      </c>
      <c r="I3486" s="15">
        <v>61.9</v>
      </c>
      <c r="J3486" s="21">
        <f t="shared" si="162"/>
        <v>0.87575757575757573</v>
      </c>
      <c r="K3486" s="1">
        <v>2</v>
      </c>
      <c r="L3486" s="24">
        <v>6.1</v>
      </c>
      <c r="M3486" s="24">
        <v>55.71</v>
      </c>
      <c r="N3486" s="21">
        <f t="shared" si="163"/>
        <v>0.68818181818181823</v>
      </c>
      <c r="P3486" s="1">
        <v>4</v>
      </c>
      <c r="Q3486" s="24">
        <v>7.4279999999999973</v>
      </c>
      <c r="R3486" s="24">
        <v>54.472000000000001</v>
      </c>
      <c r="S3486" s="21">
        <f t="shared" si="164"/>
        <v>0.65066666666666673</v>
      </c>
    </row>
    <row r="3487" spans="2:19" ht="11.4" customHeight="1" x14ac:dyDescent="0.2">
      <c r="B3487" s="24"/>
      <c r="C3487" s="14">
        <v>44972</v>
      </c>
      <c r="D3487" s="18" t="s">
        <v>3647</v>
      </c>
      <c r="E3487" s="18" t="s">
        <v>3636</v>
      </c>
      <c r="F3487" s="17">
        <v>10</v>
      </c>
      <c r="G3487" s="18" t="s">
        <v>23</v>
      </c>
      <c r="H3487" s="17">
        <v>19.2</v>
      </c>
      <c r="I3487" s="15">
        <v>32.9</v>
      </c>
      <c r="J3487" s="21">
        <f t="shared" si="162"/>
        <v>0.71354166666666663</v>
      </c>
      <c r="K3487" s="1">
        <v>2</v>
      </c>
      <c r="L3487" s="24">
        <v>3.2</v>
      </c>
      <c r="M3487" s="24">
        <v>29.61</v>
      </c>
      <c r="N3487" s="21">
        <f t="shared" si="163"/>
        <v>0.54218750000000004</v>
      </c>
      <c r="P3487" s="1">
        <v>4</v>
      </c>
      <c r="Q3487" s="24">
        <v>3.9480000000000004</v>
      </c>
      <c r="R3487" s="24">
        <v>28.951999999999998</v>
      </c>
      <c r="S3487" s="21">
        <f t="shared" si="164"/>
        <v>0.50791666666666668</v>
      </c>
    </row>
    <row r="3488" spans="2:19" ht="11.4" customHeight="1" x14ac:dyDescent="0.2">
      <c r="B3488" s="24"/>
      <c r="C3488" s="14">
        <v>44971</v>
      </c>
      <c r="D3488" s="18" t="s">
        <v>3648</v>
      </c>
      <c r="E3488" s="18" t="s">
        <v>3636</v>
      </c>
      <c r="F3488" s="17">
        <v>10</v>
      </c>
      <c r="G3488" s="18" t="s">
        <v>23</v>
      </c>
      <c r="H3488" s="18"/>
      <c r="I3488" s="15">
        <v>27.9</v>
      </c>
      <c r="J3488" s="21" t="e">
        <f t="shared" si="162"/>
        <v>#DIV/0!</v>
      </c>
      <c r="K3488" s="1">
        <v>2</v>
      </c>
      <c r="L3488" s="24">
        <v>2.7</v>
      </c>
      <c r="M3488" s="24">
        <v>25.11</v>
      </c>
      <c r="N3488" s="21" t="e">
        <f t="shared" si="163"/>
        <v>#DIV/0!</v>
      </c>
      <c r="P3488" s="1">
        <v>4</v>
      </c>
      <c r="Q3488" s="24">
        <v>3.347999999999999</v>
      </c>
      <c r="R3488" s="24">
        <v>24.552</v>
      </c>
      <c r="S3488" s="21" t="e">
        <f t="shared" si="164"/>
        <v>#DIV/0!</v>
      </c>
    </row>
    <row r="3489" spans="2:19" ht="11.4" customHeight="1" x14ac:dyDescent="0.2">
      <c r="B3489" s="24"/>
      <c r="C3489" s="14">
        <v>45676</v>
      </c>
      <c r="D3489" s="18" t="s">
        <v>3649</v>
      </c>
      <c r="E3489" s="18" t="s">
        <v>3636</v>
      </c>
      <c r="F3489" s="17">
        <v>12</v>
      </c>
      <c r="G3489" s="18" t="s">
        <v>23</v>
      </c>
      <c r="H3489" s="17">
        <v>39.6</v>
      </c>
      <c r="I3489" s="15">
        <v>64.900000000000006</v>
      </c>
      <c r="J3489" s="21">
        <f t="shared" si="162"/>
        <v>0.63888888888888895</v>
      </c>
      <c r="K3489" s="1">
        <v>2</v>
      </c>
      <c r="L3489" s="24">
        <v>6.4</v>
      </c>
      <c r="M3489" s="24">
        <v>58.410000000000004</v>
      </c>
      <c r="N3489" s="21">
        <f t="shared" si="163"/>
        <v>0.47500000000000003</v>
      </c>
      <c r="P3489" s="1">
        <v>4</v>
      </c>
      <c r="Q3489" s="24">
        <v>7.7880000000000038</v>
      </c>
      <c r="R3489" s="24">
        <v>57.112000000000002</v>
      </c>
      <c r="S3489" s="21">
        <f t="shared" si="164"/>
        <v>0.44222222222222224</v>
      </c>
    </row>
    <row r="3490" spans="2:19" ht="11.4" customHeight="1" x14ac:dyDescent="0.2">
      <c r="B3490" s="24"/>
      <c r="C3490" s="14">
        <v>40742</v>
      </c>
      <c r="D3490" s="18" t="s">
        <v>3650</v>
      </c>
      <c r="E3490" s="18" t="s">
        <v>3636</v>
      </c>
      <c r="F3490" s="17">
        <v>14</v>
      </c>
      <c r="G3490" s="18" t="s">
        <v>23</v>
      </c>
      <c r="H3490" s="17">
        <v>45.48</v>
      </c>
      <c r="I3490" s="15">
        <v>64.5</v>
      </c>
      <c r="J3490" s="21">
        <f t="shared" si="162"/>
        <v>0.41820580474934049</v>
      </c>
      <c r="K3490" s="1">
        <v>2</v>
      </c>
      <c r="L3490" s="24">
        <v>6.4</v>
      </c>
      <c r="M3490" s="24">
        <v>58.050000000000004</v>
      </c>
      <c r="N3490" s="21">
        <f t="shared" si="163"/>
        <v>0.27638522427440654</v>
      </c>
      <c r="P3490" s="1">
        <v>4</v>
      </c>
      <c r="Q3490" s="24">
        <v>7.740000000000002</v>
      </c>
      <c r="R3490" s="24">
        <v>56.76</v>
      </c>
      <c r="S3490" s="21">
        <f t="shared" si="164"/>
        <v>0.24802110817941958</v>
      </c>
    </row>
    <row r="3491" spans="2:19" ht="11.4" customHeight="1" x14ac:dyDescent="0.2">
      <c r="B3491" s="24"/>
      <c r="C3491" s="14">
        <v>34038</v>
      </c>
      <c r="D3491" s="18" t="s">
        <v>3651</v>
      </c>
      <c r="E3491" s="18" t="s">
        <v>3636</v>
      </c>
      <c r="F3491" s="17">
        <v>42</v>
      </c>
      <c r="G3491" s="18" t="s">
        <v>23</v>
      </c>
      <c r="H3491" s="17">
        <v>19.899999999999999</v>
      </c>
      <c r="I3491" s="15">
        <v>21.4</v>
      </c>
      <c r="J3491" s="21">
        <f t="shared" si="162"/>
        <v>7.537688442211056E-2</v>
      </c>
      <c r="K3491" s="1">
        <v>2</v>
      </c>
      <c r="L3491" s="24">
        <v>2.1</v>
      </c>
      <c r="M3491" s="24">
        <v>19.259999999999998</v>
      </c>
      <c r="N3491" s="21">
        <f t="shared" si="163"/>
        <v>-3.2160804020100534E-2</v>
      </c>
      <c r="P3491" s="1">
        <v>4</v>
      </c>
      <c r="Q3491" s="24">
        <v>2.5680000000000014</v>
      </c>
      <c r="R3491" s="24">
        <v>18.831999999999997</v>
      </c>
      <c r="S3491" s="21">
        <f t="shared" si="164"/>
        <v>-5.3668341708542788E-2</v>
      </c>
    </row>
    <row r="3492" spans="2:19" ht="11.4" customHeight="1" x14ac:dyDescent="0.2">
      <c r="B3492" s="24"/>
      <c r="C3492" s="14">
        <v>38007</v>
      </c>
      <c r="D3492" s="18" t="s">
        <v>3652</v>
      </c>
      <c r="E3492" s="18" t="s">
        <v>3636</v>
      </c>
      <c r="F3492" s="17">
        <v>24</v>
      </c>
      <c r="G3492" s="18" t="s">
        <v>23</v>
      </c>
      <c r="H3492" s="17">
        <v>19.5</v>
      </c>
      <c r="I3492" s="15">
        <v>25.9</v>
      </c>
      <c r="J3492" s="21">
        <f t="shared" si="162"/>
        <v>0.32820512820512815</v>
      </c>
      <c r="K3492" s="1">
        <v>2</v>
      </c>
      <c r="L3492" s="24">
        <v>2.5</v>
      </c>
      <c r="M3492" s="24">
        <v>23.31</v>
      </c>
      <c r="N3492" s="21">
        <f t="shared" si="163"/>
        <v>0.19538461538461532</v>
      </c>
      <c r="P3492" s="1">
        <v>4</v>
      </c>
      <c r="Q3492" s="24">
        <v>3.1080000000000005</v>
      </c>
      <c r="R3492" s="24">
        <v>22.791999999999998</v>
      </c>
      <c r="S3492" s="21">
        <f t="shared" si="164"/>
        <v>0.16882051282051272</v>
      </c>
    </row>
    <row r="3493" spans="2:19" ht="11.4" customHeight="1" x14ac:dyDescent="0.2">
      <c r="B3493" s="24"/>
      <c r="C3493" s="14">
        <v>38005</v>
      </c>
      <c r="D3493" s="18" t="s">
        <v>3653</v>
      </c>
      <c r="E3493" s="18" t="s">
        <v>3636</v>
      </c>
      <c r="F3493" s="17">
        <v>24</v>
      </c>
      <c r="G3493" s="18" t="s">
        <v>23</v>
      </c>
      <c r="H3493" s="17">
        <v>66.900000000000006</v>
      </c>
      <c r="I3493" s="15">
        <v>83.6</v>
      </c>
      <c r="J3493" s="21">
        <f t="shared" si="162"/>
        <v>0.24962630792227186</v>
      </c>
      <c r="K3493" s="1">
        <v>2</v>
      </c>
      <c r="L3493" s="24">
        <v>8.3000000000000007</v>
      </c>
      <c r="M3493" s="24">
        <v>75.239999999999995</v>
      </c>
      <c r="N3493" s="21">
        <f t="shared" si="163"/>
        <v>0.12466367713004467</v>
      </c>
      <c r="P3493" s="1">
        <v>4</v>
      </c>
      <c r="Q3493" s="24">
        <v>10.031999999999996</v>
      </c>
      <c r="R3493" s="24">
        <v>73.567999999999998</v>
      </c>
      <c r="S3493" s="21">
        <f t="shared" si="164"/>
        <v>9.9671150971599273E-2</v>
      </c>
    </row>
    <row r="3494" spans="2:19" ht="11.4" customHeight="1" x14ac:dyDescent="0.2">
      <c r="B3494" s="24"/>
      <c r="C3494" s="14">
        <v>38004</v>
      </c>
      <c r="D3494" s="18" t="s">
        <v>3654</v>
      </c>
      <c r="E3494" s="18" t="s">
        <v>3636</v>
      </c>
      <c r="F3494" s="17">
        <v>24</v>
      </c>
      <c r="G3494" s="18" t="s">
        <v>23</v>
      </c>
      <c r="H3494" s="17">
        <v>66.900000000000006</v>
      </c>
      <c r="I3494" s="15">
        <v>83.6</v>
      </c>
      <c r="J3494" s="21">
        <f t="shared" si="162"/>
        <v>0.24962630792227186</v>
      </c>
      <c r="K3494" s="1">
        <v>2</v>
      </c>
      <c r="L3494" s="24">
        <v>8.3000000000000007</v>
      </c>
      <c r="M3494" s="24">
        <v>75.239999999999995</v>
      </c>
      <c r="N3494" s="21">
        <f t="shared" si="163"/>
        <v>0.12466367713004467</v>
      </c>
      <c r="P3494" s="1">
        <v>4</v>
      </c>
      <c r="Q3494" s="24">
        <v>10.031999999999996</v>
      </c>
      <c r="R3494" s="24">
        <v>73.567999999999998</v>
      </c>
      <c r="S3494" s="21">
        <f t="shared" si="164"/>
        <v>9.9671150971599273E-2</v>
      </c>
    </row>
    <row r="3495" spans="2:19" ht="11.4" customHeight="1" x14ac:dyDescent="0.2">
      <c r="B3495" s="24"/>
      <c r="C3495" s="14">
        <v>41802</v>
      </c>
      <c r="D3495" s="18" t="s">
        <v>3655</v>
      </c>
      <c r="E3495" s="18" t="s">
        <v>3636</v>
      </c>
      <c r="F3495" s="17">
        <v>8</v>
      </c>
      <c r="G3495" s="18" t="s">
        <v>23</v>
      </c>
      <c r="H3495" s="17">
        <v>38.58</v>
      </c>
      <c r="I3495" s="15">
        <v>53.9</v>
      </c>
      <c r="J3495" s="21">
        <f t="shared" si="162"/>
        <v>0.39709694142042512</v>
      </c>
      <c r="K3495" s="1">
        <v>2</v>
      </c>
      <c r="L3495" s="24">
        <v>5.3</v>
      </c>
      <c r="M3495" s="24">
        <v>48.51</v>
      </c>
      <c r="N3495" s="21">
        <f t="shared" si="163"/>
        <v>0.25738724727838258</v>
      </c>
      <c r="P3495" s="1">
        <v>4</v>
      </c>
      <c r="Q3495" s="24">
        <v>6.4679999999999964</v>
      </c>
      <c r="R3495" s="24">
        <v>47.432000000000002</v>
      </c>
      <c r="S3495" s="21">
        <f t="shared" si="164"/>
        <v>0.22944530844997418</v>
      </c>
    </row>
    <row r="3496" spans="2:19" ht="11.4" customHeight="1" x14ac:dyDescent="0.2">
      <c r="B3496" s="24"/>
      <c r="C3496" s="14">
        <v>41803</v>
      </c>
      <c r="D3496" s="18" t="s">
        <v>3656</v>
      </c>
      <c r="E3496" s="18" t="s">
        <v>3636</v>
      </c>
      <c r="F3496" s="17">
        <v>18</v>
      </c>
      <c r="G3496" s="18" t="s">
        <v>23</v>
      </c>
      <c r="H3496" s="17">
        <v>9.7799999999999994</v>
      </c>
      <c r="I3496" s="15">
        <v>13.9</v>
      </c>
      <c r="J3496" s="21">
        <f t="shared" si="162"/>
        <v>0.4212678936605318</v>
      </c>
      <c r="K3496" s="1">
        <v>2</v>
      </c>
      <c r="L3496" s="24">
        <v>1.3</v>
      </c>
      <c r="M3496" s="24">
        <v>12.51</v>
      </c>
      <c r="N3496" s="21">
        <f t="shared" si="163"/>
        <v>0.27914110429447858</v>
      </c>
      <c r="P3496" s="1">
        <v>4</v>
      </c>
      <c r="Q3496" s="24">
        <v>1.6679999999999993</v>
      </c>
      <c r="R3496" s="24">
        <v>12.232000000000001</v>
      </c>
      <c r="S3496" s="21">
        <f t="shared" si="164"/>
        <v>0.25071574642126809</v>
      </c>
    </row>
    <row r="3497" spans="2:19" ht="11.4" customHeight="1" x14ac:dyDescent="0.2">
      <c r="B3497" s="24"/>
      <c r="C3497" s="14">
        <v>34783</v>
      </c>
      <c r="D3497" s="18" t="s">
        <v>3657</v>
      </c>
      <c r="E3497" s="18" t="s">
        <v>3636</v>
      </c>
      <c r="F3497" s="17">
        <v>12</v>
      </c>
      <c r="G3497" s="18" t="s">
        <v>23</v>
      </c>
      <c r="H3497" s="17">
        <v>61.5</v>
      </c>
      <c r="I3497" s="15">
        <v>64.900000000000006</v>
      </c>
      <c r="J3497" s="21">
        <f t="shared" si="162"/>
        <v>5.5284552845528551E-2</v>
      </c>
      <c r="K3497" s="1">
        <v>2</v>
      </c>
      <c r="L3497" s="24">
        <v>6.4</v>
      </c>
      <c r="M3497" s="24">
        <v>58.410000000000004</v>
      </c>
      <c r="N3497" s="21">
        <f t="shared" si="163"/>
        <v>-5.0243902439024331E-2</v>
      </c>
      <c r="P3497" s="1">
        <v>4</v>
      </c>
      <c r="Q3497" s="24">
        <v>7.7880000000000038</v>
      </c>
      <c r="R3497" s="24">
        <v>57.112000000000002</v>
      </c>
      <c r="S3497" s="21">
        <f t="shared" si="164"/>
        <v>-7.1349593495934935E-2</v>
      </c>
    </row>
    <row r="3498" spans="2:19" ht="11.4" customHeight="1" x14ac:dyDescent="0.2">
      <c r="B3498" s="24"/>
      <c r="C3498" s="14">
        <v>42083</v>
      </c>
      <c r="D3498" s="18" t="s">
        <v>3658</v>
      </c>
      <c r="E3498" s="18" t="s">
        <v>3636</v>
      </c>
      <c r="F3498" s="17">
        <v>30</v>
      </c>
      <c r="G3498" s="18" t="s">
        <v>23</v>
      </c>
      <c r="H3498" s="17">
        <v>7.68</v>
      </c>
      <c r="I3498" s="15">
        <v>11.9</v>
      </c>
      <c r="J3498" s="21">
        <f t="shared" si="162"/>
        <v>0.54947916666666674</v>
      </c>
      <c r="K3498" s="1">
        <v>2</v>
      </c>
      <c r="L3498" s="24">
        <v>1.1000000000000001</v>
      </c>
      <c r="M3498" s="24">
        <v>10.71</v>
      </c>
      <c r="N3498" s="21">
        <f t="shared" si="163"/>
        <v>0.39453125000000017</v>
      </c>
      <c r="P3498" s="1">
        <v>4</v>
      </c>
      <c r="Q3498" s="24">
        <v>1.4280000000000008</v>
      </c>
      <c r="R3498" s="24">
        <v>10.472</v>
      </c>
      <c r="S3498" s="21">
        <f t="shared" si="164"/>
        <v>0.36354166666666665</v>
      </c>
    </row>
    <row r="3499" spans="2:19" ht="11.4" customHeight="1" x14ac:dyDescent="0.2">
      <c r="B3499" s="24"/>
      <c r="C3499" s="14">
        <v>38006</v>
      </c>
      <c r="D3499" s="18" t="s">
        <v>3659</v>
      </c>
      <c r="E3499" s="18" t="s">
        <v>3636</v>
      </c>
      <c r="F3499" s="17">
        <v>24</v>
      </c>
      <c r="G3499" s="18" t="s">
        <v>23</v>
      </c>
      <c r="H3499" s="17">
        <v>19.5</v>
      </c>
      <c r="I3499" s="15">
        <v>25.9</v>
      </c>
      <c r="J3499" s="21">
        <f t="shared" si="162"/>
        <v>0.32820512820512815</v>
      </c>
      <c r="K3499" s="1">
        <v>2</v>
      </c>
      <c r="L3499" s="24">
        <v>2.5</v>
      </c>
      <c r="M3499" s="24">
        <v>23.31</v>
      </c>
      <c r="N3499" s="21">
        <f t="shared" si="163"/>
        <v>0.19538461538461532</v>
      </c>
      <c r="P3499" s="1">
        <v>4</v>
      </c>
      <c r="Q3499" s="24">
        <v>3.1080000000000005</v>
      </c>
      <c r="R3499" s="24">
        <v>22.791999999999998</v>
      </c>
      <c r="S3499" s="21">
        <f t="shared" si="164"/>
        <v>0.16882051282051272</v>
      </c>
    </row>
    <row r="3500" spans="2:19" ht="11.4" customHeight="1" x14ac:dyDescent="0.2">
      <c r="B3500" s="24"/>
      <c r="C3500" s="14">
        <v>34039</v>
      </c>
      <c r="D3500" s="18" t="s">
        <v>3660</v>
      </c>
      <c r="E3500" s="18" t="s">
        <v>3636</v>
      </c>
      <c r="F3500" s="17">
        <v>20</v>
      </c>
      <c r="G3500" s="18" t="s">
        <v>23</v>
      </c>
      <c r="H3500" s="17">
        <v>27.9</v>
      </c>
      <c r="I3500" s="15">
        <v>29.7</v>
      </c>
      <c r="J3500" s="21">
        <f t="shared" si="162"/>
        <v>6.451612903225809E-2</v>
      </c>
      <c r="K3500" s="1">
        <v>2</v>
      </c>
      <c r="L3500" s="24">
        <v>2.9</v>
      </c>
      <c r="M3500" s="24">
        <v>26.73</v>
      </c>
      <c r="N3500" s="21">
        <f t="shared" si="163"/>
        <v>-4.1935483870967676E-2</v>
      </c>
      <c r="P3500" s="1">
        <v>4</v>
      </c>
      <c r="Q3500" s="24">
        <v>3.5640000000000001</v>
      </c>
      <c r="R3500" s="24">
        <v>26.135999999999999</v>
      </c>
      <c r="S3500" s="21">
        <f t="shared" si="164"/>
        <v>-6.3225806451612881E-2</v>
      </c>
    </row>
    <row r="3501" spans="2:19" ht="11.4" customHeight="1" x14ac:dyDescent="0.2">
      <c r="B3501" s="24"/>
      <c r="C3501" s="14">
        <v>38786</v>
      </c>
      <c r="D3501" s="18" t="s">
        <v>3661</v>
      </c>
      <c r="E3501" s="18" t="s">
        <v>3624</v>
      </c>
      <c r="F3501" s="17">
        <v>16</v>
      </c>
      <c r="G3501" s="18" t="s">
        <v>23</v>
      </c>
      <c r="H3501" s="17">
        <v>39.9</v>
      </c>
      <c r="I3501" s="15">
        <v>44.9</v>
      </c>
      <c r="J3501" s="21">
        <f t="shared" si="162"/>
        <v>0.12531328320802004</v>
      </c>
      <c r="K3501" s="1">
        <v>2</v>
      </c>
      <c r="L3501" s="24">
        <v>4.4000000000000004</v>
      </c>
      <c r="M3501" s="24">
        <v>40.409999999999997</v>
      </c>
      <c r="N3501" s="21">
        <f t="shared" si="163"/>
        <v>1.2781954887217995E-2</v>
      </c>
      <c r="P3501" s="1">
        <v>4</v>
      </c>
      <c r="Q3501" s="24">
        <v>5.3879999999999981</v>
      </c>
      <c r="R3501" s="24">
        <v>39.512</v>
      </c>
      <c r="S3501" s="21">
        <f t="shared" si="164"/>
        <v>-9.724310776942309E-3</v>
      </c>
    </row>
    <row r="3502" spans="2:19" ht="11.4" customHeight="1" x14ac:dyDescent="0.2">
      <c r="B3502" s="24"/>
      <c r="C3502" s="14">
        <v>38819</v>
      </c>
      <c r="D3502" s="18" t="s">
        <v>3662</v>
      </c>
      <c r="E3502" s="18" t="s">
        <v>3624</v>
      </c>
      <c r="F3502" s="17">
        <v>24</v>
      </c>
      <c r="G3502" s="18" t="s">
        <v>23</v>
      </c>
      <c r="H3502" s="17">
        <v>9.9</v>
      </c>
      <c r="I3502" s="15">
        <v>12.5</v>
      </c>
      <c r="J3502" s="21">
        <f t="shared" si="162"/>
        <v>0.2626262626262626</v>
      </c>
      <c r="K3502" s="1">
        <v>2</v>
      </c>
      <c r="L3502" s="24">
        <v>1.2</v>
      </c>
      <c r="M3502" s="24">
        <v>11.25</v>
      </c>
      <c r="N3502" s="21">
        <f t="shared" si="163"/>
        <v>0.13636363636363633</v>
      </c>
      <c r="P3502" s="1">
        <v>4</v>
      </c>
      <c r="Q3502" s="24">
        <v>1.5</v>
      </c>
      <c r="R3502" s="24">
        <v>11</v>
      </c>
      <c r="S3502" s="21">
        <f t="shared" si="164"/>
        <v>0.11111111111111108</v>
      </c>
    </row>
    <row r="3503" spans="2:19" ht="11.4" customHeight="1" x14ac:dyDescent="0.2">
      <c r="B3503" s="24"/>
      <c r="C3503" s="14">
        <v>38818</v>
      </c>
      <c r="D3503" s="18" t="s">
        <v>3663</v>
      </c>
      <c r="E3503" s="18" t="s">
        <v>3624</v>
      </c>
      <c r="F3503" s="17">
        <v>8</v>
      </c>
      <c r="G3503" s="18" t="s">
        <v>23</v>
      </c>
      <c r="H3503" s="17">
        <v>26.9</v>
      </c>
      <c r="I3503" s="15">
        <v>36.9</v>
      </c>
      <c r="J3503" s="21">
        <f t="shared" si="162"/>
        <v>0.37174721189591081</v>
      </c>
      <c r="K3503" s="1">
        <v>2</v>
      </c>
      <c r="L3503" s="24">
        <v>3.6</v>
      </c>
      <c r="M3503" s="24">
        <v>33.21</v>
      </c>
      <c r="N3503" s="21">
        <f t="shared" si="163"/>
        <v>0.2345724907063198</v>
      </c>
      <c r="P3503" s="1">
        <v>4</v>
      </c>
      <c r="Q3503" s="24">
        <v>4.4279999999999973</v>
      </c>
      <c r="R3503" s="24">
        <v>32.472000000000001</v>
      </c>
      <c r="S3503" s="21">
        <f t="shared" si="164"/>
        <v>0.2071375464684016</v>
      </c>
    </row>
    <row r="3504" spans="2:19" ht="11.4" customHeight="1" x14ac:dyDescent="0.2">
      <c r="B3504" s="24"/>
      <c r="C3504" s="14">
        <v>44029</v>
      </c>
      <c r="D3504" s="18" t="s">
        <v>3664</v>
      </c>
      <c r="E3504" s="18" t="s">
        <v>3346</v>
      </c>
      <c r="F3504" s="17">
        <v>3</v>
      </c>
      <c r="G3504" s="18" t="s">
        <v>902</v>
      </c>
      <c r="H3504" s="17">
        <v>165</v>
      </c>
      <c r="I3504" s="15">
        <v>263.89999999999998</v>
      </c>
      <c r="J3504" s="21">
        <f t="shared" si="162"/>
        <v>0.59939393939393926</v>
      </c>
      <c r="K3504" s="1">
        <v>1</v>
      </c>
      <c r="L3504" s="24">
        <v>26.3</v>
      </c>
      <c r="M3504" s="24">
        <v>237.51</v>
      </c>
      <c r="N3504" s="21">
        <f t="shared" si="163"/>
        <v>0.43945454545454538</v>
      </c>
      <c r="P3504" s="1">
        <v>4</v>
      </c>
      <c r="Q3504" s="24">
        <v>26.389999999999986</v>
      </c>
      <c r="R3504" s="24">
        <v>237.51</v>
      </c>
      <c r="S3504" s="21">
        <f t="shared" si="164"/>
        <v>0.43945454545454538</v>
      </c>
    </row>
    <row r="3505" spans="2:19" ht="11.4" customHeight="1" x14ac:dyDescent="0.2">
      <c r="B3505" s="24"/>
      <c r="C3505" s="14">
        <v>33397</v>
      </c>
      <c r="D3505" s="18" t="s">
        <v>3665</v>
      </c>
      <c r="E3505" s="18" t="s">
        <v>3346</v>
      </c>
      <c r="F3505" s="17">
        <v>24</v>
      </c>
      <c r="G3505" s="18" t="s">
        <v>23</v>
      </c>
      <c r="H3505" s="17">
        <v>27.5</v>
      </c>
      <c r="I3505" s="15">
        <v>29.9</v>
      </c>
      <c r="J3505" s="21">
        <f t="shared" si="162"/>
        <v>8.7272727272727224E-2</v>
      </c>
      <c r="K3505" s="1">
        <v>2</v>
      </c>
      <c r="L3505" s="24">
        <v>2.9</v>
      </c>
      <c r="M3505" s="24">
        <v>26.91</v>
      </c>
      <c r="N3505" s="21">
        <f t="shared" si="163"/>
        <v>-2.1454545454545448E-2</v>
      </c>
      <c r="P3505" s="1">
        <v>4</v>
      </c>
      <c r="Q3505" s="24">
        <v>3.588000000000001</v>
      </c>
      <c r="R3505" s="24">
        <v>26.311999999999998</v>
      </c>
      <c r="S3505" s="21">
        <f t="shared" si="164"/>
        <v>-4.3200000000000086E-2</v>
      </c>
    </row>
    <row r="3506" spans="2:19" ht="11.4" customHeight="1" x14ac:dyDescent="0.2">
      <c r="B3506" s="24"/>
      <c r="C3506" s="14">
        <v>45345</v>
      </c>
      <c r="D3506" s="18" t="s">
        <v>3666</v>
      </c>
      <c r="E3506" s="18" t="s">
        <v>3667</v>
      </c>
      <c r="F3506" s="18"/>
      <c r="G3506" s="18" t="s">
        <v>902</v>
      </c>
      <c r="H3506" s="17">
        <v>115.34</v>
      </c>
      <c r="I3506" s="15">
        <v>180</v>
      </c>
      <c r="J3506" s="21">
        <f t="shared" si="162"/>
        <v>0.56060343332755325</v>
      </c>
      <c r="K3506" s="1">
        <v>1</v>
      </c>
      <c r="L3506" s="24">
        <v>18</v>
      </c>
      <c r="M3506" s="24">
        <v>162</v>
      </c>
      <c r="N3506" s="21">
        <f t="shared" si="163"/>
        <v>0.40454308999479793</v>
      </c>
      <c r="P3506" s="1">
        <v>4</v>
      </c>
      <c r="Q3506" s="24">
        <v>18</v>
      </c>
      <c r="R3506" s="24">
        <v>162</v>
      </c>
      <c r="S3506" s="21">
        <f t="shared" si="164"/>
        <v>0.40454308999479793</v>
      </c>
    </row>
    <row r="3507" spans="2:19" ht="11.4" customHeight="1" x14ac:dyDescent="0.2">
      <c r="B3507" s="24"/>
      <c r="C3507" s="14">
        <v>45347</v>
      </c>
      <c r="D3507" s="18" t="s">
        <v>3668</v>
      </c>
      <c r="E3507" s="18" t="s">
        <v>3667</v>
      </c>
      <c r="F3507" s="18"/>
      <c r="G3507" s="18" t="s">
        <v>902</v>
      </c>
      <c r="H3507" s="17">
        <v>104.93</v>
      </c>
      <c r="I3507" s="15">
        <v>181.2</v>
      </c>
      <c r="J3507" s="21">
        <f t="shared" si="162"/>
        <v>0.72686552940055249</v>
      </c>
      <c r="K3507" s="1">
        <v>1</v>
      </c>
      <c r="L3507" s="24">
        <v>18.100000000000001</v>
      </c>
      <c r="M3507" s="24">
        <v>163.07999999999998</v>
      </c>
      <c r="N3507" s="21">
        <f t="shared" si="163"/>
        <v>0.55417897646049719</v>
      </c>
      <c r="P3507" s="1">
        <v>4</v>
      </c>
      <c r="Q3507" s="24">
        <v>18.120000000000005</v>
      </c>
      <c r="R3507" s="24">
        <v>163.07999999999998</v>
      </c>
      <c r="S3507" s="21">
        <f t="shared" si="164"/>
        <v>0.55417897646049719</v>
      </c>
    </row>
    <row r="3508" spans="2:19" ht="11.4" customHeight="1" x14ac:dyDescent="0.2">
      <c r="B3508" s="24"/>
      <c r="C3508" s="14">
        <v>26167</v>
      </c>
      <c r="D3508" s="18" t="s">
        <v>3669</v>
      </c>
      <c r="E3508" s="18" t="s">
        <v>3667</v>
      </c>
      <c r="F3508" s="17">
        <v>2.4</v>
      </c>
      <c r="G3508" s="18" t="s">
        <v>902</v>
      </c>
      <c r="H3508" s="17">
        <v>125.76</v>
      </c>
      <c r="I3508" s="15">
        <v>213.9</v>
      </c>
      <c r="J3508" s="21">
        <f t="shared" si="162"/>
        <v>0.70085877862595414</v>
      </c>
      <c r="K3508" s="1">
        <v>1</v>
      </c>
      <c r="L3508" s="24">
        <v>21.3</v>
      </c>
      <c r="M3508" s="24">
        <v>192.51000000000002</v>
      </c>
      <c r="N3508" s="21">
        <f t="shared" si="163"/>
        <v>0.53077290076335892</v>
      </c>
      <c r="P3508" s="1">
        <v>4</v>
      </c>
      <c r="Q3508" s="24">
        <v>21.389999999999986</v>
      </c>
      <c r="R3508" s="24">
        <v>192.51000000000002</v>
      </c>
      <c r="S3508" s="21">
        <f t="shared" si="164"/>
        <v>0.53077290076335892</v>
      </c>
    </row>
    <row r="3509" spans="2:19" ht="11.4" customHeight="1" x14ac:dyDescent="0.2">
      <c r="B3509" s="24"/>
      <c r="C3509" s="14">
        <v>45348</v>
      </c>
      <c r="D3509" s="18" t="s">
        <v>3670</v>
      </c>
      <c r="E3509" s="18" t="s">
        <v>3667</v>
      </c>
      <c r="F3509" s="18"/>
      <c r="G3509" s="18" t="s">
        <v>902</v>
      </c>
      <c r="H3509" s="17">
        <v>115.34</v>
      </c>
      <c r="I3509" s="15">
        <v>180</v>
      </c>
      <c r="J3509" s="21">
        <f t="shared" si="162"/>
        <v>0.56060343332755325</v>
      </c>
      <c r="K3509" s="1">
        <v>1</v>
      </c>
      <c r="L3509" s="24">
        <v>18</v>
      </c>
      <c r="M3509" s="24">
        <v>162</v>
      </c>
      <c r="N3509" s="21">
        <f t="shared" si="163"/>
        <v>0.40454308999479793</v>
      </c>
      <c r="P3509" s="1">
        <v>4</v>
      </c>
      <c r="Q3509" s="24">
        <v>18</v>
      </c>
      <c r="R3509" s="24">
        <v>162</v>
      </c>
      <c r="S3509" s="21">
        <f t="shared" si="164"/>
        <v>0.40454308999479793</v>
      </c>
    </row>
    <row r="3510" spans="2:19" ht="11.4" customHeight="1" x14ac:dyDescent="0.2">
      <c r="B3510" s="24"/>
      <c r="C3510" s="14">
        <v>26169</v>
      </c>
      <c r="D3510" s="18" t="s">
        <v>3671</v>
      </c>
      <c r="E3510" s="18" t="s">
        <v>3667</v>
      </c>
      <c r="F3510" s="17">
        <v>2.4</v>
      </c>
      <c r="G3510" s="18" t="s">
        <v>902</v>
      </c>
      <c r="H3510" s="17">
        <v>143.82</v>
      </c>
      <c r="I3510" s="15">
        <v>229.9</v>
      </c>
      <c r="J3510" s="21">
        <f t="shared" si="162"/>
        <v>0.59852593519677388</v>
      </c>
      <c r="K3510" s="1">
        <v>1</v>
      </c>
      <c r="L3510" s="24">
        <v>22.9</v>
      </c>
      <c r="M3510" s="24">
        <v>206.91</v>
      </c>
      <c r="N3510" s="21">
        <f t="shared" si="163"/>
        <v>0.43867334167709643</v>
      </c>
      <c r="P3510" s="1">
        <v>4</v>
      </c>
      <c r="Q3510" s="24">
        <v>22.990000000000009</v>
      </c>
      <c r="R3510" s="24">
        <v>206.91</v>
      </c>
      <c r="S3510" s="21">
        <f t="shared" si="164"/>
        <v>0.43867334167709643</v>
      </c>
    </row>
    <row r="3511" spans="2:19" ht="11.4" customHeight="1" x14ac:dyDescent="0.2">
      <c r="B3511" s="24"/>
      <c r="C3511" s="14">
        <v>1337</v>
      </c>
      <c r="D3511" s="18" t="s">
        <v>3672</v>
      </c>
      <c r="E3511" s="18" t="s">
        <v>3346</v>
      </c>
      <c r="F3511" s="17">
        <v>36</v>
      </c>
      <c r="G3511" s="18" t="s">
        <v>23</v>
      </c>
      <c r="H3511" s="17">
        <v>30.54</v>
      </c>
      <c r="I3511" s="15">
        <v>36.5</v>
      </c>
      <c r="J3511" s="21">
        <f t="shared" si="162"/>
        <v>0.19515389652914214</v>
      </c>
      <c r="K3511" s="1">
        <v>2</v>
      </c>
      <c r="L3511" s="24">
        <v>3.6</v>
      </c>
      <c r="M3511" s="24">
        <v>32.85</v>
      </c>
      <c r="N3511" s="21">
        <f t="shared" si="163"/>
        <v>7.5638506876227973E-2</v>
      </c>
      <c r="P3511" s="1">
        <v>4</v>
      </c>
      <c r="Q3511" s="24">
        <v>4.3800000000000026</v>
      </c>
      <c r="R3511" s="24">
        <v>32.119999999999997</v>
      </c>
      <c r="S3511" s="21">
        <f t="shared" si="164"/>
        <v>5.1735428945645E-2</v>
      </c>
    </row>
    <row r="3512" spans="2:19" ht="11.4" customHeight="1" x14ac:dyDescent="0.2">
      <c r="B3512" s="24"/>
      <c r="C3512" s="14">
        <v>24307</v>
      </c>
      <c r="D3512" s="18" t="s">
        <v>3673</v>
      </c>
      <c r="E3512" s="18" t="s">
        <v>3346</v>
      </c>
      <c r="F3512" s="17">
        <v>16</v>
      </c>
      <c r="G3512" s="18" t="s">
        <v>23</v>
      </c>
      <c r="H3512" s="17">
        <v>59.16</v>
      </c>
      <c r="I3512" s="15">
        <v>67.5</v>
      </c>
      <c r="J3512" s="21">
        <f t="shared" si="162"/>
        <v>0.14097363083164308</v>
      </c>
      <c r="K3512" s="1">
        <v>2</v>
      </c>
      <c r="L3512" s="24">
        <v>6.7</v>
      </c>
      <c r="M3512" s="24">
        <v>60.75</v>
      </c>
      <c r="N3512" s="21">
        <f t="shared" si="163"/>
        <v>2.687626774847876E-2</v>
      </c>
      <c r="P3512" s="1">
        <v>4</v>
      </c>
      <c r="Q3512" s="24">
        <v>8.1000000000000014</v>
      </c>
      <c r="R3512" s="24">
        <v>59.4</v>
      </c>
      <c r="S3512" s="21">
        <f t="shared" si="164"/>
        <v>4.0567951318458756E-3</v>
      </c>
    </row>
    <row r="3513" spans="2:19" ht="11.4" customHeight="1" x14ac:dyDescent="0.2">
      <c r="B3513" s="24"/>
      <c r="C3513" s="14">
        <v>36446</v>
      </c>
      <c r="D3513" s="18" t="s">
        <v>3674</v>
      </c>
      <c r="E3513" s="18" t="s">
        <v>3346</v>
      </c>
      <c r="F3513" s="18"/>
      <c r="G3513" s="18" t="s">
        <v>23</v>
      </c>
      <c r="H3513" s="17">
        <v>57.6</v>
      </c>
      <c r="I3513" s="15">
        <v>73.900000000000006</v>
      </c>
      <c r="J3513" s="21">
        <f t="shared" si="162"/>
        <v>0.28298611111111116</v>
      </c>
      <c r="K3513" s="1">
        <v>2</v>
      </c>
      <c r="L3513" s="24">
        <v>7.3</v>
      </c>
      <c r="M3513" s="24">
        <v>66.510000000000005</v>
      </c>
      <c r="N3513" s="21">
        <f t="shared" si="163"/>
        <v>0.15468750000000006</v>
      </c>
      <c r="P3513" s="1">
        <v>4</v>
      </c>
      <c r="Q3513" s="24">
        <v>8.867999999999995</v>
      </c>
      <c r="R3513" s="24">
        <v>65.032000000000011</v>
      </c>
      <c r="S3513" s="21">
        <f t="shared" si="164"/>
        <v>0.12902777777777794</v>
      </c>
    </row>
    <row r="3514" spans="2:19" ht="11.4" customHeight="1" x14ac:dyDescent="0.2">
      <c r="B3514" s="24"/>
      <c r="C3514" s="14">
        <v>38008</v>
      </c>
      <c r="D3514" s="18" t="s">
        <v>3675</v>
      </c>
      <c r="E3514" s="18" t="s">
        <v>3346</v>
      </c>
      <c r="F3514" s="17">
        <v>24</v>
      </c>
      <c r="G3514" s="18" t="s">
        <v>23</v>
      </c>
      <c r="H3514" s="17">
        <v>14.3</v>
      </c>
      <c r="I3514" s="15">
        <v>14.9</v>
      </c>
      <c r="J3514" s="21">
        <f t="shared" si="162"/>
        <v>4.1958041958041932E-2</v>
      </c>
      <c r="K3514" s="1">
        <v>2</v>
      </c>
      <c r="L3514" s="24">
        <v>1.4</v>
      </c>
      <c r="M3514" s="24">
        <v>13.41</v>
      </c>
      <c r="N3514" s="21">
        <f t="shared" si="163"/>
        <v>-6.2237762237762277E-2</v>
      </c>
      <c r="P3514" s="1">
        <v>4</v>
      </c>
      <c r="Q3514" s="24">
        <v>1.7880000000000003</v>
      </c>
      <c r="R3514" s="24">
        <v>13.112</v>
      </c>
      <c r="S3514" s="21">
        <f t="shared" si="164"/>
        <v>-8.3076923076923118E-2</v>
      </c>
    </row>
    <row r="3515" spans="2:19" ht="11.4" customHeight="1" x14ac:dyDescent="0.2">
      <c r="B3515" s="24"/>
      <c r="C3515" s="14">
        <v>32712</v>
      </c>
      <c r="D3515" s="18" t="s">
        <v>3676</v>
      </c>
      <c r="E3515" s="18" t="s">
        <v>3346</v>
      </c>
      <c r="F3515" s="17">
        <v>30</v>
      </c>
      <c r="G3515" s="18" t="s">
        <v>23</v>
      </c>
      <c r="H3515" s="17">
        <v>13.5</v>
      </c>
      <c r="I3515" s="15">
        <v>13.9</v>
      </c>
      <c r="J3515" s="21">
        <f t="shared" si="162"/>
        <v>2.9629629629629655E-2</v>
      </c>
      <c r="K3515" s="1">
        <v>2</v>
      </c>
      <c r="L3515" s="24">
        <v>1.3</v>
      </c>
      <c r="M3515" s="24">
        <v>12.51</v>
      </c>
      <c r="N3515" s="21">
        <f t="shared" si="163"/>
        <v>-7.3333333333333348E-2</v>
      </c>
      <c r="P3515" s="1">
        <v>4</v>
      </c>
      <c r="Q3515" s="24">
        <v>1.6679999999999993</v>
      </c>
      <c r="R3515" s="24">
        <v>12.232000000000001</v>
      </c>
      <c r="S3515" s="21">
        <f t="shared" si="164"/>
        <v>-9.3925925925925843E-2</v>
      </c>
    </row>
    <row r="3516" spans="2:19" ht="11.4" customHeight="1" x14ac:dyDescent="0.2">
      <c r="B3516" s="24"/>
      <c r="C3516" s="14">
        <v>32711</v>
      </c>
      <c r="D3516" s="18" t="s">
        <v>3677</v>
      </c>
      <c r="E3516" s="18" t="s">
        <v>3346</v>
      </c>
      <c r="F3516" s="17">
        <v>30</v>
      </c>
      <c r="G3516" s="18" t="s">
        <v>23</v>
      </c>
      <c r="H3516" s="17">
        <v>15</v>
      </c>
      <c r="I3516" s="15">
        <v>15.9</v>
      </c>
      <c r="J3516" s="21">
        <f t="shared" si="162"/>
        <v>6.0000000000000026E-2</v>
      </c>
      <c r="K3516" s="1">
        <v>2</v>
      </c>
      <c r="L3516" s="24">
        <v>1.5</v>
      </c>
      <c r="M3516" s="24">
        <v>14.31</v>
      </c>
      <c r="N3516" s="21">
        <f t="shared" si="163"/>
        <v>-4.5999999999999965E-2</v>
      </c>
      <c r="P3516" s="1">
        <v>4</v>
      </c>
      <c r="Q3516" s="24">
        <v>1.9079999999999995</v>
      </c>
      <c r="R3516" s="24">
        <v>13.992000000000001</v>
      </c>
      <c r="S3516" s="21">
        <f t="shared" si="164"/>
        <v>-6.719999999999994E-2</v>
      </c>
    </row>
    <row r="3517" spans="2:19" ht="11.4" customHeight="1" x14ac:dyDescent="0.2">
      <c r="B3517" s="24"/>
      <c r="C3517" s="14">
        <v>11902</v>
      </c>
      <c r="D3517" s="18" t="s">
        <v>3678</v>
      </c>
      <c r="E3517" s="18" t="s">
        <v>3667</v>
      </c>
      <c r="F3517" s="17">
        <v>2.4</v>
      </c>
      <c r="G3517" s="18" t="s">
        <v>902</v>
      </c>
      <c r="H3517" s="17">
        <v>166.32</v>
      </c>
      <c r="I3517" s="15">
        <v>263.89999999999998</v>
      </c>
      <c r="J3517" s="21">
        <f t="shared" si="162"/>
        <v>0.58670033670033661</v>
      </c>
      <c r="K3517" s="1">
        <v>1</v>
      </c>
      <c r="L3517" s="24">
        <v>26.3</v>
      </c>
      <c r="M3517" s="24">
        <v>237.51</v>
      </c>
      <c r="N3517" s="21">
        <f t="shared" si="163"/>
        <v>0.42803030303030304</v>
      </c>
      <c r="P3517" s="1">
        <v>4</v>
      </c>
      <c r="Q3517" s="24">
        <v>26.389999999999986</v>
      </c>
      <c r="R3517" s="24">
        <v>237.51</v>
      </c>
      <c r="S3517" s="21">
        <f t="shared" si="164"/>
        <v>0.42803030303030304</v>
      </c>
    </row>
    <row r="3518" spans="2:19" ht="11.4" customHeight="1" x14ac:dyDescent="0.2">
      <c r="B3518" s="24"/>
      <c r="C3518" s="14">
        <v>34875</v>
      </c>
      <c r="D3518" s="18" t="s">
        <v>3679</v>
      </c>
      <c r="E3518" s="18" t="s">
        <v>3346</v>
      </c>
      <c r="F3518" s="17">
        <v>20</v>
      </c>
      <c r="G3518" s="18" t="s">
        <v>23</v>
      </c>
      <c r="H3518" s="17">
        <v>22.2</v>
      </c>
      <c r="I3518" s="15">
        <v>26</v>
      </c>
      <c r="J3518" s="21">
        <f t="shared" si="162"/>
        <v>0.1711711711711712</v>
      </c>
      <c r="K3518" s="1">
        <v>2</v>
      </c>
      <c r="L3518" s="24">
        <v>2.6</v>
      </c>
      <c r="M3518" s="24">
        <v>23.400000000000002</v>
      </c>
      <c r="N3518" s="21">
        <f t="shared" si="163"/>
        <v>5.4054054054054182E-2</v>
      </c>
      <c r="P3518" s="1">
        <v>4</v>
      </c>
      <c r="Q3518" s="24">
        <v>3.120000000000001</v>
      </c>
      <c r="R3518" s="24">
        <v>22.88</v>
      </c>
      <c r="S3518" s="21">
        <f t="shared" si="164"/>
        <v>3.063063063063062E-2</v>
      </c>
    </row>
    <row r="3519" spans="2:19" ht="11.4" customHeight="1" x14ac:dyDescent="0.2">
      <c r="B3519" s="24"/>
      <c r="C3519" s="14">
        <v>32713</v>
      </c>
      <c r="D3519" s="18" t="s">
        <v>3680</v>
      </c>
      <c r="E3519" s="18" t="s">
        <v>3346</v>
      </c>
      <c r="F3519" s="17">
        <v>16</v>
      </c>
      <c r="G3519" s="18" t="s">
        <v>23</v>
      </c>
      <c r="H3519" s="17">
        <v>18.7</v>
      </c>
      <c r="I3519" s="15">
        <v>19.899999999999999</v>
      </c>
      <c r="J3519" s="21">
        <f t="shared" si="162"/>
        <v>6.4171122994652371E-2</v>
      </c>
      <c r="K3519" s="1">
        <v>2</v>
      </c>
      <c r="L3519" s="24">
        <v>1.9</v>
      </c>
      <c r="M3519" s="24">
        <v>17.91</v>
      </c>
      <c r="N3519" s="21">
        <f t="shared" si="163"/>
        <v>-4.2245989304812791E-2</v>
      </c>
      <c r="P3519" s="1">
        <v>4</v>
      </c>
      <c r="Q3519" s="24">
        <v>2.3879999999999981</v>
      </c>
      <c r="R3519" s="24">
        <v>17.512</v>
      </c>
      <c r="S3519" s="21">
        <f t="shared" si="164"/>
        <v>-6.352941176470582E-2</v>
      </c>
    </row>
    <row r="3520" spans="2:19" ht="11.4" customHeight="1" x14ac:dyDescent="0.2">
      <c r="B3520" s="24"/>
      <c r="C3520" s="14">
        <v>47024</v>
      </c>
      <c r="D3520" s="18" t="s">
        <v>3681</v>
      </c>
      <c r="E3520" s="18" t="s">
        <v>3447</v>
      </c>
      <c r="F3520" s="18"/>
      <c r="G3520" s="18" t="s">
        <v>23</v>
      </c>
      <c r="H3520" s="17">
        <v>16.260000000000002</v>
      </c>
      <c r="I3520" s="15">
        <v>24.9</v>
      </c>
      <c r="J3520" s="21">
        <f t="shared" si="162"/>
        <v>0.53136531365313633</v>
      </c>
      <c r="K3520" s="1">
        <v>2</v>
      </c>
      <c r="L3520" s="24">
        <v>2.4</v>
      </c>
      <c r="M3520" s="24">
        <v>22.41</v>
      </c>
      <c r="N3520" s="21">
        <f t="shared" si="163"/>
        <v>0.37822878228782275</v>
      </c>
      <c r="P3520" s="1">
        <v>4</v>
      </c>
      <c r="Q3520" s="24">
        <v>2.9879999999999995</v>
      </c>
      <c r="R3520" s="24">
        <v>21.911999999999999</v>
      </c>
      <c r="S3520" s="21">
        <f t="shared" si="164"/>
        <v>0.34760147601475994</v>
      </c>
    </row>
    <row r="3521" spans="2:19" ht="11.4" customHeight="1" x14ac:dyDescent="0.2">
      <c r="B3521" s="24"/>
      <c r="C3521" s="14">
        <v>41807</v>
      </c>
      <c r="D3521" s="18" t="s">
        <v>3682</v>
      </c>
      <c r="E3521" s="18" t="s">
        <v>3447</v>
      </c>
      <c r="F3521" s="17">
        <v>50</v>
      </c>
      <c r="G3521" s="18" t="s">
        <v>23</v>
      </c>
      <c r="H3521" s="17">
        <v>6.06</v>
      </c>
      <c r="I3521" s="15">
        <v>8.9</v>
      </c>
      <c r="J3521" s="21">
        <f t="shared" si="162"/>
        <v>0.46864686468646882</v>
      </c>
      <c r="K3521" s="1">
        <v>2</v>
      </c>
      <c r="L3521" s="24">
        <v>0.8</v>
      </c>
      <c r="M3521" s="24">
        <v>8.01</v>
      </c>
      <c r="N3521" s="21">
        <f t="shared" si="163"/>
        <v>0.32178217821782185</v>
      </c>
      <c r="P3521" s="1">
        <v>4</v>
      </c>
      <c r="Q3521" s="24">
        <v>1.0679999999999996</v>
      </c>
      <c r="R3521" s="24">
        <v>7.8320000000000007</v>
      </c>
      <c r="S3521" s="21">
        <f t="shared" si="164"/>
        <v>0.29240924092409259</v>
      </c>
    </row>
    <row r="3522" spans="2:19" ht="11.4" customHeight="1" x14ac:dyDescent="0.2">
      <c r="B3522" s="24"/>
      <c r="C3522" s="14">
        <v>47368</v>
      </c>
      <c r="D3522" s="18" t="s">
        <v>3683</v>
      </c>
      <c r="E3522" s="18" t="s">
        <v>3346</v>
      </c>
      <c r="F3522" s="17">
        <v>288</v>
      </c>
      <c r="G3522" s="18" t="s">
        <v>23</v>
      </c>
      <c r="H3522" s="17">
        <v>25.74</v>
      </c>
      <c r="I3522" s="15">
        <v>29.9</v>
      </c>
      <c r="J3522" s="21">
        <f t="shared" si="162"/>
        <v>0.16161616161616163</v>
      </c>
      <c r="K3522" s="1">
        <v>2</v>
      </c>
      <c r="L3522" s="24">
        <v>2.9</v>
      </c>
      <c r="M3522" s="24">
        <v>26.91</v>
      </c>
      <c r="N3522" s="21">
        <f t="shared" si="163"/>
        <v>4.5454545454545525E-2</v>
      </c>
      <c r="P3522" s="1">
        <v>4</v>
      </c>
      <c r="Q3522" s="24">
        <v>3.588000000000001</v>
      </c>
      <c r="R3522" s="24">
        <v>26.311999999999998</v>
      </c>
      <c r="S3522" s="21">
        <f t="shared" si="164"/>
        <v>2.2222222222222192E-2</v>
      </c>
    </row>
    <row r="3523" spans="2:19" ht="11.4" customHeight="1" x14ac:dyDescent="0.2">
      <c r="B3523" s="24"/>
      <c r="C3523" s="14">
        <v>47369</v>
      </c>
      <c r="D3523" s="18" t="s">
        <v>3684</v>
      </c>
      <c r="E3523" s="18" t="s">
        <v>3346</v>
      </c>
      <c r="F3523" s="17">
        <v>24</v>
      </c>
      <c r="G3523" s="18" t="s">
        <v>23</v>
      </c>
      <c r="H3523" s="17">
        <v>76.38</v>
      </c>
      <c r="I3523" s="15">
        <v>94.9</v>
      </c>
      <c r="J3523" s="21">
        <f t="shared" ref="J3523:J3586" si="165">(I3523-H3523)/H3523</f>
        <v>0.24247185126996612</v>
      </c>
      <c r="K3523" s="1">
        <v>2</v>
      </c>
      <c r="L3523" s="24">
        <v>9.4</v>
      </c>
      <c r="M3523" s="24">
        <v>85.410000000000011</v>
      </c>
      <c r="N3523" s="21">
        <f t="shared" ref="N3523:N3586" si="166">(M3523-H3523)/H3523</f>
        <v>0.11822466614296957</v>
      </c>
      <c r="P3523" s="1">
        <v>4</v>
      </c>
      <c r="Q3523" s="24">
        <v>11.388000000000005</v>
      </c>
      <c r="R3523" s="24">
        <v>83.512</v>
      </c>
      <c r="S3523" s="21">
        <f t="shared" ref="S3523:S3586" si="167">(R3523-H3523)/H3523</f>
        <v>9.337522911757011E-2</v>
      </c>
    </row>
    <row r="3524" spans="2:19" ht="11.4" customHeight="1" x14ac:dyDescent="0.2">
      <c r="B3524" s="24"/>
      <c r="C3524" s="14">
        <v>15999</v>
      </c>
      <c r="D3524" s="18" t="s">
        <v>3685</v>
      </c>
      <c r="E3524" s="18" t="s">
        <v>3346</v>
      </c>
      <c r="F3524" s="17">
        <v>14</v>
      </c>
      <c r="G3524" s="18" t="s">
        <v>23</v>
      </c>
      <c r="H3524" s="17">
        <v>22.68</v>
      </c>
      <c r="I3524" s="15">
        <v>27.9</v>
      </c>
      <c r="J3524" s="21">
        <f t="shared" si="165"/>
        <v>0.23015873015873012</v>
      </c>
      <c r="K3524" s="1">
        <v>2</v>
      </c>
      <c r="L3524" s="24">
        <v>2.7</v>
      </c>
      <c r="M3524" s="24">
        <v>25.11</v>
      </c>
      <c r="N3524" s="21">
        <f t="shared" si="166"/>
        <v>0.10714285714285714</v>
      </c>
      <c r="P3524" s="1">
        <v>4</v>
      </c>
      <c r="Q3524" s="24">
        <v>3.347999999999999</v>
      </c>
      <c r="R3524" s="24">
        <v>24.552</v>
      </c>
      <c r="S3524" s="21">
        <f t="shared" si="167"/>
        <v>8.2539682539682538E-2</v>
      </c>
    </row>
    <row r="3525" spans="2:19" ht="11.4" customHeight="1" x14ac:dyDescent="0.2">
      <c r="B3525" s="24"/>
      <c r="C3525" s="14">
        <v>34876</v>
      </c>
      <c r="D3525" s="18" t="s">
        <v>3686</v>
      </c>
      <c r="E3525" s="18" t="s">
        <v>3346</v>
      </c>
      <c r="F3525" s="17">
        <v>12</v>
      </c>
      <c r="G3525" s="18" t="s">
        <v>23</v>
      </c>
      <c r="H3525" s="17">
        <v>21</v>
      </c>
      <c r="I3525" s="15">
        <v>26</v>
      </c>
      <c r="J3525" s="21">
        <f t="shared" si="165"/>
        <v>0.23809523809523808</v>
      </c>
      <c r="K3525" s="1">
        <v>2</v>
      </c>
      <c r="L3525" s="24">
        <v>2.6</v>
      </c>
      <c r="M3525" s="24">
        <v>23.400000000000002</v>
      </c>
      <c r="N3525" s="21">
        <f t="shared" si="166"/>
        <v>0.11428571428571439</v>
      </c>
      <c r="P3525" s="1">
        <v>4</v>
      </c>
      <c r="Q3525" s="24">
        <v>3.120000000000001</v>
      </c>
      <c r="R3525" s="24">
        <v>22.88</v>
      </c>
      <c r="S3525" s="21">
        <f t="shared" si="167"/>
        <v>8.9523809523809478E-2</v>
      </c>
    </row>
    <row r="3526" spans="2:19" ht="11.4" customHeight="1" x14ac:dyDescent="0.2">
      <c r="B3526" s="24"/>
      <c r="C3526" s="14">
        <v>24313</v>
      </c>
      <c r="D3526" s="18" t="s">
        <v>3687</v>
      </c>
      <c r="E3526" s="18" t="s">
        <v>3346</v>
      </c>
      <c r="F3526" s="17">
        <v>14</v>
      </c>
      <c r="G3526" s="18" t="s">
        <v>23</v>
      </c>
      <c r="H3526" s="17">
        <v>22.68</v>
      </c>
      <c r="I3526" s="15">
        <v>27.9</v>
      </c>
      <c r="J3526" s="21">
        <f t="shared" si="165"/>
        <v>0.23015873015873012</v>
      </c>
      <c r="K3526" s="1">
        <v>2</v>
      </c>
      <c r="L3526" s="24">
        <v>2.7</v>
      </c>
      <c r="M3526" s="24">
        <v>25.11</v>
      </c>
      <c r="N3526" s="21">
        <f t="shared" si="166"/>
        <v>0.10714285714285714</v>
      </c>
      <c r="P3526" s="1">
        <v>4</v>
      </c>
      <c r="Q3526" s="24">
        <v>3.347999999999999</v>
      </c>
      <c r="R3526" s="24">
        <v>24.552</v>
      </c>
      <c r="S3526" s="21">
        <f t="shared" si="167"/>
        <v>8.2539682539682538E-2</v>
      </c>
    </row>
    <row r="3527" spans="2:19" ht="11.4" customHeight="1" x14ac:dyDescent="0.2">
      <c r="B3527" s="24"/>
      <c r="C3527" s="14">
        <v>44460</v>
      </c>
      <c r="D3527" s="18" t="s">
        <v>3688</v>
      </c>
      <c r="E3527" s="18" t="s">
        <v>3346</v>
      </c>
      <c r="F3527" s="17">
        <v>23</v>
      </c>
      <c r="G3527" s="18" t="s">
        <v>23</v>
      </c>
      <c r="H3527" s="17">
        <v>54.12</v>
      </c>
      <c r="I3527" s="15">
        <v>73.900000000000006</v>
      </c>
      <c r="J3527" s="21">
        <f t="shared" si="165"/>
        <v>0.36548410938654857</v>
      </c>
      <c r="K3527" s="1">
        <v>2</v>
      </c>
      <c r="L3527" s="24">
        <v>7.3</v>
      </c>
      <c r="M3527" s="24">
        <v>66.510000000000005</v>
      </c>
      <c r="N3527" s="21">
        <f t="shared" si="166"/>
        <v>0.22893569844789372</v>
      </c>
      <c r="P3527" s="1">
        <v>4</v>
      </c>
      <c r="Q3527" s="24">
        <v>8.867999999999995</v>
      </c>
      <c r="R3527" s="24">
        <v>65.032000000000011</v>
      </c>
      <c r="S3527" s="21">
        <f t="shared" si="167"/>
        <v>0.20162601626016285</v>
      </c>
    </row>
    <row r="3528" spans="2:19" ht="11.4" customHeight="1" x14ac:dyDescent="0.2">
      <c r="B3528" s="24"/>
      <c r="C3528" s="14">
        <v>24308</v>
      </c>
      <c r="D3528" s="18" t="s">
        <v>3689</v>
      </c>
      <c r="E3528" s="18" t="s">
        <v>3346</v>
      </c>
      <c r="F3528" s="17">
        <v>16</v>
      </c>
      <c r="G3528" s="18" t="s">
        <v>23</v>
      </c>
      <c r="H3528" s="17">
        <v>59.16</v>
      </c>
      <c r="I3528" s="15">
        <v>67.5</v>
      </c>
      <c r="J3528" s="21">
        <f t="shared" si="165"/>
        <v>0.14097363083164308</v>
      </c>
      <c r="K3528" s="1">
        <v>2</v>
      </c>
      <c r="L3528" s="24">
        <v>6.7</v>
      </c>
      <c r="M3528" s="24">
        <v>60.75</v>
      </c>
      <c r="N3528" s="21">
        <f t="shared" si="166"/>
        <v>2.687626774847876E-2</v>
      </c>
      <c r="P3528" s="1">
        <v>4</v>
      </c>
      <c r="Q3528" s="24">
        <v>8.1000000000000014</v>
      </c>
      <c r="R3528" s="24">
        <v>59.4</v>
      </c>
      <c r="S3528" s="21">
        <f t="shared" si="167"/>
        <v>4.0567951318458756E-3</v>
      </c>
    </row>
    <row r="3529" spans="2:19" ht="11.4" customHeight="1" x14ac:dyDescent="0.2">
      <c r="B3529" s="24"/>
      <c r="C3529" s="14">
        <v>34665</v>
      </c>
      <c r="D3529" s="18" t="s">
        <v>3690</v>
      </c>
      <c r="E3529" s="18" t="s">
        <v>3667</v>
      </c>
      <c r="F3529" s="17">
        <v>2.4</v>
      </c>
      <c r="G3529" s="18" t="s">
        <v>902</v>
      </c>
      <c r="H3529" s="17">
        <v>110.4</v>
      </c>
      <c r="I3529" s="15">
        <v>203.9</v>
      </c>
      <c r="J3529" s="21">
        <f t="shared" si="165"/>
        <v>0.84692028985507239</v>
      </c>
      <c r="K3529" s="1">
        <v>1</v>
      </c>
      <c r="L3529" s="24">
        <v>20.3</v>
      </c>
      <c r="M3529" s="24">
        <v>183.51000000000002</v>
      </c>
      <c r="N3529" s="21">
        <f t="shared" si="166"/>
        <v>0.66222826086956532</v>
      </c>
      <c r="P3529" s="1">
        <v>4</v>
      </c>
      <c r="Q3529" s="24">
        <v>20.389999999999986</v>
      </c>
      <c r="R3529" s="24">
        <v>183.51000000000002</v>
      </c>
      <c r="S3529" s="21">
        <f t="shared" si="167"/>
        <v>0.66222826086956532</v>
      </c>
    </row>
    <row r="3530" spans="2:19" ht="11.4" customHeight="1" x14ac:dyDescent="0.2">
      <c r="B3530" s="24"/>
      <c r="C3530" s="14">
        <v>32710</v>
      </c>
      <c r="D3530" s="18" t="s">
        <v>3691</v>
      </c>
      <c r="E3530" s="18" t="s">
        <v>3346</v>
      </c>
      <c r="F3530" s="17">
        <v>30</v>
      </c>
      <c r="G3530" s="18" t="s">
        <v>23</v>
      </c>
      <c r="H3530" s="17">
        <v>13.9</v>
      </c>
      <c r="I3530" s="15">
        <v>14.9</v>
      </c>
      <c r="J3530" s="21">
        <f t="shared" si="165"/>
        <v>7.1942446043165464E-2</v>
      </c>
      <c r="K3530" s="1">
        <v>2</v>
      </c>
      <c r="L3530" s="24">
        <v>1.4</v>
      </c>
      <c r="M3530" s="24">
        <v>13.41</v>
      </c>
      <c r="N3530" s="21">
        <f t="shared" si="166"/>
        <v>-3.5251798561151092E-2</v>
      </c>
      <c r="P3530" s="1">
        <v>4</v>
      </c>
      <c r="Q3530" s="24">
        <v>1.7880000000000003</v>
      </c>
      <c r="R3530" s="24">
        <v>13.112</v>
      </c>
      <c r="S3530" s="21">
        <f t="shared" si="167"/>
        <v>-5.6690647482014404E-2</v>
      </c>
    </row>
    <row r="3531" spans="2:19" ht="11.4" customHeight="1" x14ac:dyDescent="0.2">
      <c r="B3531" s="24"/>
      <c r="C3531" s="14">
        <v>33395</v>
      </c>
      <c r="D3531" s="18" t="s">
        <v>3692</v>
      </c>
      <c r="E3531" s="18" t="s">
        <v>3346</v>
      </c>
      <c r="F3531" s="17">
        <v>24</v>
      </c>
      <c r="G3531" s="18" t="s">
        <v>23</v>
      </c>
      <c r="H3531" s="17">
        <v>27.5</v>
      </c>
      <c r="I3531" s="15">
        <v>29.9</v>
      </c>
      <c r="J3531" s="21">
        <f t="shared" si="165"/>
        <v>8.7272727272727224E-2</v>
      </c>
      <c r="K3531" s="1">
        <v>2</v>
      </c>
      <c r="L3531" s="24">
        <v>2.9</v>
      </c>
      <c r="M3531" s="24">
        <v>26.91</v>
      </c>
      <c r="N3531" s="21">
        <f t="shared" si="166"/>
        <v>-2.1454545454545448E-2</v>
      </c>
      <c r="P3531" s="1">
        <v>4</v>
      </c>
      <c r="Q3531" s="24">
        <v>3.588000000000001</v>
      </c>
      <c r="R3531" s="24">
        <v>26.311999999999998</v>
      </c>
      <c r="S3531" s="21">
        <f t="shared" si="167"/>
        <v>-4.3200000000000086E-2</v>
      </c>
    </row>
    <row r="3532" spans="2:19" ht="11.4" customHeight="1" x14ac:dyDescent="0.2">
      <c r="B3532" s="24"/>
      <c r="C3532" s="14">
        <v>25890</v>
      </c>
      <c r="D3532" s="18" t="s">
        <v>3693</v>
      </c>
      <c r="E3532" s="18" t="s">
        <v>3346</v>
      </c>
      <c r="F3532" s="17">
        <v>15</v>
      </c>
      <c r="G3532" s="18" t="s">
        <v>23</v>
      </c>
      <c r="H3532" s="17">
        <v>77.5</v>
      </c>
      <c r="I3532" s="15">
        <v>81.900000000000006</v>
      </c>
      <c r="J3532" s="21">
        <f t="shared" si="165"/>
        <v>5.677419354838717E-2</v>
      </c>
      <c r="K3532" s="1">
        <v>2</v>
      </c>
      <c r="L3532" s="24">
        <v>8.1</v>
      </c>
      <c r="M3532" s="24">
        <v>73.710000000000008</v>
      </c>
      <c r="N3532" s="21">
        <f t="shared" si="166"/>
        <v>-4.8903225806451511E-2</v>
      </c>
      <c r="P3532" s="1">
        <v>4</v>
      </c>
      <c r="Q3532" s="24">
        <v>9.828000000000003</v>
      </c>
      <c r="R3532" s="24">
        <v>72.072000000000003</v>
      </c>
      <c r="S3532" s="21">
        <f t="shared" si="167"/>
        <v>-7.003870967741932E-2</v>
      </c>
    </row>
    <row r="3533" spans="2:19" ht="11.4" customHeight="1" x14ac:dyDescent="0.2">
      <c r="B3533" s="24"/>
      <c r="C3533" s="14">
        <v>33396</v>
      </c>
      <c r="D3533" s="18" t="s">
        <v>3694</v>
      </c>
      <c r="E3533" s="18" t="s">
        <v>3346</v>
      </c>
      <c r="F3533" s="17">
        <v>24</v>
      </c>
      <c r="G3533" s="18" t="s">
        <v>23</v>
      </c>
      <c r="H3533" s="17">
        <v>27.2</v>
      </c>
      <c r="I3533" s="15">
        <v>29.9</v>
      </c>
      <c r="J3533" s="21">
        <f t="shared" si="165"/>
        <v>9.9264705882352922E-2</v>
      </c>
      <c r="K3533" s="1">
        <v>2</v>
      </c>
      <c r="L3533" s="24">
        <v>2.9</v>
      </c>
      <c r="M3533" s="24">
        <v>26.91</v>
      </c>
      <c r="N3533" s="21">
        <f t="shared" si="166"/>
        <v>-1.0661764705882322E-2</v>
      </c>
      <c r="P3533" s="1">
        <v>4</v>
      </c>
      <c r="Q3533" s="24">
        <v>3.588000000000001</v>
      </c>
      <c r="R3533" s="24">
        <v>26.311999999999998</v>
      </c>
      <c r="S3533" s="21">
        <f t="shared" si="167"/>
        <v>-3.2647058823529473E-2</v>
      </c>
    </row>
    <row r="3534" spans="2:19" ht="11.4" customHeight="1" x14ac:dyDescent="0.2">
      <c r="B3534" s="24"/>
      <c r="C3534" s="14">
        <v>33377</v>
      </c>
      <c r="D3534" s="18" t="s">
        <v>3695</v>
      </c>
      <c r="E3534" s="18" t="s">
        <v>3346</v>
      </c>
      <c r="F3534" s="17">
        <v>24</v>
      </c>
      <c r="G3534" s="18" t="s">
        <v>23</v>
      </c>
      <c r="H3534" s="17">
        <v>30.54</v>
      </c>
      <c r="I3534" s="15">
        <v>36.5</v>
      </c>
      <c r="J3534" s="21">
        <f t="shared" si="165"/>
        <v>0.19515389652914214</v>
      </c>
      <c r="K3534" s="1">
        <v>2</v>
      </c>
      <c r="L3534" s="24">
        <v>3.6</v>
      </c>
      <c r="M3534" s="24">
        <v>32.85</v>
      </c>
      <c r="N3534" s="21">
        <f t="shared" si="166"/>
        <v>7.5638506876227973E-2</v>
      </c>
      <c r="P3534" s="1">
        <v>4</v>
      </c>
      <c r="Q3534" s="24">
        <v>4.3800000000000026</v>
      </c>
      <c r="R3534" s="24">
        <v>32.119999999999997</v>
      </c>
      <c r="S3534" s="21">
        <f t="shared" si="167"/>
        <v>5.1735428945645E-2</v>
      </c>
    </row>
    <row r="3535" spans="2:19" ht="11.4" customHeight="1" x14ac:dyDescent="0.2">
      <c r="B3535" s="24"/>
      <c r="C3535" s="14">
        <v>45346</v>
      </c>
      <c r="D3535" s="18" t="s">
        <v>3696</v>
      </c>
      <c r="E3535" s="18" t="s">
        <v>3667</v>
      </c>
      <c r="F3535" s="18"/>
      <c r="G3535" s="18" t="s">
        <v>902</v>
      </c>
      <c r="H3535" s="17">
        <v>89.21</v>
      </c>
      <c r="I3535" s="15">
        <v>151.6</v>
      </c>
      <c r="J3535" s="21">
        <f t="shared" si="165"/>
        <v>0.6993610581773344</v>
      </c>
      <c r="K3535" s="1">
        <v>1</v>
      </c>
      <c r="L3535" s="24">
        <v>15.1</v>
      </c>
      <c r="M3535" s="24">
        <v>136.44</v>
      </c>
      <c r="N3535" s="21">
        <f t="shared" si="166"/>
        <v>0.52942495235960108</v>
      </c>
      <c r="P3535" s="1">
        <v>4</v>
      </c>
      <c r="Q3535" s="24">
        <v>15.159999999999997</v>
      </c>
      <c r="R3535" s="24">
        <v>136.44</v>
      </c>
      <c r="S3535" s="21">
        <f t="shared" si="167"/>
        <v>0.52942495235960108</v>
      </c>
    </row>
    <row r="3536" spans="2:19" ht="11.4" customHeight="1" x14ac:dyDescent="0.2">
      <c r="B3536" s="24"/>
      <c r="C3536" s="14">
        <v>38010</v>
      </c>
      <c r="D3536" s="18" t="s">
        <v>3697</v>
      </c>
      <c r="E3536" s="18" t="s">
        <v>3346</v>
      </c>
      <c r="F3536" s="17">
        <v>24</v>
      </c>
      <c r="G3536" s="18" t="s">
        <v>23</v>
      </c>
      <c r="H3536" s="17">
        <v>14.3</v>
      </c>
      <c r="I3536" s="15">
        <v>14.9</v>
      </c>
      <c r="J3536" s="21">
        <f t="shared" si="165"/>
        <v>4.1958041958041932E-2</v>
      </c>
      <c r="K3536" s="1">
        <v>2</v>
      </c>
      <c r="L3536" s="24">
        <v>1.4</v>
      </c>
      <c r="M3536" s="24">
        <v>13.41</v>
      </c>
      <c r="N3536" s="21">
        <f t="shared" si="166"/>
        <v>-6.2237762237762277E-2</v>
      </c>
      <c r="P3536" s="1">
        <v>4</v>
      </c>
      <c r="Q3536" s="24">
        <v>1.7880000000000003</v>
      </c>
      <c r="R3536" s="24">
        <v>13.112</v>
      </c>
      <c r="S3536" s="21">
        <f t="shared" si="167"/>
        <v>-8.3076923076923118E-2</v>
      </c>
    </row>
    <row r="3537" spans="2:19" ht="11.4" customHeight="1" x14ac:dyDescent="0.2">
      <c r="B3537" s="24"/>
      <c r="C3537" s="14">
        <v>44279</v>
      </c>
      <c r="D3537" s="18" t="s">
        <v>3698</v>
      </c>
      <c r="E3537" s="18" t="s">
        <v>3667</v>
      </c>
      <c r="F3537" s="17">
        <v>2</v>
      </c>
      <c r="G3537" s="18" t="s">
        <v>902</v>
      </c>
      <c r="H3537" s="17">
        <v>223.98</v>
      </c>
      <c r="I3537" s="15">
        <v>309.89999999999998</v>
      </c>
      <c r="J3537" s="21">
        <f t="shared" si="165"/>
        <v>0.38360567907848914</v>
      </c>
      <c r="K3537" s="1">
        <v>1</v>
      </c>
      <c r="L3537" s="24">
        <v>30.9</v>
      </c>
      <c r="M3537" s="24">
        <v>278.90999999999997</v>
      </c>
      <c r="N3537" s="21">
        <f t="shared" si="166"/>
        <v>0.24524511117064016</v>
      </c>
      <c r="P3537" s="1">
        <v>4</v>
      </c>
      <c r="Q3537" s="24">
        <v>30.990000000000009</v>
      </c>
      <c r="R3537" s="24">
        <v>278.90999999999997</v>
      </c>
      <c r="S3537" s="21">
        <f t="shared" si="167"/>
        <v>0.24524511117064016</v>
      </c>
    </row>
    <row r="3538" spans="2:19" ht="11.4" customHeight="1" x14ac:dyDescent="0.2">
      <c r="B3538" s="24"/>
      <c r="C3538" s="14">
        <v>24311</v>
      </c>
      <c r="D3538" s="18" t="s">
        <v>3699</v>
      </c>
      <c r="E3538" s="18" t="s">
        <v>3346</v>
      </c>
      <c r="F3538" s="17">
        <v>14</v>
      </c>
      <c r="G3538" s="18" t="s">
        <v>23</v>
      </c>
      <c r="H3538" s="17">
        <v>22.68</v>
      </c>
      <c r="I3538" s="15">
        <v>28.5</v>
      </c>
      <c r="J3538" s="21">
        <f t="shared" si="165"/>
        <v>0.25661375661375663</v>
      </c>
      <c r="K3538" s="1">
        <v>2</v>
      </c>
      <c r="L3538" s="24">
        <v>2.8</v>
      </c>
      <c r="M3538" s="24">
        <v>25.650000000000002</v>
      </c>
      <c r="N3538" s="21">
        <f t="shared" si="166"/>
        <v>0.13095238095238107</v>
      </c>
      <c r="P3538" s="1">
        <v>4</v>
      </c>
      <c r="Q3538" s="24">
        <v>3.4199999999999982</v>
      </c>
      <c r="R3538" s="24">
        <v>25.080000000000002</v>
      </c>
      <c r="S3538" s="21">
        <f t="shared" si="167"/>
        <v>0.10582010582010591</v>
      </c>
    </row>
    <row r="3539" spans="2:19" ht="11.4" customHeight="1" x14ac:dyDescent="0.2">
      <c r="B3539" s="24"/>
      <c r="C3539" s="14">
        <v>38009</v>
      </c>
      <c r="D3539" s="18" t="s">
        <v>3700</v>
      </c>
      <c r="E3539" s="18" t="s">
        <v>3346</v>
      </c>
      <c r="F3539" s="17">
        <v>24</v>
      </c>
      <c r="G3539" s="18" t="s">
        <v>23</v>
      </c>
      <c r="H3539" s="17">
        <v>14.3</v>
      </c>
      <c r="I3539" s="15">
        <v>14.9</v>
      </c>
      <c r="J3539" s="21">
        <f t="shared" si="165"/>
        <v>4.1958041958041932E-2</v>
      </c>
      <c r="K3539" s="1">
        <v>2</v>
      </c>
      <c r="L3539" s="24">
        <v>1.4</v>
      </c>
      <c r="M3539" s="24">
        <v>13.41</v>
      </c>
      <c r="N3539" s="21">
        <f t="shared" si="166"/>
        <v>-6.2237762237762277E-2</v>
      </c>
      <c r="P3539" s="1">
        <v>4</v>
      </c>
      <c r="Q3539" s="24">
        <v>1.7880000000000003</v>
      </c>
      <c r="R3539" s="24">
        <v>13.112</v>
      </c>
      <c r="S3539" s="21">
        <f t="shared" si="167"/>
        <v>-8.3076923076923118E-2</v>
      </c>
    </row>
    <row r="3540" spans="2:19" ht="11.4" customHeight="1" x14ac:dyDescent="0.2">
      <c r="B3540" s="24"/>
      <c r="C3540" s="14">
        <v>17325</v>
      </c>
      <c r="D3540" s="18" t="s">
        <v>3701</v>
      </c>
      <c r="E3540" s="18" t="s">
        <v>3346</v>
      </c>
      <c r="F3540" s="17">
        <v>24</v>
      </c>
      <c r="G3540" s="18" t="s">
        <v>23</v>
      </c>
      <c r="H3540" s="17">
        <v>30.54</v>
      </c>
      <c r="I3540" s="15">
        <v>36.5</v>
      </c>
      <c r="J3540" s="21">
        <f t="shared" si="165"/>
        <v>0.19515389652914214</v>
      </c>
      <c r="K3540" s="1">
        <v>2</v>
      </c>
      <c r="L3540" s="24">
        <v>3.6</v>
      </c>
      <c r="M3540" s="24">
        <v>32.85</v>
      </c>
      <c r="N3540" s="21">
        <f t="shared" si="166"/>
        <v>7.5638506876227973E-2</v>
      </c>
      <c r="P3540" s="1">
        <v>4</v>
      </c>
      <c r="Q3540" s="24">
        <v>4.3800000000000026</v>
      </c>
      <c r="R3540" s="24">
        <v>32.119999999999997</v>
      </c>
      <c r="S3540" s="21">
        <f t="shared" si="167"/>
        <v>5.1735428945645E-2</v>
      </c>
    </row>
    <row r="3541" spans="2:19" ht="11.4" customHeight="1" x14ac:dyDescent="0.2">
      <c r="B3541" s="24"/>
      <c r="C3541" s="14">
        <v>42758</v>
      </c>
      <c r="D3541" s="18" t="s">
        <v>3702</v>
      </c>
      <c r="E3541" s="18" t="s">
        <v>3447</v>
      </c>
      <c r="F3541" s="17">
        <v>18</v>
      </c>
      <c r="G3541" s="18" t="s">
        <v>23</v>
      </c>
      <c r="H3541" s="17">
        <v>23.19</v>
      </c>
      <c r="I3541" s="15">
        <v>34.9</v>
      </c>
      <c r="J3541" s="21">
        <f t="shared" si="165"/>
        <v>0.50495903406640774</v>
      </c>
      <c r="K3541" s="1">
        <v>2</v>
      </c>
      <c r="L3541" s="24">
        <v>3.4</v>
      </c>
      <c r="M3541" s="24">
        <v>31.41</v>
      </c>
      <c r="N3541" s="21">
        <f t="shared" si="166"/>
        <v>0.35446313065976709</v>
      </c>
      <c r="P3541" s="1">
        <v>4</v>
      </c>
      <c r="Q3541" s="24">
        <v>4.1879999999999988</v>
      </c>
      <c r="R3541" s="24">
        <v>30.712</v>
      </c>
      <c r="S3541" s="21">
        <f t="shared" si="167"/>
        <v>0.32436394997843893</v>
      </c>
    </row>
    <row r="3542" spans="2:19" ht="11.4" customHeight="1" x14ac:dyDescent="0.2">
      <c r="B3542" s="24"/>
      <c r="C3542" s="14">
        <v>42759</v>
      </c>
      <c r="D3542" s="18" t="s">
        <v>3703</v>
      </c>
      <c r="E3542" s="18" t="s">
        <v>3447</v>
      </c>
      <c r="F3542" s="17">
        <v>36</v>
      </c>
      <c r="G3542" s="18" t="s">
        <v>23</v>
      </c>
      <c r="H3542" s="17">
        <v>15.99</v>
      </c>
      <c r="I3542" s="15">
        <v>23.9</v>
      </c>
      <c r="J3542" s="21">
        <f t="shared" si="165"/>
        <v>0.49468417761100675</v>
      </c>
      <c r="K3542" s="1">
        <v>2</v>
      </c>
      <c r="L3542" s="24">
        <v>2.2999999999999998</v>
      </c>
      <c r="M3542" s="24">
        <v>21.509999999999998</v>
      </c>
      <c r="N3542" s="21">
        <f t="shared" si="166"/>
        <v>0.34521575984990605</v>
      </c>
      <c r="P3542" s="1">
        <v>4</v>
      </c>
      <c r="Q3542" s="24">
        <v>2.8679999999999986</v>
      </c>
      <c r="R3542" s="24">
        <v>21.032</v>
      </c>
      <c r="S3542" s="21">
        <f t="shared" si="167"/>
        <v>0.31532207629768605</v>
      </c>
    </row>
    <row r="3543" spans="2:19" ht="11.4" customHeight="1" x14ac:dyDescent="0.2">
      <c r="B3543" s="24"/>
      <c r="C3543" s="14">
        <v>47039</v>
      </c>
      <c r="D3543" s="18" t="s">
        <v>3704</v>
      </c>
      <c r="E3543" s="18" t="s">
        <v>3447</v>
      </c>
      <c r="F3543" s="18"/>
      <c r="G3543" s="18" t="s">
        <v>23</v>
      </c>
      <c r="H3543" s="17">
        <v>42</v>
      </c>
      <c r="I3543" s="15">
        <v>74.900000000000006</v>
      </c>
      <c r="J3543" s="21">
        <f t="shared" si="165"/>
        <v>0.78333333333333344</v>
      </c>
      <c r="K3543" s="1">
        <v>2</v>
      </c>
      <c r="L3543" s="24">
        <v>7.4</v>
      </c>
      <c r="M3543" s="24">
        <v>67.410000000000011</v>
      </c>
      <c r="N3543" s="21">
        <f t="shared" si="166"/>
        <v>0.6050000000000002</v>
      </c>
      <c r="P3543" s="1">
        <v>4</v>
      </c>
      <c r="Q3543" s="24">
        <v>8.9879999999999995</v>
      </c>
      <c r="R3543" s="24">
        <v>65.912000000000006</v>
      </c>
      <c r="S3543" s="21">
        <f t="shared" si="167"/>
        <v>0.56933333333333347</v>
      </c>
    </row>
    <row r="3544" spans="2:19" ht="11.4" customHeight="1" x14ac:dyDescent="0.2">
      <c r="B3544" s="24"/>
      <c r="C3544" s="14">
        <v>47046</v>
      </c>
      <c r="D3544" s="18" t="s">
        <v>3705</v>
      </c>
      <c r="E3544" s="18" t="s">
        <v>3447</v>
      </c>
      <c r="F3544" s="18"/>
      <c r="G3544" s="18" t="s">
        <v>23</v>
      </c>
      <c r="H3544" s="17">
        <v>33</v>
      </c>
      <c r="I3544" s="15">
        <v>56.5</v>
      </c>
      <c r="J3544" s="21">
        <f t="shared" si="165"/>
        <v>0.71212121212121215</v>
      </c>
      <c r="K3544" s="1">
        <v>2</v>
      </c>
      <c r="L3544" s="24">
        <v>5.6</v>
      </c>
      <c r="M3544" s="24">
        <v>50.85</v>
      </c>
      <c r="N3544" s="21">
        <f t="shared" si="166"/>
        <v>0.54090909090909101</v>
      </c>
      <c r="P3544" s="1">
        <v>4</v>
      </c>
      <c r="Q3544" s="24">
        <v>6.7800000000000011</v>
      </c>
      <c r="R3544" s="24">
        <v>49.72</v>
      </c>
      <c r="S3544" s="21">
        <f t="shared" si="167"/>
        <v>0.5066666666666666</v>
      </c>
    </row>
    <row r="3545" spans="2:19" ht="11.4" customHeight="1" x14ac:dyDescent="0.2">
      <c r="B3545" s="24"/>
      <c r="C3545" s="14">
        <v>47034</v>
      </c>
      <c r="D3545" s="18" t="s">
        <v>3706</v>
      </c>
      <c r="E3545" s="18" t="s">
        <v>3447</v>
      </c>
      <c r="F3545" s="18"/>
      <c r="G3545" s="18" t="s">
        <v>23</v>
      </c>
      <c r="H3545" s="17">
        <v>35.85</v>
      </c>
      <c r="I3545" s="15">
        <v>60.9</v>
      </c>
      <c r="J3545" s="21">
        <f t="shared" si="165"/>
        <v>0.69874476987447687</v>
      </c>
      <c r="K3545" s="1">
        <v>2</v>
      </c>
      <c r="L3545" s="24">
        <v>6</v>
      </c>
      <c r="M3545" s="24">
        <v>54.81</v>
      </c>
      <c r="N3545" s="21">
        <f t="shared" si="166"/>
        <v>0.52887029288702925</v>
      </c>
      <c r="P3545" s="1">
        <v>4</v>
      </c>
      <c r="Q3545" s="24">
        <v>7.3079999999999998</v>
      </c>
      <c r="R3545" s="24">
        <v>53.591999999999999</v>
      </c>
      <c r="S3545" s="21">
        <f t="shared" si="167"/>
        <v>0.49489539748953965</v>
      </c>
    </row>
    <row r="3546" spans="2:19" ht="11.4" customHeight="1" x14ac:dyDescent="0.2">
      <c r="B3546" s="24"/>
      <c r="C3546" s="14">
        <v>47036</v>
      </c>
      <c r="D3546" s="18" t="s">
        <v>3707</v>
      </c>
      <c r="E3546" s="18" t="s">
        <v>3447</v>
      </c>
      <c r="F3546" s="18"/>
      <c r="G3546" s="18" t="s">
        <v>23</v>
      </c>
      <c r="H3546" s="17">
        <v>46</v>
      </c>
      <c r="I3546" s="15">
        <v>78.5</v>
      </c>
      <c r="J3546" s="21">
        <f t="shared" si="165"/>
        <v>0.70652173913043481</v>
      </c>
      <c r="K3546" s="1">
        <v>2</v>
      </c>
      <c r="L3546" s="24">
        <v>7.8</v>
      </c>
      <c r="M3546" s="24">
        <v>70.650000000000006</v>
      </c>
      <c r="N3546" s="21">
        <f t="shared" si="166"/>
        <v>0.53586956521739137</v>
      </c>
      <c r="P3546" s="1">
        <v>4</v>
      </c>
      <c r="Q3546" s="24">
        <v>9.4200000000000017</v>
      </c>
      <c r="R3546" s="24">
        <v>69.08</v>
      </c>
      <c r="S3546" s="21">
        <f t="shared" si="167"/>
        <v>0.50173913043478258</v>
      </c>
    </row>
    <row r="3547" spans="2:19" ht="11.4" customHeight="1" x14ac:dyDescent="0.2">
      <c r="B3547" s="24"/>
      <c r="C3547" s="14">
        <v>47049</v>
      </c>
      <c r="D3547" s="18" t="s">
        <v>3708</v>
      </c>
      <c r="E3547" s="18" t="s">
        <v>3447</v>
      </c>
      <c r="F3547" s="18"/>
      <c r="G3547" s="18" t="s">
        <v>23</v>
      </c>
      <c r="H3547" s="17">
        <v>38</v>
      </c>
      <c r="I3547" s="15">
        <v>64.5</v>
      </c>
      <c r="J3547" s="21">
        <f t="shared" si="165"/>
        <v>0.69736842105263153</v>
      </c>
      <c r="K3547" s="1">
        <v>2</v>
      </c>
      <c r="L3547" s="24">
        <v>6.4</v>
      </c>
      <c r="M3547" s="24">
        <v>58.050000000000004</v>
      </c>
      <c r="N3547" s="21">
        <f t="shared" si="166"/>
        <v>0.52763157894736856</v>
      </c>
      <c r="P3547" s="1">
        <v>4</v>
      </c>
      <c r="Q3547" s="24">
        <v>7.740000000000002</v>
      </c>
      <c r="R3547" s="24">
        <v>56.76</v>
      </c>
      <c r="S3547" s="21">
        <f t="shared" si="167"/>
        <v>0.49368421052631573</v>
      </c>
    </row>
    <row r="3548" spans="2:19" ht="11.4" customHeight="1" x14ac:dyDescent="0.2">
      <c r="B3548" s="24"/>
      <c r="C3548" s="14">
        <v>47041</v>
      </c>
      <c r="D3548" s="18" t="s">
        <v>3709</v>
      </c>
      <c r="E3548" s="18" t="s">
        <v>3447</v>
      </c>
      <c r="F3548" s="18"/>
      <c r="G3548" s="18" t="s">
        <v>23</v>
      </c>
      <c r="H3548" s="17">
        <v>44</v>
      </c>
      <c r="I3548" s="15">
        <v>74.900000000000006</v>
      </c>
      <c r="J3548" s="21">
        <f t="shared" si="165"/>
        <v>0.70227272727272738</v>
      </c>
      <c r="K3548" s="1">
        <v>2</v>
      </c>
      <c r="L3548" s="24">
        <v>7.4</v>
      </c>
      <c r="M3548" s="24">
        <v>67.410000000000011</v>
      </c>
      <c r="N3548" s="21">
        <f t="shared" si="166"/>
        <v>0.53204545454545482</v>
      </c>
      <c r="P3548" s="1">
        <v>4</v>
      </c>
      <c r="Q3548" s="24">
        <v>8.9879999999999995</v>
      </c>
      <c r="R3548" s="24">
        <v>65.912000000000006</v>
      </c>
      <c r="S3548" s="21">
        <f t="shared" si="167"/>
        <v>0.49800000000000016</v>
      </c>
    </row>
    <row r="3549" spans="2:19" ht="11.4" customHeight="1" x14ac:dyDescent="0.2">
      <c r="B3549" s="24"/>
      <c r="C3549" s="14">
        <v>47055</v>
      </c>
      <c r="D3549" s="18" t="s">
        <v>3710</v>
      </c>
      <c r="E3549" s="18" t="s">
        <v>3447</v>
      </c>
      <c r="F3549" s="18"/>
      <c r="G3549" s="18" t="s">
        <v>23</v>
      </c>
      <c r="H3549" s="17">
        <v>65</v>
      </c>
      <c r="I3549" s="15">
        <v>109.9</v>
      </c>
      <c r="J3549" s="21">
        <f t="shared" si="165"/>
        <v>0.6907692307692308</v>
      </c>
      <c r="K3549" s="1">
        <v>2</v>
      </c>
      <c r="L3549" s="24">
        <v>10.9</v>
      </c>
      <c r="M3549" s="24">
        <v>98.910000000000011</v>
      </c>
      <c r="N3549" s="21">
        <f t="shared" si="166"/>
        <v>0.5216923076923079</v>
      </c>
      <c r="P3549" s="1">
        <v>4</v>
      </c>
      <c r="Q3549" s="24">
        <v>13.188000000000002</v>
      </c>
      <c r="R3549" s="24">
        <v>96.712000000000003</v>
      </c>
      <c r="S3549" s="21">
        <f t="shared" si="167"/>
        <v>0.48787692307692315</v>
      </c>
    </row>
    <row r="3550" spans="2:19" ht="11.4" customHeight="1" x14ac:dyDescent="0.2">
      <c r="B3550" s="24"/>
      <c r="C3550" s="14">
        <v>37499</v>
      </c>
      <c r="D3550" s="18" t="s">
        <v>3711</v>
      </c>
      <c r="E3550" s="18" t="s">
        <v>3617</v>
      </c>
      <c r="F3550" s="17">
        <v>48</v>
      </c>
      <c r="G3550" s="18" t="s">
        <v>23</v>
      </c>
      <c r="H3550" s="17">
        <v>27.2</v>
      </c>
      <c r="I3550" s="15">
        <v>29.5</v>
      </c>
      <c r="J3550" s="21">
        <f t="shared" si="165"/>
        <v>8.4558823529411797E-2</v>
      </c>
      <c r="K3550" s="1">
        <v>2</v>
      </c>
      <c r="L3550" s="24">
        <v>2.9</v>
      </c>
      <c r="M3550" s="24">
        <v>26.55</v>
      </c>
      <c r="N3550" s="21">
        <f t="shared" si="166"/>
        <v>-2.3897058823529362E-2</v>
      </c>
      <c r="P3550" s="1">
        <v>4</v>
      </c>
      <c r="Q3550" s="24">
        <v>3.5399999999999991</v>
      </c>
      <c r="R3550" s="24">
        <v>25.96</v>
      </c>
      <c r="S3550" s="21">
        <f t="shared" si="167"/>
        <v>-4.5588235294117589E-2</v>
      </c>
    </row>
    <row r="3551" spans="2:19" ht="11.4" customHeight="1" x14ac:dyDescent="0.2">
      <c r="B3551" s="24"/>
      <c r="C3551" s="14">
        <v>41805</v>
      </c>
      <c r="D3551" s="18" t="s">
        <v>3712</v>
      </c>
      <c r="E3551" s="18" t="s">
        <v>3617</v>
      </c>
      <c r="F3551" s="17">
        <v>30</v>
      </c>
      <c r="G3551" s="18" t="s">
        <v>23</v>
      </c>
      <c r="H3551" s="17">
        <v>10.8</v>
      </c>
      <c r="I3551" s="15">
        <v>15.9</v>
      </c>
      <c r="J3551" s="21">
        <f t="shared" si="165"/>
        <v>0.47222222222222215</v>
      </c>
      <c r="K3551" s="1">
        <v>2</v>
      </c>
      <c r="L3551" s="24">
        <v>1.5</v>
      </c>
      <c r="M3551" s="24">
        <v>14.31</v>
      </c>
      <c r="N3551" s="21">
        <f t="shared" si="166"/>
        <v>0.32499999999999996</v>
      </c>
      <c r="P3551" s="1">
        <v>4</v>
      </c>
      <c r="Q3551" s="24">
        <v>1.9079999999999995</v>
      </c>
      <c r="R3551" s="24">
        <v>13.992000000000001</v>
      </c>
      <c r="S3551" s="21">
        <f t="shared" si="167"/>
        <v>0.29555555555555557</v>
      </c>
    </row>
    <row r="3552" spans="2:19" ht="11.4" customHeight="1" x14ac:dyDescent="0.2">
      <c r="B3552" s="24"/>
      <c r="C3552" s="14">
        <v>40979</v>
      </c>
      <c r="D3552" s="18" t="s">
        <v>3713</v>
      </c>
      <c r="E3552" s="18" t="s">
        <v>3617</v>
      </c>
      <c r="F3552" s="17">
        <v>32</v>
      </c>
      <c r="G3552" s="18" t="s">
        <v>23</v>
      </c>
      <c r="H3552" s="17">
        <v>12.54</v>
      </c>
      <c r="I3552" s="15">
        <v>20.5</v>
      </c>
      <c r="J3552" s="21">
        <f t="shared" si="165"/>
        <v>0.63476874003189809</v>
      </c>
      <c r="K3552" s="1">
        <v>2</v>
      </c>
      <c r="L3552" s="24">
        <v>2</v>
      </c>
      <c r="M3552" s="24">
        <v>18.45</v>
      </c>
      <c r="N3552" s="21">
        <f t="shared" si="166"/>
        <v>0.47129186602870815</v>
      </c>
      <c r="P3552" s="1">
        <v>4</v>
      </c>
      <c r="Q3552" s="24">
        <v>2.4600000000000009</v>
      </c>
      <c r="R3552" s="24">
        <v>18.04</v>
      </c>
      <c r="S3552" s="21">
        <f t="shared" si="167"/>
        <v>0.43859649122807021</v>
      </c>
    </row>
    <row r="3553" spans="2:19" ht="11.4" customHeight="1" x14ac:dyDescent="0.2">
      <c r="B3553" s="24"/>
      <c r="C3553" s="14">
        <v>42761</v>
      </c>
      <c r="D3553" s="18" t="s">
        <v>3714</v>
      </c>
      <c r="E3553" s="18" t="s">
        <v>3447</v>
      </c>
      <c r="F3553" s="17">
        <v>48</v>
      </c>
      <c r="G3553" s="18" t="s">
        <v>23</v>
      </c>
      <c r="H3553" s="17">
        <v>8.6999999999999993</v>
      </c>
      <c r="I3553" s="15">
        <v>13.9</v>
      </c>
      <c r="J3553" s="21">
        <f t="shared" si="165"/>
        <v>0.59770114942528751</v>
      </c>
      <c r="K3553" s="1">
        <v>2</v>
      </c>
      <c r="L3553" s="24">
        <v>1.3</v>
      </c>
      <c r="M3553" s="24">
        <v>12.51</v>
      </c>
      <c r="N3553" s="21">
        <f t="shared" si="166"/>
        <v>0.43793103448275872</v>
      </c>
      <c r="P3553" s="1">
        <v>4</v>
      </c>
      <c r="Q3553" s="24">
        <v>1.6679999999999993</v>
      </c>
      <c r="R3553" s="24">
        <v>12.232000000000001</v>
      </c>
      <c r="S3553" s="21">
        <f t="shared" si="167"/>
        <v>0.40597701149425314</v>
      </c>
    </row>
    <row r="3554" spans="2:19" ht="11.4" customHeight="1" x14ac:dyDescent="0.2">
      <c r="B3554" s="24"/>
      <c r="C3554" s="14">
        <v>47051</v>
      </c>
      <c r="D3554" s="18" t="s">
        <v>3715</v>
      </c>
      <c r="E3554" s="18" t="s">
        <v>3447</v>
      </c>
      <c r="F3554" s="18"/>
      <c r="G3554" s="18" t="s">
        <v>23</v>
      </c>
      <c r="H3554" s="17">
        <v>15.5</v>
      </c>
      <c r="I3554" s="15">
        <v>26.5</v>
      </c>
      <c r="J3554" s="21">
        <f t="shared" si="165"/>
        <v>0.70967741935483875</v>
      </c>
      <c r="K3554" s="1">
        <v>2</v>
      </c>
      <c r="L3554" s="24">
        <v>2.6</v>
      </c>
      <c r="M3554" s="24">
        <v>23.85</v>
      </c>
      <c r="N3554" s="21">
        <f t="shared" si="166"/>
        <v>0.53870967741935494</v>
      </c>
      <c r="P3554" s="1">
        <v>4</v>
      </c>
      <c r="Q3554" s="24">
        <v>3.1799999999999997</v>
      </c>
      <c r="R3554" s="24">
        <v>23.32</v>
      </c>
      <c r="S3554" s="21">
        <f t="shared" si="167"/>
        <v>0.50451612903225806</v>
      </c>
    </row>
    <row r="3555" spans="2:19" ht="11.4" customHeight="1" x14ac:dyDescent="0.2">
      <c r="B3555" s="24"/>
      <c r="C3555" s="14">
        <v>42054</v>
      </c>
      <c r="D3555" s="18" t="s">
        <v>3716</v>
      </c>
      <c r="E3555" s="18" t="s">
        <v>3617</v>
      </c>
      <c r="F3555" s="17">
        <v>45</v>
      </c>
      <c r="G3555" s="18" t="s">
        <v>23</v>
      </c>
      <c r="H3555" s="17">
        <v>20.149999999999999</v>
      </c>
      <c r="I3555" s="15">
        <v>25.5</v>
      </c>
      <c r="J3555" s="21">
        <f t="shared" si="165"/>
        <v>0.26550868486352364</v>
      </c>
      <c r="K3555" s="1">
        <v>2</v>
      </c>
      <c r="L3555" s="24">
        <v>2.5</v>
      </c>
      <c r="M3555" s="24">
        <v>22.95</v>
      </c>
      <c r="N3555" s="21">
        <f t="shared" si="166"/>
        <v>0.13895781637717125</v>
      </c>
      <c r="P3555" s="1">
        <v>4</v>
      </c>
      <c r="Q3555" s="24">
        <v>3.0599999999999987</v>
      </c>
      <c r="R3555" s="24">
        <v>22.44</v>
      </c>
      <c r="S3555" s="21">
        <f t="shared" si="167"/>
        <v>0.11364764267990089</v>
      </c>
    </row>
    <row r="3556" spans="2:19" ht="11.4" customHeight="1" x14ac:dyDescent="0.2">
      <c r="B3556" s="24"/>
      <c r="C3556" s="14">
        <v>41557</v>
      </c>
      <c r="D3556" s="18" t="s">
        <v>3717</v>
      </c>
      <c r="E3556" s="18" t="s">
        <v>3617</v>
      </c>
      <c r="F3556" s="18"/>
      <c r="G3556" s="18" t="s">
        <v>23</v>
      </c>
      <c r="H3556" s="17">
        <v>3.99</v>
      </c>
      <c r="I3556" s="15">
        <v>7.3</v>
      </c>
      <c r="J3556" s="21">
        <f t="shared" si="165"/>
        <v>0.82957393483709263</v>
      </c>
      <c r="K3556" s="1">
        <v>2</v>
      </c>
      <c r="L3556" s="24">
        <v>0.7</v>
      </c>
      <c r="M3556" s="24">
        <v>6.57</v>
      </c>
      <c r="N3556" s="21">
        <f t="shared" si="166"/>
        <v>0.64661654135338342</v>
      </c>
      <c r="P3556" s="1">
        <v>4</v>
      </c>
      <c r="Q3556" s="24">
        <v>0.87600000000000033</v>
      </c>
      <c r="R3556" s="24">
        <v>6.4239999999999995</v>
      </c>
      <c r="S3556" s="21">
        <f t="shared" si="167"/>
        <v>0.61002506265664136</v>
      </c>
    </row>
    <row r="3557" spans="2:19" ht="11.4" customHeight="1" x14ac:dyDescent="0.2">
      <c r="B3557" s="24"/>
      <c r="C3557" s="14">
        <v>41808</v>
      </c>
      <c r="D3557" s="18" t="s">
        <v>3718</v>
      </c>
      <c r="E3557" s="18" t="s">
        <v>3617</v>
      </c>
      <c r="F3557" s="17">
        <v>30</v>
      </c>
      <c r="G3557" s="18" t="s">
        <v>23</v>
      </c>
      <c r="H3557" s="17">
        <v>9.5399999999999991</v>
      </c>
      <c r="I3557" s="15">
        <v>13.9</v>
      </c>
      <c r="J3557" s="21">
        <f t="shared" si="165"/>
        <v>0.4570230607966459</v>
      </c>
      <c r="K3557" s="1">
        <v>2</v>
      </c>
      <c r="L3557" s="24">
        <v>1.3</v>
      </c>
      <c r="M3557" s="24">
        <v>12.51</v>
      </c>
      <c r="N3557" s="21">
        <f t="shared" si="166"/>
        <v>0.31132075471698123</v>
      </c>
      <c r="P3557" s="1">
        <v>4</v>
      </c>
      <c r="Q3557" s="24">
        <v>1.6679999999999993</v>
      </c>
      <c r="R3557" s="24">
        <v>12.232000000000001</v>
      </c>
      <c r="S3557" s="21">
        <f t="shared" si="167"/>
        <v>0.28218029350104845</v>
      </c>
    </row>
    <row r="3558" spans="2:19" ht="11.4" customHeight="1" x14ac:dyDescent="0.2">
      <c r="B3558" s="24"/>
      <c r="C3558" s="14">
        <v>41015</v>
      </c>
      <c r="D3558" s="18" t="s">
        <v>3719</v>
      </c>
      <c r="E3558" s="18" t="s">
        <v>3617</v>
      </c>
      <c r="F3558" s="17">
        <v>120</v>
      </c>
      <c r="G3558" s="18" t="s">
        <v>23</v>
      </c>
      <c r="H3558" s="17">
        <v>27.5</v>
      </c>
      <c r="I3558" s="15">
        <v>37.5</v>
      </c>
      <c r="J3558" s="21">
        <f t="shared" si="165"/>
        <v>0.36363636363636365</v>
      </c>
      <c r="K3558" s="1">
        <v>2</v>
      </c>
      <c r="L3558" s="24">
        <v>3.7</v>
      </c>
      <c r="M3558" s="24">
        <v>33.75</v>
      </c>
      <c r="N3558" s="21">
        <f t="shared" si="166"/>
        <v>0.22727272727272727</v>
      </c>
      <c r="P3558" s="1">
        <v>4</v>
      </c>
      <c r="Q3558" s="24">
        <v>4.5</v>
      </c>
      <c r="R3558" s="24">
        <v>33</v>
      </c>
      <c r="S3558" s="21">
        <f t="shared" si="167"/>
        <v>0.2</v>
      </c>
    </row>
    <row r="3559" spans="2:19" ht="11.4" customHeight="1" x14ac:dyDescent="0.2">
      <c r="B3559" s="24"/>
      <c r="C3559" s="14">
        <v>41555</v>
      </c>
      <c r="D3559" s="18" t="s">
        <v>3720</v>
      </c>
      <c r="E3559" s="18" t="s">
        <v>3617</v>
      </c>
      <c r="F3559" s="18"/>
      <c r="G3559" s="18" t="s">
        <v>23</v>
      </c>
      <c r="H3559" s="17">
        <v>5.19</v>
      </c>
      <c r="I3559" s="15">
        <v>9.3000000000000007</v>
      </c>
      <c r="J3559" s="21">
        <f t="shared" si="165"/>
        <v>0.79190751445086704</v>
      </c>
      <c r="K3559" s="1">
        <v>2</v>
      </c>
      <c r="L3559" s="24">
        <v>0.9</v>
      </c>
      <c r="M3559" s="24">
        <v>8.370000000000001</v>
      </c>
      <c r="N3559" s="21">
        <f t="shared" si="166"/>
        <v>0.61271676300578037</v>
      </c>
      <c r="P3559" s="1">
        <v>4</v>
      </c>
      <c r="Q3559" s="24">
        <v>1.1159999999999997</v>
      </c>
      <c r="R3559" s="24">
        <v>8.1840000000000011</v>
      </c>
      <c r="S3559" s="21">
        <f t="shared" si="167"/>
        <v>0.57687861271676311</v>
      </c>
    </row>
    <row r="3560" spans="2:19" ht="11.4" customHeight="1" x14ac:dyDescent="0.2">
      <c r="B3560" s="24"/>
      <c r="C3560" s="14">
        <v>23363</v>
      </c>
      <c r="D3560" s="18" t="s">
        <v>3721</v>
      </c>
      <c r="E3560" s="18" t="s">
        <v>3617</v>
      </c>
      <c r="F3560" s="17">
        <v>40</v>
      </c>
      <c r="G3560" s="18" t="s">
        <v>23</v>
      </c>
      <c r="H3560" s="17">
        <v>20.5</v>
      </c>
      <c r="I3560" s="15">
        <v>22.9</v>
      </c>
      <c r="J3560" s="21">
        <f t="shared" si="165"/>
        <v>0.11707317073170725</v>
      </c>
      <c r="K3560" s="1">
        <v>2</v>
      </c>
      <c r="L3560" s="24">
        <v>2.2000000000000002</v>
      </c>
      <c r="M3560" s="24">
        <v>20.61</v>
      </c>
      <c r="N3560" s="21">
        <f t="shared" si="166"/>
        <v>5.365853658536558E-3</v>
      </c>
      <c r="P3560" s="1">
        <v>4</v>
      </c>
      <c r="Q3560" s="24">
        <v>2.7480000000000011</v>
      </c>
      <c r="R3560" s="24">
        <v>20.151999999999997</v>
      </c>
      <c r="S3560" s="21">
        <f t="shared" si="167"/>
        <v>-1.6975609756097684E-2</v>
      </c>
    </row>
    <row r="3561" spans="2:19" ht="11.4" customHeight="1" x14ac:dyDescent="0.2">
      <c r="B3561" s="24"/>
      <c r="C3561" s="14">
        <v>41804</v>
      </c>
      <c r="D3561" s="18" t="s">
        <v>3722</v>
      </c>
      <c r="E3561" s="18" t="s">
        <v>3617</v>
      </c>
      <c r="F3561" s="17">
        <v>30</v>
      </c>
      <c r="G3561" s="18" t="s">
        <v>23</v>
      </c>
      <c r="H3561" s="17">
        <v>10.199999999999999</v>
      </c>
      <c r="I3561" s="15">
        <v>14.9</v>
      </c>
      <c r="J3561" s="21">
        <f t="shared" si="165"/>
        <v>0.46078431372549034</v>
      </c>
      <c r="K3561" s="1">
        <v>2</v>
      </c>
      <c r="L3561" s="24">
        <v>1.4</v>
      </c>
      <c r="M3561" s="24">
        <v>13.41</v>
      </c>
      <c r="N3561" s="21">
        <f t="shared" si="166"/>
        <v>0.31470588235294128</v>
      </c>
      <c r="P3561" s="1">
        <v>4</v>
      </c>
      <c r="Q3561" s="24">
        <v>1.7880000000000003</v>
      </c>
      <c r="R3561" s="24">
        <v>13.112</v>
      </c>
      <c r="S3561" s="21">
        <f t="shared" si="167"/>
        <v>0.28549019607843146</v>
      </c>
    </row>
    <row r="3562" spans="2:19" ht="11.4" customHeight="1" x14ac:dyDescent="0.2">
      <c r="B3562" s="24"/>
      <c r="C3562" s="14">
        <v>42084</v>
      </c>
      <c r="D3562" s="18" t="s">
        <v>3723</v>
      </c>
      <c r="E3562" s="18" t="s">
        <v>3617</v>
      </c>
      <c r="F3562" s="17">
        <v>24</v>
      </c>
      <c r="G3562" s="18" t="s">
        <v>23</v>
      </c>
      <c r="H3562" s="17">
        <v>12.78</v>
      </c>
      <c r="I3562" s="15">
        <v>19.899999999999999</v>
      </c>
      <c r="J3562" s="21">
        <f t="shared" si="165"/>
        <v>0.55712050078247255</v>
      </c>
      <c r="K3562" s="1">
        <v>2</v>
      </c>
      <c r="L3562" s="24">
        <v>1.9</v>
      </c>
      <c r="M3562" s="24">
        <v>17.91</v>
      </c>
      <c r="N3562" s="21">
        <f t="shared" si="166"/>
        <v>0.40140845070422543</v>
      </c>
      <c r="P3562" s="1">
        <v>4</v>
      </c>
      <c r="Q3562" s="24">
        <v>2.3879999999999981</v>
      </c>
      <c r="R3562" s="24">
        <v>17.512</v>
      </c>
      <c r="S3562" s="21">
        <f t="shared" si="167"/>
        <v>0.37026604068857599</v>
      </c>
    </row>
    <row r="3563" spans="2:19" ht="11.4" customHeight="1" x14ac:dyDescent="0.2">
      <c r="B3563" s="24"/>
      <c r="C3563" s="14">
        <v>32839</v>
      </c>
      <c r="D3563" s="18" t="s">
        <v>3724</v>
      </c>
      <c r="E3563" s="18" t="s">
        <v>3617</v>
      </c>
      <c r="F3563" s="17">
        <v>20</v>
      </c>
      <c r="G3563" s="18" t="s">
        <v>23</v>
      </c>
      <c r="H3563" s="17">
        <v>19.399999999999999</v>
      </c>
      <c r="I3563" s="15">
        <v>19.899999999999999</v>
      </c>
      <c r="J3563" s="21">
        <f t="shared" si="165"/>
        <v>2.5773195876288662E-2</v>
      </c>
      <c r="K3563" s="1">
        <v>2</v>
      </c>
      <c r="L3563" s="24">
        <v>1.9</v>
      </c>
      <c r="M3563" s="24">
        <v>17.91</v>
      </c>
      <c r="N3563" s="21">
        <f t="shared" si="166"/>
        <v>-7.6804123711340128E-2</v>
      </c>
      <c r="P3563" s="1">
        <v>4</v>
      </c>
      <c r="Q3563" s="24">
        <v>2.3879999999999981</v>
      </c>
      <c r="R3563" s="24">
        <v>17.512</v>
      </c>
      <c r="S3563" s="21">
        <f t="shared" si="167"/>
        <v>-9.7319587628865889E-2</v>
      </c>
    </row>
    <row r="3564" spans="2:19" ht="11.4" customHeight="1" x14ac:dyDescent="0.2">
      <c r="B3564" s="24"/>
      <c r="C3564" s="14">
        <v>41514</v>
      </c>
      <c r="D3564" s="18" t="s">
        <v>3725</v>
      </c>
      <c r="E3564" s="18" t="s">
        <v>3346</v>
      </c>
      <c r="F3564" s="18"/>
      <c r="G3564" s="18" t="s">
        <v>23</v>
      </c>
      <c r="H3564" s="17">
        <v>57.24</v>
      </c>
      <c r="I3564" s="15">
        <v>83.5</v>
      </c>
      <c r="J3564" s="21">
        <f t="shared" si="165"/>
        <v>0.45877009084556247</v>
      </c>
      <c r="K3564" s="1">
        <v>2</v>
      </c>
      <c r="L3564" s="24">
        <v>8.3000000000000007</v>
      </c>
      <c r="M3564" s="24">
        <v>75.150000000000006</v>
      </c>
      <c r="N3564" s="21">
        <f t="shared" si="166"/>
        <v>0.31289308176100633</v>
      </c>
      <c r="P3564" s="1">
        <v>4</v>
      </c>
      <c r="Q3564" s="24">
        <v>10.019999999999996</v>
      </c>
      <c r="R3564" s="24">
        <v>73.48</v>
      </c>
      <c r="S3564" s="21">
        <f t="shared" si="167"/>
        <v>0.28371767994409508</v>
      </c>
    </row>
    <row r="3565" spans="2:19" ht="11.4" customHeight="1" x14ac:dyDescent="0.2">
      <c r="B3565" s="24"/>
      <c r="C3565" s="14">
        <v>41515</v>
      </c>
      <c r="D3565" s="18" t="s">
        <v>3726</v>
      </c>
      <c r="E3565" s="18" t="s">
        <v>3346</v>
      </c>
      <c r="F3565" s="18"/>
      <c r="G3565" s="18" t="s">
        <v>23</v>
      </c>
      <c r="H3565" s="17">
        <v>57.24</v>
      </c>
      <c r="I3565" s="15">
        <v>83.5</v>
      </c>
      <c r="J3565" s="21">
        <f t="shared" si="165"/>
        <v>0.45877009084556247</v>
      </c>
      <c r="K3565" s="1">
        <v>2</v>
      </c>
      <c r="L3565" s="24">
        <v>8.3000000000000007</v>
      </c>
      <c r="M3565" s="24">
        <v>75.150000000000006</v>
      </c>
      <c r="N3565" s="21">
        <f t="shared" si="166"/>
        <v>0.31289308176100633</v>
      </c>
      <c r="P3565" s="1">
        <v>4</v>
      </c>
      <c r="Q3565" s="24">
        <v>10.019999999999996</v>
      </c>
      <c r="R3565" s="24">
        <v>73.48</v>
      </c>
      <c r="S3565" s="21">
        <f t="shared" si="167"/>
        <v>0.28371767994409508</v>
      </c>
    </row>
    <row r="3566" spans="2:19" ht="11.4" customHeight="1" x14ac:dyDescent="0.2">
      <c r="B3566" s="24"/>
      <c r="C3566" s="14">
        <v>39633</v>
      </c>
      <c r="D3566" s="18" t="s">
        <v>3727</v>
      </c>
      <c r="E3566" s="18" t="s">
        <v>3617</v>
      </c>
      <c r="F3566" s="18"/>
      <c r="G3566" s="18" t="s">
        <v>23</v>
      </c>
      <c r="H3566" s="17">
        <v>28.9</v>
      </c>
      <c r="I3566" s="15">
        <v>31.9</v>
      </c>
      <c r="J3566" s="21">
        <f t="shared" si="165"/>
        <v>0.10380622837370243</v>
      </c>
      <c r="K3566" s="1">
        <v>2</v>
      </c>
      <c r="L3566" s="24">
        <v>3.1</v>
      </c>
      <c r="M3566" s="24">
        <v>28.71</v>
      </c>
      <c r="N3566" s="21">
        <f t="shared" si="166"/>
        <v>-6.5743944636677421E-3</v>
      </c>
      <c r="P3566" s="1">
        <v>4</v>
      </c>
      <c r="Q3566" s="24">
        <v>3.8279999999999994</v>
      </c>
      <c r="R3566" s="24">
        <v>28.071999999999999</v>
      </c>
      <c r="S3566" s="21">
        <f t="shared" si="167"/>
        <v>-2.8650519031141849E-2</v>
      </c>
    </row>
    <row r="3567" spans="2:19" ht="11.4" customHeight="1" x14ac:dyDescent="0.2">
      <c r="B3567" s="24"/>
      <c r="C3567" s="14">
        <v>1183</v>
      </c>
      <c r="D3567" s="18" t="s">
        <v>3728</v>
      </c>
      <c r="E3567" s="18" t="s">
        <v>3617</v>
      </c>
      <c r="F3567" s="17">
        <v>20</v>
      </c>
      <c r="G3567" s="18" t="s">
        <v>23</v>
      </c>
      <c r="H3567" s="17">
        <v>19.399999999999999</v>
      </c>
      <c r="I3567" s="15">
        <v>19.899999999999999</v>
      </c>
      <c r="J3567" s="21">
        <f t="shared" si="165"/>
        <v>2.5773195876288662E-2</v>
      </c>
      <c r="K3567" s="1">
        <v>2</v>
      </c>
      <c r="L3567" s="24">
        <v>1.9</v>
      </c>
      <c r="M3567" s="24">
        <v>17.91</v>
      </c>
      <c r="N3567" s="21">
        <f t="shared" si="166"/>
        <v>-7.6804123711340128E-2</v>
      </c>
      <c r="P3567" s="1">
        <v>4</v>
      </c>
      <c r="Q3567" s="24">
        <v>2.3879999999999981</v>
      </c>
      <c r="R3567" s="24">
        <v>17.512</v>
      </c>
      <c r="S3567" s="21">
        <f t="shared" si="167"/>
        <v>-9.7319587628865889E-2</v>
      </c>
    </row>
    <row r="3568" spans="2:19" ht="11.4" customHeight="1" x14ac:dyDescent="0.2">
      <c r="B3568" s="24"/>
      <c r="C3568" s="14">
        <v>41513</v>
      </c>
      <c r="D3568" s="18" t="s">
        <v>3729</v>
      </c>
      <c r="E3568" s="18" t="s">
        <v>3346</v>
      </c>
      <c r="F3568" s="18"/>
      <c r="G3568" s="18" t="s">
        <v>23</v>
      </c>
      <c r="H3568" s="17">
        <v>73.680000000000007</v>
      </c>
      <c r="I3568" s="15">
        <v>108.5</v>
      </c>
      <c r="J3568" s="21">
        <f t="shared" si="165"/>
        <v>0.47258414766558077</v>
      </c>
      <c r="K3568" s="1">
        <v>2</v>
      </c>
      <c r="L3568" s="24">
        <v>10.8</v>
      </c>
      <c r="M3568" s="24">
        <v>97.65</v>
      </c>
      <c r="N3568" s="21">
        <f t="shared" si="166"/>
        <v>0.32532573289902278</v>
      </c>
      <c r="P3568" s="1">
        <v>4</v>
      </c>
      <c r="Q3568" s="24">
        <v>13.019999999999996</v>
      </c>
      <c r="R3568" s="24">
        <v>95.48</v>
      </c>
      <c r="S3568" s="21">
        <f t="shared" si="167"/>
        <v>0.29587404994571109</v>
      </c>
    </row>
    <row r="3569" spans="2:19" ht="11.4" customHeight="1" x14ac:dyDescent="0.2">
      <c r="B3569" s="24"/>
      <c r="C3569" s="14">
        <v>41806</v>
      </c>
      <c r="D3569" s="18" t="s">
        <v>3730</v>
      </c>
      <c r="E3569" s="18" t="s">
        <v>3617</v>
      </c>
      <c r="F3569" s="17">
        <v>36</v>
      </c>
      <c r="G3569" s="18" t="s">
        <v>23</v>
      </c>
      <c r="H3569" s="17">
        <v>8.94</v>
      </c>
      <c r="I3569" s="15">
        <v>12.9</v>
      </c>
      <c r="J3569" s="21">
        <f t="shared" si="165"/>
        <v>0.44295302013422833</v>
      </c>
      <c r="K3569" s="1">
        <v>2</v>
      </c>
      <c r="L3569" s="24">
        <v>1.2</v>
      </c>
      <c r="M3569" s="24">
        <v>11.610000000000001</v>
      </c>
      <c r="N3569" s="21">
        <f t="shared" si="166"/>
        <v>0.2986577181208056</v>
      </c>
      <c r="P3569" s="1">
        <v>4</v>
      </c>
      <c r="Q3569" s="24">
        <v>1.548</v>
      </c>
      <c r="R3569" s="24">
        <v>11.352</v>
      </c>
      <c r="S3569" s="21">
        <f t="shared" si="167"/>
        <v>0.26979865771812089</v>
      </c>
    </row>
    <row r="3570" spans="2:19" ht="11.4" customHeight="1" x14ac:dyDescent="0.2">
      <c r="B3570" s="24"/>
      <c r="C3570" s="14">
        <v>39692</v>
      </c>
      <c r="D3570" s="18" t="s">
        <v>3731</v>
      </c>
      <c r="E3570" s="18" t="s">
        <v>3346</v>
      </c>
      <c r="F3570" s="18"/>
      <c r="G3570" s="18" t="s">
        <v>23</v>
      </c>
      <c r="H3570" s="17">
        <v>73.680000000000007</v>
      </c>
      <c r="I3570" s="15">
        <v>108.5</v>
      </c>
      <c r="J3570" s="21">
        <f t="shared" si="165"/>
        <v>0.47258414766558077</v>
      </c>
      <c r="K3570" s="1">
        <v>2</v>
      </c>
      <c r="L3570" s="24">
        <v>10.8</v>
      </c>
      <c r="M3570" s="24">
        <v>97.65</v>
      </c>
      <c r="N3570" s="21">
        <f t="shared" si="166"/>
        <v>0.32532573289902278</v>
      </c>
      <c r="P3570" s="1">
        <v>4</v>
      </c>
      <c r="Q3570" s="24">
        <v>13.019999999999996</v>
      </c>
      <c r="R3570" s="24">
        <v>95.48</v>
      </c>
      <c r="S3570" s="21">
        <f t="shared" si="167"/>
        <v>0.29587404994571109</v>
      </c>
    </row>
    <row r="3571" spans="2:19" ht="11.4" customHeight="1" x14ac:dyDescent="0.2">
      <c r="B3571" s="24"/>
      <c r="C3571" s="14">
        <v>41512</v>
      </c>
      <c r="D3571" s="18" t="s">
        <v>3732</v>
      </c>
      <c r="E3571" s="18" t="s">
        <v>3617</v>
      </c>
      <c r="F3571" s="18"/>
      <c r="G3571" s="18" t="s">
        <v>23</v>
      </c>
      <c r="H3571" s="17">
        <v>73.680000000000007</v>
      </c>
      <c r="I3571" s="15">
        <v>108.5</v>
      </c>
      <c r="J3571" s="21">
        <f t="shared" si="165"/>
        <v>0.47258414766558077</v>
      </c>
      <c r="K3571" s="1">
        <v>2</v>
      </c>
      <c r="L3571" s="24">
        <v>10.8</v>
      </c>
      <c r="M3571" s="24">
        <v>97.65</v>
      </c>
      <c r="N3571" s="21">
        <f t="shared" si="166"/>
        <v>0.32532573289902278</v>
      </c>
      <c r="P3571" s="1">
        <v>4</v>
      </c>
      <c r="Q3571" s="24">
        <v>13.019999999999996</v>
      </c>
      <c r="R3571" s="24">
        <v>95.48</v>
      </c>
      <c r="S3571" s="21">
        <f t="shared" si="167"/>
        <v>0.29587404994571109</v>
      </c>
    </row>
    <row r="3572" spans="2:19" ht="11.4" customHeight="1" x14ac:dyDescent="0.2">
      <c r="B3572" s="24"/>
      <c r="C3572" s="14">
        <v>39694</v>
      </c>
      <c r="D3572" s="18" t="s">
        <v>3733</v>
      </c>
      <c r="E3572" s="18" t="s">
        <v>3346</v>
      </c>
      <c r="F3572" s="18"/>
      <c r="G3572" s="18" t="s">
        <v>23</v>
      </c>
      <c r="H3572" s="17">
        <v>73.680000000000007</v>
      </c>
      <c r="I3572" s="15">
        <v>108.5</v>
      </c>
      <c r="J3572" s="21">
        <f t="shared" si="165"/>
        <v>0.47258414766558077</v>
      </c>
      <c r="K3572" s="1">
        <v>2</v>
      </c>
      <c r="L3572" s="24">
        <v>10.8</v>
      </c>
      <c r="M3572" s="24">
        <v>97.65</v>
      </c>
      <c r="N3572" s="21">
        <f t="shared" si="166"/>
        <v>0.32532573289902278</v>
      </c>
      <c r="P3572" s="1">
        <v>4</v>
      </c>
      <c r="Q3572" s="24">
        <v>13.019999999999996</v>
      </c>
      <c r="R3572" s="24">
        <v>95.48</v>
      </c>
      <c r="S3572" s="21">
        <f t="shared" si="167"/>
        <v>0.29587404994571109</v>
      </c>
    </row>
    <row r="3573" spans="2:19" ht="11.4" customHeight="1" x14ac:dyDescent="0.2">
      <c r="B3573" s="24"/>
      <c r="C3573" s="14">
        <v>42055</v>
      </c>
      <c r="D3573" s="18" t="s">
        <v>3734</v>
      </c>
      <c r="E3573" s="18" t="s">
        <v>3617</v>
      </c>
      <c r="F3573" s="17">
        <v>45</v>
      </c>
      <c r="G3573" s="18" t="s">
        <v>23</v>
      </c>
      <c r="H3573" s="17">
        <v>20.149999999999999</v>
      </c>
      <c r="I3573" s="15">
        <v>25.5</v>
      </c>
      <c r="J3573" s="21">
        <f t="shared" si="165"/>
        <v>0.26550868486352364</v>
      </c>
      <c r="K3573" s="1">
        <v>2</v>
      </c>
      <c r="L3573" s="24">
        <v>2.5</v>
      </c>
      <c r="M3573" s="24">
        <v>22.95</v>
      </c>
      <c r="N3573" s="21">
        <f t="shared" si="166"/>
        <v>0.13895781637717125</v>
      </c>
      <c r="P3573" s="1">
        <v>4</v>
      </c>
      <c r="Q3573" s="24">
        <v>3.0599999999999987</v>
      </c>
      <c r="R3573" s="24">
        <v>22.44</v>
      </c>
      <c r="S3573" s="21">
        <f t="shared" si="167"/>
        <v>0.11364764267990089</v>
      </c>
    </row>
    <row r="3574" spans="2:19" ht="11.4" customHeight="1" x14ac:dyDescent="0.2">
      <c r="B3574" s="24"/>
      <c r="C3574" s="14">
        <v>41520</v>
      </c>
      <c r="D3574" s="18" t="s">
        <v>3735</v>
      </c>
      <c r="E3574" s="18" t="s">
        <v>3447</v>
      </c>
      <c r="F3574" s="17">
        <v>5</v>
      </c>
      <c r="G3574" s="18" t="s">
        <v>23</v>
      </c>
      <c r="H3574" s="17">
        <v>40.799999999999997</v>
      </c>
      <c r="I3574" s="15">
        <v>63.9</v>
      </c>
      <c r="J3574" s="21">
        <f t="shared" si="165"/>
        <v>0.56617647058823539</v>
      </c>
      <c r="K3574" s="1">
        <v>2</v>
      </c>
      <c r="L3574" s="24">
        <v>6.3</v>
      </c>
      <c r="M3574" s="24">
        <v>57.51</v>
      </c>
      <c r="N3574" s="21">
        <f t="shared" si="166"/>
        <v>0.40955882352941181</v>
      </c>
      <c r="P3574" s="1">
        <v>4</v>
      </c>
      <c r="Q3574" s="24">
        <v>7.6679999999999993</v>
      </c>
      <c r="R3574" s="24">
        <v>56.231999999999999</v>
      </c>
      <c r="S3574" s="21">
        <f t="shared" si="167"/>
        <v>0.37823529411764711</v>
      </c>
    </row>
    <row r="3575" spans="2:19" ht="11.4" customHeight="1" x14ac:dyDescent="0.2">
      <c r="B3575" s="24"/>
      <c r="C3575" s="14">
        <v>41521</v>
      </c>
      <c r="D3575" s="18" t="s">
        <v>3736</v>
      </c>
      <c r="E3575" s="18" t="s">
        <v>3447</v>
      </c>
      <c r="F3575" s="17">
        <v>5</v>
      </c>
      <c r="G3575" s="18" t="s">
        <v>23</v>
      </c>
      <c r="H3575" s="17">
        <v>40.799999999999997</v>
      </c>
      <c r="I3575" s="15">
        <v>63.9</v>
      </c>
      <c r="J3575" s="21">
        <f t="shared" si="165"/>
        <v>0.56617647058823539</v>
      </c>
      <c r="K3575" s="1">
        <v>2</v>
      </c>
      <c r="L3575" s="24">
        <v>6.3</v>
      </c>
      <c r="M3575" s="24">
        <v>57.51</v>
      </c>
      <c r="N3575" s="21">
        <f t="shared" si="166"/>
        <v>0.40955882352941181</v>
      </c>
      <c r="P3575" s="1">
        <v>4</v>
      </c>
      <c r="Q3575" s="24">
        <v>7.6679999999999993</v>
      </c>
      <c r="R3575" s="24">
        <v>56.231999999999999</v>
      </c>
      <c r="S3575" s="21">
        <f t="shared" si="167"/>
        <v>0.37823529411764711</v>
      </c>
    </row>
    <row r="3576" spans="2:19" ht="11.4" customHeight="1" x14ac:dyDescent="0.2">
      <c r="B3576" s="24"/>
      <c r="C3576" s="14">
        <v>40981</v>
      </c>
      <c r="D3576" s="18" t="s">
        <v>3737</v>
      </c>
      <c r="E3576" s="18" t="s">
        <v>3447</v>
      </c>
      <c r="F3576" s="17">
        <v>12</v>
      </c>
      <c r="G3576" s="18" t="s">
        <v>23</v>
      </c>
      <c r="H3576" s="17">
        <v>68.900000000000006</v>
      </c>
      <c r="I3576" s="15">
        <v>106.9</v>
      </c>
      <c r="J3576" s="21">
        <f t="shared" si="165"/>
        <v>0.55152394775036284</v>
      </c>
      <c r="K3576" s="1">
        <v>2</v>
      </c>
      <c r="L3576" s="24">
        <v>10.6</v>
      </c>
      <c r="M3576" s="24">
        <v>96.210000000000008</v>
      </c>
      <c r="N3576" s="21">
        <f t="shared" si="166"/>
        <v>0.39637155297532656</v>
      </c>
      <c r="P3576" s="1">
        <v>4</v>
      </c>
      <c r="Q3576" s="24">
        <v>12.828000000000003</v>
      </c>
      <c r="R3576" s="24">
        <v>94.072000000000003</v>
      </c>
      <c r="S3576" s="21">
        <f t="shared" si="167"/>
        <v>0.36534107402031923</v>
      </c>
    </row>
    <row r="3577" spans="2:19" ht="11.4" customHeight="1" x14ac:dyDescent="0.2">
      <c r="B3577" s="24"/>
      <c r="C3577" s="14">
        <v>39634</v>
      </c>
      <c r="D3577" s="18" t="s">
        <v>3738</v>
      </c>
      <c r="E3577" s="18" t="s">
        <v>3447</v>
      </c>
      <c r="F3577" s="17">
        <v>6</v>
      </c>
      <c r="G3577" s="18" t="s">
        <v>23</v>
      </c>
      <c r="H3577" s="17">
        <v>113.9</v>
      </c>
      <c r="I3577" s="15">
        <v>113.9</v>
      </c>
      <c r="J3577" s="21">
        <f t="shared" si="165"/>
        <v>0</v>
      </c>
      <c r="K3577" s="1">
        <v>2</v>
      </c>
      <c r="L3577" s="24">
        <v>11.3</v>
      </c>
      <c r="M3577" s="24">
        <v>102.51</v>
      </c>
      <c r="N3577" s="21">
        <f t="shared" si="166"/>
        <v>-0.1</v>
      </c>
      <c r="P3577" s="1">
        <v>4</v>
      </c>
      <c r="Q3577" s="24">
        <v>13.668000000000006</v>
      </c>
      <c r="R3577" s="24">
        <v>100.232</v>
      </c>
      <c r="S3577" s="21">
        <f t="shared" si="167"/>
        <v>-0.12000000000000005</v>
      </c>
    </row>
    <row r="3578" spans="2:19" ht="11.4" customHeight="1" x14ac:dyDescent="0.2">
      <c r="B3578" s="24"/>
      <c r="C3578" s="14">
        <v>43203</v>
      </c>
      <c r="D3578" s="18" t="s">
        <v>3739</v>
      </c>
      <c r="E3578" s="18" t="s">
        <v>3447</v>
      </c>
      <c r="F3578" s="18"/>
      <c r="G3578" s="18" t="s">
        <v>23</v>
      </c>
      <c r="H3578" s="17">
        <v>23.19</v>
      </c>
      <c r="I3578" s="15">
        <v>72.5</v>
      </c>
      <c r="J3578" s="21">
        <f t="shared" si="165"/>
        <v>2.1263475636050022</v>
      </c>
      <c r="K3578" s="1">
        <v>2</v>
      </c>
      <c r="L3578" s="24">
        <v>7.2</v>
      </c>
      <c r="M3578" s="24">
        <v>65.25</v>
      </c>
      <c r="N3578" s="21">
        <f t="shared" si="166"/>
        <v>1.8137128072445019</v>
      </c>
      <c r="P3578" s="1">
        <v>4</v>
      </c>
      <c r="Q3578" s="24">
        <v>8.7000000000000028</v>
      </c>
      <c r="R3578" s="24">
        <v>63.8</v>
      </c>
      <c r="S3578" s="21">
        <f t="shared" si="167"/>
        <v>1.7511858559724018</v>
      </c>
    </row>
    <row r="3579" spans="2:19" ht="11.4" customHeight="1" x14ac:dyDescent="0.2">
      <c r="B3579" s="24"/>
      <c r="C3579" s="14">
        <v>42757</v>
      </c>
      <c r="D3579" s="18" t="s">
        <v>3740</v>
      </c>
      <c r="E3579" s="18" t="s">
        <v>3447</v>
      </c>
      <c r="F3579" s="17">
        <v>50</v>
      </c>
      <c r="G3579" s="18" t="s">
        <v>23</v>
      </c>
      <c r="H3579" s="17">
        <v>8.7799999999999994</v>
      </c>
      <c r="I3579" s="15">
        <v>13.9</v>
      </c>
      <c r="J3579" s="21">
        <f t="shared" si="165"/>
        <v>0.58314350797266534</v>
      </c>
      <c r="K3579" s="1">
        <v>2</v>
      </c>
      <c r="L3579" s="24">
        <v>1.3</v>
      </c>
      <c r="M3579" s="24">
        <v>12.51</v>
      </c>
      <c r="N3579" s="21">
        <f t="shared" si="166"/>
        <v>0.42482915717539871</v>
      </c>
      <c r="P3579" s="1">
        <v>4</v>
      </c>
      <c r="Q3579" s="24">
        <v>1.6679999999999993</v>
      </c>
      <c r="R3579" s="24">
        <v>12.232000000000001</v>
      </c>
      <c r="S3579" s="21">
        <f t="shared" si="167"/>
        <v>0.39316628701594558</v>
      </c>
    </row>
    <row r="3580" spans="2:19" ht="11.4" customHeight="1" x14ac:dyDescent="0.2">
      <c r="B3580" s="24"/>
      <c r="C3580" s="14">
        <v>42751</v>
      </c>
      <c r="D3580" s="18" t="s">
        <v>3741</v>
      </c>
      <c r="E3580" s="18" t="s">
        <v>3447</v>
      </c>
      <c r="F3580" s="18"/>
      <c r="G3580" s="18" t="s">
        <v>23</v>
      </c>
      <c r="H3580" s="17">
        <v>1.79</v>
      </c>
      <c r="I3580" s="15">
        <v>2.9</v>
      </c>
      <c r="J3580" s="21">
        <f t="shared" si="165"/>
        <v>0.62011173184357538</v>
      </c>
      <c r="K3580" s="1">
        <v>2</v>
      </c>
      <c r="L3580" s="24">
        <v>0.2</v>
      </c>
      <c r="M3580" s="24">
        <v>2.61</v>
      </c>
      <c r="N3580" s="21">
        <f t="shared" si="166"/>
        <v>0.45810055865921778</v>
      </c>
      <c r="P3580" s="1">
        <v>4</v>
      </c>
      <c r="Q3580" s="24">
        <v>0.34799999999999986</v>
      </c>
      <c r="R3580" s="24">
        <v>2.552</v>
      </c>
      <c r="S3580" s="21">
        <f t="shared" si="167"/>
        <v>0.42569832402234636</v>
      </c>
    </row>
    <row r="3581" spans="2:19" ht="11.4" customHeight="1" x14ac:dyDescent="0.2">
      <c r="B3581" s="24"/>
      <c r="C3581" s="14">
        <v>42763</v>
      </c>
      <c r="D3581" s="18" t="s">
        <v>3742</v>
      </c>
      <c r="E3581" s="18" t="s">
        <v>3447</v>
      </c>
      <c r="F3581" s="17">
        <v>12</v>
      </c>
      <c r="G3581" s="18" t="s">
        <v>23</v>
      </c>
      <c r="H3581" s="17">
        <v>46.42</v>
      </c>
      <c r="I3581" s="15">
        <v>70.900000000000006</v>
      </c>
      <c r="J3581" s="21">
        <f t="shared" si="165"/>
        <v>0.52735889702714356</v>
      </c>
      <c r="K3581" s="1">
        <v>2</v>
      </c>
      <c r="L3581" s="24">
        <v>7</v>
      </c>
      <c r="M3581" s="24">
        <v>63.810000000000009</v>
      </c>
      <c r="N3581" s="21">
        <f t="shared" si="166"/>
        <v>0.37462300732442927</v>
      </c>
      <c r="P3581" s="1">
        <v>4</v>
      </c>
      <c r="Q3581" s="24">
        <v>8.5080000000000027</v>
      </c>
      <c r="R3581" s="24">
        <v>62.392000000000003</v>
      </c>
      <c r="S3581" s="21">
        <f t="shared" si="167"/>
        <v>0.34407582938388626</v>
      </c>
    </row>
    <row r="3582" spans="2:19" ht="11.4" customHeight="1" x14ac:dyDescent="0.2">
      <c r="B3582" s="24"/>
      <c r="C3582" s="14">
        <v>45265</v>
      </c>
      <c r="D3582" s="18" t="s">
        <v>3743</v>
      </c>
      <c r="E3582" s="18" t="s">
        <v>3447</v>
      </c>
      <c r="F3582" s="17">
        <v>48</v>
      </c>
      <c r="G3582" s="18" t="s">
        <v>23</v>
      </c>
      <c r="H3582" s="17">
        <v>4.33</v>
      </c>
      <c r="I3582" s="15">
        <v>7.5</v>
      </c>
      <c r="J3582" s="21">
        <f t="shared" si="165"/>
        <v>0.73210161662817552</v>
      </c>
      <c r="K3582" s="1">
        <v>2</v>
      </c>
      <c r="L3582" s="24">
        <v>0.7</v>
      </c>
      <c r="M3582" s="24">
        <v>6.75</v>
      </c>
      <c r="N3582" s="21">
        <f t="shared" si="166"/>
        <v>0.55889145496535797</v>
      </c>
      <c r="P3582" s="1">
        <v>4</v>
      </c>
      <c r="Q3582" s="24">
        <v>0.90000000000000036</v>
      </c>
      <c r="R3582" s="24">
        <v>6.6</v>
      </c>
      <c r="S3582" s="21">
        <f t="shared" si="167"/>
        <v>0.52424942263279439</v>
      </c>
    </row>
    <row r="3583" spans="2:19" ht="11.4" customHeight="1" x14ac:dyDescent="0.2">
      <c r="B3583" s="24"/>
      <c r="C3583" s="14">
        <v>42752</v>
      </c>
      <c r="D3583" s="18" t="s">
        <v>3744</v>
      </c>
      <c r="E3583" s="18" t="s">
        <v>3447</v>
      </c>
      <c r="F3583" s="18"/>
      <c r="G3583" s="18" t="s">
        <v>23</v>
      </c>
      <c r="H3583" s="17">
        <v>5.0199999999999996</v>
      </c>
      <c r="I3583" s="15">
        <v>8.6</v>
      </c>
      <c r="J3583" s="21">
        <f t="shared" si="165"/>
        <v>0.71314741035856577</v>
      </c>
      <c r="K3583" s="1">
        <v>2</v>
      </c>
      <c r="L3583" s="24">
        <v>0.8</v>
      </c>
      <c r="M3583" s="24">
        <v>7.74</v>
      </c>
      <c r="N3583" s="21">
        <f t="shared" si="166"/>
        <v>0.54183266932270935</v>
      </c>
      <c r="P3583" s="1">
        <v>4</v>
      </c>
      <c r="Q3583" s="24">
        <v>1.032</v>
      </c>
      <c r="R3583" s="24">
        <v>7.5679999999999996</v>
      </c>
      <c r="S3583" s="21">
        <f t="shared" si="167"/>
        <v>0.50756972111553789</v>
      </c>
    </row>
    <row r="3584" spans="2:19" ht="11.4" customHeight="1" x14ac:dyDescent="0.2">
      <c r="B3584" s="24"/>
      <c r="C3584" s="14">
        <v>45264</v>
      </c>
      <c r="D3584" s="18" t="s">
        <v>3745</v>
      </c>
      <c r="E3584" s="18" t="s">
        <v>3447</v>
      </c>
      <c r="F3584" s="17">
        <v>30</v>
      </c>
      <c r="G3584" s="18" t="s">
        <v>23</v>
      </c>
      <c r="H3584" s="17">
        <v>5.9</v>
      </c>
      <c r="I3584" s="15">
        <v>9.5</v>
      </c>
      <c r="J3584" s="21">
        <f t="shared" si="165"/>
        <v>0.61016949152542366</v>
      </c>
      <c r="K3584" s="1">
        <v>2</v>
      </c>
      <c r="L3584" s="24">
        <v>0.9</v>
      </c>
      <c r="M3584" s="24">
        <v>8.5500000000000007</v>
      </c>
      <c r="N3584" s="21">
        <f t="shared" si="166"/>
        <v>0.44915254237288138</v>
      </c>
      <c r="P3584" s="1">
        <v>4</v>
      </c>
      <c r="Q3584" s="24">
        <v>1.1400000000000006</v>
      </c>
      <c r="R3584" s="24">
        <v>8.36</v>
      </c>
      <c r="S3584" s="21">
        <f t="shared" si="167"/>
        <v>0.41694915254237269</v>
      </c>
    </row>
    <row r="3585" spans="2:19" ht="11.4" customHeight="1" x14ac:dyDescent="0.2">
      <c r="B3585" s="24"/>
      <c r="C3585" s="14">
        <v>41553</v>
      </c>
      <c r="D3585" s="18" t="s">
        <v>3746</v>
      </c>
      <c r="E3585" s="18" t="s">
        <v>3447</v>
      </c>
      <c r="F3585" s="18"/>
      <c r="G3585" s="18" t="s">
        <v>23</v>
      </c>
      <c r="H3585" s="17">
        <v>29.97</v>
      </c>
      <c r="I3585" s="15">
        <v>53.9</v>
      </c>
      <c r="J3585" s="21">
        <f t="shared" si="165"/>
        <v>0.79846513179846512</v>
      </c>
      <c r="K3585" s="1">
        <v>2</v>
      </c>
      <c r="L3585" s="24">
        <v>5.3</v>
      </c>
      <c r="M3585" s="24">
        <v>48.51</v>
      </c>
      <c r="N3585" s="21">
        <f t="shared" si="166"/>
        <v>0.61861861861861867</v>
      </c>
      <c r="P3585" s="1">
        <v>4</v>
      </c>
      <c r="Q3585" s="24">
        <v>6.4679999999999964</v>
      </c>
      <c r="R3585" s="24">
        <v>47.432000000000002</v>
      </c>
      <c r="S3585" s="21">
        <f t="shared" si="167"/>
        <v>0.58264931598264946</v>
      </c>
    </row>
    <row r="3586" spans="2:19" ht="11.4" customHeight="1" x14ac:dyDescent="0.2">
      <c r="B3586" s="24"/>
      <c r="C3586" s="14">
        <v>41554</v>
      </c>
      <c r="D3586" s="18" t="s">
        <v>3747</v>
      </c>
      <c r="E3586" s="18" t="s">
        <v>3447</v>
      </c>
      <c r="F3586" s="18"/>
      <c r="G3586" s="18" t="s">
        <v>23</v>
      </c>
      <c r="H3586" s="17">
        <v>4.26</v>
      </c>
      <c r="I3586" s="15">
        <v>7.9</v>
      </c>
      <c r="J3586" s="21">
        <f t="shared" si="165"/>
        <v>0.85446009389671385</v>
      </c>
      <c r="K3586" s="1">
        <v>2</v>
      </c>
      <c r="L3586" s="24">
        <v>0.7</v>
      </c>
      <c r="M3586" s="24">
        <v>7.11</v>
      </c>
      <c r="N3586" s="21">
        <f t="shared" si="166"/>
        <v>0.66901408450704236</v>
      </c>
      <c r="P3586" s="1">
        <v>4</v>
      </c>
      <c r="Q3586" s="24">
        <v>0.9480000000000004</v>
      </c>
      <c r="R3586" s="24">
        <v>6.952</v>
      </c>
      <c r="S3586" s="21">
        <f t="shared" si="167"/>
        <v>0.63192488262910806</v>
      </c>
    </row>
    <row r="3587" spans="2:19" ht="11.4" customHeight="1" x14ac:dyDescent="0.2">
      <c r="B3587" s="24"/>
      <c r="C3587" s="14">
        <v>42760</v>
      </c>
      <c r="D3587" s="18" t="s">
        <v>3748</v>
      </c>
      <c r="E3587" s="18" t="s">
        <v>3447</v>
      </c>
      <c r="F3587" s="17">
        <v>18</v>
      </c>
      <c r="G3587" s="18" t="s">
        <v>23</v>
      </c>
      <c r="H3587" s="17">
        <v>40.25</v>
      </c>
      <c r="I3587" s="15">
        <v>63.9</v>
      </c>
      <c r="J3587" s="21">
        <f t="shared" ref="J3587:J3650" si="168">(I3587-H3587)/H3587</f>
        <v>0.58757763975155275</v>
      </c>
      <c r="K3587" s="1">
        <v>2</v>
      </c>
      <c r="L3587" s="24">
        <v>6.3</v>
      </c>
      <c r="M3587" s="24">
        <v>57.51</v>
      </c>
      <c r="N3587" s="21">
        <f t="shared" ref="N3587:N3650" si="169">(M3587-H3587)/H3587</f>
        <v>0.42881987577639746</v>
      </c>
      <c r="P3587" s="1">
        <v>4</v>
      </c>
      <c r="Q3587" s="24">
        <v>7.6679999999999993</v>
      </c>
      <c r="R3587" s="24">
        <v>56.231999999999999</v>
      </c>
      <c r="S3587" s="21">
        <f t="shared" ref="S3587:S3650" si="170">(R3587-H3587)/H3587</f>
        <v>0.39706832298136646</v>
      </c>
    </row>
    <row r="3588" spans="2:19" ht="11.4" customHeight="1" x14ac:dyDescent="0.2">
      <c r="B3588" s="24"/>
      <c r="C3588" s="14">
        <v>43366</v>
      </c>
      <c r="D3588" s="18" t="s">
        <v>3749</v>
      </c>
      <c r="E3588" s="18" t="s">
        <v>3447</v>
      </c>
      <c r="F3588" s="17">
        <v>96</v>
      </c>
      <c r="G3588" s="18" t="s">
        <v>23</v>
      </c>
      <c r="H3588" s="18"/>
      <c r="I3588" s="15">
        <v>61.9</v>
      </c>
      <c r="J3588" s="21" t="e">
        <f t="shared" si="168"/>
        <v>#DIV/0!</v>
      </c>
      <c r="K3588" s="1">
        <v>2</v>
      </c>
      <c r="L3588" s="24">
        <v>6.1</v>
      </c>
      <c r="M3588" s="24">
        <v>55.71</v>
      </c>
      <c r="N3588" s="21" t="e">
        <f t="shared" si="169"/>
        <v>#DIV/0!</v>
      </c>
      <c r="P3588" s="1">
        <v>4</v>
      </c>
      <c r="Q3588" s="24">
        <v>7.4279999999999973</v>
      </c>
      <c r="R3588" s="24">
        <v>54.472000000000001</v>
      </c>
      <c r="S3588" s="21" t="e">
        <f t="shared" si="170"/>
        <v>#DIV/0!</v>
      </c>
    </row>
    <row r="3589" spans="2:19" ht="11.4" customHeight="1" x14ac:dyDescent="0.2">
      <c r="B3589" s="24"/>
      <c r="C3589" s="14">
        <v>40171</v>
      </c>
      <c r="D3589" s="18" t="s">
        <v>3750</v>
      </c>
      <c r="E3589" s="18" t="s">
        <v>3447</v>
      </c>
      <c r="F3589" s="17">
        <v>8</v>
      </c>
      <c r="G3589" s="18" t="s">
        <v>23</v>
      </c>
      <c r="H3589" s="17">
        <v>59.82</v>
      </c>
      <c r="I3589" s="15">
        <v>79.900000000000006</v>
      </c>
      <c r="J3589" s="21">
        <f t="shared" si="168"/>
        <v>0.33567368772985634</v>
      </c>
      <c r="K3589" s="1">
        <v>2</v>
      </c>
      <c r="L3589" s="24">
        <v>7.9</v>
      </c>
      <c r="M3589" s="24">
        <v>71.910000000000011</v>
      </c>
      <c r="N3589" s="21">
        <f t="shared" si="169"/>
        <v>0.20210631895687078</v>
      </c>
      <c r="P3589" s="1">
        <v>4</v>
      </c>
      <c r="Q3589" s="24">
        <v>9.5879999999999939</v>
      </c>
      <c r="R3589" s="24">
        <v>70.312000000000012</v>
      </c>
      <c r="S3589" s="21">
        <f t="shared" si="170"/>
        <v>0.17539284520227369</v>
      </c>
    </row>
    <row r="3590" spans="2:19" ht="11.4" customHeight="1" x14ac:dyDescent="0.2">
      <c r="B3590" s="24"/>
      <c r="C3590" s="14">
        <v>40169</v>
      </c>
      <c r="D3590" s="18" t="s">
        <v>3751</v>
      </c>
      <c r="E3590" s="18" t="s">
        <v>3447</v>
      </c>
      <c r="F3590" s="17">
        <v>2</v>
      </c>
      <c r="G3590" s="18" t="s">
        <v>23</v>
      </c>
      <c r="H3590" s="17">
        <v>178.5</v>
      </c>
      <c r="I3590" s="15">
        <v>239.9</v>
      </c>
      <c r="J3590" s="21">
        <f t="shared" si="168"/>
        <v>0.34397759103641462</v>
      </c>
      <c r="K3590" s="1">
        <v>2</v>
      </c>
      <c r="L3590" s="24">
        <v>23.9</v>
      </c>
      <c r="M3590" s="24">
        <v>215.91</v>
      </c>
      <c r="N3590" s="21">
        <f t="shared" si="169"/>
        <v>0.2095798319327731</v>
      </c>
      <c r="P3590" s="1">
        <v>4</v>
      </c>
      <c r="Q3590" s="24">
        <v>28.788000000000011</v>
      </c>
      <c r="R3590" s="24">
        <v>211.11199999999999</v>
      </c>
      <c r="S3590" s="21">
        <f t="shared" si="170"/>
        <v>0.18270028011204478</v>
      </c>
    </row>
    <row r="3591" spans="2:19" ht="11.4" customHeight="1" x14ac:dyDescent="0.2">
      <c r="B3591" s="24"/>
      <c r="C3591" s="14">
        <v>42053</v>
      </c>
      <c r="D3591" s="18" t="s">
        <v>3752</v>
      </c>
      <c r="E3591" s="18" t="s">
        <v>3617</v>
      </c>
      <c r="F3591" s="17">
        <v>20</v>
      </c>
      <c r="G3591" s="18" t="s">
        <v>23</v>
      </c>
      <c r="H3591" s="17">
        <v>31.32</v>
      </c>
      <c r="I3591" s="15">
        <v>38.9</v>
      </c>
      <c r="J3591" s="21">
        <f t="shared" si="168"/>
        <v>0.24201787994891438</v>
      </c>
      <c r="K3591" s="1">
        <v>2</v>
      </c>
      <c r="L3591" s="24">
        <v>3.8</v>
      </c>
      <c r="M3591" s="24">
        <v>35.01</v>
      </c>
      <c r="N3591" s="21">
        <f t="shared" si="169"/>
        <v>0.11781609195402291</v>
      </c>
      <c r="P3591" s="1">
        <v>4</v>
      </c>
      <c r="Q3591" s="24">
        <v>4.6679999999999993</v>
      </c>
      <c r="R3591" s="24">
        <v>34.231999999999999</v>
      </c>
      <c r="S3591" s="21">
        <f t="shared" si="170"/>
        <v>9.2975734355044665E-2</v>
      </c>
    </row>
    <row r="3592" spans="2:19" ht="11.4" customHeight="1" x14ac:dyDescent="0.2">
      <c r="B3592" s="24"/>
      <c r="C3592" s="14">
        <v>42052</v>
      </c>
      <c r="D3592" s="18" t="s">
        <v>3753</v>
      </c>
      <c r="E3592" s="18" t="s">
        <v>3617</v>
      </c>
      <c r="F3592" s="17">
        <v>20</v>
      </c>
      <c r="G3592" s="18" t="s">
        <v>23</v>
      </c>
      <c r="H3592" s="17">
        <v>31.32</v>
      </c>
      <c r="I3592" s="15">
        <v>38.9</v>
      </c>
      <c r="J3592" s="21">
        <f t="shared" si="168"/>
        <v>0.24201787994891438</v>
      </c>
      <c r="K3592" s="1">
        <v>2</v>
      </c>
      <c r="L3592" s="24">
        <v>3.8</v>
      </c>
      <c r="M3592" s="24">
        <v>35.01</v>
      </c>
      <c r="N3592" s="21">
        <f t="shared" si="169"/>
        <v>0.11781609195402291</v>
      </c>
      <c r="P3592" s="1">
        <v>4</v>
      </c>
      <c r="Q3592" s="24">
        <v>4.6679999999999993</v>
      </c>
      <c r="R3592" s="24">
        <v>34.231999999999999</v>
      </c>
      <c r="S3592" s="21">
        <f t="shared" si="170"/>
        <v>9.2975734355044665E-2</v>
      </c>
    </row>
    <row r="3593" spans="2:19" ht="11.4" customHeight="1" x14ac:dyDescent="0.2">
      <c r="B3593" s="24"/>
      <c r="C3593" s="14">
        <v>40170</v>
      </c>
      <c r="D3593" s="18" t="s">
        <v>3754</v>
      </c>
      <c r="E3593" s="18" t="s">
        <v>3447</v>
      </c>
      <c r="F3593" s="17">
        <v>8</v>
      </c>
      <c r="G3593" s="18" t="s">
        <v>23</v>
      </c>
      <c r="H3593" s="17">
        <v>46.38</v>
      </c>
      <c r="I3593" s="15">
        <v>62.9</v>
      </c>
      <c r="J3593" s="21">
        <f t="shared" si="168"/>
        <v>0.35618801207416978</v>
      </c>
      <c r="K3593" s="1">
        <v>2</v>
      </c>
      <c r="L3593" s="24">
        <v>6.2</v>
      </c>
      <c r="M3593" s="24">
        <v>56.61</v>
      </c>
      <c r="N3593" s="21">
        <f t="shared" si="169"/>
        <v>0.22056921086675282</v>
      </c>
      <c r="P3593" s="1">
        <v>4</v>
      </c>
      <c r="Q3593" s="24">
        <v>7.5480000000000018</v>
      </c>
      <c r="R3593" s="24">
        <v>55.351999999999997</v>
      </c>
      <c r="S3593" s="21">
        <f t="shared" si="170"/>
        <v>0.19344545062526938</v>
      </c>
    </row>
    <row r="3594" spans="2:19" ht="11.4" customHeight="1" x14ac:dyDescent="0.2">
      <c r="B3594" s="24"/>
      <c r="C3594" s="14">
        <v>40167</v>
      </c>
      <c r="D3594" s="18" t="s">
        <v>3755</v>
      </c>
      <c r="E3594" s="18" t="s">
        <v>3447</v>
      </c>
      <c r="F3594" s="17">
        <v>12</v>
      </c>
      <c r="G3594" s="18" t="s">
        <v>23</v>
      </c>
      <c r="H3594" s="17">
        <v>75.78</v>
      </c>
      <c r="I3594" s="15">
        <v>102.9</v>
      </c>
      <c r="J3594" s="21">
        <f t="shared" si="168"/>
        <v>0.35787806809184486</v>
      </c>
      <c r="K3594" s="1">
        <v>2</v>
      </c>
      <c r="L3594" s="24">
        <v>10.199999999999999</v>
      </c>
      <c r="M3594" s="24">
        <v>92.610000000000014</v>
      </c>
      <c r="N3594" s="21">
        <f t="shared" si="169"/>
        <v>0.22209026128266049</v>
      </c>
      <c r="P3594" s="1">
        <v>4</v>
      </c>
      <c r="Q3594" s="24">
        <v>12.347999999999999</v>
      </c>
      <c r="R3594" s="24">
        <v>90.552000000000007</v>
      </c>
      <c r="S3594" s="21">
        <f t="shared" si="170"/>
        <v>0.19493269992082352</v>
      </c>
    </row>
    <row r="3595" spans="2:19" ht="11.4" customHeight="1" x14ac:dyDescent="0.2">
      <c r="B3595" s="24"/>
      <c r="C3595" s="14">
        <v>10067</v>
      </c>
      <c r="D3595" s="18" t="s">
        <v>3756</v>
      </c>
      <c r="E3595" s="18" t="s">
        <v>3346</v>
      </c>
      <c r="F3595" s="18"/>
      <c r="G3595" s="18" t="s">
        <v>23</v>
      </c>
      <c r="H3595" s="17">
        <v>53.52</v>
      </c>
      <c r="I3595" s="15">
        <v>60.5</v>
      </c>
      <c r="J3595" s="21">
        <f t="shared" si="168"/>
        <v>0.13041853512705523</v>
      </c>
      <c r="K3595" s="1">
        <v>2</v>
      </c>
      <c r="L3595" s="24">
        <v>6</v>
      </c>
      <c r="M3595" s="24">
        <v>54.45</v>
      </c>
      <c r="N3595" s="21">
        <f t="shared" si="169"/>
        <v>1.737668161434977E-2</v>
      </c>
      <c r="P3595" s="1">
        <v>4</v>
      </c>
      <c r="Q3595" s="24">
        <v>7.259999999999998</v>
      </c>
      <c r="R3595" s="24">
        <v>53.24</v>
      </c>
      <c r="S3595" s="21">
        <f t="shared" si="170"/>
        <v>-5.2316890881913512E-3</v>
      </c>
    </row>
    <row r="3596" spans="2:19" ht="11.4" customHeight="1" x14ac:dyDescent="0.2">
      <c r="B3596" s="24"/>
      <c r="C3596" s="14">
        <v>44459</v>
      </c>
      <c r="D3596" s="18" t="s">
        <v>3757</v>
      </c>
      <c r="E3596" s="18" t="s">
        <v>3346</v>
      </c>
      <c r="F3596" s="17">
        <v>14</v>
      </c>
      <c r="G3596" s="18" t="s">
        <v>23</v>
      </c>
      <c r="H3596" s="17">
        <v>50.94</v>
      </c>
      <c r="I3596" s="15">
        <v>72.900000000000006</v>
      </c>
      <c r="J3596" s="21">
        <f t="shared" si="168"/>
        <v>0.4310954063604242</v>
      </c>
      <c r="K3596" s="1">
        <v>2</v>
      </c>
      <c r="L3596" s="24">
        <v>7.2</v>
      </c>
      <c r="M3596" s="24">
        <v>65.610000000000014</v>
      </c>
      <c r="N3596" s="21">
        <f t="shared" si="169"/>
        <v>0.28798586572438195</v>
      </c>
      <c r="P3596" s="1">
        <v>4</v>
      </c>
      <c r="Q3596" s="24">
        <v>8.7480000000000047</v>
      </c>
      <c r="R3596" s="24">
        <v>64.152000000000001</v>
      </c>
      <c r="S3596" s="21">
        <f t="shared" si="170"/>
        <v>0.25936395759717323</v>
      </c>
    </row>
    <row r="3597" spans="2:19" ht="11.4" customHeight="1" x14ac:dyDescent="0.2">
      <c r="B3597" s="24"/>
      <c r="C3597" s="14">
        <v>40168</v>
      </c>
      <c r="D3597" s="18" t="s">
        <v>3758</v>
      </c>
      <c r="E3597" s="18" t="s">
        <v>3447</v>
      </c>
      <c r="F3597" s="17">
        <v>18</v>
      </c>
      <c r="G3597" s="18" t="s">
        <v>23</v>
      </c>
      <c r="H3597" s="17">
        <v>75.78</v>
      </c>
      <c r="I3597" s="15">
        <v>102.9</v>
      </c>
      <c r="J3597" s="21">
        <f t="shared" si="168"/>
        <v>0.35787806809184486</v>
      </c>
      <c r="K3597" s="1">
        <v>2</v>
      </c>
      <c r="L3597" s="24">
        <v>10.199999999999999</v>
      </c>
      <c r="M3597" s="24">
        <v>92.610000000000014</v>
      </c>
      <c r="N3597" s="21">
        <f t="shared" si="169"/>
        <v>0.22209026128266049</v>
      </c>
      <c r="P3597" s="1">
        <v>4</v>
      </c>
      <c r="Q3597" s="24">
        <v>12.347999999999999</v>
      </c>
      <c r="R3597" s="24">
        <v>90.552000000000007</v>
      </c>
      <c r="S3597" s="21">
        <f t="shared" si="170"/>
        <v>0.19493269992082352</v>
      </c>
    </row>
    <row r="3598" spans="2:19" ht="11.4" customHeight="1" x14ac:dyDescent="0.2">
      <c r="B3598" s="24"/>
      <c r="C3598" s="14">
        <v>40173</v>
      </c>
      <c r="D3598" s="18" t="s">
        <v>3759</v>
      </c>
      <c r="E3598" s="18" t="s">
        <v>3447</v>
      </c>
      <c r="F3598" s="17">
        <v>18</v>
      </c>
      <c r="G3598" s="18" t="s">
        <v>23</v>
      </c>
      <c r="H3598" s="17">
        <v>43.2</v>
      </c>
      <c r="I3598" s="15">
        <v>58.9</v>
      </c>
      <c r="J3598" s="21">
        <f t="shared" si="168"/>
        <v>0.36342592592592582</v>
      </c>
      <c r="K3598" s="1">
        <v>2</v>
      </c>
      <c r="L3598" s="24">
        <v>5.8</v>
      </c>
      <c r="M3598" s="24">
        <v>53.01</v>
      </c>
      <c r="N3598" s="21">
        <f t="shared" si="169"/>
        <v>0.22708333333333319</v>
      </c>
      <c r="P3598" s="1">
        <v>4</v>
      </c>
      <c r="Q3598" s="24">
        <v>7.0679999999999978</v>
      </c>
      <c r="R3598" s="24">
        <v>51.832000000000001</v>
      </c>
      <c r="S3598" s="21">
        <f t="shared" si="170"/>
        <v>0.19981481481481475</v>
      </c>
    </row>
    <row r="3599" spans="2:19" ht="11.4" customHeight="1" x14ac:dyDescent="0.2">
      <c r="B3599" s="24"/>
      <c r="C3599" s="14">
        <v>42754</v>
      </c>
      <c r="D3599" s="18" t="s">
        <v>3760</v>
      </c>
      <c r="E3599" s="18" t="s">
        <v>3447</v>
      </c>
      <c r="F3599" s="18"/>
      <c r="G3599" s="18" t="s">
        <v>23</v>
      </c>
      <c r="H3599" s="17">
        <v>25.5</v>
      </c>
      <c r="I3599" s="15">
        <v>43.3</v>
      </c>
      <c r="J3599" s="21">
        <f t="shared" si="168"/>
        <v>0.69803921568627436</v>
      </c>
      <c r="K3599" s="1">
        <v>2</v>
      </c>
      <c r="L3599" s="24">
        <v>4.3</v>
      </c>
      <c r="M3599" s="24">
        <v>38.97</v>
      </c>
      <c r="N3599" s="21">
        <f t="shared" si="169"/>
        <v>0.52823529411764703</v>
      </c>
      <c r="P3599" s="1">
        <v>4</v>
      </c>
      <c r="Q3599" s="24">
        <v>5.195999999999998</v>
      </c>
      <c r="R3599" s="24">
        <v>38.103999999999999</v>
      </c>
      <c r="S3599" s="21">
        <f t="shared" si="170"/>
        <v>0.49427450980392151</v>
      </c>
    </row>
    <row r="3600" spans="2:19" ht="11.4" customHeight="1" x14ac:dyDescent="0.2">
      <c r="B3600" s="24"/>
      <c r="C3600" s="14">
        <v>44080</v>
      </c>
      <c r="D3600" s="18" t="s">
        <v>3761</v>
      </c>
      <c r="E3600" s="18" t="s">
        <v>3762</v>
      </c>
      <c r="F3600" s="17">
        <v>18</v>
      </c>
      <c r="G3600" s="18" t="s">
        <v>23</v>
      </c>
      <c r="H3600" s="17">
        <v>19.57</v>
      </c>
      <c r="I3600" s="15">
        <v>27.9</v>
      </c>
      <c r="J3600" s="21">
        <f t="shared" si="168"/>
        <v>0.42565150740929986</v>
      </c>
      <c r="K3600" s="1">
        <v>2</v>
      </c>
      <c r="L3600" s="24">
        <v>2.7</v>
      </c>
      <c r="M3600" s="24">
        <v>25.11</v>
      </c>
      <c r="N3600" s="21">
        <f t="shared" si="169"/>
        <v>0.2830863566683699</v>
      </c>
      <c r="P3600" s="1">
        <v>4</v>
      </c>
      <c r="Q3600" s="24">
        <v>3.347999999999999</v>
      </c>
      <c r="R3600" s="24">
        <v>24.552</v>
      </c>
      <c r="S3600" s="21">
        <f t="shared" si="170"/>
        <v>0.25457332652018394</v>
      </c>
    </row>
    <row r="3601" spans="2:19" ht="11.4" customHeight="1" x14ac:dyDescent="0.2">
      <c r="B3601" s="24"/>
      <c r="C3601" s="14">
        <v>33523</v>
      </c>
      <c r="D3601" s="18" t="s">
        <v>3763</v>
      </c>
      <c r="E3601" s="18" t="s">
        <v>3764</v>
      </c>
      <c r="F3601" s="17">
        <v>6</v>
      </c>
      <c r="G3601" s="18" t="s">
        <v>902</v>
      </c>
      <c r="H3601" s="17">
        <v>119.5</v>
      </c>
      <c r="I3601" s="15">
        <v>123.9</v>
      </c>
      <c r="J3601" s="21">
        <f t="shared" si="168"/>
        <v>3.6820083682008418E-2</v>
      </c>
      <c r="K3601" s="1">
        <v>1</v>
      </c>
      <c r="L3601" s="24">
        <v>12.3</v>
      </c>
      <c r="M3601" s="24">
        <v>111.51</v>
      </c>
      <c r="N3601" s="21">
        <f t="shared" si="169"/>
        <v>-6.6861924686192425E-2</v>
      </c>
      <c r="P3601" s="1">
        <v>4</v>
      </c>
      <c r="Q3601" s="24">
        <v>12.39</v>
      </c>
      <c r="R3601" s="24">
        <v>111.51</v>
      </c>
      <c r="S3601" s="21">
        <f t="shared" si="170"/>
        <v>-6.6861924686192425E-2</v>
      </c>
    </row>
    <row r="3602" spans="2:19" ht="11.4" customHeight="1" x14ac:dyDescent="0.2">
      <c r="B3602" s="24"/>
      <c r="C3602" s="14">
        <v>4938</v>
      </c>
      <c r="D3602" s="18" t="s">
        <v>3765</v>
      </c>
      <c r="E3602" s="18" t="s">
        <v>3762</v>
      </c>
      <c r="F3602" s="17">
        <v>14</v>
      </c>
      <c r="G3602" s="18" t="s">
        <v>23</v>
      </c>
      <c r="H3602" s="17">
        <v>46.7</v>
      </c>
      <c r="I3602" s="15">
        <v>52.6</v>
      </c>
      <c r="J3602" s="21">
        <f t="shared" si="168"/>
        <v>0.12633832976445392</v>
      </c>
      <c r="K3602" s="1">
        <v>2</v>
      </c>
      <c r="L3602" s="24">
        <v>5.2</v>
      </c>
      <c r="M3602" s="24">
        <v>47.34</v>
      </c>
      <c r="N3602" s="21">
        <f t="shared" si="169"/>
        <v>1.3704496788008577E-2</v>
      </c>
      <c r="P3602" s="1">
        <v>4</v>
      </c>
      <c r="Q3602" s="24">
        <v>6.3119999999999976</v>
      </c>
      <c r="R3602" s="24">
        <v>46.288000000000004</v>
      </c>
      <c r="S3602" s="21">
        <f t="shared" si="170"/>
        <v>-8.8222698072804931E-3</v>
      </c>
    </row>
    <row r="3603" spans="2:19" ht="11.4" customHeight="1" x14ac:dyDescent="0.2">
      <c r="B3603" s="24"/>
      <c r="C3603" s="14">
        <v>17176</v>
      </c>
      <c r="D3603" s="18" t="s">
        <v>3766</v>
      </c>
      <c r="E3603" s="18" t="s">
        <v>3764</v>
      </c>
      <c r="F3603" s="17">
        <v>4</v>
      </c>
      <c r="G3603" s="18" t="s">
        <v>902</v>
      </c>
      <c r="H3603" s="17">
        <v>119.5</v>
      </c>
      <c r="I3603" s="15">
        <v>134.5</v>
      </c>
      <c r="J3603" s="21">
        <f t="shared" si="168"/>
        <v>0.12552301255230125</v>
      </c>
      <c r="K3603" s="1">
        <v>1</v>
      </c>
      <c r="L3603" s="24">
        <v>13.4</v>
      </c>
      <c r="M3603" s="24">
        <v>121.05</v>
      </c>
      <c r="N3603" s="21">
        <f t="shared" si="169"/>
        <v>1.2970711297071107E-2</v>
      </c>
      <c r="P3603" s="1">
        <v>4</v>
      </c>
      <c r="Q3603" s="24">
        <v>13.450000000000003</v>
      </c>
      <c r="R3603" s="24">
        <v>121.05</v>
      </c>
      <c r="S3603" s="21">
        <f t="shared" si="170"/>
        <v>1.2970711297071107E-2</v>
      </c>
    </row>
    <row r="3604" spans="2:19" ht="11.4" customHeight="1" x14ac:dyDescent="0.2">
      <c r="B3604" s="24"/>
      <c r="C3604" s="14">
        <v>46783</v>
      </c>
      <c r="D3604" s="18" t="s">
        <v>3767</v>
      </c>
      <c r="E3604" s="18" t="s">
        <v>3356</v>
      </c>
      <c r="F3604" s="17">
        <v>26</v>
      </c>
      <c r="G3604" s="18" t="s">
        <v>23</v>
      </c>
      <c r="H3604" s="17">
        <v>44.5</v>
      </c>
      <c r="I3604" s="15">
        <v>57.9</v>
      </c>
      <c r="J3604" s="21">
        <f t="shared" si="168"/>
        <v>0.30112359550561796</v>
      </c>
      <c r="K3604" s="1">
        <v>2</v>
      </c>
      <c r="L3604" s="24">
        <v>5.7</v>
      </c>
      <c r="M3604" s="24">
        <v>52.11</v>
      </c>
      <c r="N3604" s="21">
        <f t="shared" si="169"/>
        <v>0.17101123595505616</v>
      </c>
      <c r="P3604" s="1">
        <v>4</v>
      </c>
      <c r="Q3604" s="24">
        <v>6.9480000000000004</v>
      </c>
      <c r="R3604" s="24">
        <v>50.951999999999998</v>
      </c>
      <c r="S3604" s="21">
        <f t="shared" si="170"/>
        <v>0.14498876404494379</v>
      </c>
    </row>
    <row r="3605" spans="2:19" ht="11.4" customHeight="1" x14ac:dyDescent="0.2">
      <c r="B3605" s="24"/>
      <c r="C3605" s="14">
        <v>25191</v>
      </c>
      <c r="D3605" s="18" t="s">
        <v>3768</v>
      </c>
      <c r="E3605" s="18" t="s">
        <v>3762</v>
      </c>
      <c r="F3605" s="17">
        <v>14</v>
      </c>
      <c r="G3605" s="18" t="s">
        <v>23</v>
      </c>
      <c r="H3605" s="17">
        <v>58.5</v>
      </c>
      <c r="I3605" s="15">
        <v>68.5</v>
      </c>
      <c r="J3605" s="21">
        <f t="shared" si="168"/>
        <v>0.17094017094017094</v>
      </c>
      <c r="K3605" s="1">
        <v>2</v>
      </c>
      <c r="L3605" s="24">
        <v>6.8</v>
      </c>
      <c r="M3605" s="24">
        <v>61.65</v>
      </c>
      <c r="N3605" s="21">
        <f t="shared" si="169"/>
        <v>5.3846153846153821E-2</v>
      </c>
      <c r="P3605" s="1">
        <v>4</v>
      </c>
      <c r="Q3605" s="24">
        <v>8.2199999999999989</v>
      </c>
      <c r="R3605" s="24">
        <v>60.28</v>
      </c>
      <c r="S3605" s="21">
        <f t="shared" si="170"/>
        <v>3.0427350427350446E-2</v>
      </c>
    </row>
    <row r="3606" spans="2:19" ht="11.4" customHeight="1" x14ac:dyDescent="0.2">
      <c r="B3606" s="24"/>
      <c r="C3606" s="14">
        <v>46785</v>
      </c>
      <c r="D3606" s="18" t="s">
        <v>3769</v>
      </c>
      <c r="E3606" s="18" t="s">
        <v>3356</v>
      </c>
      <c r="F3606" s="17">
        <v>26</v>
      </c>
      <c r="G3606" s="18" t="s">
        <v>23</v>
      </c>
      <c r="H3606" s="17">
        <v>44.5</v>
      </c>
      <c r="I3606" s="15">
        <v>57.9</v>
      </c>
      <c r="J3606" s="21">
        <f t="shared" si="168"/>
        <v>0.30112359550561796</v>
      </c>
      <c r="K3606" s="1">
        <v>2</v>
      </c>
      <c r="L3606" s="24">
        <v>5.7</v>
      </c>
      <c r="M3606" s="24">
        <v>52.11</v>
      </c>
      <c r="N3606" s="21">
        <f t="shared" si="169"/>
        <v>0.17101123595505616</v>
      </c>
      <c r="P3606" s="1">
        <v>4</v>
      </c>
      <c r="Q3606" s="24">
        <v>6.9480000000000004</v>
      </c>
      <c r="R3606" s="24">
        <v>50.951999999999998</v>
      </c>
      <c r="S3606" s="21">
        <f t="shared" si="170"/>
        <v>0.14498876404494379</v>
      </c>
    </row>
    <row r="3607" spans="2:19" ht="11.4" customHeight="1" x14ac:dyDescent="0.2">
      <c r="B3607" s="24"/>
      <c r="C3607" s="14">
        <v>25192</v>
      </c>
      <c r="D3607" s="18" t="s">
        <v>3770</v>
      </c>
      <c r="E3607" s="18" t="s">
        <v>3762</v>
      </c>
      <c r="F3607" s="17">
        <v>14</v>
      </c>
      <c r="G3607" s="18" t="s">
        <v>23</v>
      </c>
      <c r="H3607" s="17">
        <v>58.5</v>
      </c>
      <c r="I3607" s="15">
        <v>68.5</v>
      </c>
      <c r="J3607" s="21">
        <f t="shared" si="168"/>
        <v>0.17094017094017094</v>
      </c>
      <c r="K3607" s="1">
        <v>2</v>
      </c>
      <c r="L3607" s="24">
        <v>6.8</v>
      </c>
      <c r="M3607" s="24">
        <v>61.65</v>
      </c>
      <c r="N3607" s="21">
        <f t="shared" si="169"/>
        <v>5.3846153846153821E-2</v>
      </c>
      <c r="P3607" s="1">
        <v>4</v>
      </c>
      <c r="Q3607" s="24">
        <v>8.2199999999999989</v>
      </c>
      <c r="R3607" s="24">
        <v>60.28</v>
      </c>
      <c r="S3607" s="21">
        <f t="shared" si="170"/>
        <v>3.0427350427350446E-2</v>
      </c>
    </row>
    <row r="3608" spans="2:19" ht="11.4" customHeight="1" x14ac:dyDescent="0.2">
      <c r="B3608" s="24"/>
      <c r="C3608" s="14">
        <v>46787</v>
      </c>
      <c r="D3608" s="18" t="s">
        <v>3771</v>
      </c>
      <c r="E3608" s="18" t="s">
        <v>3356</v>
      </c>
      <c r="F3608" s="17">
        <v>26</v>
      </c>
      <c r="G3608" s="18" t="s">
        <v>23</v>
      </c>
      <c r="H3608" s="17">
        <v>44.5</v>
      </c>
      <c r="I3608" s="15">
        <v>57.9</v>
      </c>
      <c r="J3608" s="21">
        <f t="shared" si="168"/>
        <v>0.30112359550561796</v>
      </c>
      <c r="K3608" s="1">
        <v>2</v>
      </c>
      <c r="L3608" s="24">
        <v>5.7</v>
      </c>
      <c r="M3608" s="24">
        <v>52.11</v>
      </c>
      <c r="N3608" s="21">
        <f t="shared" si="169"/>
        <v>0.17101123595505616</v>
      </c>
      <c r="P3608" s="1">
        <v>4</v>
      </c>
      <c r="Q3608" s="24">
        <v>6.9480000000000004</v>
      </c>
      <c r="R3608" s="24">
        <v>50.951999999999998</v>
      </c>
      <c r="S3608" s="21">
        <f t="shared" si="170"/>
        <v>0.14498876404494379</v>
      </c>
    </row>
    <row r="3609" spans="2:19" ht="11.4" customHeight="1" x14ac:dyDescent="0.2">
      <c r="B3609" s="24"/>
      <c r="C3609" s="14">
        <v>25715</v>
      </c>
      <c r="D3609" s="18" t="s">
        <v>3772</v>
      </c>
      <c r="E3609" s="18" t="s">
        <v>3762</v>
      </c>
      <c r="F3609" s="17">
        <v>14</v>
      </c>
      <c r="G3609" s="18" t="s">
        <v>23</v>
      </c>
      <c r="H3609" s="17">
        <v>58.5</v>
      </c>
      <c r="I3609" s="15">
        <v>68.5</v>
      </c>
      <c r="J3609" s="21">
        <f t="shared" si="168"/>
        <v>0.17094017094017094</v>
      </c>
      <c r="K3609" s="1">
        <v>2</v>
      </c>
      <c r="L3609" s="24">
        <v>6.8</v>
      </c>
      <c r="M3609" s="24">
        <v>61.65</v>
      </c>
      <c r="N3609" s="21">
        <f t="shared" si="169"/>
        <v>5.3846153846153821E-2</v>
      </c>
      <c r="P3609" s="1">
        <v>4</v>
      </c>
      <c r="Q3609" s="24">
        <v>8.2199999999999989</v>
      </c>
      <c r="R3609" s="24">
        <v>60.28</v>
      </c>
      <c r="S3609" s="21">
        <f t="shared" si="170"/>
        <v>3.0427350427350446E-2</v>
      </c>
    </row>
    <row r="3610" spans="2:19" ht="11.4" customHeight="1" x14ac:dyDescent="0.2">
      <c r="B3610" s="24"/>
      <c r="C3610" s="14">
        <v>28472</v>
      </c>
      <c r="D3610" s="18" t="s">
        <v>3773</v>
      </c>
      <c r="E3610" s="18" t="s">
        <v>3764</v>
      </c>
      <c r="F3610" s="18"/>
      <c r="G3610" s="18" t="s">
        <v>902</v>
      </c>
      <c r="H3610" s="17">
        <v>108.74</v>
      </c>
      <c r="I3610" s="15">
        <v>169.9</v>
      </c>
      <c r="J3610" s="21">
        <f t="shared" si="168"/>
        <v>0.56244252345043233</v>
      </c>
      <c r="K3610" s="1">
        <v>1</v>
      </c>
      <c r="L3610" s="24">
        <v>16.899999999999999</v>
      </c>
      <c r="M3610" s="24">
        <v>152.91</v>
      </c>
      <c r="N3610" s="21">
        <f t="shared" si="169"/>
        <v>0.40619827110538903</v>
      </c>
      <c r="P3610" s="1">
        <v>4</v>
      </c>
      <c r="Q3610" s="24">
        <v>16.990000000000009</v>
      </c>
      <c r="R3610" s="24">
        <v>152.91</v>
      </c>
      <c r="S3610" s="21">
        <f t="shared" si="170"/>
        <v>0.40619827110538903</v>
      </c>
    </row>
    <row r="3611" spans="2:19" ht="11.4" customHeight="1" x14ac:dyDescent="0.2">
      <c r="B3611" s="24"/>
      <c r="C3611" s="14">
        <v>24181</v>
      </c>
      <c r="D3611" s="18" t="s">
        <v>3774</v>
      </c>
      <c r="E3611" s="18" t="s">
        <v>3764</v>
      </c>
      <c r="F3611" s="18"/>
      <c r="G3611" s="18" t="s">
        <v>902</v>
      </c>
      <c r="H3611" s="17">
        <v>89.51</v>
      </c>
      <c r="I3611" s="15">
        <v>147.9</v>
      </c>
      <c r="J3611" s="21">
        <f t="shared" si="168"/>
        <v>0.65232934867612558</v>
      </c>
      <c r="K3611" s="1">
        <v>1</v>
      </c>
      <c r="L3611" s="24">
        <v>14.7</v>
      </c>
      <c r="M3611" s="24">
        <v>133.11000000000001</v>
      </c>
      <c r="N3611" s="21">
        <f t="shared" si="169"/>
        <v>0.4870964138085131</v>
      </c>
      <c r="P3611" s="1">
        <v>4</v>
      </c>
      <c r="Q3611" s="24">
        <v>14.789999999999992</v>
      </c>
      <c r="R3611" s="24">
        <v>133.11000000000001</v>
      </c>
      <c r="S3611" s="21">
        <f t="shared" si="170"/>
        <v>0.4870964138085131</v>
      </c>
    </row>
    <row r="3612" spans="2:19" ht="11.4" customHeight="1" x14ac:dyDescent="0.2">
      <c r="B3612" s="24"/>
      <c r="C3612" s="14">
        <v>44077</v>
      </c>
      <c r="D3612" s="18" t="s">
        <v>3775</v>
      </c>
      <c r="E3612" s="18" t="s">
        <v>3762</v>
      </c>
      <c r="F3612" s="17">
        <v>18</v>
      </c>
      <c r="G3612" s="18" t="s">
        <v>23</v>
      </c>
      <c r="H3612" s="17">
        <v>18.02</v>
      </c>
      <c r="I3612" s="15">
        <v>27.9</v>
      </c>
      <c r="J3612" s="21">
        <f t="shared" si="168"/>
        <v>0.54827968923418424</v>
      </c>
      <c r="K3612" s="1">
        <v>2</v>
      </c>
      <c r="L3612" s="24">
        <v>2.7</v>
      </c>
      <c r="M3612" s="24">
        <v>25.11</v>
      </c>
      <c r="N3612" s="21">
        <f t="shared" si="169"/>
        <v>0.39345172031076581</v>
      </c>
      <c r="P3612" s="1">
        <v>4</v>
      </c>
      <c r="Q3612" s="24">
        <v>3.347999999999999</v>
      </c>
      <c r="R3612" s="24">
        <v>24.552</v>
      </c>
      <c r="S3612" s="21">
        <f t="shared" si="170"/>
        <v>0.36248612652608214</v>
      </c>
    </row>
    <row r="3613" spans="2:19" ht="11.4" customHeight="1" x14ac:dyDescent="0.2">
      <c r="B3613" s="24"/>
      <c r="C3613" s="14">
        <v>46220</v>
      </c>
      <c r="D3613" s="18" t="s">
        <v>3776</v>
      </c>
      <c r="E3613" s="18" t="s">
        <v>3764</v>
      </c>
      <c r="F3613" s="18"/>
      <c r="G3613" s="18" t="s">
        <v>902</v>
      </c>
      <c r="H3613" s="17">
        <v>177</v>
      </c>
      <c r="I3613" s="15">
        <v>247.9</v>
      </c>
      <c r="J3613" s="21">
        <f t="shared" si="168"/>
        <v>0.40056497175141248</v>
      </c>
      <c r="K3613" s="1">
        <v>1</v>
      </c>
      <c r="L3613" s="24">
        <v>24.7</v>
      </c>
      <c r="M3613" s="24">
        <v>223.11</v>
      </c>
      <c r="N3613" s="21">
        <f t="shared" si="169"/>
        <v>0.26050847457627124</v>
      </c>
      <c r="P3613" s="1">
        <v>4</v>
      </c>
      <c r="Q3613" s="24">
        <v>24.789999999999992</v>
      </c>
      <c r="R3613" s="24">
        <v>223.11</v>
      </c>
      <c r="S3613" s="21">
        <f t="shared" si="170"/>
        <v>0.26050847457627124</v>
      </c>
    </row>
    <row r="3614" spans="2:19" ht="11.4" customHeight="1" x14ac:dyDescent="0.2">
      <c r="B3614" s="24"/>
      <c r="C3614" s="14">
        <v>23304</v>
      </c>
      <c r="D3614" s="18" t="s">
        <v>3777</v>
      </c>
      <c r="E3614" s="18" t="s">
        <v>3764</v>
      </c>
      <c r="F3614" s="18"/>
      <c r="G3614" s="18" t="s">
        <v>902</v>
      </c>
      <c r="H3614" s="17">
        <v>97.9</v>
      </c>
      <c r="I3614" s="15">
        <v>154.9</v>
      </c>
      <c r="J3614" s="21">
        <f t="shared" si="168"/>
        <v>0.58222676200204282</v>
      </c>
      <c r="K3614" s="1">
        <v>1</v>
      </c>
      <c r="L3614" s="24">
        <v>15.4</v>
      </c>
      <c r="M3614" s="24">
        <v>139.41</v>
      </c>
      <c r="N3614" s="21">
        <f t="shared" si="169"/>
        <v>0.42400408580183852</v>
      </c>
      <c r="P3614" s="1">
        <v>4</v>
      </c>
      <c r="Q3614" s="24">
        <v>15.490000000000009</v>
      </c>
      <c r="R3614" s="24">
        <v>139.41</v>
      </c>
      <c r="S3614" s="21">
        <f t="shared" si="170"/>
        <v>0.42400408580183852</v>
      </c>
    </row>
    <row r="3615" spans="2:19" ht="11.4" customHeight="1" x14ac:dyDescent="0.2">
      <c r="B3615" s="24"/>
      <c r="C3615" s="14">
        <v>44078</v>
      </c>
      <c r="D3615" s="18" t="s">
        <v>3778</v>
      </c>
      <c r="E3615" s="18" t="s">
        <v>3762</v>
      </c>
      <c r="F3615" s="17">
        <v>18</v>
      </c>
      <c r="G3615" s="18" t="s">
        <v>23</v>
      </c>
      <c r="H3615" s="17">
        <v>16.760000000000002</v>
      </c>
      <c r="I3615" s="15">
        <v>27.9</v>
      </c>
      <c r="J3615" s="21">
        <f t="shared" si="168"/>
        <v>0.66467780429594248</v>
      </c>
      <c r="K3615" s="1">
        <v>2</v>
      </c>
      <c r="L3615" s="24">
        <v>2.7</v>
      </c>
      <c r="M3615" s="24">
        <v>25.11</v>
      </c>
      <c r="N3615" s="21">
        <f t="shared" si="169"/>
        <v>0.49821002386634827</v>
      </c>
      <c r="P3615" s="1">
        <v>4</v>
      </c>
      <c r="Q3615" s="24">
        <v>3.347999999999999</v>
      </c>
      <c r="R3615" s="24">
        <v>24.552</v>
      </c>
      <c r="S3615" s="21">
        <f t="shared" si="170"/>
        <v>0.46491646778042944</v>
      </c>
    </row>
    <row r="3616" spans="2:19" ht="11.4" customHeight="1" x14ac:dyDescent="0.2">
      <c r="B3616" s="24"/>
      <c r="C3616" s="14">
        <v>7307</v>
      </c>
      <c r="D3616" s="18" t="s">
        <v>3779</v>
      </c>
      <c r="E3616" s="18" t="s">
        <v>3762</v>
      </c>
      <c r="F3616" s="18"/>
      <c r="G3616" s="18" t="s">
        <v>23</v>
      </c>
      <c r="H3616" s="17">
        <v>32.46</v>
      </c>
      <c r="I3616" s="15">
        <v>47.9</v>
      </c>
      <c r="J3616" s="21">
        <f t="shared" si="168"/>
        <v>0.47566235366605042</v>
      </c>
      <c r="K3616" s="1">
        <v>2</v>
      </c>
      <c r="L3616" s="24">
        <v>4.7</v>
      </c>
      <c r="M3616" s="24">
        <v>43.11</v>
      </c>
      <c r="N3616" s="21">
        <f t="shared" si="169"/>
        <v>0.32809611829944541</v>
      </c>
      <c r="P3616" s="1">
        <v>4</v>
      </c>
      <c r="Q3616" s="24">
        <v>5.7479999999999976</v>
      </c>
      <c r="R3616" s="24">
        <v>42.152000000000001</v>
      </c>
      <c r="S3616" s="21">
        <f t="shared" si="170"/>
        <v>0.29858287122612448</v>
      </c>
    </row>
    <row r="3617" spans="2:19" ht="11.4" customHeight="1" x14ac:dyDescent="0.2">
      <c r="B3617" s="24"/>
      <c r="C3617" s="14">
        <v>33522</v>
      </c>
      <c r="D3617" s="18" t="s">
        <v>3780</v>
      </c>
      <c r="E3617" s="18" t="s">
        <v>3764</v>
      </c>
      <c r="F3617" s="17">
        <v>5.5</v>
      </c>
      <c r="G3617" s="18" t="s">
        <v>902</v>
      </c>
      <c r="H3617" s="17">
        <v>113.5</v>
      </c>
      <c r="I3617" s="15">
        <v>123.9</v>
      </c>
      <c r="J3617" s="21">
        <f t="shared" si="168"/>
        <v>9.1629955947136618E-2</v>
      </c>
      <c r="K3617" s="1">
        <v>1</v>
      </c>
      <c r="L3617" s="24">
        <v>12.3</v>
      </c>
      <c r="M3617" s="24">
        <v>111.51</v>
      </c>
      <c r="N3617" s="21">
        <f t="shared" si="169"/>
        <v>-1.7533039647577048E-2</v>
      </c>
      <c r="P3617" s="1">
        <v>4</v>
      </c>
      <c r="Q3617" s="24">
        <v>12.39</v>
      </c>
      <c r="R3617" s="24">
        <v>111.51</v>
      </c>
      <c r="S3617" s="21">
        <f t="shared" si="170"/>
        <v>-1.7533039647577048E-2</v>
      </c>
    </row>
    <row r="3618" spans="2:19" ht="11.4" customHeight="1" x14ac:dyDescent="0.2">
      <c r="B3618" s="24"/>
      <c r="C3618" s="14">
        <v>4690</v>
      </c>
      <c r="D3618" s="18" t="s">
        <v>3781</v>
      </c>
      <c r="E3618" s="18" t="s">
        <v>3762</v>
      </c>
      <c r="F3618" s="17">
        <v>14</v>
      </c>
      <c r="G3618" s="18" t="s">
        <v>23</v>
      </c>
      <c r="H3618" s="17">
        <v>48.5</v>
      </c>
      <c r="I3618" s="15">
        <v>52.6</v>
      </c>
      <c r="J3618" s="21">
        <f t="shared" si="168"/>
        <v>8.4536082474226837E-2</v>
      </c>
      <c r="K3618" s="1">
        <v>2</v>
      </c>
      <c r="L3618" s="24">
        <v>5.2</v>
      </c>
      <c r="M3618" s="24">
        <v>47.34</v>
      </c>
      <c r="N3618" s="21">
        <f t="shared" si="169"/>
        <v>-2.3917525773195805E-2</v>
      </c>
      <c r="P3618" s="1">
        <v>4</v>
      </c>
      <c r="Q3618" s="24">
        <v>6.3119999999999976</v>
      </c>
      <c r="R3618" s="24">
        <v>46.288000000000004</v>
      </c>
      <c r="S3618" s="21">
        <f t="shared" si="170"/>
        <v>-4.5608247422680333E-2</v>
      </c>
    </row>
    <row r="3619" spans="2:19" ht="11.4" customHeight="1" x14ac:dyDescent="0.2">
      <c r="B3619" s="24"/>
      <c r="C3619" s="14">
        <v>34004</v>
      </c>
      <c r="D3619" s="18" t="s">
        <v>3782</v>
      </c>
      <c r="E3619" s="18" t="s">
        <v>3762</v>
      </c>
      <c r="F3619" s="17">
        <v>12</v>
      </c>
      <c r="G3619" s="18" t="s">
        <v>23</v>
      </c>
      <c r="H3619" s="17">
        <v>49</v>
      </c>
      <c r="I3619" s="15">
        <v>67.5</v>
      </c>
      <c r="J3619" s="21">
        <f t="shared" si="168"/>
        <v>0.37755102040816324</v>
      </c>
      <c r="K3619" s="1">
        <v>2</v>
      </c>
      <c r="L3619" s="24">
        <v>6.7</v>
      </c>
      <c r="M3619" s="24">
        <v>60.75</v>
      </c>
      <c r="N3619" s="21">
        <f t="shared" si="169"/>
        <v>0.23979591836734693</v>
      </c>
      <c r="P3619" s="1">
        <v>4</v>
      </c>
      <c r="Q3619" s="24">
        <v>8.1000000000000014</v>
      </c>
      <c r="R3619" s="24">
        <v>59.4</v>
      </c>
      <c r="S3619" s="21">
        <f t="shared" si="170"/>
        <v>0.21224489795918364</v>
      </c>
    </row>
    <row r="3620" spans="2:19" ht="11.4" customHeight="1" x14ac:dyDescent="0.2">
      <c r="B3620" s="24"/>
      <c r="C3620" s="14">
        <v>2635</v>
      </c>
      <c r="D3620" s="18" t="s">
        <v>3783</v>
      </c>
      <c r="E3620" s="18" t="s">
        <v>3784</v>
      </c>
      <c r="F3620" s="17">
        <v>1.4</v>
      </c>
      <c r="G3620" s="18" t="s">
        <v>902</v>
      </c>
      <c r="H3620" s="17">
        <v>173.1</v>
      </c>
      <c r="I3620" s="15">
        <v>217</v>
      </c>
      <c r="J3620" s="21">
        <f t="shared" si="168"/>
        <v>0.25361062969381865</v>
      </c>
      <c r="K3620" s="1">
        <v>1</v>
      </c>
      <c r="L3620" s="24">
        <v>21.7</v>
      </c>
      <c r="M3620" s="24">
        <v>195.3</v>
      </c>
      <c r="N3620" s="21">
        <f t="shared" si="169"/>
        <v>0.12824956672443685</v>
      </c>
      <c r="P3620" s="1">
        <v>4</v>
      </c>
      <c r="Q3620" s="24">
        <v>21.699999999999989</v>
      </c>
      <c r="R3620" s="24">
        <v>195.3</v>
      </c>
      <c r="S3620" s="21">
        <f t="shared" si="170"/>
        <v>0.12824956672443685</v>
      </c>
    </row>
    <row r="3621" spans="2:19" ht="11.4" customHeight="1" x14ac:dyDescent="0.2">
      <c r="B3621" s="24"/>
      <c r="C3621" s="14">
        <v>28581</v>
      </c>
      <c r="D3621" s="18" t="s">
        <v>3785</v>
      </c>
      <c r="E3621" s="18" t="s">
        <v>3784</v>
      </c>
      <c r="F3621" s="17">
        <v>1.4</v>
      </c>
      <c r="G3621" s="18" t="s">
        <v>902</v>
      </c>
      <c r="H3621" s="17">
        <v>192.5</v>
      </c>
      <c r="I3621" s="15">
        <v>244.5</v>
      </c>
      <c r="J3621" s="21">
        <f t="shared" si="168"/>
        <v>0.27012987012987011</v>
      </c>
      <c r="K3621" s="1">
        <v>1</v>
      </c>
      <c r="L3621" s="24">
        <v>24.4</v>
      </c>
      <c r="M3621" s="24">
        <v>220.05</v>
      </c>
      <c r="N3621" s="21">
        <f t="shared" si="169"/>
        <v>0.14311688311688317</v>
      </c>
      <c r="P3621" s="1">
        <v>4</v>
      </c>
      <c r="Q3621" s="24">
        <v>24.449999999999989</v>
      </c>
      <c r="R3621" s="24">
        <v>220.05</v>
      </c>
      <c r="S3621" s="21">
        <f t="shared" si="170"/>
        <v>0.14311688311688317</v>
      </c>
    </row>
    <row r="3622" spans="2:19" ht="11.4" customHeight="1" x14ac:dyDescent="0.2">
      <c r="B3622" s="24"/>
      <c r="C3622" s="14">
        <v>40862</v>
      </c>
      <c r="D3622" s="18" t="s">
        <v>3786</v>
      </c>
      <c r="E3622" s="18" t="s">
        <v>3428</v>
      </c>
      <c r="F3622" s="17">
        <v>1</v>
      </c>
      <c r="G3622" s="18" t="s">
        <v>23</v>
      </c>
      <c r="H3622" s="17">
        <v>57.96</v>
      </c>
      <c r="I3622" s="15">
        <v>91.5</v>
      </c>
      <c r="J3622" s="21">
        <f t="shared" si="168"/>
        <v>0.57867494824016563</v>
      </c>
      <c r="K3622" s="1">
        <v>2</v>
      </c>
      <c r="L3622" s="24">
        <v>9.1</v>
      </c>
      <c r="M3622" s="24">
        <v>82.350000000000009</v>
      </c>
      <c r="N3622" s="21">
        <f t="shared" si="169"/>
        <v>0.42080745341614917</v>
      </c>
      <c r="P3622" s="1">
        <v>4</v>
      </c>
      <c r="Q3622" s="24">
        <v>10.980000000000004</v>
      </c>
      <c r="R3622" s="24">
        <v>80.52</v>
      </c>
      <c r="S3622" s="21">
        <f t="shared" si="170"/>
        <v>0.38923395445134568</v>
      </c>
    </row>
    <row r="3623" spans="2:19" ht="11.4" customHeight="1" x14ac:dyDescent="0.2">
      <c r="B3623" s="24"/>
      <c r="C3623" s="14">
        <v>40861</v>
      </c>
      <c r="D3623" s="18" t="s">
        <v>3787</v>
      </c>
      <c r="E3623" s="18" t="s">
        <v>3788</v>
      </c>
      <c r="F3623" s="17">
        <v>1.7</v>
      </c>
      <c r="G3623" s="18" t="s">
        <v>902</v>
      </c>
      <c r="H3623" s="17">
        <v>119.7</v>
      </c>
      <c r="I3623" s="15">
        <v>171.5</v>
      </c>
      <c r="J3623" s="21">
        <f t="shared" si="168"/>
        <v>0.43274853801169588</v>
      </c>
      <c r="K3623" s="1">
        <v>1</v>
      </c>
      <c r="L3623" s="24">
        <v>17.100000000000001</v>
      </c>
      <c r="M3623" s="24">
        <v>154.35</v>
      </c>
      <c r="N3623" s="21">
        <f t="shared" si="169"/>
        <v>0.28947368421052622</v>
      </c>
      <c r="P3623" s="1">
        <v>4</v>
      </c>
      <c r="Q3623" s="24">
        <v>17.150000000000006</v>
      </c>
      <c r="R3623" s="24">
        <v>154.35</v>
      </c>
      <c r="S3623" s="21">
        <f t="shared" si="170"/>
        <v>0.28947368421052622</v>
      </c>
    </row>
    <row r="3624" spans="2:19" ht="11.4" customHeight="1" x14ac:dyDescent="0.2">
      <c r="B3624" s="24"/>
      <c r="C3624" s="14">
        <v>40863</v>
      </c>
      <c r="D3624" s="18" t="s">
        <v>3789</v>
      </c>
      <c r="E3624" s="18" t="s">
        <v>3428</v>
      </c>
      <c r="F3624" s="17">
        <v>1</v>
      </c>
      <c r="G3624" s="18" t="s">
        <v>23</v>
      </c>
      <c r="H3624" s="17">
        <v>59.76</v>
      </c>
      <c r="I3624" s="15">
        <v>91.5</v>
      </c>
      <c r="J3624" s="21">
        <f t="shared" si="168"/>
        <v>0.53112449799196793</v>
      </c>
      <c r="K3624" s="1">
        <v>2</v>
      </c>
      <c r="L3624" s="24">
        <v>9.1</v>
      </c>
      <c r="M3624" s="24">
        <v>82.350000000000009</v>
      </c>
      <c r="N3624" s="21">
        <f t="shared" si="169"/>
        <v>0.37801204819277129</v>
      </c>
      <c r="P3624" s="1">
        <v>4</v>
      </c>
      <c r="Q3624" s="24">
        <v>10.980000000000004</v>
      </c>
      <c r="R3624" s="24">
        <v>80.52</v>
      </c>
      <c r="S3624" s="21">
        <f t="shared" si="170"/>
        <v>0.34738955823293172</v>
      </c>
    </row>
    <row r="3625" spans="2:19" ht="11.4" customHeight="1" x14ac:dyDescent="0.2">
      <c r="B3625" s="24"/>
      <c r="C3625" s="14">
        <v>40864</v>
      </c>
      <c r="D3625" s="18" t="s">
        <v>3790</v>
      </c>
      <c r="E3625" s="18" t="s">
        <v>3428</v>
      </c>
      <c r="F3625" s="17">
        <v>1</v>
      </c>
      <c r="G3625" s="18" t="s">
        <v>23</v>
      </c>
      <c r="H3625" s="17">
        <v>61.92</v>
      </c>
      <c r="I3625" s="15">
        <v>91.5</v>
      </c>
      <c r="J3625" s="21">
        <f t="shared" si="168"/>
        <v>0.4777131782945736</v>
      </c>
      <c r="K3625" s="1">
        <v>2</v>
      </c>
      <c r="L3625" s="24">
        <v>9.1</v>
      </c>
      <c r="M3625" s="24">
        <v>82.350000000000009</v>
      </c>
      <c r="N3625" s="21">
        <f t="shared" si="169"/>
        <v>0.32994186046511637</v>
      </c>
      <c r="P3625" s="1">
        <v>4</v>
      </c>
      <c r="Q3625" s="24">
        <v>10.980000000000004</v>
      </c>
      <c r="R3625" s="24">
        <v>80.52</v>
      </c>
      <c r="S3625" s="21">
        <f t="shared" si="170"/>
        <v>0.30038759689922473</v>
      </c>
    </row>
    <row r="3626" spans="2:19" ht="11.4" customHeight="1" x14ac:dyDescent="0.2">
      <c r="B3626" s="24"/>
      <c r="C3626" s="14">
        <v>35121</v>
      </c>
      <c r="D3626" s="18" t="s">
        <v>3791</v>
      </c>
      <c r="E3626" s="18" t="s">
        <v>3428</v>
      </c>
      <c r="F3626" s="18"/>
      <c r="G3626" s="18" t="s">
        <v>23</v>
      </c>
      <c r="H3626" s="17">
        <v>94.9</v>
      </c>
      <c r="I3626" s="15">
        <v>125.5</v>
      </c>
      <c r="J3626" s="21">
        <f t="shared" si="168"/>
        <v>0.32244467860906212</v>
      </c>
      <c r="K3626" s="1">
        <v>2</v>
      </c>
      <c r="L3626" s="24">
        <v>12.5</v>
      </c>
      <c r="M3626" s="24">
        <v>112.95</v>
      </c>
      <c r="N3626" s="21">
        <f t="shared" si="169"/>
        <v>0.19020021074815591</v>
      </c>
      <c r="P3626" s="1">
        <v>4</v>
      </c>
      <c r="Q3626" s="24">
        <v>15.060000000000002</v>
      </c>
      <c r="R3626" s="24">
        <v>110.44</v>
      </c>
      <c r="S3626" s="21">
        <f t="shared" si="170"/>
        <v>0.1637513171759746</v>
      </c>
    </row>
    <row r="3627" spans="2:19" ht="11.4" customHeight="1" x14ac:dyDescent="0.2">
      <c r="B3627" s="24"/>
      <c r="C3627" s="14">
        <v>35122</v>
      </c>
      <c r="D3627" s="18" t="s">
        <v>3792</v>
      </c>
      <c r="E3627" s="18" t="s">
        <v>3428</v>
      </c>
      <c r="F3627" s="18"/>
      <c r="G3627" s="18" t="s">
        <v>23</v>
      </c>
      <c r="H3627" s="17">
        <v>94.9</v>
      </c>
      <c r="I3627" s="15">
        <v>125.5</v>
      </c>
      <c r="J3627" s="21">
        <f t="shared" si="168"/>
        <v>0.32244467860906212</v>
      </c>
      <c r="K3627" s="1">
        <v>2</v>
      </c>
      <c r="L3627" s="24">
        <v>12.5</v>
      </c>
      <c r="M3627" s="24">
        <v>112.95</v>
      </c>
      <c r="N3627" s="21">
        <f t="shared" si="169"/>
        <v>0.19020021074815591</v>
      </c>
      <c r="P3627" s="1">
        <v>4</v>
      </c>
      <c r="Q3627" s="24">
        <v>15.060000000000002</v>
      </c>
      <c r="R3627" s="24">
        <v>110.44</v>
      </c>
      <c r="S3627" s="21">
        <f t="shared" si="170"/>
        <v>0.1637513171759746</v>
      </c>
    </row>
    <row r="3628" spans="2:19" ht="11.4" customHeight="1" x14ac:dyDescent="0.2">
      <c r="B3628" s="24"/>
      <c r="C3628" s="14">
        <v>35530</v>
      </c>
      <c r="D3628" s="18" t="s">
        <v>3793</v>
      </c>
      <c r="E3628" s="18" t="s">
        <v>3428</v>
      </c>
      <c r="F3628" s="18"/>
      <c r="G3628" s="18" t="s">
        <v>23</v>
      </c>
      <c r="H3628" s="17">
        <v>94.9</v>
      </c>
      <c r="I3628" s="15">
        <v>123.5</v>
      </c>
      <c r="J3628" s="21">
        <f t="shared" si="168"/>
        <v>0.30136986301369856</v>
      </c>
      <c r="K3628" s="1">
        <v>2</v>
      </c>
      <c r="L3628" s="24">
        <v>12.3</v>
      </c>
      <c r="M3628" s="24">
        <v>111.15</v>
      </c>
      <c r="N3628" s="21">
        <f t="shared" si="169"/>
        <v>0.17123287671232876</v>
      </c>
      <c r="P3628" s="1">
        <v>4</v>
      </c>
      <c r="Q3628" s="24">
        <v>14.819999999999993</v>
      </c>
      <c r="R3628" s="24">
        <v>108.68</v>
      </c>
      <c r="S3628" s="21">
        <f t="shared" si="170"/>
        <v>0.14520547945205481</v>
      </c>
    </row>
    <row r="3629" spans="2:19" ht="11.4" customHeight="1" x14ac:dyDescent="0.2">
      <c r="B3629" s="24"/>
      <c r="C3629" s="14">
        <v>34146</v>
      </c>
      <c r="D3629" s="18" t="s">
        <v>3794</v>
      </c>
      <c r="E3629" s="18" t="s">
        <v>3428</v>
      </c>
      <c r="F3629" s="18"/>
      <c r="G3629" s="18" t="s">
        <v>23</v>
      </c>
      <c r="H3629" s="17">
        <v>95</v>
      </c>
      <c r="I3629" s="15">
        <v>126.9</v>
      </c>
      <c r="J3629" s="21">
        <f t="shared" si="168"/>
        <v>0.33578947368421058</v>
      </c>
      <c r="K3629" s="1">
        <v>2</v>
      </c>
      <c r="L3629" s="24">
        <v>12.6</v>
      </c>
      <c r="M3629" s="24">
        <v>114.21000000000001</v>
      </c>
      <c r="N3629" s="21">
        <f t="shared" si="169"/>
        <v>0.20221052631578956</v>
      </c>
      <c r="P3629" s="1">
        <v>4</v>
      </c>
      <c r="Q3629" s="24">
        <v>15.227999999999994</v>
      </c>
      <c r="R3629" s="24">
        <v>111.67200000000001</v>
      </c>
      <c r="S3629" s="21">
        <f t="shared" si="170"/>
        <v>0.17549473684210537</v>
      </c>
    </row>
    <row r="3630" spans="2:19" ht="11.4" customHeight="1" x14ac:dyDescent="0.2">
      <c r="B3630" s="24"/>
      <c r="C3630" s="14">
        <v>39989</v>
      </c>
      <c r="D3630" s="18" t="s">
        <v>3795</v>
      </c>
      <c r="E3630" s="18" t="s">
        <v>3356</v>
      </c>
      <c r="F3630" s="17">
        <v>96</v>
      </c>
      <c r="G3630" s="18" t="s">
        <v>23</v>
      </c>
      <c r="H3630" s="17">
        <v>6.2</v>
      </c>
      <c r="I3630" s="15">
        <v>7.5</v>
      </c>
      <c r="J3630" s="21">
        <f t="shared" si="168"/>
        <v>0.20967741935483866</v>
      </c>
      <c r="K3630" s="1">
        <v>2</v>
      </c>
      <c r="L3630" s="24">
        <v>0.7</v>
      </c>
      <c r="M3630" s="24">
        <v>6.75</v>
      </c>
      <c r="N3630" s="21">
        <f t="shared" si="169"/>
        <v>8.8709677419354802E-2</v>
      </c>
      <c r="P3630" s="1">
        <v>4</v>
      </c>
      <c r="Q3630" s="24">
        <v>0.90000000000000036</v>
      </c>
      <c r="R3630" s="24">
        <v>6.6</v>
      </c>
      <c r="S3630" s="21">
        <f t="shared" si="170"/>
        <v>6.4516129032257979E-2</v>
      </c>
    </row>
    <row r="3631" spans="2:19" ht="11.4" customHeight="1" x14ac:dyDescent="0.2">
      <c r="B3631" s="24"/>
      <c r="C3631" s="14">
        <v>39990</v>
      </c>
      <c r="D3631" s="18" t="s">
        <v>3796</v>
      </c>
      <c r="E3631" s="18" t="s">
        <v>3356</v>
      </c>
      <c r="F3631" s="17">
        <v>96</v>
      </c>
      <c r="G3631" s="18" t="s">
        <v>23</v>
      </c>
      <c r="H3631" s="17">
        <v>6.2</v>
      </c>
      <c r="I3631" s="15">
        <v>7.5</v>
      </c>
      <c r="J3631" s="21">
        <f t="shared" si="168"/>
        <v>0.20967741935483866</v>
      </c>
      <c r="K3631" s="1">
        <v>2</v>
      </c>
      <c r="L3631" s="24">
        <v>0.7</v>
      </c>
      <c r="M3631" s="24">
        <v>6.75</v>
      </c>
      <c r="N3631" s="21">
        <f t="shared" si="169"/>
        <v>8.8709677419354802E-2</v>
      </c>
      <c r="P3631" s="1">
        <v>4</v>
      </c>
      <c r="Q3631" s="24">
        <v>0.90000000000000036</v>
      </c>
      <c r="R3631" s="24">
        <v>6.6</v>
      </c>
      <c r="S3631" s="21">
        <f t="shared" si="170"/>
        <v>6.4516129032257979E-2</v>
      </c>
    </row>
    <row r="3632" spans="2:19" ht="11.4" customHeight="1" x14ac:dyDescent="0.2">
      <c r="B3632" s="24"/>
      <c r="C3632" s="14">
        <v>29970</v>
      </c>
      <c r="D3632" s="18" t="s">
        <v>3797</v>
      </c>
      <c r="E3632" s="18" t="s">
        <v>3428</v>
      </c>
      <c r="F3632" s="17">
        <v>10</v>
      </c>
      <c r="G3632" s="18" t="s">
        <v>23</v>
      </c>
      <c r="H3632" s="17">
        <v>79.400000000000006</v>
      </c>
      <c r="I3632" s="15">
        <v>86.5</v>
      </c>
      <c r="J3632" s="21">
        <f t="shared" si="168"/>
        <v>8.9420654911838718E-2</v>
      </c>
      <c r="K3632" s="1">
        <v>2</v>
      </c>
      <c r="L3632" s="24">
        <v>8.6</v>
      </c>
      <c r="M3632" s="24">
        <v>77.850000000000009</v>
      </c>
      <c r="N3632" s="21">
        <f t="shared" si="169"/>
        <v>-1.9521410579345051E-2</v>
      </c>
      <c r="P3632" s="1">
        <v>4</v>
      </c>
      <c r="Q3632" s="24">
        <v>10.379999999999995</v>
      </c>
      <c r="R3632" s="24">
        <v>76.12</v>
      </c>
      <c r="S3632" s="21">
        <f t="shared" si="170"/>
        <v>-4.1309823677581875E-2</v>
      </c>
    </row>
    <row r="3633" spans="2:19" ht="11.4" customHeight="1" x14ac:dyDescent="0.2">
      <c r="B3633" s="24"/>
      <c r="C3633" s="14">
        <v>41902</v>
      </c>
      <c r="D3633" s="18" t="s">
        <v>3798</v>
      </c>
      <c r="E3633" s="18" t="s">
        <v>3788</v>
      </c>
      <c r="F3633" s="18"/>
      <c r="G3633" s="18" t="s">
        <v>902</v>
      </c>
      <c r="H3633" s="17">
        <v>132.22</v>
      </c>
      <c r="I3633" s="15">
        <v>221.9</v>
      </c>
      <c r="J3633" s="21">
        <f t="shared" si="168"/>
        <v>0.67826350022689463</v>
      </c>
      <c r="K3633" s="1">
        <v>1</v>
      </c>
      <c r="L3633" s="24">
        <v>22.1</v>
      </c>
      <c r="M3633" s="24">
        <v>199.71</v>
      </c>
      <c r="N3633" s="21">
        <f t="shared" si="169"/>
        <v>0.51043715020420521</v>
      </c>
      <c r="P3633" s="1">
        <v>4</v>
      </c>
      <c r="Q3633" s="24">
        <v>22.189999999999998</v>
      </c>
      <c r="R3633" s="24">
        <v>199.71</v>
      </c>
      <c r="S3633" s="21">
        <f t="shared" si="170"/>
        <v>0.51043715020420521</v>
      </c>
    </row>
    <row r="3634" spans="2:19" ht="11.4" customHeight="1" x14ac:dyDescent="0.2">
      <c r="B3634" s="24"/>
      <c r="C3634" s="14">
        <v>28408</v>
      </c>
      <c r="D3634" s="18" t="s">
        <v>3799</v>
      </c>
      <c r="E3634" s="18" t="s">
        <v>3788</v>
      </c>
      <c r="F3634" s="17">
        <v>2</v>
      </c>
      <c r="G3634" s="18" t="s">
        <v>902</v>
      </c>
      <c r="H3634" s="17">
        <v>115</v>
      </c>
      <c r="I3634" s="15">
        <v>173.9</v>
      </c>
      <c r="J3634" s="21">
        <f t="shared" si="168"/>
        <v>0.51217391304347826</v>
      </c>
      <c r="K3634" s="1">
        <v>1</v>
      </c>
      <c r="L3634" s="24">
        <v>17.3</v>
      </c>
      <c r="M3634" s="24">
        <v>156.51000000000002</v>
      </c>
      <c r="N3634" s="21">
        <f t="shared" si="169"/>
        <v>0.36095652173913062</v>
      </c>
      <c r="P3634" s="1">
        <v>4</v>
      </c>
      <c r="Q3634" s="24">
        <v>17.389999999999986</v>
      </c>
      <c r="R3634" s="24">
        <v>156.51000000000002</v>
      </c>
      <c r="S3634" s="21">
        <f t="shared" si="170"/>
        <v>0.36095652173913062</v>
      </c>
    </row>
    <row r="3635" spans="2:19" ht="11.4" customHeight="1" x14ac:dyDescent="0.2">
      <c r="B3635" s="24"/>
      <c r="C3635" s="14">
        <v>40976</v>
      </c>
      <c r="D3635" s="18" t="s">
        <v>3800</v>
      </c>
      <c r="E3635" s="18" t="s">
        <v>3428</v>
      </c>
      <c r="F3635" s="17">
        <v>7</v>
      </c>
      <c r="G3635" s="18" t="s">
        <v>23</v>
      </c>
      <c r="H3635" s="17">
        <v>69.84</v>
      </c>
      <c r="I3635" s="15">
        <v>102.9</v>
      </c>
      <c r="J3635" s="21">
        <f t="shared" si="168"/>
        <v>0.4733676975945017</v>
      </c>
      <c r="K3635" s="1">
        <v>2</v>
      </c>
      <c r="L3635" s="24">
        <v>10.199999999999999</v>
      </c>
      <c r="M3635" s="24">
        <v>92.610000000000014</v>
      </c>
      <c r="N3635" s="21">
        <f t="shared" si="169"/>
        <v>0.32603092783505166</v>
      </c>
      <c r="P3635" s="1">
        <v>4</v>
      </c>
      <c r="Q3635" s="24">
        <v>12.347999999999999</v>
      </c>
      <c r="R3635" s="24">
        <v>90.552000000000007</v>
      </c>
      <c r="S3635" s="21">
        <f t="shared" si="170"/>
        <v>0.29656357388316157</v>
      </c>
    </row>
    <row r="3636" spans="2:19" ht="11.4" customHeight="1" x14ac:dyDescent="0.2">
      <c r="B3636" s="24"/>
      <c r="C3636" s="14">
        <v>43693</v>
      </c>
      <c r="D3636" s="18" t="s">
        <v>3801</v>
      </c>
      <c r="E3636" s="18" t="s">
        <v>3428</v>
      </c>
      <c r="F3636" s="18"/>
      <c r="G3636" s="18" t="s">
        <v>23</v>
      </c>
      <c r="H3636" s="17">
        <v>50.52</v>
      </c>
      <c r="I3636" s="15">
        <v>81.5</v>
      </c>
      <c r="J3636" s="21">
        <f t="shared" si="168"/>
        <v>0.61322248614410124</v>
      </c>
      <c r="K3636" s="1">
        <v>2</v>
      </c>
      <c r="L3636" s="24">
        <v>8.1</v>
      </c>
      <c r="M3636" s="24">
        <v>73.350000000000009</v>
      </c>
      <c r="N3636" s="21">
        <f t="shared" si="169"/>
        <v>0.45190023752969127</v>
      </c>
      <c r="P3636" s="1">
        <v>4</v>
      </c>
      <c r="Q3636" s="24">
        <v>9.7800000000000011</v>
      </c>
      <c r="R3636" s="24">
        <v>71.72</v>
      </c>
      <c r="S3636" s="21">
        <f t="shared" si="170"/>
        <v>0.4196357878068091</v>
      </c>
    </row>
    <row r="3637" spans="2:19" ht="11.4" customHeight="1" x14ac:dyDescent="0.2">
      <c r="B3637" s="24"/>
      <c r="C3637" s="14">
        <v>43691</v>
      </c>
      <c r="D3637" s="18" t="s">
        <v>3802</v>
      </c>
      <c r="E3637" s="18" t="s">
        <v>3428</v>
      </c>
      <c r="F3637" s="18"/>
      <c r="G3637" s="18" t="s">
        <v>23</v>
      </c>
      <c r="H3637" s="17">
        <v>51.36</v>
      </c>
      <c r="I3637" s="15">
        <v>81.5</v>
      </c>
      <c r="J3637" s="21">
        <f t="shared" si="168"/>
        <v>0.58683800623052962</v>
      </c>
      <c r="K3637" s="1">
        <v>2</v>
      </c>
      <c r="L3637" s="24">
        <v>8.1</v>
      </c>
      <c r="M3637" s="24">
        <v>73.350000000000009</v>
      </c>
      <c r="N3637" s="21">
        <f t="shared" si="169"/>
        <v>0.4281542056074768</v>
      </c>
      <c r="P3637" s="1">
        <v>4</v>
      </c>
      <c r="Q3637" s="24">
        <v>9.7800000000000011</v>
      </c>
      <c r="R3637" s="24">
        <v>71.72</v>
      </c>
      <c r="S3637" s="21">
        <f t="shared" si="170"/>
        <v>0.39641744548286606</v>
      </c>
    </row>
    <row r="3638" spans="2:19" ht="11.4" customHeight="1" x14ac:dyDescent="0.2">
      <c r="B3638" s="24"/>
      <c r="C3638" s="14">
        <v>20298</v>
      </c>
      <c r="D3638" s="18" t="s">
        <v>3803</v>
      </c>
      <c r="E3638" s="18" t="s">
        <v>3428</v>
      </c>
      <c r="F3638" s="18"/>
      <c r="G3638" s="18" t="s">
        <v>23</v>
      </c>
      <c r="H3638" s="17">
        <v>109.32</v>
      </c>
      <c r="I3638" s="15">
        <v>153.5</v>
      </c>
      <c r="J3638" s="21">
        <f t="shared" si="168"/>
        <v>0.40413465056714243</v>
      </c>
      <c r="K3638" s="1">
        <v>2</v>
      </c>
      <c r="L3638" s="24">
        <v>15.3</v>
      </c>
      <c r="M3638" s="24">
        <v>138.15</v>
      </c>
      <c r="N3638" s="21">
        <f t="shared" si="169"/>
        <v>0.26372118551042822</v>
      </c>
      <c r="P3638" s="1">
        <v>4</v>
      </c>
      <c r="Q3638" s="24">
        <v>18.419999999999987</v>
      </c>
      <c r="R3638" s="24">
        <v>135.08000000000001</v>
      </c>
      <c r="S3638" s="21">
        <f t="shared" si="170"/>
        <v>0.23563849249908544</v>
      </c>
    </row>
    <row r="3639" spans="2:19" ht="11.4" customHeight="1" x14ac:dyDescent="0.2">
      <c r="B3639" s="24"/>
      <c r="C3639" s="14">
        <v>40970</v>
      </c>
      <c r="D3639" s="18" t="s">
        <v>3804</v>
      </c>
      <c r="E3639" s="18" t="s">
        <v>3428</v>
      </c>
      <c r="F3639" s="17">
        <v>5</v>
      </c>
      <c r="G3639" s="18" t="s">
        <v>23</v>
      </c>
      <c r="H3639" s="17">
        <v>108.3</v>
      </c>
      <c r="I3639" s="15">
        <v>158.5</v>
      </c>
      <c r="J3639" s="21">
        <f t="shared" si="168"/>
        <v>0.46352723915050786</v>
      </c>
      <c r="K3639" s="1">
        <v>2</v>
      </c>
      <c r="L3639" s="24">
        <v>15.8</v>
      </c>
      <c r="M3639" s="24">
        <v>142.65</v>
      </c>
      <c r="N3639" s="21">
        <f t="shared" si="169"/>
        <v>0.31717451523545714</v>
      </c>
      <c r="P3639" s="1">
        <v>4</v>
      </c>
      <c r="Q3639" s="24">
        <v>19.02000000000001</v>
      </c>
      <c r="R3639" s="24">
        <v>139.47999999999999</v>
      </c>
      <c r="S3639" s="21">
        <f t="shared" si="170"/>
        <v>0.28790397045244687</v>
      </c>
    </row>
    <row r="3640" spans="2:19" ht="11.4" customHeight="1" x14ac:dyDescent="0.2">
      <c r="B3640" s="24"/>
      <c r="C3640" s="14">
        <v>29349</v>
      </c>
      <c r="D3640" s="18" t="s">
        <v>3805</v>
      </c>
      <c r="E3640" s="18" t="s">
        <v>3788</v>
      </c>
      <c r="F3640" s="18"/>
      <c r="G3640" s="18" t="s">
        <v>902</v>
      </c>
      <c r="H3640" s="17">
        <v>179.4</v>
      </c>
      <c r="I3640" s="15">
        <v>213.5</v>
      </c>
      <c r="J3640" s="21">
        <f t="shared" si="168"/>
        <v>0.19007803790412484</v>
      </c>
      <c r="K3640" s="1">
        <v>1</v>
      </c>
      <c r="L3640" s="24">
        <v>21.3</v>
      </c>
      <c r="M3640" s="24">
        <v>192.15</v>
      </c>
      <c r="N3640" s="21">
        <f t="shared" si="169"/>
        <v>7.1070234113712369E-2</v>
      </c>
      <c r="P3640" s="1">
        <v>4</v>
      </c>
      <c r="Q3640" s="24">
        <v>21.349999999999994</v>
      </c>
      <c r="R3640" s="24">
        <v>192.15</v>
      </c>
      <c r="S3640" s="21">
        <f t="shared" si="170"/>
        <v>7.1070234113712369E-2</v>
      </c>
    </row>
    <row r="3641" spans="2:19" ht="11.4" customHeight="1" x14ac:dyDescent="0.2">
      <c r="B3641" s="24"/>
      <c r="C3641" s="14">
        <v>28912</v>
      </c>
      <c r="D3641" s="18" t="s">
        <v>3806</v>
      </c>
      <c r="E3641" s="18" t="s">
        <v>3356</v>
      </c>
      <c r="F3641" s="17">
        <v>12</v>
      </c>
      <c r="G3641" s="18" t="s">
        <v>23</v>
      </c>
      <c r="H3641" s="17">
        <v>69.900000000000006</v>
      </c>
      <c r="I3641" s="15">
        <v>98.9</v>
      </c>
      <c r="J3641" s="21">
        <f t="shared" si="168"/>
        <v>0.4148783977110157</v>
      </c>
      <c r="K3641" s="1">
        <v>2</v>
      </c>
      <c r="L3641" s="24">
        <v>9.8000000000000007</v>
      </c>
      <c r="M3641" s="24">
        <v>89.01</v>
      </c>
      <c r="N3641" s="21">
        <f t="shared" si="169"/>
        <v>0.27339055793991413</v>
      </c>
      <c r="P3641" s="1">
        <v>4</v>
      </c>
      <c r="Q3641" s="24">
        <v>11.867999999999995</v>
      </c>
      <c r="R3641" s="24">
        <v>87.032000000000011</v>
      </c>
      <c r="S3641" s="21">
        <f t="shared" si="170"/>
        <v>0.2450929899856939</v>
      </c>
    </row>
    <row r="3642" spans="2:19" ht="11.4" customHeight="1" x14ac:dyDescent="0.2">
      <c r="B3642" s="24"/>
      <c r="C3642" s="14">
        <v>20299</v>
      </c>
      <c r="D3642" s="18" t="s">
        <v>3807</v>
      </c>
      <c r="E3642" s="18" t="s">
        <v>3788</v>
      </c>
      <c r="F3642" s="17">
        <v>2</v>
      </c>
      <c r="G3642" s="18" t="s">
        <v>902</v>
      </c>
      <c r="H3642" s="17">
        <v>183.2</v>
      </c>
      <c r="I3642" s="15">
        <v>189.9</v>
      </c>
      <c r="J3642" s="21">
        <f t="shared" si="168"/>
        <v>3.6572052401746817E-2</v>
      </c>
      <c r="K3642" s="1">
        <v>1</v>
      </c>
      <c r="L3642" s="24">
        <v>18.899999999999999</v>
      </c>
      <c r="M3642" s="24">
        <v>170.91</v>
      </c>
      <c r="N3642" s="21">
        <f t="shared" si="169"/>
        <v>-6.7085152838427906E-2</v>
      </c>
      <c r="P3642" s="1">
        <v>4</v>
      </c>
      <c r="Q3642" s="24">
        <v>18.990000000000009</v>
      </c>
      <c r="R3642" s="24">
        <v>170.91</v>
      </c>
      <c r="S3642" s="21">
        <f t="shared" si="170"/>
        <v>-6.7085152838427906E-2</v>
      </c>
    </row>
    <row r="3643" spans="2:19" ht="11.4" customHeight="1" x14ac:dyDescent="0.2">
      <c r="B3643" s="24"/>
      <c r="C3643" s="14">
        <v>6401</v>
      </c>
      <c r="D3643" s="18" t="s">
        <v>3808</v>
      </c>
      <c r="E3643" s="18" t="s">
        <v>3356</v>
      </c>
      <c r="F3643" s="17">
        <v>18</v>
      </c>
      <c r="G3643" s="18" t="s">
        <v>23</v>
      </c>
      <c r="H3643" s="17">
        <v>28.5</v>
      </c>
      <c r="I3643" s="15">
        <v>30.6</v>
      </c>
      <c r="J3643" s="21">
        <f t="shared" si="168"/>
        <v>7.3684210526315838E-2</v>
      </c>
      <c r="K3643" s="1">
        <v>2</v>
      </c>
      <c r="L3643" s="24">
        <v>3</v>
      </c>
      <c r="M3643" s="24">
        <v>27.540000000000003</v>
      </c>
      <c r="N3643" s="21">
        <f t="shared" si="169"/>
        <v>-3.3684210526315692E-2</v>
      </c>
      <c r="P3643" s="1">
        <v>4</v>
      </c>
      <c r="Q3643" s="24">
        <v>3.6720000000000006</v>
      </c>
      <c r="R3643" s="24">
        <v>26.928000000000001</v>
      </c>
      <c r="S3643" s="21">
        <f t="shared" si="170"/>
        <v>-5.5157894736842079E-2</v>
      </c>
    </row>
    <row r="3644" spans="2:19" ht="11.4" customHeight="1" x14ac:dyDescent="0.2">
      <c r="B3644" s="24"/>
      <c r="C3644" s="14">
        <v>3550</v>
      </c>
      <c r="D3644" s="18" t="s">
        <v>3809</v>
      </c>
      <c r="E3644" s="18" t="s">
        <v>3356</v>
      </c>
      <c r="F3644" s="17">
        <v>96</v>
      </c>
      <c r="G3644" s="18" t="s">
        <v>23</v>
      </c>
      <c r="H3644" s="17">
        <v>6.2</v>
      </c>
      <c r="I3644" s="15">
        <v>7.5</v>
      </c>
      <c r="J3644" s="21">
        <f t="shared" si="168"/>
        <v>0.20967741935483866</v>
      </c>
      <c r="K3644" s="1">
        <v>2</v>
      </c>
      <c r="L3644" s="24">
        <v>0.7</v>
      </c>
      <c r="M3644" s="24">
        <v>6.75</v>
      </c>
      <c r="N3644" s="21">
        <f t="shared" si="169"/>
        <v>8.8709677419354802E-2</v>
      </c>
      <c r="P3644" s="1">
        <v>4</v>
      </c>
      <c r="Q3644" s="24">
        <v>0.90000000000000036</v>
      </c>
      <c r="R3644" s="24">
        <v>6.6</v>
      </c>
      <c r="S3644" s="21">
        <f t="shared" si="170"/>
        <v>6.4516129032257979E-2</v>
      </c>
    </row>
    <row r="3645" spans="2:19" ht="11.4" customHeight="1" x14ac:dyDescent="0.2">
      <c r="B3645" s="24"/>
      <c r="C3645" s="14">
        <v>42534</v>
      </c>
      <c r="D3645" s="18" t="s">
        <v>3810</v>
      </c>
      <c r="E3645" s="18" t="s">
        <v>3428</v>
      </c>
      <c r="F3645" s="17">
        <v>10</v>
      </c>
      <c r="G3645" s="18" t="s">
        <v>23</v>
      </c>
      <c r="H3645" s="17">
        <v>109.8</v>
      </c>
      <c r="I3645" s="15">
        <v>147.9</v>
      </c>
      <c r="J3645" s="21">
        <f t="shared" si="168"/>
        <v>0.34699453551912579</v>
      </c>
      <c r="K3645" s="1">
        <v>2</v>
      </c>
      <c r="L3645" s="24">
        <v>14.7</v>
      </c>
      <c r="M3645" s="24">
        <v>133.11000000000001</v>
      </c>
      <c r="N3645" s="21">
        <f t="shared" si="169"/>
        <v>0.21229508196721328</v>
      </c>
      <c r="P3645" s="1">
        <v>4</v>
      </c>
      <c r="Q3645" s="24">
        <v>17.74799999999999</v>
      </c>
      <c r="R3645" s="24">
        <v>130.15200000000002</v>
      </c>
      <c r="S3645" s="21">
        <f t="shared" si="170"/>
        <v>0.18535519125683078</v>
      </c>
    </row>
    <row r="3646" spans="2:19" ht="11.4" customHeight="1" x14ac:dyDescent="0.2">
      <c r="B3646" s="24"/>
      <c r="C3646" s="14">
        <v>40977</v>
      </c>
      <c r="D3646" s="18" t="s">
        <v>3811</v>
      </c>
      <c r="E3646" s="18" t="s">
        <v>3428</v>
      </c>
      <c r="F3646" s="17">
        <v>7</v>
      </c>
      <c r="G3646" s="18" t="s">
        <v>23</v>
      </c>
      <c r="H3646" s="17">
        <v>69.84</v>
      </c>
      <c r="I3646" s="15">
        <v>102.9</v>
      </c>
      <c r="J3646" s="21">
        <f t="shared" si="168"/>
        <v>0.4733676975945017</v>
      </c>
      <c r="K3646" s="1">
        <v>2</v>
      </c>
      <c r="L3646" s="24">
        <v>10.199999999999999</v>
      </c>
      <c r="M3646" s="24">
        <v>92.610000000000014</v>
      </c>
      <c r="N3646" s="21">
        <f t="shared" si="169"/>
        <v>0.32603092783505166</v>
      </c>
      <c r="P3646" s="1">
        <v>4</v>
      </c>
      <c r="Q3646" s="24">
        <v>12.347999999999999</v>
      </c>
      <c r="R3646" s="24">
        <v>90.552000000000007</v>
      </c>
      <c r="S3646" s="21">
        <f t="shared" si="170"/>
        <v>0.29656357388316157</v>
      </c>
    </row>
    <row r="3647" spans="2:19" ht="11.4" customHeight="1" x14ac:dyDescent="0.2">
      <c r="B3647" s="24"/>
      <c r="C3647" s="14">
        <v>12494</v>
      </c>
      <c r="D3647" s="18" t="s">
        <v>3812</v>
      </c>
      <c r="E3647" s="18" t="s">
        <v>3788</v>
      </c>
      <c r="F3647" s="17">
        <v>4</v>
      </c>
      <c r="G3647" s="18" t="s">
        <v>902</v>
      </c>
      <c r="H3647" s="17">
        <v>85</v>
      </c>
      <c r="I3647" s="15">
        <v>104.9</v>
      </c>
      <c r="J3647" s="21">
        <f t="shared" si="168"/>
        <v>0.2341176470588236</v>
      </c>
      <c r="K3647" s="1">
        <v>1</v>
      </c>
      <c r="L3647" s="24">
        <v>10.4</v>
      </c>
      <c r="M3647" s="24">
        <v>94.410000000000011</v>
      </c>
      <c r="N3647" s="21">
        <f t="shared" si="169"/>
        <v>0.11070588235294131</v>
      </c>
      <c r="P3647" s="1">
        <v>4</v>
      </c>
      <c r="Q3647" s="24">
        <v>10.489999999999995</v>
      </c>
      <c r="R3647" s="24">
        <v>94.410000000000011</v>
      </c>
      <c r="S3647" s="21">
        <f t="shared" si="170"/>
        <v>0.11070588235294131</v>
      </c>
    </row>
    <row r="3648" spans="2:19" ht="11.4" customHeight="1" x14ac:dyDescent="0.2">
      <c r="B3648" s="24"/>
      <c r="C3648" s="14">
        <v>46826</v>
      </c>
      <c r="D3648" s="18" t="s">
        <v>3813</v>
      </c>
      <c r="E3648" s="18" t="s">
        <v>3356</v>
      </c>
      <c r="F3648" s="17">
        <v>12</v>
      </c>
      <c r="G3648" s="18" t="s">
        <v>23</v>
      </c>
      <c r="H3648" s="17">
        <v>42.01</v>
      </c>
      <c r="I3648" s="15">
        <v>71.5</v>
      </c>
      <c r="J3648" s="21">
        <f t="shared" si="168"/>
        <v>0.70197572006665088</v>
      </c>
      <c r="K3648" s="1">
        <v>2</v>
      </c>
      <c r="L3648" s="24">
        <v>7.1</v>
      </c>
      <c r="M3648" s="24">
        <v>64.350000000000009</v>
      </c>
      <c r="N3648" s="21">
        <f t="shared" si="169"/>
        <v>0.53177814805998602</v>
      </c>
      <c r="P3648" s="1">
        <v>4</v>
      </c>
      <c r="Q3648" s="24">
        <v>8.5799999999999983</v>
      </c>
      <c r="R3648" s="24">
        <v>62.92</v>
      </c>
      <c r="S3648" s="21">
        <f t="shared" si="170"/>
        <v>0.49773863365865284</v>
      </c>
    </row>
    <row r="3649" spans="2:19" ht="11.4" customHeight="1" x14ac:dyDescent="0.2">
      <c r="B3649" s="24"/>
      <c r="C3649" s="14">
        <v>46862</v>
      </c>
      <c r="D3649" s="18" t="s">
        <v>3814</v>
      </c>
      <c r="E3649" s="18" t="s">
        <v>3788</v>
      </c>
      <c r="F3649" s="18"/>
      <c r="G3649" s="18" t="s">
        <v>902</v>
      </c>
      <c r="H3649" s="18"/>
      <c r="I3649" s="15">
        <v>127.5</v>
      </c>
      <c r="J3649" s="21" t="e">
        <f t="shared" si="168"/>
        <v>#DIV/0!</v>
      </c>
      <c r="K3649" s="1">
        <v>1</v>
      </c>
      <c r="L3649" s="24">
        <v>12.7</v>
      </c>
      <c r="M3649" s="24">
        <v>114.75</v>
      </c>
      <c r="N3649" s="21" t="e">
        <f t="shared" si="169"/>
        <v>#DIV/0!</v>
      </c>
      <c r="P3649" s="1">
        <v>4</v>
      </c>
      <c r="Q3649" s="24">
        <v>12.75</v>
      </c>
      <c r="R3649" s="24">
        <v>114.75</v>
      </c>
      <c r="S3649" s="21" t="e">
        <f t="shared" si="170"/>
        <v>#DIV/0!</v>
      </c>
    </row>
    <row r="3650" spans="2:19" ht="11.4" customHeight="1" x14ac:dyDescent="0.2">
      <c r="B3650" s="24"/>
      <c r="C3650" s="14">
        <v>46827</v>
      </c>
      <c r="D3650" s="18" t="s">
        <v>3815</v>
      </c>
      <c r="E3650" s="18" t="s">
        <v>3356</v>
      </c>
      <c r="F3650" s="17">
        <v>12</v>
      </c>
      <c r="G3650" s="18" t="s">
        <v>23</v>
      </c>
      <c r="H3650" s="17">
        <v>44.48</v>
      </c>
      <c r="I3650" s="15">
        <v>75.5</v>
      </c>
      <c r="J3650" s="21">
        <f t="shared" si="168"/>
        <v>0.69739208633093541</v>
      </c>
      <c r="K3650" s="1">
        <v>2</v>
      </c>
      <c r="L3650" s="24">
        <v>7.5</v>
      </c>
      <c r="M3650" s="24">
        <v>67.95</v>
      </c>
      <c r="N3650" s="21">
        <f t="shared" si="169"/>
        <v>0.52765287769784186</v>
      </c>
      <c r="P3650" s="1">
        <v>4</v>
      </c>
      <c r="Q3650" s="24">
        <v>9.0600000000000023</v>
      </c>
      <c r="R3650" s="24">
        <v>66.44</v>
      </c>
      <c r="S3650" s="21">
        <f t="shared" si="170"/>
        <v>0.49370503597122306</v>
      </c>
    </row>
    <row r="3651" spans="2:19" ht="11.4" customHeight="1" x14ac:dyDescent="0.2">
      <c r="B3651" s="24"/>
      <c r="C3651" s="14">
        <v>46861</v>
      </c>
      <c r="D3651" s="18" t="s">
        <v>3816</v>
      </c>
      <c r="E3651" s="18" t="s">
        <v>3788</v>
      </c>
      <c r="F3651" s="18"/>
      <c r="G3651" s="18" t="s">
        <v>902</v>
      </c>
      <c r="H3651" s="18"/>
      <c r="I3651" s="15">
        <v>149.9</v>
      </c>
      <c r="J3651" s="21" t="e">
        <f t="shared" ref="J3651:J3714" si="171">(I3651-H3651)/H3651</f>
        <v>#DIV/0!</v>
      </c>
      <c r="K3651" s="1">
        <v>1</v>
      </c>
      <c r="L3651" s="24">
        <v>14.9</v>
      </c>
      <c r="M3651" s="24">
        <v>134.91</v>
      </c>
      <c r="N3651" s="21" t="e">
        <f t="shared" ref="N3651:N3714" si="172">(M3651-H3651)/H3651</f>
        <v>#DIV/0!</v>
      </c>
      <c r="P3651" s="1">
        <v>4</v>
      </c>
      <c r="Q3651" s="24">
        <v>14.990000000000009</v>
      </c>
      <c r="R3651" s="24">
        <v>134.91</v>
      </c>
      <c r="S3651" s="21" t="e">
        <f t="shared" ref="S3651:S3714" si="173">(R3651-H3651)/H3651</f>
        <v>#DIV/0!</v>
      </c>
    </row>
    <row r="3652" spans="2:19" ht="11.4" customHeight="1" x14ac:dyDescent="0.2">
      <c r="B3652" s="24"/>
      <c r="C3652" s="14">
        <v>19120</v>
      </c>
      <c r="D3652" s="18" t="s">
        <v>3817</v>
      </c>
      <c r="E3652" s="18" t="s">
        <v>3818</v>
      </c>
      <c r="F3652" s="18"/>
      <c r="G3652" s="18" t="s">
        <v>23</v>
      </c>
      <c r="H3652" s="17">
        <v>46.32</v>
      </c>
      <c r="I3652" s="15">
        <v>56.9</v>
      </c>
      <c r="J3652" s="21">
        <f t="shared" si="171"/>
        <v>0.22841105354058719</v>
      </c>
      <c r="K3652" s="1">
        <v>2</v>
      </c>
      <c r="L3652" s="24">
        <v>5.6</v>
      </c>
      <c r="M3652" s="24">
        <v>51.21</v>
      </c>
      <c r="N3652" s="21">
        <f t="shared" si="172"/>
        <v>0.10556994818652851</v>
      </c>
      <c r="P3652" s="1">
        <v>4</v>
      </c>
      <c r="Q3652" s="24">
        <v>6.828000000000003</v>
      </c>
      <c r="R3652" s="24">
        <v>50.071999999999996</v>
      </c>
      <c r="S3652" s="21">
        <f t="shared" si="173"/>
        <v>8.1001727115716654E-2</v>
      </c>
    </row>
    <row r="3653" spans="2:19" ht="11.4" customHeight="1" x14ac:dyDescent="0.2">
      <c r="B3653" s="24"/>
      <c r="C3653" s="14">
        <v>27692</v>
      </c>
      <c r="D3653" s="18" t="s">
        <v>3819</v>
      </c>
      <c r="E3653" s="18" t="s">
        <v>3788</v>
      </c>
      <c r="F3653" s="18"/>
      <c r="G3653" s="18" t="s">
        <v>902</v>
      </c>
      <c r="H3653" s="17">
        <v>113.5</v>
      </c>
      <c r="I3653" s="15">
        <v>115.5</v>
      </c>
      <c r="J3653" s="21">
        <f t="shared" si="171"/>
        <v>1.7621145374449341E-2</v>
      </c>
      <c r="K3653" s="1">
        <v>1</v>
      </c>
      <c r="L3653" s="24">
        <v>11.5</v>
      </c>
      <c r="M3653" s="24">
        <v>103.95</v>
      </c>
      <c r="N3653" s="21">
        <f t="shared" si="172"/>
        <v>-8.4140969162995571E-2</v>
      </c>
      <c r="P3653" s="1">
        <v>4</v>
      </c>
      <c r="Q3653" s="24">
        <v>11.549999999999997</v>
      </c>
      <c r="R3653" s="24">
        <v>103.95</v>
      </c>
      <c r="S3653" s="21">
        <f t="shared" si="173"/>
        <v>-8.4140969162995571E-2</v>
      </c>
    </row>
    <row r="3654" spans="2:19" ht="11.4" customHeight="1" x14ac:dyDescent="0.2">
      <c r="B3654" s="24"/>
      <c r="C3654" s="14">
        <v>46183</v>
      </c>
      <c r="D3654" s="18" t="s">
        <v>3820</v>
      </c>
      <c r="E3654" s="18" t="s">
        <v>3788</v>
      </c>
      <c r="F3654" s="18"/>
      <c r="G3654" s="18" t="s">
        <v>902</v>
      </c>
      <c r="H3654" s="17">
        <v>74.819999999999993</v>
      </c>
      <c r="I3654" s="15">
        <v>134.5</v>
      </c>
      <c r="J3654" s="21">
        <f t="shared" si="171"/>
        <v>0.79764768778401518</v>
      </c>
      <c r="K3654" s="1">
        <v>1</v>
      </c>
      <c r="L3654" s="24">
        <v>13.4</v>
      </c>
      <c r="M3654" s="24">
        <v>121.05</v>
      </c>
      <c r="N3654" s="21">
        <f t="shared" si="172"/>
        <v>0.61788291900561354</v>
      </c>
      <c r="P3654" s="1">
        <v>4</v>
      </c>
      <c r="Q3654" s="24">
        <v>13.450000000000003</v>
      </c>
      <c r="R3654" s="24">
        <v>121.05</v>
      </c>
      <c r="S3654" s="21">
        <f t="shared" si="173"/>
        <v>0.61788291900561354</v>
      </c>
    </row>
    <row r="3655" spans="2:19" ht="11.4" customHeight="1" x14ac:dyDescent="0.2">
      <c r="B3655" s="24"/>
      <c r="C3655" s="14">
        <v>2616</v>
      </c>
      <c r="D3655" s="18" t="s">
        <v>3821</v>
      </c>
      <c r="E3655" s="18" t="s">
        <v>3788</v>
      </c>
      <c r="F3655" s="17">
        <v>2</v>
      </c>
      <c r="G3655" s="18" t="s">
        <v>902</v>
      </c>
      <c r="H3655" s="17">
        <v>134.30000000000001</v>
      </c>
      <c r="I3655" s="15">
        <v>160.9</v>
      </c>
      <c r="J3655" s="21">
        <f t="shared" si="171"/>
        <v>0.19806403574087858</v>
      </c>
      <c r="K3655" s="1">
        <v>1</v>
      </c>
      <c r="L3655" s="24">
        <v>16</v>
      </c>
      <c r="M3655" s="24">
        <v>144.81</v>
      </c>
      <c r="N3655" s="21">
        <f t="shared" si="172"/>
        <v>7.8257632166790686E-2</v>
      </c>
      <c r="P3655" s="1">
        <v>4</v>
      </c>
      <c r="Q3655" s="24">
        <v>16.090000000000003</v>
      </c>
      <c r="R3655" s="24">
        <v>144.81</v>
      </c>
      <c r="S3655" s="21">
        <f t="shared" si="173"/>
        <v>7.8257632166790686E-2</v>
      </c>
    </row>
    <row r="3656" spans="2:19" ht="11.4" customHeight="1" x14ac:dyDescent="0.2">
      <c r="B3656" s="24"/>
      <c r="C3656" s="14">
        <v>46222</v>
      </c>
      <c r="D3656" s="18" t="s">
        <v>3822</v>
      </c>
      <c r="E3656" s="18" t="s">
        <v>3788</v>
      </c>
      <c r="F3656" s="18"/>
      <c r="G3656" s="18" t="s">
        <v>902</v>
      </c>
      <c r="H3656" s="17">
        <v>133.38</v>
      </c>
      <c r="I3656" s="15">
        <v>191.5</v>
      </c>
      <c r="J3656" s="21">
        <f t="shared" si="171"/>
        <v>0.43574748837906735</v>
      </c>
      <c r="K3656" s="1">
        <v>1</v>
      </c>
      <c r="L3656" s="24">
        <v>19.100000000000001</v>
      </c>
      <c r="M3656" s="24">
        <v>172.35</v>
      </c>
      <c r="N3656" s="21">
        <f t="shared" si="172"/>
        <v>0.29217273954116058</v>
      </c>
      <c r="P3656" s="1">
        <v>4</v>
      </c>
      <c r="Q3656" s="24">
        <v>19.150000000000006</v>
      </c>
      <c r="R3656" s="24">
        <v>172.35</v>
      </c>
      <c r="S3656" s="21">
        <f t="shared" si="173"/>
        <v>0.29217273954116058</v>
      </c>
    </row>
    <row r="3657" spans="2:19" ht="11.4" customHeight="1" x14ac:dyDescent="0.2">
      <c r="B3657" s="24"/>
      <c r="C3657" s="14">
        <v>46963</v>
      </c>
      <c r="D3657" s="18" t="s">
        <v>3823</v>
      </c>
      <c r="E3657" s="18" t="s">
        <v>3788</v>
      </c>
      <c r="F3657" s="18"/>
      <c r="G3657" s="18" t="s">
        <v>902</v>
      </c>
      <c r="H3657" s="17">
        <v>85.05</v>
      </c>
      <c r="I3657" s="15">
        <v>124.9</v>
      </c>
      <c r="J3657" s="21">
        <f t="shared" si="171"/>
        <v>0.46854791299235754</v>
      </c>
      <c r="K3657" s="1">
        <v>1</v>
      </c>
      <c r="L3657" s="24">
        <v>12.4</v>
      </c>
      <c r="M3657" s="24">
        <v>112.41000000000001</v>
      </c>
      <c r="N3657" s="21">
        <f t="shared" si="172"/>
        <v>0.32169312169312186</v>
      </c>
      <c r="P3657" s="1">
        <v>4</v>
      </c>
      <c r="Q3657" s="24">
        <v>12.489999999999995</v>
      </c>
      <c r="R3657" s="24">
        <v>112.41000000000001</v>
      </c>
      <c r="S3657" s="21">
        <f t="shared" si="173"/>
        <v>0.32169312169312186</v>
      </c>
    </row>
    <row r="3658" spans="2:19" ht="11.4" customHeight="1" x14ac:dyDescent="0.2">
      <c r="B3658" s="24"/>
      <c r="C3658" s="14">
        <v>46964</v>
      </c>
      <c r="D3658" s="18" t="s">
        <v>3824</v>
      </c>
      <c r="E3658" s="18" t="s">
        <v>3356</v>
      </c>
      <c r="F3658" s="17">
        <v>14</v>
      </c>
      <c r="G3658" s="18" t="s">
        <v>23</v>
      </c>
      <c r="H3658" s="17">
        <v>33.28</v>
      </c>
      <c r="I3658" s="15">
        <v>49.9</v>
      </c>
      <c r="J3658" s="21">
        <f t="shared" si="171"/>
        <v>0.49939903846153838</v>
      </c>
      <c r="K3658" s="1">
        <v>2</v>
      </c>
      <c r="L3658" s="24">
        <v>4.9000000000000004</v>
      </c>
      <c r="M3658" s="24">
        <v>44.91</v>
      </c>
      <c r="N3658" s="21">
        <f t="shared" si="172"/>
        <v>0.34945913461538447</v>
      </c>
      <c r="P3658" s="1">
        <v>4</v>
      </c>
      <c r="Q3658" s="24">
        <v>5.9879999999999995</v>
      </c>
      <c r="R3658" s="24">
        <v>43.911999999999999</v>
      </c>
      <c r="S3658" s="21">
        <f t="shared" si="173"/>
        <v>0.31947115384615377</v>
      </c>
    </row>
    <row r="3659" spans="2:19" ht="11.4" customHeight="1" x14ac:dyDescent="0.2">
      <c r="B3659" s="24"/>
      <c r="C3659" s="14">
        <v>42535</v>
      </c>
      <c r="D3659" s="18" t="s">
        <v>3825</v>
      </c>
      <c r="E3659" s="18" t="s">
        <v>3428</v>
      </c>
      <c r="F3659" s="18"/>
      <c r="G3659" s="18" t="s">
        <v>23</v>
      </c>
      <c r="H3659" s="17">
        <v>76.3</v>
      </c>
      <c r="I3659" s="15">
        <v>102.9</v>
      </c>
      <c r="J3659" s="21">
        <f t="shared" si="171"/>
        <v>0.3486238532110093</v>
      </c>
      <c r="K3659" s="1">
        <v>2</v>
      </c>
      <c r="L3659" s="24">
        <v>10.199999999999999</v>
      </c>
      <c r="M3659" s="24">
        <v>92.610000000000014</v>
      </c>
      <c r="N3659" s="21">
        <f t="shared" si="172"/>
        <v>0.21376146788990849</v>
      </c>
      <c r="P3659" s="1">
        <v>4</v>
      </c>
      <c r="Q3659" s="24">
        <v>12.347999999999999</v>
      </c>
      <c r="R3659" s="24">
        <v>90.552000000000007</v>
      </c>
      <c r="S3659" s="21">
        <f t="shared" si="173"/>
        <v>0.1867889908256882</v>
      </c>
    </row>
    <row r="3660" spans="2:19" ht="11.4" customHeight="1" x14ac:dyDescent="0.2">
      <c r="B3660" s="24"/>
      <c r="C3660" s="14">
        <v>40697</v>
      </c>
      <c r="D3660" s="18" t="s">
        <v>3826</v>
      </c>
      <c r="E3660" s="18" t="s">
        <v>3428</v>
      </c>
      <c r="F3660" s="18"/>
      <c r="G3660" s="18" t="s">
        <v>23</v>
      </c>
      <c r="H3660" s="17">
        <v>73.739999999999995</v>
      </c>
      <c r="I3660" s="15">
        <v>107.5</v>
      </c>
      <c r="J3660" s="21">
        <f t="shared" si="171"/>
        <v>0.45782478980200714</v>
      </c>
      <c r="K3660" s="1">
        <v>2</v>
      </c>
      <c r="L3660" s="24">
        <v>10.7</v>
      </c>
      <c r="M3660" s="24">
        <v>96.75</v>
      </c>
      <c r="N3660" s="21">
        <f t="shared" si="172"/>
        <v>0.31204231082180645</v>
      </c>
      <c r="P3660" s="1">
        <v>4</v>
      </c>
      <c r="Q3660" s="24">
        <v>12.900000000000006</v>
      </c>
      <c r="R3660" s="24">
        <v>94.6</v>
      </c>
      <c r="S3660" s="21">
        <f t="shared" si="173"/>
        <v>0.28288581502576621</v>
      </c>
    </row>
    <row r="3661" spans="2:19" ht="11.4" customHeight="1" x14ac:dyDescent="0.2">
      <c r="B3661" s="24"/>
      <c r="C3661" s="14">
        <v>16735</v>
      </c>
      <c r="D3661" s="18" t="s">
        <v>3827</v>
      </c>
      <c r="E3661" s="18" t="s">
        <v>3788</v>
      </c>
      <c r="F3661" s="17">
        <v>1.5</v>
      </c>
      <c r="G3661" s="18" t="s">
        <v>902</v>
      </c>
      <c r="H3661" s="17">
        <v>159.5</v>
      </c>
      <c r="I3661" s="15">
        <v>199.9</v>
      </c>
      <c r="J3661" s="21">
        <f t="shared" si="171"/>
        <v>0.25329153605015675</v>
      </c>
      <c r="K3661" s="1">
        <v>1</v>
      </c>
      <c r="L3661" s="24">
        <v>19.899999999999999</v>
      </c>
      <c r="M3661" s="24">
        <v>179.91</v>
      </c>
      <c r="N3661" s="21">
        <f t="shared" si="172"/>
        <v>0.12796238244514105</v>
      </c>
      <c r="P3661" s="1">
        <v>4</v>
      </c>
      <c r="Q3661" s="24">
        <v>19.990000000000009</v>
      </c>
      <c r="R3661" s="24">
        <v>179.91</v>
      </c>
      <c r="S3661" s="21">
        <f t="shared" si="173"/>
        <v>0.12796238244514105</v>
      </c>
    </row>
    <row r="3662" spans="2:19" ht="11.4" customHeight="1" x14ac:dyDescent="0.2">
      <c r="B3662" s="24"/>
      <c r="C3662" s="14">
        <v>46224</v>
      </c>
      <c r="D3662" s="18" t="s">
        <v>3828</v>
      </c>
      <c r="E3662" s="18" t="s">
        <v>3788</v>
      </c>
      <c r="F3662" s="18"/>
      <c r="G3662" s="18" t="s">
        <v>902</v>
      </c>
      <c r="H3662" s="17">
        <v>148.78</v>
      </c>
      <c r="I3662" s="15">
        <v>223.5</v>
      </c>
      <c r="J3662" s="21">
        <f t="shared" si="171"/>
        <v>0.50221804005914772</v>
      </c>
      <c r="K3662" s="1">
        <v>1</v>
      </c>
      <c r="L3662" s="24">
        <v>22.3</v>
      </c>
      <c r="M3662" s="24">
        <v>201.15</v>
      </c>
      <c r="N3662" s="21">
        <f t="shared" si="172"/>
        <v>0.35199623605323299</v>
      </c>
      <c r="P3662" s="1">
        <v>4</v>
      </c>
      <c r="Q3662" s="24">
        <v>22.349999999999994</v>
      </c>
      <c r="R3662" s="24">
        <v>201.15</v>
      </c>
      <c r="S3662" s="21">
        <f t="shared" si="173"/>
        <v>0.35199623605323299</v>
      </c>
    </row>
    <row r="3663" spans="2:19" ht="11.4" customHeight="1" x14ac:dyDescent="0.2">
      <c r="B3663" s="24"/>
      <c r="C3663" s="14">
        <v>8626</v>
      </c>
      <c r="D3663" s="18" t="s">
        <v>3829</v>
      </c>
      <c r="E3663" s="18" t="s">
        <v>3428</v>
      </c>
      <c r="F3663" s="18"/>
      <c r="G3663" s="18" t="s">
        <v>23</v>
      </c>
      <c r="H3663" s="17">
        <v>67.2</v>
      </c>
      <c r="I3663" s="15">
        <v>85.5</v>
      </c>
      <c r="J3663" s="21">
        <f t="shared" si="171"/>
        <v>0.27232142857142849</v>
      </c>
      <c r="K3663" s="1">
        <v>2</v>
      </c>
      <c r="L3663" s="24">
        <v>8.5</v>
      </c>
      <c r="M3663" s="24">
        <v>76.95</v>
      </c>
      <c r="N3663" s="21">
        <f t="shared" si="172"/>
        <v>0.1450892857142857</v>
      </c>
      <c r="P3663" s="1">
        <v>4</v>
      </c>
      <c r="Q3663" s="24">
        <v>10.260000000000005</v>
      </c>
      <c r="R3663" s="24">
        <v>75.239999999999995</v>
      </c>
      <c r="S3663" s="21">
        <f t="shared" si="173"/>
        <v>0.11964285714285702</v>
      </c>
    </row>
    <row r="3664" spans="2:19" ht="11.4" customHeight="1" x14ac:dyDescent="0.2">
      <c r="B3664" s="24"/>
      <c r="C3664" s="14">
        <v>42533</v>
      </c>
      <c r="D3664" s="18" t="s">
        <v>3830</v>
      </c>
      <c r="E3664" s="18" t="s">
        <v>3428</v>
      </c>
      <c r="F3664" s="17">
        <v>10</v>
      </c>
      <c r="G3664" s="18" t="s">
        <v>23</v>
      </c>
      <c r="H3664" s="17">
        <v>99.5</v>
      </c>
      <c r="I3664" s="15">
        <v>134.9</v>
      </c>
      <c r="J3664" s="21">
        <f t="shared" si="171"/>
        <v>0.35577889447236188</v>
      </c>
      <c r="K3664" s="1">
        <v>2</v>
      </c>
      <c r="L3664" s="24">
        <v>13.4</v>
      </c>
      <c r="M3664" s="24">
        <v>121.41000000000001</v>
      </c>
      <c r="N3664" s="21">
        <f t="shared" si="172"/>
        <v>0.22020100502512574</v>
      </c>
      <c r="P3664" s="1">
        <v>4</v>
      </c>
      <c r="Q3664" s="24">
        <v>16.188000000000002</v>
      </c>
      <c r="R3664" s="24">
        <v>118.712</v>
      </c>
      <c r="S3664" s="21">
        <f t="shared" si="173"/>
        <v>0.19308542713567842</v>
      </c>
    </row>
    <row r="3665" spans="2:19" ht="11.4" customHeight="1" x14ac:dyDescent="0.2">
      <c r="B3665" s="24"/>
      <c r="C3665" s="14">
        <v>27836</v>
      </c>
      <c r="D3665" s="18" t="s">
        <v>3831</v>
      </c>
      <c r="E3665" s="18" t="s">
        <v>3356</v>
      </c>
      <c r="F3665" s="17">
        <v>24</v>
      </c>
      <c r="G3665" s="18" t="s">
        <v>23</v>
      </c>
      <c r="H3665" s="17">
        <v>62.5</v>
      </c>
      <c r="I3665" s="15">
        <v>79.900000000000006</v>
      </c>
      <c r="J3665" s="21">
        <f t="shared" si="171"/>
        <v>0.27840000000000009</v>
      </c>
      <c r="K3665" s="1">
        <v>2</v>
      </c>
      <c r="L3665" s="24">
        <v>7.9</v>
      </c>
      <c r="M3665" s="24">
        <v>71.910000000000011</v>
      </c>
      <c r="N3665" s="21">
        <f t="shared" si="172"/>
        <v>0.15056000000000017</v>
      </c>
      <c r="P3665" s="1">
        <v>4</v>
      </c>
      <c r="Q3665" s="24">
        <v>9.5879999999999939</v>
      </c>
      <c r="R3665" s="24">
        <v>70.312000000000012</v>
      </c>
      <c r="S3665" s="21">
        <f t="shared" si="173"/>
        <v>0.12499200000000019</v>
      </c>
    </row>
    <row r="3666" spans="2:19" ht="11.4" customHeight="1" x14ac:dyDescent="0.2">
      <c r="B3666" s="24"/>
      <c r="C3666" s="14">
        <v>28009</v>
      </c>
      <c r="D3666" s="18" t="s">
        <v>3832</v>
      </c>
      <c r="E3666" s="18" t="s">
        <v>3356</v>
      </c>
      <c r="F3666" s="17">
        <v>24</v>
      </c>
      <c r="G3666" s="18" t="s">
        <v>23</v>
      </c>
      <c r="H3666" s="17">
        <v>65.7</v>
      </c>
      <c r="I3666" s="15">
        <v>79.900000000000006</v>
      </c>
      <c r="J3666" s="21">
        <f t="shared" si="171"/>
        <v>0.21613394216133947</v>
      </c>
      <c r="K3666" s="1">
        <v>2</v>
      </c>
      <c r="L3666" s="24">
        <v>7.9</v>
      </c>
      <c r="M3666" s="24">
        <v>71.910000000000011</v>
      </c>
      <c r="N3666" s="21">
        <f t="shared" si="172"/>
        <v>9.4520547945205591E-2</v>
      </c>
      <c r="P3666" s="1">
        <v>4</v>
      </c>
      <c r="Q3666" s="24">
        <v>9.5879999999999939</v>
      </c>
      <c r="R3666" s="24">
        <v>70.312000000000012</v>
      </c>
      <c r="S3666" s="21">
        <f t="shared" si="173"/>
        <v>7.0197869101978824E-2</v>
      </c>
    </row>
    <row r="3667" spans="2:19" ht="11.4" customHeight="1" x14ac:dyDescent="0.2">
      <c r="B3667" s="24"/>
      <c r="C3667" s="14">
        <v>28010</v>
      </c>
      <c r="D3667" s="18" t="s">
        <v>3833</v>
      </c>
      <c r="E3667" s="18" t="s">
        <v>3356</v>
      </c>
      <c r="F3667" s="17">
        <v>24</v>
      </c>
      <c r="G3667" s="18" t="s">
        <v>23</v>
      </c>
      <c r="H3667" s="17">
        <v>65.7</v>
      </c>
      <c r="I3667" s="15">
        <v>79.900000000000006</v>
      </c>
      <c r="J3667" s="21">
        <f t="shared" si="171"/>
        <v>0.21613394216133947</v>
      </c>
      <c r="K3667" s="1">
        <v>2</v>
      </c>
      <c r="L3667" s="24">
        <v>7.9</v>
      </c>
      <c r="M3667" s="24">
        <v>71.910000000000011</v>
      </c>
      <c r="N3667" s="21">
        <f t="shared" si="172"/>
        <v>9.4520547945205591E-2</v>
      </c>
      <c r="P3667" s="1">
        <v>4</v>
      </c>
      <c r="Q3667" s="24">
        <v>9.5879999999999939</v>
      </c>
      <c r="R3667" s="24">
        <v>70.312000000000012</v>
      </c>
      <c r="S3667" s="21">
        <f t="shared" si="173"/>
        <v>7.0197869101978824E-2</v>
      </c>
    </row>
    <row r="3668" spans="2:19" ht="11.4" customHeight="1" x14ac:dyDescent="0.2">
      <c r="B3668" s="24"/>
      <c r="C3668" s="14">
        <v>27837</v>
      </c>
      <c r="D3668" s="18" t="s">
        <v>3834</v>
      </c>
      <c r="E3668" s="18" t="s">
        <v>3356</v>
      </c>
      <c r="F3668" s="17">
        <v>24</v>
      </c>
      <c r="G3668" s="18" t="s">
        <v>23</v>
      </c>
      <c r="H3668" s="17">
        <v>62.5</v>
      </c>
      <c r="I3668" s="15">
        <v>79.900000000000006</v>
      </c>
      <c r="J3668" s="21">
        <f t="shared" si="171"/>
        <v>0.27840000000000009</v>
      </c>
      <c r="K3668" s="1">
        <v>2</v>
      </c>
      <c r="L3668" s="24">
        <v>7.9</v>
      </c>
      <c r="M3668" s="24">
        <v>71.910000000000011</v>
      </c>
      <c r="N3668" s="21">
        <f t="shared" si="172"/>
        <v>0.15056000000000017</v>
      </c>
      <c r="P3668" s="1">
        <v>4</v>
      </c>
      <c r="Q3668" s="24">
        <v>9.5879999999999939</v>
      </c>
      <c r="R3668" s="24">
        <v>70.312000000000012</v>
      </c>
      <c r="S3668" s="21">
        <f t="shared" si="173"/>
        <v>0.12499200000000019</v>
      </c>
    </row>
    <row r="3669" spans="2:19" ht="11.4" customHeight="1" x14ac:dyDescent="0.2">
      <c r="B3669" s="24"/>
      <c r="C3669" s="14">
        <v>41904</v>
      </c>
      <c r="D3669" s="18" t="s">
        <v>3835</v>
      </c>
      <c r="E3669" s="18" t="s">
        <v>3788</v>
      </c>
      <c r="F3669" s="17">
        <v>1.5</v>
      </c>
      <c r="G3669" s="18" t="s">
        <v>902</v>
      </c>
      <c r="H3669" s="17">
        <v>149.76</v>
      </c>
      <c r="I3669" s="15">
        <v>209.9</v>
      </c>
      <c r="J3669" s="21">
        <f t="shared" si="171"/>
        <v>0.40157585470085483</v>
      </c>
      <c r="K3669" s="1">
        <v>1</v>
      </c>
      <c r="L3669" s="24">
        <v>20.9</v>
      </c>
      <c r="M3669" s="24">
        <v>188.91</v>
      </c>
      <c r="N3669" s="21">
        <f t="shared" si="172"/>
        <v>0.26141826923076927</v>
      </c>
      <c r="P3669" s="1">
        <v>4</v>
      </c>
      <c r="Q3669" s="24">
        <v>20.990000000000009</v>
      </c>
      <c r="R3669" s="24">
        <v>188.91</v>
      </c>
      <c r="S3669" s="21">
        <f t="shared" si="173"/>
        <v>0.26141826923076927</v>
      </c>
    </row>
    <row r="3670" spans="2:19" ht="11.4" customHeight="1" x14ac:dyDescent="0.2">
      <c r="B3670" s="24"/>
      <c r="C3670" s="14">
        <v>2607</v>
      </c>
      <c r="D3670" s="18" t="s">
        <v>3836</v>
      </c>
      <c r="E3670" s="18" t="s">
        <v>3788</v>
      </c>
      <c r="F3670" s="17">
        <v>1.5</v>
      </c>
      <c r="G3670" s="18" t="s">
        <v>902</v>
      </c>
      <c r="H3670" s="17">
        <v>183.2</v>
      </c>
      <c r="I3670" s="15">
        <v>224.9</v>
      </c>
      <c r="J3670" s="21">
        <f t="shared" si="171"/>
        <v>0.22762008733624464</v>
      </c>
      <c r="K3670" s="1">
        <v>1</v>
      </c>
      <c r="L3670" s="24">
        <v>22.4</v>
      </c>
      <c r="M3670" s="24">
        <v>202.41</v>
      </c>
      <c r="N3670" s="21">
        <f t="shared" si="172"/>
        <v>0.10485807860262014</v>
      </c>
      <c r="P3670" s="1">
        <v>4</v>
      </c>
      <c r="Q3670" s="24">
        <v>22.490000000000009</v>
      </c>
      <c r="R3670" s="24">
        <v>202.41</v>
      </c>
      <c r="S3670" s="21">
        <f t="shared" si="173"/>
        <v>0.10485807860262014</v>
      </c>
    </row>
    <row r="3671" spans="2:19" ht="11.4" customHeight="1" x14ac:dyDescent="0.2">
      <c r="B3671" s="24"/>
      <c r="C3671" s="14">
        <v>4724</v>
      </c>
      <c r="D3671" s="18" t="s">
        <v>3837</v>
      </c>
      <c r="E3671" s="18" t="s">
        <v>3788</v>
      </c>
      <c r="F3671" s="17">
        <v>4</v>
      </c>
      <c r="G3671" s="18" t="s">
        <v>902</v>
      </c>
      <c r="H3671" s="17">
        <v>119.5</v>
      </c>
      <c r="I3671" s="15">
        <v>156.9</v>
      </c>
      <c r="J3671" s="21">
        <f t="shared" si="171"/>
        <v>0.31297071129707116</v>
      </c>
      <c r="K3671" s="1">
        <v>1</v>
      </c>
      <c r="L3671" s="24">
        <v>15.6</v>
      </c>
      <c r="M3671" s="24">
        <v>141.21</v>
      </c>
      <c r="N3671" s="21">
        <f t="shared" si="172"/>
        <v>0.18167364016736409</v>
      </c>
      <c r="P3671" s="1">
        <v>4</v>
      </c>
      <c r="Q3671" s="24">
        <v>15.689999999999998</v>
      </c>
      <c r="R3671" s="24">
        <v>141.21</v>
      </c>
      <c r="S3671" s="21">
        <f t="shared" si="173"/>
        <v>0.18167364016736409</v>
      </c>
    </row>
    <row r="3672" spans="2:19" ht="11.4" customHeight="1" x14ac:dyDescent="0.2">
      <c r="B3672" s="24"/>
      <c r="C3672" s="14">
        <v>12414</v>
      </c>
      <c r="D3672" s="18" t="s">
        <v>3838</v>
      </c>
      <c r="E3672" s="18" t="s">
        <v>3788</v>
      </c>
      <c r="F3672" s="18"/>
      <c r="G3672" s="18" t="s">
        <v>902</v>
      </c>
      <c r="H3672" s="17">
        <v>113.8</v>
      </c>
      <c r="I3672" s="15">
        <v>163.5</v>
      </c>
      <c r="J3672" s="21">
        <f t="shared" si="171"/>
        <v>0.43673110720562391</v>
      </c>
      <c r="K3672" s="1">
        <v>1</v>
      </c>
      <c r="L3672" s="24">
        <v>16.3</v>
      </c>
      <c r="M3672" s="24">
        <v>147.15</v>
      </c>
      <c r="N3672" s="21">
        <f t="shared" si="172"/>
        <v>0.29305799648506159</v>
      </c>
      <c r="P3672" s="1">
        <v>4</v>
      </c>
      <c r="Q3672" s="24">
        <v>16.349999999999994</v>
      </c>
      <c r="R3672" s="24">
        <v>147.15</v>
      </c>
      <c r="S3672" s="21">
        <f t="shared" si="173"/>
        <v>0.29305799648506159</v>
      </c>
    </row>
    <row r="3673" spans="2:19" ht="11.4" customHeight="1" x14ac:dyDescent="0.2">
      <c r="B3673" s="24"/>
      <c r="C3673" s="14">
        <v>36984</v>
      </c>
      <c r="D3673" s="18" t="s">
        <v>3839</v>
      </c>
      <c r="E3673" s="18" t="s">
        <v>3428</v>
      </c>
      <c r="F3673" s="18"/>
      <c r="G3673" s="18" t="s">
        <v>23</v>
      </c>
      <c r="H3673" s="17">
        <v>66.72</v>
      </c>
      <c r="I3673" s="15">
        <v>103.5</v>
      </c>
      <c r="J3673" s="21">
        <f t="shared" si="171"/>
        <v>0.55125899280575541</v>
      </c>
      <c r="K3673" s="1">
        <v>2</v>
      </c>
      <c r="L3673" s="24">
        <v>10.3</v>
      </c>
      <c r="M3673" s="24">
        <v>93.15</v>
      </c>
      <c r="N3673" s="21">
        <f t="shared" si="172"/>
        <v>0.39613309352517995</v>
      </c>
      <c r="P3673" s="1">
        <v>4</v>
      </c>
      <c r="Q3673" s="24">
        <v>12.420000000000002</v>
      </c>
      <c r="R3673" s="24">
        <v>91.08</v>
      </c>
      <c r="S3673" s="21">
        <f t="shared" si="173"/>
        <v>0.36510791366906475</v>
      </c>
    </row>
    <row r="3674" spans="2:19" ht="11.4" customHeight="1" x14ac:dyDescent="0.2">
      <c r="B3674" s="24"/>
      <c r="C3674" s="14">
        <v>23034</v>
      </c>
      <c r="D3674" s="18" t="s">
        <v>3840</v>
      </c>
      <c r="E3674" s="18" t="s">
        <v>3788</v>
      </c>
      <c r="F3674" s="17">
        <v>2</v>
      </c>
      <c r="G3674" s="18" t="s">
        <v>902</v>
      </c>
      <c r="H3674" s="17">
        <v>157.34</v>
      </c>
      <c r="I3674" s="15">
        <v>251.5</v>
      </c>
      <c r="J3674" s="21">
        <f t="shared" si="171"/>
        <v>0.59844921825346375</v>
      </c>
      <c r="K3674" s="1">
        <v>1</v>
      </c>
      <c r="L3674" s="24">
        <v>25.1</v>
      </c>
      <c r="M3674" s="24">
        <v>226.35</v>
      </c>
      <c r="N3674" s="21">
        <f t="shared" si="172"/>
        <v>0.43860429642811738</v>
      </c>
      <c r="P3674" s="1">
        <v>4</v>
      </c>
      <c r="Q3674" s="24">
        <v>25.150000000000006</v>
      </c>
      <c r="R3674" s="24">
        <v>226.35</v>
      </c>
      <c r="S3674" s="21">
        <f t="shared" si="173"/>
        <v>0.43860429642811738</v>
      </c>
    </row>
    <row r="3675" spans="2:19" ht="11.4" customHeight="1" x14ac:dyDescent="0.2">
      <c r="B3675" s="24"/>
      <c r="C3675" s="14">
        <v>43690</v>
      </c>
      <c r="D3675" s="18" t="s">
        <v>3841</v>
      </c>
      <c r="E3675" s="18" t="s">
        <v>3428</v>
      </c>
      <c r="F3675" s="18"/>
      <c r="G3675" s="18" t="s">
        <v>23</v>
      </c>
      <c r="H3675" s="17">
        <v>56.52</v>
      </c>
      <c r="I3675" s="15">
        <v>75.5</v>
      </c>
      <c r="J3675" s="21">
        <f t="shared" si="171"/>
        <v>0.33581033262561916</v>
      </c>
      <c r="K3675" s="1">
        <v>2</v>
      </c>
      <c r="L3675" s="24">
        <v>7.5</v>
      </c>
      <c r="M3675" s="24">
        <v>67.95</v>
      </c>
      <c r="N3675" s="21">
        <f t="shared" si="172"/>
        <v>0.20222929936305731</v>
      </c>
      <c r="P3675" s="1">
        <v>4</v>
      </c>
      <c r="Q3675" s="24">
        <v>9.0600000000000023</v>
      </c>
      <c r="R3675" s="24">
        <v>66.44</v>
      </c>
      <c r="S3675" s="21">
        <f t="shared" si="173"/>
        <v>0.17551309271054483</v>
      </c>
    </row>
    <row r="3676" spans="2:19" ht="11.4" customHeight="1" x14ac:dyDescent="0.2">
      <c r="B3676" s="24"/>
      <c r="C3676" s="14">
        <v>39706</v>
      </c>
      <c r="D3676" s="18" t="s">
        <v>3842</v>
      </c>
      <c r="E3676" s="18" t="s">
        <v>3356</v>
      </c>
      <c r="F3676" s="17">
        <v>10</v>
      </c>
      <c r="G3676" s="18" t="s">
        <v>23</v>
      </c>
      <c r="H3676" s="17">
        <v>146.16</v>
      </c>
      <c r="I3676" s="15">
        <v>212.9</v>
      </c>
      <c r="J3676" s="21">
        <f t="shared" si="171"/>
        <v>0.4566228790366722</v>
      </c>
      <c r="K3676" s="1">
        <v>2</v>
      </c>
      <c r="L3676" s="24">
        <v>21.2</v>
      </c>
      <c r="M3676" s="24">
        <v>191.61</v>
      </c>
      <c r="N3676" s="21">
        <f t="shared" si="172"/>
        <v>0.31096059113300506</v>
      </c>
      <c r="P3676" s="1">
        <v>4</v>
      </c>
      <c r="Q3676" s="24">
        <v>25.548000000000002</v>
      </c>
      <c r="R3676" s="24">
        <v>187.352</v>
      </c>
      <c r="S3676" s="21">
        <f t="shared" si="173"/>
        <v>0.28182813355227154</v>
      </c>
    </row>
    <row r="3677" spans="2:19" ht="11.4" customHeight="1" x14ac:dyDescent="0.2">
      <c r="B3677" s="24"/>
      <c r="C3677" s="14">
        <v>12308</v>
      </c>
      <c r="D3677" s="18" t="s">
        <v>3843</v>
      </c>
      <c r="E3677" s="18" t="s">
        <v>3356</v>
      </c>
      <c r="F3677" s="17">
        <v>35</v>
      </c>
      <c r="G3677" s="18" t="s">
        <v>23</v>
      </c>
      <c r="H3677" s="17">
        <v>23.5</v>
      </c>
      <c r="I3677" s="15">
        <v>29.5</v>
      </c>
      <c r="J3677" s="21">
        <f t="shared" si="171"/>
        <v>0.25531914893617019</v>
      </c>
      <c r="K3677" s="1">
        <v>2</v>
      </c>
      <c r="L3677" s="24">
        <v>2.9</v>
      </c>
      <c r="M3677" s="24">
        <v>26.55</v>
      </c>
      <c r="N3677" s="21">
        <f t="shared" si="172"/>
        <v>0.12978723404255321</v>
      </c>
      <c r="P3677" s="1">
        <v>4</v>
      </c>
      <c r="Q3677" s="24">
        <v>3.5399999999999991</v>
      </c>
      <c r="R3677" s="24">
        <v>25.96</v>
      </c>
      <c r="S3677" s="21">
        <f t="shared" si="173"/>
        <v>0.10468085106382982</v>
      </c>
    </row>
    <row r="3678" spans="2:19" ht="11.4" customHeight="1" x14ac:dyDescent="0.2">
      <c r="B3678" s="24"/>
      <c r="C3678" s="14">
        <v>46187</v>
      </c>
      <c r="D3678" s="18" t="s">
        <v>3844</v>
      </c>
      <c r="E3678" s="18" t="s">
        <v>3788</v>
      </c>
      <c r="F3678" s="18"/>
      <c r="G3678" s="18" t="s">
        <v>902</v>
      </c>
      <c r="H3678" s="17">
        <v>107.16</v>
      </c>
      <c r="I3678" s="15">
        <v>209.9</v>
      </c>
      <c r="J3678" s="21">
        <f t="shared" si="171"/>
        <v>0.95875326614408374</v>
      </c>
      <c r="K3678" s="1">
        <v>1</v>
      </c>
      <c r="L3678" s="24">
        <v>20.9</v>
      </c>
      <c r="M3678" s="24">
        <v>188.91</v>
      </c>
      <c r="N3678" s="21">
        <f t="shared" si="172"/>
        <v>0.76287793952967531</v>
      </c>
      <c r="P3678" s="1">
        <v>4</v>
      </c>
      <c r="Q3678" s="24">
        <v>20.990000000000009</v>
      </c>
      <c r="R3678" s="24">
        <v>188.91</v>
      </c>
      <c r="S3678" s="21">
        <f t="shared" si="173"/>
        <v>0.76287793952967531</v>
      </c>
    </row>
    <row r="3679" spans="2:19" ht="11.4" customHeight="1" x14ac:dyDescent="0.2">
      <c r="B3679" s="24"/>
      <c r="C3679" s="14">
        <v>47882</v>
      </c>
      <c r="D3679" s="18" t="s">
        <v>3845</v>
      </c>
      <c r="E3679" s="18" t="s">
        <v>3356</v>
      </c>
      <c r="F3679" s="17">
        <v>12</v>
      </c>
      <c r="G3679" s="18" t="s">
        <v>23</v>
      </c>
      <c r="H3679" s="17">
        <v>66.760000000000005</v>
      </c>
      <c r="I3679" s="15">
        <v>79.900000000000006</v>
      </c>
      <c r="J3679" s="21">
        <f t="shared" si="171"/>
        <v>0.19682444577591371</v>
      </c>
      <c r="K3679" s="1">
        <v>2</v>
      </c>
      <c r="L3679" s="24">
        <v>7.9</v>
      </c>
      <c r="M3679" s="24">
        <v>71.910000000000011</v>
      </c>
      <c r="N3679" s="21">
        <f t="shared" si="172"/>
        <v>7.714200119832243E-2</v>
      </c>
      <c r="P3679" s="1">
        <v>4</v>
      </c>
      <c r="Q3679" s="24">
        <v>9.5879999999999939</v>
      </c>
      <c r="R3679" s="24">
        <v>70.312000000000012</v>
      </c>
      <c r="S3679" s="21">
        <f t="shared" si="173"/>
        <v>5.3205512282804172E-2</v>
      </c>
    </row>
    <row r="3680" spans="2:19" ht="11.4" customHeight="1" x14ac:dyDescent="0.2">
      <c r="B3680" s="24"/>
      <c r="C3680" s="14">
        <v>47373</v>
      </c>
      <c r="D3680" s="18" t="s">
        <v>3846</v>
      </c>
      <c r="E3680" s="18" t="s">
        <v>3356</v>
      </c>
      <c r="F3680" s="17">
        <v>10</v>
      </c>
      <c r="G3680" s="18" t="s">
        <v>23</v>
      </c>
      <c r="H3680" s="18"/>
      <c r="I3680" s="15">
        <v>221.5</v>
      </c>
      <c r="J3680" s="21" t="e">
        <f t="shared" si="171"/>
        <v>#DIV/0!</v>
      </c>
      <c r="K3680" s="1">
        <v>2</v>
      </c>
      <c r="L3680" s="24">
        <v>22.1</v>
      </c>
      <c r="M3680" s="24">
        <v>199.35</v>
      </c>
      <c r="N3680" s="21" t="e">
        <f t="shared" si="172"/>
        <v>#DIV/0!</v>
      </c>
      <c r="P3680" s="1">
        <v>4</v>
      </c>
      <c r="Q3680" s="24">
        <v>26.580000000000013</v>
      </c>
      <c r="R3680" s="24">
        <v>194.92</v>
      </c>
      <c r="S3680" s="21" t="e">
        <f t="shared" si="173"/>
        <v>#DIV/0!</v>
      </c>
    </row>
    <row r="3681" spans="2:19" ht="11.4" customHeight="1" x14ac:dyDescent="0.2">
      <c r="B3681" s="24"/>
      <c r="C3681" s="14">
        <v>47374</v>
      </c>
      <c r="D3681" s="18" t="s">
        <v>3847</v>
      </c>
      <c r="E3681" s="18" t="s">
        <v>3356</v>
      </c>
      <c r="F3681" s="17">
        <v>28</v>
      </c>
      <c r="G3681" s="18" t="s">
        <v>23</v>
      </c>
      <c r="H3681" s="17">
        <v>36.54</v>
      </c>
      <c r="I3681" s="15">
        <v>43.9</v>
      </c>
      <c r="J3681" s="21">
        <f t="shared" si="171"/>
        <v>0.20142309797482211</v>
      </c>
      <c r="K3681" s="1">
        <v>2</v>
      </c>
      <c r="L3681" s="24">
        <v>4.3</v>
      </c>
      <c r="M3681" s="24">
        <v>39.51</v>
      </c>
      <c r="N3681" s="21">
        <f t="shared" si="172"/>
        <v>8.1280788177339872E-2</v>
      </c>
      <c r="P3681" s="1">
        <v>4</v>
      </c>
      <c r="Q3681" s="24">
        <v>5.2680000000000007</v>
      </c>
      <c r="R3681" s="24">
        <v>38.631999999999998</v>
      </c>
      <c r="S3681" s="21">
        <f t="shared" si="173"/>
        <v>5.7252326217843423E-2</v>
      </c>
    </row>
    <row r="3682" spans="2:19" ht="11.4" customHeight="1" x14ac:dyDescent="0.2">
      <c r="B3682" s="24"/>
      <c r="C3682" s="14">
        <v>6987</v>
      </c>
      <c r="D3682" s="18" t="s">
        <v>3848</v>
      </c>
      <c r="E3682" s="18" t="s">
        <v>3356</v>
      </c>
      <c r="F3682" s="17">
        <v>28</v>
      </c>
      <c r="G3682" s="18" t="s">
        <v>23</v>
      </c>
      <c r="H3682" s="17">
        <v>29.31</v>
      </c>
      <c r="I3682" s="15">
        <v>37.9</v>
      </c>
      <c r="J3682" s="21">
        <f t="shared" si="171"/>
        <v>0.29307403616513134</v>
      </c>
      <c r="K3682" s="1">
        <v>2</v>
      </c>
      <c r="L3682" s="24">
        <v>3.7</v>
      </c>
      <c r="M3682" s="24">
        <v>34.11</v>
      </c>
      <c r="N3682" s="21">
        <f t="shared" si="172"/>
        <v>0.16376663254861826</v>
      </c>
      <c r="P3682" s="1">
        <v>4</v>
      </c>
      <c r="Q3682" s="24">
        <v>4.5480000000000018</v>
      </c>
      <c r="R3682" s="24">
        <v>33.351999999999997</v>
      </c>
      <c r="S3682" s="21">
        <f t="shared" si="173"/>
        <v>0.13790515182531554</v>
      </c>
    </row>
    <row r="3683" spans="2:19" ht="11.4" customHeight="1" x14ac:dyDescent="0.2">
      <c r="B3683" s="24"/>
      <c r="C3683" s="14">
        <v>20564</v>
      </c>
      <c r="D3683" s="18" t="s">
        <v>3849</v>
      </c>
      <c r="E3683" s="18" t="s">
        <v>3356</v>
      </c>
      <c r="F3683" s="17">
        <v>28</v>
      </c>
      <c r="G3683" s="18" t="s">
        <v>23</v>
      </c>
      <c r="H3683" s="17">
        <v>29.32</v>
      </c>
      <c r="I3683" s="15">
        <v>37.9</v>
      </c>
      <c r="J3683" s="21">
        <f t="shared" si="171"/>
        <v>0.29263301500682121</v>
      </c>
      <c r="K3683" s="1">
        <v>2</v>
      </c>
      <c r="L3683" s="24">
        <v>3.7</v>
      </c>
      <c r="M3683" s="24">
        <v>34.11</v>
      </c>
      <c r="N3683" s="21">
        <f t="shared" si="172"/>
        <v>0.16336971350613913</v>
      </c>
      <c r="P3683" s="1">
        <v>4</v>
      </c>
      <c r="Q3683" s="24">
        <v>4.5480000000000018</v>
      </c>
      <c r="R3683" s="24">
        <v>33.351999999999997</v>
      </c>
      <c r="S3683" s="21">
        <f t="shared" si="173"/>
        <v>0.1375170532060026</v>
      </c>
    </row>
    <row r="3684" spans="2:19" ht="11.4" customHeight="1" x14ac:dyDescent="0.2">
      <c r="B3684" s="24"/>
      <c r="C3684" s="14">
        <v>40973</v>
      </c>
      <c r="D3684" s="18" t="s">
        <v>3850</v>
      </c>
      <c r="E3684" s="18" t="s">
        <v>3428</v>
      </c>
      <c r="F3684" s="18"/>
      <c r="G3684" s="18" t="s">
        <v>23</v>
      </c>
      <c r="H3684" s="17">
        <v>60.18</v>
      </c>
      <c r="I3684" s="15">
        <v>97.5</v>
      </c>
      <c r="J3684" s="21">
        <f t="shared" si="171"/>
        <v>0.62013958125623136</v>
      </c>
      <c r="K3684" s="1">
        <v>2</v>
      </c>
      <c r="L3684" s="24">
        <v>9.6999999999999993</v>
      </c>
      <c r="M3684" s="24">
        <v>87.75</v>
      </c>
      <c r="N3684" s="21">
        <f t="shared" si="172"/>
        <v>0.45812562313060817</v>
      </c>
      <c r="P3684" s="1">
        <v>4</v>
      </c>
      <c r="Q3684" s="24">
        <v>11.700000000000003</v>
      </c>
      <c r="R3684" s="24">
        <v>85.8</v>
      </c>
      <c r="S3684" s="21">
        <f t="shared" si="173"/>
        <v>0.42572283150548351</v>
      </c>
    </row>
    <row r="3685" spans="2:19" ht="11.4" customHeight="1" x14ac:dyDescent="0.2">
      <c r="B3685" s="24"/>
      <c r="C3685" s="14">
        <v>36985</v>
      </c>
      <c r="D3685" s="18" t="s">
        <v>3851</v>
      </c>
      <c r="E3685" s="18" t="s">
        <v>3428</v>
      </c>
      <c r="F3685" s="18"/>
      <c r="G3685" s="18" t="s">
        <v>23</v>
      </c>
      <c r="H3685" s="17">
        <v>72.2</v>
      </c>
      <c r="I3685" s="15">
        <v>99.9</v>
      </c>
      <c r="J3685" s="21">
        <f t="shared" si="171"/>
        <v>0.38365650969529086</v>
      </c>
      <c r="K3685" s="1">
        <v>2</v>
      </c>
      <c r="L3685" s="24">
        <v>9.9</v>
      </c>
      <c r="M3685" s="24">
        <v>89.910000000000011</v>
      </c>
      <c r="N3685" s="21">
        <f t="shared" si="172"/>
        <v>0.24529085872576187</v>
      </c>
      <c r="P3685" s="1">
        <v>4</v>
      </c>
      <c r="Q3685" s="24">
        <v>11.988</v>
      </c>
      <c r="R3685" s="24">
        <v>87.912000000000006</v>
      </c>
      <c r="S3685" s="21">
        <f t="shared" si="173"/>
        <v>0.21761772853185599</v>
      </c>
    </row>
    <row r="3686" spans="2:19" ht="11.4" customHeight="1" x14ac:dyDescent="0.2">
      <c r="B3686" s="24"/>
      <c r="C3686" s="14">
        <v>28792</v>
      </c>
      <c r="D3686" s="18" t="s">
        <v>3852</v>
      </c>
      <c r="E3686" s="18" t="s">
        <v>3356</v>
      </c>
      <c r="F3686" s="17">
        <v>10</v>
      </c>
      <c r="G3686" s="18" t="s">
        <v>23</v>
      </c>
      <c r="H3686" s="17">
        <v>80.709999999999994</v>
      </c>
      <c r="I3686" s="15">
        <v>102.9</v>
      </c>
      <c r="J3686" s="21">
        <f t="shared" si="171"/>
        <v>0.2749349522983523</v>
      </c>
      <c r="K3686" s="1">
        <v>2</v>
      </c>
      <c r="L3686" s="24">
        <v>10.199999999999999</v>
      </c>
      <c r="M3686" s="24">
        <v>92.610000000000014</v>
      </c>
      <c r="N3686" s="21">
        <f t="shared" si="172"/>
        <v>0.14744145706851716</v>
      </c>
      <c r="P3686" s="1">
        <v>4</v>
      </c>
      <c r="Q3686" s="24">
        <v>12.347999999999999</v>
      </c>
      <c r="R3686" s="24">
        <v>90.552000000000007</v>
      </c>
      <c r="S3686" s="21">
        <f t="shared" si="173"/>
        <v>0.12194275802255004</v>
      </c>
    </row>
    <row r="3687" spans="2:19" ht="11.4" customHeight="1" x14ac:dyDescent="0.2">
      <c r="B3687" s="24"/>
      <c r="C3687" s="14">
        <v>34582</v>
      </c>
      <c r="D3687" s="18" t="s">
        <v>3853</v>
      </c>
      <c r="E3687" s="18" t="s">
        <v>3356</v>
      </c>
      <c r="F3687" s="17">
        <v>21</v>
      </c>
      <c r="G3687" s="18" t="s">
        <v>23</v>
      </c>
      <c r="H3687" s="17">
        <v>30.1</v>
      </c>
      <c r="I3687" s="15">
        <v>38.9</v>
      </c>
      <c r="J3687" s="21">
        <f t="shared" si="171"/>
        <v>0.29235880398671088</v>
      </c>
      <c r="K3687" s="1">
        <v>2</v>
      </c>
      <c r="L3687" s="24">
        <v>3.8</v>
      </c>
      <c r="M3687" s="24">
        <v>35.01</v>
      </c>
      <c r="N3687" s="21">
        <f t="shared" si="172"/>
        <v>0.16312292358803976</v>
      </c>
      <c r="P3687" s="1">
        <v>4</v>
      </c>
      <c r="Q3687" s="24">
        <v>4.6679999999999993</v>
      </c>
      <c r="R3687" s="24">
        <v>34.231999999999999</v>
      </c>
      <c r="S3687" s="21">
        <f t="shared" si="173"/>
        <v>0.13727574750830557</v>
      </c>
    </row>
    <row r="3688" spans="2:19" ht="11.4" customHeight="1" x14ac:dyDescent="0.2">
      <c r="B3688" s="24"/>
      <c r="C3688" s="14">
        <v>24692</v>
      </c>
      <c r="D3688" s="18" t="s">
        <v>3854</v>
      </c>
      <c r="E3688" s="18" t="s">
        <v>3788</v>
      </c>
      <c r="F3688" s="18"/>
      <c r="G3688" s="18" t="s">
        <v>902</v>
      </c>
      <c r="H3688" s="17">
        <v>105.9</v>
      </c>
      <c r="I3688" s="15">
        <v>167.5</v>
      </c>
      <c r="J3688" s="21">
        <f t="shared" si="171"/>
        <v>0.58168083097261558</v>
      </c>
      <c r="K3688" s="1">
        <v>1</v>
      </c>
      <c r="L3688" s="24">
        <v>16.7</v>
      </c>
      <c r="M3688" s="24">
        <v>150.75</v>
      </c>
      <c r="N3688" s="21">
        <f t="shared" si="172"/>
        <v>0.42351274787535403</v>
      </c>
      <c r="P3688" s="1">
        <v>4</v>
      </c>
      <c r="Q3688" s="24">
        <v>16.75</v>
      </c>
      <c r="R3688" s="24">
        <v>150.75</v>
      </c>
      <c r="S3688" s="21">
        <f t="shared" si="173"/>
        <v>0.42351274787535403</v>
      </c>
    </row>
    <row r="3689" spans="2:19" ht="11.4" customHeight="1" x14ac:dyDescent="0.2">
      <c r="B3689" s="24"/>
      <c r="C3689" s="14">
        <v>46186</v>
      </c>
      <c r="D3689" s="18" t="s">
        <v>3855</v>
      </c>
      <c r="E3689" s="18" t="s">
        <v>3788</v>
      </c>
      <c r="F3689" s="18"/>
      <c r="G3689" s="18" t="s">
        <v>902</v>
      </c>
      <c r="H3689" s="17">
        <v>59.52</v>
      </c>
      <c r="I3689" s="15">
        <v>127.9</v>
      </c>
      <c r="J3689" s="21">
        <f t="shared" si="171"/>
        <v>1.1488575268817203</v>
      </c>
      <c r="K3689" s="1">
        <v>1</v>
      </c>
      <c r="L3689" s="24">
        <v>12.7</v>
      </c>
      <c r="M3689" s="24">
        <v>115.11000000000001</v>
      </c>
      <c r="N3689" s="21">
        <f t="shared" si="172"/>
        <v>0.93397177419354849</v>
      </c>
      <c r="P3689" s="1">
        <v>4</v>
      </c>
      <c r="Q3689" s="24">
        <v>12.789999999999992</v>
      </c>
      <c r="R3689" s="24">
        <v>115.11000000000001</v>
      </c>
      <c r="S3689" s="21">
        <f t="shared" si="173"/>
        <v>0.93397177419354849</v>
      </c>
    </row>
    <row r="3690" spans="2:19" ht="11.4" customHeight="1" x14ac:dyDescent="0.2">
      <c r="B3690" s="24"/>
      <c r="C3690" s="14">
        <v>30865</v>
      </c>
      <c r="D3690" s="18" t="s">
        <v>3856</v>
      </c>
      <c r="E3690" s="18" t="s">
        <v>3356</v>
      </c>
      <c r="F3690" s="17">
        <v>16</v>
      </c>
      <c r="G3690" s="18" t="s">
        <v>23</v>
      </c>
      <c r="H3690" s="17">
        <v>44.3</v>
      </c>
      <c r="I3690" s="15">
        <v>57.5</v>
      </c>
      <c r="J3690" s="21">
        <f t="shared" si="171"/>
        <v>0.29796839729119645</v>
      </c>
      <c r="K3690" s="1">
        <v>2</v>
      </c>
      <c r="L3690" s="24">
        <v>5.7</v>
      </c>
      <c r="M3690" s="24">
        <v>51.75</v>
      </c>
      <c r="N3690" s="21">
        <f t="shared" si="172"/>
        <v>0.16817155756207683</v>
      </c>
      <c r="P3690" s="1">
        <v>4</v>
      </c>
      <c r="Q3690" s="24">
        <v>6.8999999999999986</v>
      </c>
      <c r="R3690" s="24">
        <v>50.6</v>
      </c>
      <c r="S3690" s="21">
        <f t="shared" si="173"/>
        <v>0.14221218961625293</v>
      </c>
    </row>
    <row r="3691" spans="2:19" ht="11.4" customHeight="1" x14ac:dyDescent="0.2">
      <c r="B3691" s="24"/>
      <c r="C3691" s="14">
        <v>30788</v>
      </c>
      <c r="D3691" s="18" t="s">
        <v>3857</v>
      </c>
      <c r="E3691" s="18" t="s">
        <v>3356</v>
      </c>
      <c r="F3691" s="17">
        <v>22</v>
      </c>
      <c r="G3691" s="18" t="s">
        <v>23</v>
      </c>
      <c r="H3691" s="17">
        <v>15.6</v>
      </c>
      <c r="I3691" s="15">
        <v>15.6</v>
      </c>
      <c r="J3691" s="21">
        <f t="shared" si="171"/>
        <v>0</v>
      </c>
      <c r="K3691" s="1">
        <v>2</v>
      </c>
      <c r="L3691" s="24">
        <v>1.5</v>
      </c>
      <c r="M3691" s="24">
        <v>14.04</v>
      </c>
      <c r="N3691" s="21">
        <f t="shared" si="172"/>
        <v>-0.10000000000000003</v>
      </c>
      <c r="P3691" s="1">
        <v>4</v>
      </c>
      <c r="Q3691" s="24">
        <v>1.8719999999999999</v>
      </c>
      <c r="R3691" s="24">
        <v>13.728</v>
      </c>
      <c r="S3691" s="21">
        <f t="shared" si="173"/>
        <v>-0.12</v>
      </c>
    </row>
    <row r="3692" spans="2:19" ht="11.4" customHeight="1" x14ac:dyDescent="0.2">
      <c r="B3692" s="24"/>
      <c r="C3692" s="14">
        <v>12309</v>
      </c>
      <c r="D3692" s="18" t="s">
        <v>3858</v>
      </c>
      <c r="E3692" s="18" t="s">
        <v>3356</v>
      </c>
      <c r="F3692" s="17">
        <v>35</v>
      </c>
      <c r="G3692" s="18" t="s">
        <v>23</v>
      </c>
      <c r="H3692" s="17">
        <v>23.5</v>
      </c>
      <c r="I3692" s="15">
        <v>29.5</v>
      </c>
      <c r="J3692" s="21">
        <f t="shared" si="171"/>
        <v>0.25531914893617019</v>
      </c>
      <c r="K3692" s="1">
        <v>2</v>
      </c>
      <c r="L3692" s="24">
        <v>2.9</v>
      </c>
      <c r="M3692" s="24">
        <v>26.55</v>
      </c>
      <c r="N3692" s="21">
        <f t="shared" si="172"/>
        <v>0.12978723404255321</v>
      </c>
      <c r="P3692" s="1">
        <v>4</v>
      </c>
      <c r="Q3692" s="24">
        <v>3.5399999999999991</v>
      </c>
      <c r="R3692" s="24">
        <v>25.96</v>
      </c>
      <c r="S3692" s="21">
        <f t="shared" si="173"/>
        <v>0.10468085106382982</v>
      </c>
    </row>
    <row r="3693" spans="2:19" ht="11.4" customHeight="1" x14ac:dyDescent="0.2">
      <c r="B3693" s="24"/>
      <c r="C3693" s="14">
        <v>24693</v>
      </c>
      <c r="D3693" s="18" t="s">
        <v>3859</v>
      </c>
      <c r="E3693" s="18" t="s">
        <v>3788</v>
      </c>
      <c r="F3693" s="17">
        <v>5.2</v>
      </c>
      <c r="G3693" s="18" t="s">
        <v>902</v>
      </c>
      <c r="H3693" s="17">
        <v>121.98</v>
      </c>
      <c r="I3693" s="15">
        <v>195.5</v>
      </c>
      <c r="J3693" s="21">
        <f t="shared" si="171"/>
        <v>0.60272175766519098</v>
      </c>
      <c r="K3693" s="1">
        <v>1</v>
      </c>
      <c r="L3693" s="24">
        <v>19.5</v>
      </c>
      <c r="M3693" s="24">
        <v>175.95000000000002</v>
      </c>
      <c r="N3693" s="21">
        <f t="shared" si="172"/>
        <v>0.44244958189867201</v>
      </c>
      <c r="P3693" s="1">
        <v>4</v>
      </c>
      <c r="Q3693" s="24">
        <v>19.549999999999983</v>
      </c>
      <c r="R3693" s="24">
        <v>175.95000000000002</v>
      </c>
      <c r="S3693" s="21">
        <f t="shared" si="173"/>
        <v>0.44244958189867201</v>
      </c>
    </row>
    <row r="3694" spans="2:19" ht="11.4" customHeight="1" x14ac:dyDescent="0.2">
      <c r="B3694" s="24"/>
      <c r="C3694" s="14">
        <v>41254</v>
      </c>
      <c r="D3694" s="18" t="s">
        <v>3860</v>
      </c>
      <c r="E3694" s="18" t="s">
        <v>3788</v>
      </c>
      <c r="F3694" s="17">
        <v>5.2</v>
      </c>
      <c r="G3694" s="18" t="s">
        <v>902</v>
      </c>
      <c r="H3694" s="17">
        <v>121.98</v>
      </c>
      <c r="I3694" s="15">
        <v>194.5</v>
      </c>
      <c r="J3694" s="21">
        <f t="shared" si="171"/>
        <v>0.59452369240859149</v>
      </c>
      <c r="K3694" s="1">
        <v>1</v>
      </c>
      <c r="L3694" s="24">
        <v>19.399999999999999</v>
      </c>
      <c r="M3694" s="24">
        <v>175.05</v>
      </c>
      <c r="N3694" s="21">
        <f t="shared" si="172"/>
        <v>0.43507132316773245</v>
      </c>
      <c r="P3694" s="1">
        <v>4</v>
      </c>
      <c r="Q3694" s="24">
        <v>19.449999999999989</v>
      </c>
      <c r="R3694" s="24">
        <v>175.05</v>
      </c>
      <c r="S3694" s="21">
        <f t="shared" si="173"/>
        <v>0.43507132316773245</v>
      </c>
    </row>
    <row r="3695" spans="2:19" ht="11.4" customHeight="1" x14ac:dyDescent="0.2">
      <c r="B3695" s="24"/>
      <c r="C3695" s="14">
        <v>41255</v>
      </c>
      <c r="D3695" s="18" t="s">
        <v>3861</v>
      </c>
      <c r="E3695" s="18" t="s">
        <v>3788</v>
      </c>
      <c r="F3695" s="17">
        <v>5.2</v>
      </c>
      <c r="G3695" s="18" t="s">
        <v>902</v>
      </c>
      <c r="H3695" s="17">
        <v>132.72999999999999</v>
      </c>
      <c r="I3695" s="15">
        <v>212.5</v>
      </c>
      <c r="J3695" s="21">
        <f t="shared" si="171"/>
        <v>0.60099450011301148</v>
      </c>
      <c r="K3695" s="1">
        <v>1</v>
      </c>
      <c r="L3695" s="24">
        <v>21.2</v>
      </c>
      <c r="M3695" s="24">
        <v>191.25</v>
      </c>
      <c r="N3695" s="21">
        <f t="shared" si="172"/>
        <v>0.44089505010171037</v>
      </c>
      <c r="P3695" s="1">
        <v>5</v>
      </c>
      <c r="Q3695" s="24">
        <v>21.25</v>
      </c>
      <c r="R3695" s="24">
        <v>191.25</v>
      </c>
      <c r="S3695" s="21">
        <f t="shared" si="173"/>
        <v>0.44089505010171037</v>
      </c>
    </row>
    <row r="3696" spans="2:19" ht="11.4" customHeight="1" x14ac:dyDescent="0.2">
      <c r="B3696" s="24"/>
      <c r="C3696" s="14">
        <v>44261</v>
      </c>
      <c r="D3696" s="18" t="s">
        <v>3862</v>
      </c>
      <c r="E3696" s="18" t="s">
        <v>3428</v>
      </c>
      <c r="F3696" s="18"/>
      <c r="G3696" s="18" t="s">
        <v>23</v>
      </c>
      <c r="H3696" s="17">
        <v>51.42</v>
      </c>
      <c r="I3696" s="15">
        <v>74.5</v>
      </c>
      <c r="J3696" s="21">
        <f t="shared" si="171"/>
        <v>0.44885258654220145</v>
      </c>
      <c r="K3696" s="1">
        <v>2</v>
      </c>
      <c r="L3696" s="24">
        <v>7.4</v>
      </c>
      <c r="M3696" s="24">
        <v>67.05</v>
      </c>
      <c r="N3696" s="21">
        <f t="shared" si="172"/>
        <v>0.30396732788798125</v>
      </c>
      <c r="P3696" s="1">
        <v>4</v>
      </c>
      <c r="Q3696" s="24">
        <v>8.9399999999999977</v>
      </c>
      <c r="R3696" s="24">
        <v>65.56</v>
      </c>
      <c r="S3696" s="21">
        <f t="shared" si="173"/>
        <v>0.27499027615713728</v>
      </c>
    </row>
    <row r="3697" spans="2:19" ht="11.4" customHeight="1" x14ac:dyDescent="0.2">
      <c r="B3697" s="24"/>
      <c r="C3697" s="14">
        <v>46177</v>
      </c>
      <c r="D3697" s="18" t="s">
        <v>3863</v>
      </c>
      <c r="E3697" s="18" t="s">
        <v>3788</v>
      </c>
      <c r="F3697" s="17">
        <v>2</v>
      </c>
      <c r="G3697" s="18" t="s">
        <v>902</v>
      </c>
      <c r="H3697" s="17">
        <v>205.68</v>
      </c>
      <c r="I3697" s="15">
        <v>278.5</v>
      </c>
      <c r="J3697" s="21">
        <f t="shared" si="171"/>
        <v>0.35404511863088289</v>
      </c>
      <c r="K3697" s="1">
        <v>1</v>
      </c>
      <c r="L3697" s="24">
        <v>27.8</v>
      </c>
      <c r="M3697" s="24">
        <v>250.65</v>
      </c>
      <c r="N3697" s="21">
        <f t="shared" si="172"/>
        <v>0.21864060676779462</v>
      </c>
      <c r="P3697" s="1">
        <v>5</v>
      </c>
      <c r="Q3697" s="24">
        <v>27.849999999999994</v>
      </c>
      <c r="R3697" s="24">
        <v>250.65</v>
      </c>
      <c r="S3697" s="21">
        <f t="shared" si="173"/>
        <v>0.21864060676779462</v>
      </c>
    </row>
    <row r="3698" spans="2:19" ht="11.4" customHeight="1" x14ac:dyDescent="0.2">
      <c r="B3698" s="24"/>
      <c r="C3698" s="14">
        <v>19898</v>
      </c>
      <c r="D3698" s="18" t="s">
        <v>3864</v>
      </c>
      <c r="E3698" s="18" t="s">
        <v>3788</v>
      </c>
      <c r="F3698" s="17">
        <v>2.4</v>
      </c>
      <c r="G3698" s="18" t="s">
        <v>902</v>
      </c>
      <c r="H3698" s="17">
        <v>162.6</v>
      </c>
      <c r="I3698" s="15">
        <v>232.5</v>
      </c>
      <c r="J3698" s="21">
        <f t="shared" si="171"/>
        <v>0.42988929889298899</v>
      </c>
      <c r="K3698" s="1">
        <v>1</v>
      </c>
      <c r="L3698" s="24">
        <v>23.2</v>
      </c>
      <c r="M3698" s="24">
        <v>209.25</v>
      </c>
      <c r="N3698" s="21">
        <f t="shared" si="172"/>
        <v>0.28690036900369009</v>
      </c>
      <c r="P3698" s="1">
        <v>5</v>
      </c>
      <c r="Q3698" s="24">
        <v>23.25</v>
      </c>
      <c r="R3698" s="24">
        <v>209.25</v>
      </c>
      <c r="S3698" s="21">
        <f t="shared" si="173"/>
        <v>0.28690036900369009</v>
      </c>
    </row>
    <row r="3699" spans="2:19" ht="11.4" customHeight="1" x14ac:dyDescent="0.2">
      <c r="B3699" s="24"/>
      <c r="C3699" s="14">
        <v>42787</v>
      </c>
      <c r="D3699" s="18" t="s">
        <v>3865</v>
      </c>
      <c r="E3699" s="18" t="s">
        <v>3428</v>
      </c>
      <c r="F3699" s="18"/>
      <c r="G3699" s="18" t="s">
        <v>23</v>
      </c>
      <c r="H3699" s="17">
        <v>99.86</v>
      </c>
      <c r="I3699" s="15">
        <v>145.9</v>
      </c>
      <c r="J3699" s="21">
        <f t="shared" si="171"/>
        <v>0.46104546364910881</v>
      </c>
      <c r="K3699" s="1">
        <v>2</v>
      </c>
      <c r="L3699" s="24">
        <v>14.5</v>
      </c>
      <c r="M3699" s="24">
        <v>131.31</v>
      </c>
      <c r="N3699" s="21">
        <f t="shared" si="172"/>
        <v>0.31494091728419793</v>
      </c>
      <c r="P3699" s="1">
        <v>4</v>
      </c>
      <c r="Q3699" s="24">
        <v>17.50800000000001</v>
      </c>
      <c r="R3699" s="24">
        <v>128.392</v>
      </c>
      <c r="S3699" s="21">
        <f t="shared" si="173"/>
        <v>0.28572000801121566</v>
      </c>
    </row>
    <row r="3700" spans="2:19" ht="11.4" customHeight="1" x14ac:dyDescent="0.2">
      <c r="B3700" s="24"/>
      <c r="C3700" s="14">
        <v>38712</v>
      </c>
      <c r="D3700" s="18" t="s">
        <v>3866</v>
      </c>
      <c r="E3700" s="18" t="s">
        <v>3356</v>
      </c>
      <c r="F3700" s="17">
        <v>7</v>
      </c>
      <c r="G3700" s="18" t="s">
        <v>23</v>
      </c>
      <c r="H3700" s="17">
        <v>105.2</v>
      </c>
      <c r="I3700" s="15">
        <v>118.9</v>
      </c>
      <c r="J3700" s="21">
        <f t="shared" si="171"/>
        <v>0.13022813688212931</v>
      </c>
      <c r="K3700" s="1">
        <v>2</v>
      </c>
      <c r="L3700" s="24">
        <v>11.8</v>
      </c>
      <c r="M3700" s="24">
        <v>107.01</v>
      </c>
      <c r="N3700" s="21">
        <f t="shared" si="172"/>
        <v>1.7205323193916371E-2</v>
      </c>
      <c r="P3700" s="1">
        <v>4</v>
      </c>
      <c r="Q3700" s="24">
        <v>14.268000000000001</v>
      </c>
      <c r="R3700" s="24">
        <v>104.63200000000001</v>
      </c>
      <c r="S3700" s="21">
        <f t="shared" si="173"/>
        <v>-5.3992395437262152E-3</v>
      </c>
    </row>
    <row r="3701" spans="2:19" ht="11.4" customHeight="1" x14ac:dyDescent="0.2">
      <c r="B3701" s="24"/>
      <c r="C3701" s="14">
        <v>45306</v>
      </c>
      <c r="D3701" s="18" t="s">
        <v>3867</v>
      </c>
      <c r="E3701" s="18" t="s">
        <v>3356</v>
      </c>
      <c r="F3701" s="17">
        <v>21</v>
      </c>
      <c r="G3701" s="18" t="s">
        <v>23</v>
      </c>
      <c r="H3701" s="17">
        <v>32.450000000000003</v>
      </c>
      <c r="I3701" s="15">
        <v>41.7</v>
      </c>
      <c r="J3701" s="21">
        <f t="shared" si="171"/>
        <v>0.28505392912172572</v>
      </c>
      <c r="K3701" s="1">
        <v>2</v>
      </c>
      <c r="L3701" s="24">
        <v>4.0999999999999996</v>
      </c>
      <c r="M3701" s="24">
        <v>37.53</v>
      </c>
      <c r="N3701" s="21">
        <f t="shared" si="172"/>
        <v>0.15654853620955309</v>
      </c>
      <c r="P3701" s="1">
        <v>4</v>
      </c>
      <c r="Q3701" s="24">
        <v>5.0039999999999978</v>
      </c>
      <c r="R3701" s="24">
        <v>36.696000000000005</v>
      </c>
      <c r="S3701" s="21">
        <f t="shared" si="173"/>
        <v>0.13084745762711869</v>
      </c>
    </row>
    <row r="3702" spans="2:19" ht="11.4" customHeight="1" x14ac:dyDescent="0.2">
      <c r="B3702" s="24"/>
      <c r="C3702" s="14">
        <v>45305</v>
      </c>
      <c r="D3702" s="18" t="s">
        <v>3868</v>
      </c>
      <c r="E3702" s="18" t="s">
        <v>3356</v>
      </c>
      <c r="F3702" s="17">
        <v>21</v>
      </c>
      <c r="G3702" s="18" t="s">
        <v>23</v>
      </c>
      <c r="H3702" s="17">
        <v>28.21</v>
      </c>
      <c r="I3702" s="15">
        <v>41.7</v>
      </c>
      <c r="J3702" s="21">
        <f t="shared" si="171"/>
        <v>0.47819922013470406</v>
      </c>
      <c r="K3702" s="1">
        <v>2</v>
      </c>
      <c r="L3702" s="24">
        <v>4.0999999999999996</v>
      </c>
      <c r="M3702" s="24">
        <v>37.53</v>
      </c>
      <c r="N3702" s="21">
        <f t="shared" si="172"/>
        <v>0.33037929812123362</v>
      </c>
      <c r="P3702" s="1">
        <v>4</v>
      </c>
      <c r="Q3702" s="24">
        <v>5.0039999999999978</v>
      </c>
      <c r="R3702" s="24">
        <v>36.696000000000005</v>
      </c>
      <c r="S3702" s="21">
        <f t="shared" si="173"/>
        <v>0.30081531371853965</v>
      </c>
    </row>
    <row r="3703" spans="2:19" ht="11.4" customHeight="1" x14ac:dyDescent="0.2">
      <c r="B3703" s="24"/>
      <c r="C3703" s="14">
        <v>45304</v>
      </c>
      <c r="D3703" s="18" t="s">
        <v>3869</v>
      </c>
      <c r="E3703" s="18" t="s">
        <v>3356</v>
      </c>
      <c r="F3703" s="17">
        <v>21</v>
      </c>
      <c r="G3703" s="18" t="s">
        <v>23</v>
      </c>
      <c r="H3703" s="17">
        <v>28.21</v>
      </c>
      <c r="I3703" s="15">
        <v>41.7</v>
      </c>
      <c r="J3703" s="21">
        <f t="shared" si="171"/>
        <v>0.47819922013470406</v>
      </c>
      <c r="K3703" s="1">
        <v>2</v>
      </c>
      <c r="L3703" s="24">
        <v>4.0999999999999996</v>
      </c>
      <c r="M3703" s="24">
        <v>37.53</v>
      </c>
      <c r="N3703" s="21">
        <f t="shared" si="172"/>
        <v>0.33037929812123362</v>
      </c>
      <c r="P3703" s="1">
        <v>4</v>
      </c>
      <c r="Q3703" s="24">
        <v>5.0039999999999978</v>
      </c>
      <c r="R3703" s="24">
        <v>36.696000000000005</v>
      </c>
      <c r="S3703" s="21">
        <f t="shared" si="173"/>
        <v>0.30081531371853965</v>
      </c>
    </row>
    <row r="3704" spans="2:19" ht="11.4" customHeight="1" x14ac:dyDescent="0.2">
      <c r="B3704" s="24"/>
      <c r="C3704" s="14">
        <v>18720</v>
      </c>
      <c r="D3704" s="18" t="s">
        <v>3870</v>
      </c>
      <c r="E3704" s="18" t="s">
        <v>3788</v>
      </c>
      <c r="F3704" s="18"/>
      <c r="G3704" s="18" t="s">
        <v>902</v>
      </c>
      <c r="H3704" s="17">
        <v>145.08000000000001</v>
      </c>
      <c r="I3704" s="15">
        <v>197.9</v>
      </c>
      <c r="J3704" s="21">
        <f t="shared" si="171"/>
        <v>0.36407499310725111</v>
      </c>
      <c r="K3704" s="1">
        <v>1</v>
      </c>
      <c r="L3704" s="24">
        <v>19.7</v>
      </c>
      <c r="M3704" s="24">
        <v>178.11</v>
      </c>
      <c r="N3704" s="21">
        <f t="shared" si="172"/>
        <v>0.22766749379652604</v>
      </c>
      <c r="P3704" s="1">
        <v>5</v>
      </c>
      <c r="Q3704" s="24">
        <v>19.789999999999992</v>
      </c>
      <c r="R3704" s="24">
        <v>178.11</v>
      </c>
      <c r="S3704" s="21">
        <f t="shared" si="173"/>
        <v>0.22766749379652604</v>
      </c>
    </row>
    <row r="3705" spans="2:19" ht="11.4" customHeight="1" x14ac:dyDescent="0.2">
      <c r="B3705" s="24"/>
      <c r="C3705" s="14">
        <v>12542</v>
      </c>
      <c r="D3705" s="18" t="s">
        <v>3871</v>
      </c>
      <c r="E3705" s="18" t="s">
        <v>3788</v>
      </c>
      <c r="F3705" s="18"/>
      <c r="G3705" s="18" t="s">
        <v>902</v>
      </c>
      <c r="H3705" s="17">
        <v>150.36000000000001</v>
      </c>
      <c r="I3705" s="15">
        <v>276.89999999999998</v>
      </c>
      <c r="J3705" s="21">
        <f t="shared" si="171"/>
        <v>0.84158020750199491</v>
      </c>
      <c r="K3705" s="1">
        <v>1</v>
      </c>
      <c r="L3705" s="24">
        <v>27.6</v>
      </c>
      <c r="M3705" s="24">
        <v>249.20999999999998</v>
      </c>
      <c r="N3705" s="21">
        <f t="shared" si="172"/>
        <v>0.65742218675179542</v>
      </c>
      <c r="P3705" s="1">
        <v>5</v>
      </c>
      <c r="Q3705" s="24">
        <v>27.689999999999998</v>
      </c>
      <c r="R3705" s="24">
        <v>249.20999999999998</v>
      </c>
      <c r="S3705" s="21">
        <f t="shared" si="173"/>
        <v>0.65742218675179542</v>
      </c>
    </row>
    <row r="3706" spans="2:19" ht="11.4" customHeight="1" x14ac:dyDescent="0.2">
      <c r="B3706" s="24"/>
      <c r="C3706" s="14">
        <v>42712</v>
      </c>
      <c r="D3706" s="18" t="s">
        <v>3872</v>
      </c>
      <c r="E3706" s="18" t="s">
        <v>3428</v>
      </c>
      <c r="F3706" s="17">
        <v>5</v>
      </c>
      <c r="G3706" s="18" t="s">
        <v>23</v>
      </c>
      <c r="H3706" s="17">
        <v>77.400000000000006</v>
      </c>
      <c r="I3706" s="15">
        <v>109.5</v>
      </c>
      <c r="J3706" s="21">
        <f t="shared" si="171"/>
        <v>0.41472868217054254</v>
      </c>
      <c r="K3706" s="1">
        <v>2</v>
      </c>
      <c r="L3706" s="24">
        <v>10.9</v>
      </c>
      <c r="M3706" s="24">
        <v>98.55</v>
      </c>
      <c r="N3706" s="21">
        <f t="shared" si="172"/>
        <v>0.27325581395348825</v>
      </c>
      <c r="P3706" s="1">
        <v>4</v>
      </c>
      <c r="Q3706" s="24">
        <v>13.14</v>
      </c>
      <c r="R3706" s="24">
        <v>96.36</v>
      </c>
      <c r="S3706" s="21">
        <f t="shared" si="173"/>
        <v>0.24496124031007743</v>
      </c>
    </row>
    <row r="3707" spans="2:19" ht="11.4" customHeight="1" x14ac:dyDescent="0.2">
      <c r="B3707" s="24"/>
      <c r="C3707" s="14">
        <v>12362</v>
      </c>
      <c r="D3707" s="18" t="s">
        <v>3873</v>
      </c>
      <c r="E3707" s="18" t="s">
        <v>3788</v>
      </c>
      <c r="F3707" s="18"/>
      <c r="G3707" s="18" t="s">
        <v>902</v>
      </c>
      <c r="H3707" s="17">
        <v>156.84</v>
      </c>
      <c r="I3707" s="15">
        <v>242.9</v>
      </c>
      <c r="J3707" s="21">
        <f t="shared" si="171"/>
        <v>0.5487120632491711</v>
      </c>
      <c r="K3707" s="1">
        <v>1</v>
      </c>
      <c r="L3707" s="24">
        <v>24.2</v>
      </c>
      <c r="M3707" s="24">
        <v>218.61</v>
      </c>
      <c r="N3707" s="21">
        <f t="shared" si="172"/>
        <v>0.39384085692425408</v>
      </c>
      <c r="P3707" s="1">
        <v>5</v>
      </c>
      <c r="Q3707" s="24">
        <v>24.289999999999992</v>
      </c>
      <c r="R3707" s="24">
        <v>218.61</v>
      </c>
      <c r="S3707" s="21">
        <f t="shared" si="173"/>
        <v>0.39384085692425408</v>
      </c>
    </row>
    <row r="3708" spans="2:19" ht="11.4" customHeight="1" x14ac:dyDescent="0.2">
      <c r="B3708" s="24"/>
      <c r="C3708" s="14">
        <v>42714</v>
      </c>
      <c r="D3708" s="18" t="s">
        <v>3874</v>
      </c>
      <c r="E3708" s="18" t="s">
        <v>3428</v>
      </c>
      <c r="F3708" s="17">
        <v>5</v>
      </c>
      <c r="G3708" s="18" t="s">
        <v>23</v>
      </c>
      <c r="H3708" s="17">
        <v>77.040000000000006</v>
      </c>
      <c r="I3708" s="15">
        <v>112.9</v>
      </c>
      <c r="J3708" s="21">
        <f t="shared" si="171"/>
        <v>0.46547248182762196</v>
      </c>
      <c r="K3708" s="1">
        <v>2</v>
      </c>
      <c r="L3708" s="24">
        <v>11.2</v>
      </c>
      <c r="M3708" s="24">
        <v>101.61000000000001</v>
      </c>
      <c r="N3708" s="21">
        <f t="shared" si="172"/>
        <v>0.31892523364485986</v>
      </c>
      <c r="P3708" s="1">
        <v>4</v>
      </c>
      <c r="Q3708" s="24">
        <v>13.548000000000002</v>
      </c>
      <c r="R3708" s="24">
        <v>99.352000000000004</v>
      </c>
      <c r="S3708" s="21">
        <f t="shared" si="173"/>
        <v>0.28961578400830734</v>
      </c>
    </row>
    <row r="3709" spans="2:19" ht="11.4" customHeight="1" x14ac:dyDescent="0.2">
      <c r="B3709" s="24"/>
      <c r="C3709" s="14">
        <v>19899</v>
      </c>
      <c r="D3709" s="18" t="s">
        <v>3875</v>
      </c>
      <c r="E3709" s="18" t="s">
        <v>3788</v>
      </c>
      <c r="F3709" s="18"/>
      <c r="G3709" s="18" t="s">
        <v>902</v>
      </c>
      <c r="H3709" s="17">
        <v>179.04</v>
      </c>
      <c r="I3709" s="15">
        <v>258.89999999999998</v>
      </c>
      <c r="J3709" s="21">
        <f t="shared" si="171"/>
        <v>0.44604557640750664</v>
      </c>
      <c r="K3709" s="1">
        <v>1</v>
      </c>
      <c r="L3709" s="24">
        <v>25.8</v>
      </c>
      <c r="M3709" s="24">
        <v>233.01</v>
      </c>
      <c r="N3709" s="21">
        <f t="shared" si="172"/>
        <v>0.30144101876675605</v>
      </c>
      <c r="P3709" s="1">
        <v>5</v>
      </c>
      <c r="Q3709" s="24">
        <v>25.889999999999986</v>
      </c>
      <c r="R3709" s="24">
        <v>233.01</v>
      </c>
      <c r="S3709" s="21">
        <f t="shared" si="173"/>
        <v>0.30144101876675605</v>
      </c>
    </row>
    <row r="3710" spans="2:19" ht="11.4" customHeight="1" x14ac:dyDescent="0.2">
      <c r="B3710" s="24"/>
      <c r="C3710" s="14">
        <v>42713</v>
      </c>
      <c r="D3710" s="18" t="s">
        <v>3876</v>
      </c>
      <c r="E3710" s="18" t="s">
        <v>3428</v>
      </c>
      <c r="F3710" s="17">
        <v>5</v>
      </c>
      <c r="G3710" s="18" t="s">
        <v>23</v>
      </c>
      <c r="H3710" s="17">
        <v>83.7</v>
      </c>
      <c r="I3710" s="15">
        <v>112.9</v>
      </c>
      <c r="J3710" s="21">
        <f t="shared" si="171"/>
        <v>0.34886499402628435</v>
      </c>
      <c r="K3710" s="1">
        <v>2</v>
      </c>
      <c r="L3710" s="24">
        <v>11.2</v>
      </c>
      <c r="M3710" s="24">
        <v>101.61000000000001</v>
      </c>
      <c r="N3710" s="21">
        <f t="shared" si="172"/>
        <v>0.21397849462365603</v>
      </c>
      <c r="P3710" s="1">
        <v>4</v>
      </c>
      <c r="Q3710" s="24">
        <v>13.548000000000002</v>
      </c>
      <c r="R3710" s="24">
        <v>99.352000000000004</v>
      </c>
      <c r="S3710" s="21">
        <f t="shared" si="173"/>
        <v>0.18700119474313023</v>
      </c>
    </row>
    <row r="3711" spans="2:19" ht="11.4" customHeight="1" x14ac:dyDescent="0.2">
      <c r="B3711" s="24"/>
      <c r="C3711" s="14">
        <v>46338</v>
      </c>
      <c r="D3711" s="18" t="s">
        <v>3877</v>
      </c>
      <c r="E3711" s="18" t="s">
        <v>3356</v>
      </c>
      <c r="F3711" s="18"/>
      <c r="G3711" s="18" t="s">
        <v>23</v>
      </c>
      <c r="H3711" s="17">
        <v>108.47</v>
      </c>
      <c r="I3711" s="15">
        <v>162.9</v>
      </c>
      <c r="J3711" s="21">
        <f t="shared" si="171"/>
        <v>0.50179773209182266</v>
      </c>
      <c r="K3711" s="1">
        <v>2</v>
      </c>
      <c r="L3711" s="24">
        <v>16.2</v>
      </c>
      <c r="M3711" s="24">
        <v>146.61000000000001</v>
      </c>
      <c r="N3711" s="21">
        <f t="shared" si="172"/>
        <v>0.35161795888264052</v>
      </c>
      <c r="P3711" s="1">
        <v>4</v>
      </c>
      <c r="Q3711" s="24">
        <v>19.548000000000002</v>
      </c>
      <c r="R3711" s="24">
        <v>143.352</v>
      </c>
      <c r="S3711" s="21">
        <f t="shared" si="173"/>
        <v>0.32158200424080396</v>
      </c>
    </row>
    <row r="3712" spans="2:19" ht="11.4" customHeight="1" x14ac:dyDescent="0.2">
      <c r="B3712" s="24"/>
      <c r="C3712" s="14">
        <v>46829</v>
      </c>
      <c r="D3712" s="18" t="s">
        <v>3878</v>
      </c>
      <c r="E3712" s="18" t="s">
        <v>3356</v>
      </c>
      <c r="F3712" s="17">
        <v>12</v>
      </c>
      <c r="G3712" s="18" t="s">
        <v>23</v>
      </c>
      <c r="H3712" s="17">
        <v>46.96</v>
      </c>
      <c r="I3712" s="15">
        <v>79.900000000000006</v>
      </c>
      <c r="J3712" s="21">
        <f t="shared" si="171"/>
        <v>0.70144804088586044</v>
      </c>
      <c r="K3712" s="1">
        <v>2</v>
      </c>
      <c r="L3712" s="24">
        <v>7.9</v>
      </c>
      <c r="M3712" s="24">
        <v>71.910000000000011</v>
      </c>
      <c r="N3712" s="21">
        <f t="shared" si="172"/>
        <v>0.53130323679727443</v>
      </c>
      <c r="P3712" s="1">
        <v>4</v>
      </c>
      <c r="Q3712" s="24">
        <v>9.5879999999999939</v>
      </c>
      <c r="R3712" s="24">
        <v>70.312000000000012</v>
      </c>
      <c r="S3712" s="21">
        <f t="shared" si="173"/>
        <v>0.49727427597955731</v>
      </c>
    </row>
    <row r="3713" spans="2:19" ht="11.4" customHeight="1" x14ac:dyDescent="0.2">
      <c r="B3713" s="24"/>
      <c r="C3713" s="14">
        <v>36989</v>
      </c>
      <c r="D3713" s="18" t="s">
        <v>3879</v>
      </c>
      <c r="E3713" s="18" t="s">
        <v>3428</v>
      </c>
      <c r="F3713" s="18"/>
      <c r="G3713" s="18" t="s">
        <v>23</v>
      </c>
      <c r="H3713" s="17">
        <v>65.819999999999993</v>
      </c>
      <c r="I3713" s="15">
        <v>110.5</v>
      </c>
      <c r="J3713" s="21">
        <f t="shared" si="171"/>
        <v>0.67882102704345204</v>
      </c>
      <c r="K3713" s="1">
        <v>2</v>
      </c>
      <c r="L3713" s="24">
        <v>11</v>
      </c>
      <c r="M3713" s="24">
        <v>99.45</v>
      </c>
      <c r="N3713" s="21">
        <f t="shared" si="172"/>
        <v>0.51093892433910681</v>
      </c>
      <c r="P3713" s="1">
        <v>4</v>
      </c>
      <c r="Q3713" s="24">
        <v>13.260000000000005</v>
      </c>
      <c r="R3713" s="24">
        <v>97.24</v>
      </c>
      <c r="S3713" s="21">
        <f t="shared" si="173"/>
        <v>0.47736250379823769</v>
      </c>
    </row>
    <row r="3714" spans="2:19" ht="11.4" customHeight="1" x14ac:dyDescent="0.2">
      <c r="B3714" s="24"/>
      <c r="C3714" s="14">
        <v>46171</v>
      </c>
      <c r="D3714" s="18" t="s">
        <v>3880</v>
      </c>
      <c r="E3714" s="18" t="s">
        <v>3788</v>
      </c>
      <c r="F3714" s="17">
        <v>2</v>
      </c>
      <c r="G3714" s="18" t="s">
        <v>902</v>
      </c>
      <c r="H3714" s="17">
        <v>133.08000000000001</v>
      </c>
      <c r="I3714" s="15">
        <v>179.9</v>
      </c>
      <c r="J3714" s="21">
        <f t="shared" si="171"/>
        <v>0.35181845506462273</v>
      </c>
      <c r="K3714" s="1">
        <v>1</v>
      </c>
      <c r="L3714" s="24">
        <v>17.899999999999999</v>
      </c>
      <c r="M3714" s="24">
        <v>161.91</v>
      </c>
      <c r="N3714" s="21">
        <f t="shared" si="172"/>
        <v>0.21663660955816036</v>
      </c>
      <c r="P3714" s="1">
        <v>5</v>
      </c>
      <c r="Q3714" s="24">
        <v>17.990000000000009</v>
      </c>
      <c r="R3714" s="24">
        <v>161.91</v>
      </c>
      <c r="S3714" s="21">
        <f t="shared" si="173"/>
        <v>0.21663660955816036</v>
      </c>
    </row>
    <row r="3715" spans="2:19" ht="11.4" customHeight="1" x14ac:dyDescent="0.2">
      <c r="B3715" s="24"/>
      <c r="C3715" s="14">
        <v>44263</v>
      </c>
      <c r="D3715" s="18" t="s">
        <v>3881</v>
      </c>
      <c r="E3715" s="18" t="s">
        <v>3428</v>
      </c>
      <c r="F3715" s="18"/>
      <c r="G3715" s="18" t="s">
        <v>23</v>
      </c>
      <c r="H3715" s="17">
        <v>39.979999999999997</v>
      </c>
      <c r="I3715" s="15">
        <v>58.5</v>
      </c>
      <c r="J3715" s="21">
        <f t="shared" ref="J3715:J3778" si="174">(I3715-H3715)/H3715</f>
        <v>0.46323161580790406</v>
      </c>
      <c r="K3715" s="1">
        <v>2</v>
      </c>
      <c r="L3715" s="24">
        <v>5.8</v>
      </c>
      <c r="M3715" s="24">
        <v>52.65</v>
      </c>
      <c r="N3715" s="21">
        <f t="shared" ref="N3715:N3778" si="175">(M3715-H3715)/H3715</f>
        <v>0.31690845422711361</v>
      </c>
      <c r="P3715" s="1">
        <v>4</v>
      </c>
      <c r="Q3715" s="24">
        <v>7.0200000000000031</v>
      </c>
      <c r="R3715" s="24">
        <v>51.48</v>
      </c>
      <c r="S3715" s="21">
        <f t="shared" ref="S3715:S3778" si="176">(R3715-H3715)/H3715</f>
        <v>0.2876438219109555</v>
      </c>
    </row>
    <row r="3716" spans="2:19" ht="11.4" customHeight="1" x14ac:dyDescent="0.2">
      <c r="B3716" s="24"/>
      <c r="C3716" s="14">
        <v>44262</v>
      </c>
      <c r="D3716" s="18" t="s">
        <v>3882</v>
      </c>
      <c r="E3716" s="18" t="s">
        <v>3428</v>
      </c>
      <c r="F3716" s="18"/>
      <c r="G3716" s="18" t="s">
        <v>23</v>
      </c>
      <c r="H3716" s="17">
        <v>46.38</v>
      </c>
      <c r="I3716" s="15">
        <v>66.900000000000006</v>
      </c>
      <c r="J3716" s="21">
        <f t="shared" si="174"/>
        <v>0.44243208279430796</v>
      </c>
      <c r="K3716" s="1">
        <v>2</v>
      </c>
      <c r="L3716" s="24">
        <v>6.6</v>
      </c>
      <c r="M3716" s="24">
        <v>60.210000000000008</v>
      </c>
      <c r="N3716" s="21">
        <f t="shared" si="175"/>
        <v>0.29818887451487719</v>
      </c>
      <c r="P3716" s="1">
        <v>4</v>
      </c>
      <c r="Q3716" s="24">
        <v>8.0279999999999987</v>
      </c>
      <c r="R3716" s="24">
        <v>58.872000000000007</v>
      </c>
      <c r="S3716" s="21">
        <f t="shared" si="176"/>
        <v>0.269340232858991</v>
      </c>
    </row>
    <row r="3717" spans="2:19" ht="11.4" customHeight="1" x14ac:dyDescent="0.2">
      <c r="B3717" s="24"/>
      <c r="C3717" s="14">
        <v>36971</v>
      </c>
      <c r="D3717" s="18" t="s">
        <v>3883</v>
      </c>
      <c r="E3717" s="18" t="s">
        <v>3428</v>
      </c>
      <c r="F3717" s="18"/>
      <c r="G3717" s="18" t="s">
        <v>23</v>
      </c>
      <c r="H3717" s="17">
        <v>55.8</v>
      </c>
      <c r="I3717" s="15">
        <v>81.5</v>
      </c>
      <c r="J3717" s="21">
        <f t="shared" si="174"/>
        <v>0.46057347670250903</v>
      </c>
      <c r="K3717" s="1">
        <v>2</v>
      </c>
      <c r="L3717" s="24">
        <v>8.1</v>
      </c>
      <c r="M3717" s="24">
        <v>73.350000000000009</v>
      </c>
      <c r="N3717" s="21">
        <f t="shared" si="175"/>
        <v>0.31451612903225828</v>
      </c>
      <c r="P3717" s="1">
        <v>4</v>
      </c>
      <c r="Q3717" s="24">
        <v>9.7800000000000011</v>
      </c>
      <c r="R3717" s="24">
        <v>71.72</v>
      </c>
      <c r="S3717" s="21">
        <f t="shared" si="176"/>
        <v>0.28530465949820794</v>
      </c>
    </row>
    <row r="3718" spans="2:19" ht="11.4" customHeight="1" x14ac:dyDescent="0.2">
      <c r="B3718" s="24"/>
      <c r="C3718" s="14">
        <v>46173</v>
      </c>
      <c r="D3718" s="18" t="s">
        <v>3884</v>
      </c>
      <c r="E3718" s="18" t="s">
        <v>3788</v>
      </c>
      <c r="F3718" s="17">
        <v>2</v>
      </c>
      <c r="G3718" s="18" t="s">
        <v>902</v>
      </c>
      <c r="H3718" s="17">
        <v>161.76</v>
      </c>
      <c r="I3718" s="15">
        <v>234.9</v>
      </c>
      <c r="J3718" s="21">
        <f t="shared" si="174"/>
        <v>0.45215133531157281</v>
      </c>
      <c r="K3718" s="1">
        <v>1</v>
      </c>
      <c r="L3718" s="24">
        <v>23.4</v>
      </c>
      <c r="M3718" s="24">
        <v>211.41</v>
      </c>
      <c r="N3718" s="21">
        <f t="shared" si="175"/>
        <v>0.30693620178041547</v>
      </c>
      <c r="P3718" s="1">
        <v>5</v>
      </c>
      <c r="Q3718" s="24">
        <v>23.490000000000009</v>
      </c>
      <c r="R3718" s="24">
        <v>211.41</v>
      </c>
      <c r="S3718" s="21">
        <f t="shared" si="176"/>
        <v>0.30693620178041547</v>
      </c>
    </row>
    <row r="3719" spans="2:19" ht="11.4" customHeight="1" x14ac:dyDescent="0.2">
      <c r="B3719" s="24"/>
      <c r="C3719" s="14">
        <v>34143</v>
      </c>
      <c r="D3719" s="18" t="s">
        <v>3885</v>
      </c>
      <c r="E3719" s="18" t="s">
        <v>3428</v>
      </c>
      <c r="F3719" s="18"/>
      <c r="G3719" s="18" t="s">
        <v>23</v>
      </c>
      <c r="H3719" s="17">
        <v>102</v>
      </c>
      <c r="I3719" s="15">
        <v>129.9</v>
      </c>
      <c r="J3719" s="21">
        <f t="shared" si="174"/>
        <v>0.27352941176470597</v>
      </c>
      <c r="K3719" s="1">
        <v>2</v>
      </c>
      <c r="L3719" s="24">
        <v>12.9</v>
      </c>
      <c r="M3719" s="24">
        <v>116.91000000000001</v>
      </c>
      <c r="N3719" s="21">
        <f t="shared" si="175"/>
        <v>0.14617647058823541</v>
      </c>
      <c r="P3719" s="1">
        <v>4</v>
      </c>
      <c r="Q3719" s="24">
        <v>15.587999999999994</v>
      </c>
      <c r="R3719" s="24">
        <v>114.31200000000001</v>
      </c>
      <c r="S3719" s="21">
        <f t="shared" si="176"/>
        <v>0.12070588235294129</v>
      </c>
    </row>
    <row r="3720" spans="2:19" ht="11.4" customHeight="1" x14ac:dyDescent="0.2">
      <c r="B3720" s="24"/>
      <c r="C3720" s="14">
        <v>38376</v>
      </c>
      <c r="D3720" s="18" t="s">
        <v>3886</v>
      </c>
      <c r="E3720" s="18" t="s">
        <v>3428</v>
      </c>
      <c r="F3720" s="18"/>
      <c r="G3720" s="18" t="s">
        <v>23</v>
      </c>
      <c r="H3720" s="17">
        <v>75.3</v>
      </c>
      <c r="I3720" s="15">
        <v>119.9</v>
      </c>
      <c r="J3720" s="21">
        <f t="shared" si="174"/>
        <v>0.59229747675962829</v>
      </c>
      <c r="K3720" s="1">
        <v>2</v>
      </c>
      <c r="L3720" s="24">
        <v>11.9</v>
      </c>
      <c r="M3720" s="24">
        <v>107.91000000000001</v>
      </c>
      <c r="N3720" s="21">
        <f t="shared" si="175"/>
        <v>0.43306772908366553</v>
      </c>
      <c r="P3720" s="1">
        <v>4</v>
      </c>
      <c r="Q3720" s="24">
        <v>14.388000000000005</v>
      </c>
      <c r="R3720" s="24">
        <v>105.512</v>
      </c>
      <c r="S3720" s="21">
        <f t="shared" si="176"/>
        <v>0.40122177954847282</v>
      </c>
    </row>
    <row r="3721" spans="2:19" ht="11.4" customHeight="1" x14ac:dyDescent="0.2">
      <c r="B3721" s="24"/>
      <c r="C3721" s="14">
        <v>32970</v>
      </c>
      <c r="D3721" s="18" t="s">
        <v>3887</v>
      </c>
      <c r="E3721" s="18" t="s">
        <v>3428</v>
      </c>
      <c r="F3721" s="18"/>
      <c r="G3721" s="18" t="s">
        <v>23</v>
      </c>
      <c r="H3721" s="17">
        <v>130.9</v>
      </c>
      <c r="I3721" s="15">
        <v>164.9</v>
      </c>
      <c r="J3721" s="21">
        <f t="shared" si="174"/>
        <v>0.25974025974025972</v>
      </c>
      <c r="K3721" s="1">
        <v>2</v>
      </c>
      <c r="L3721" s="24">
        <v>16.399999999999999</v>
      </c>
      <c r="M3721" s="24">
        <v>148.41</v>
      </c>
      <c r="N3721" s="21">
        <f t="shared" si="175"/>
        <v>0.1337662337662337</v>
      </c>
      <c r="P3721" s="1">
        <v>4</v>
      </c>
      <c r="Q3721" s="24">
        <v>19.788000000000011</v>
      </c>
      <c r="R3721" s="24">
        <v>145.11199999999999</v>
      </c>
      <c r="S3721" s="21">
        <f t="shared" si="176"/>
        <v>0.10857142857142849</v>
      </c>
    </row>
    <row r="3722" spans="2:19" ht="11.4" customHeight="1" x14ac:dyDescent="0.2">
      <c r="B3722" s="24"/>
      <c r="C3722" s="14">
        <v>32971</v>
      </c>
      <c r="D3722" s="18" t="s">
        <v>3888</v>
      </c>
      <c r="E3722" s="18" t="s">
        <v>3428</v>
      </c>
      <c r="F3722" s="18"/>
      <c r="G3722" s="18" t="s">
        <v>23</v>
      </c>
      <c r="H3722" s="17">
        <v>81.5</v>
      </c>
      <c r="I3722" s="15">
        <v>97.5</v>
      </c>
      <c r="J3722" s="21">
        <f t="shared" si="174"/>
        <v>0.19631901840490798</v>
      </c>
      <c r="K3722" s="1">
        <v>2</v>
      </c>
      <c r="L3722" s="24">
        <v>9.6999999999999993</v>
      </c>
      <c r="M3722" s="24">
        <v>87.75</v>
      </c>
      <c r="N3722" s="21">
        <f t="shared" si="175"/>
        <v>7.6687116564417179E-2</v>
      </c>
      <c r="P3722" s="1">
        <v>4</v>
      </c>
      <c r="Q3722" s="24">
        <v>11.700000000000003</v>
      </c>
      <c r="R3722" s="24">
        <v>85.8</v>
      </c>
      <c r="S3722" s="21">
        <f t="shared" si="176"/>
        <v>5.2760736196318984E-2</v>
      </c>
    </row>
    <row r="3723" spans="2:19" ht="11.4" customHeight="1" x14ac:dyDescent="0.2">
      <c r="B3723" s="24"/>
      <c r="C3723" s="14">
        <v>32974</v>
      </c>
      <c r="D3723" s="18" t="s">
        <v>3889</v>
      </c>
      <c r="E3723" s="18" t="s">
        <v>3428</v>
      </c>
      <c r="F3723" s="18"/>
      <c r="G3723" s="18" t="s">
        <v>23</v>
      </c>
      <c r="H3723" s="17">
        <v>78.599999999999994</v>
      </c>
      <c r="I3723" s="15">
        <v>107.5</v>
      </c>
      <c r="J3723" s="21">
        <f t="shared" si="174"/>
        <v>0.36768447837150137</v>
      </c>
      <c r="K3723" s="1">
        <v>2</v>
      </c>
      <c r="L3723" s="24">
        <v>10.7</v>
      </c>
      <c r="M3723" s="24">
        <v>96.75</v>
      </c>
      <c r="N3723" s="21">
        <f t="shared" si="175"/>
        <v>0.23091603053435122</v>
      </c>
      <c r="P3723" s="1">
        <v>4</v>
      </c>
      <c r="Q3723" s="24">
        <v>12.900000000000006</v>
      </c>
      <c r="R3723" s="24">
        <v>94.6</v>
      </c>
      <c r="S3723" s="21">
        <f t="shared" si="176"/>
        <v>0.20356234096692113</v>
      </c>
    </row>
    <row r="3724" spans="2:19" ht="11.4" customHeight="1" x14ac:dyDescent="0.2">
      <c r="B3724" s="24"/>
      <c r="C3724" s="14">
        <v>33495</v>
      </c>
      <c r="D3724" s="18" t="s">
        <v>3890</v>
      </c>
      <c r="E3724" s="18" t="s">
        <v>3428</v>
      </c>
      <c r="F3724" s="18"/>
      <c r="G3724" s="18" t="s">
        <v>23</v>
      </c>
      <c r="H3724" s="17">
        <v>85.92</v>
      </c>
      <c r="I3724" s="15">
        <v>115.5</v>
      </c>
      <c r="J3724" s="21">
        <f t="shared" si="174"/>
        <v>0.34427374301675973</v>
      </c>
      <c r="K3724" s="1">
        <v>2</v>
      </c>
      <c r="L3724" s="24">
        <v>11.5</v>
      </c>
      <c r="M3724" s="24">
        <v>103.95</v>
      </c>
      <c r="N3724" s="21">
        <f t="shared" si="175"/>
        <v>0.2098463687150838</v>
      </c>
      <c r="P3724" s="1">
        <v>4</v>
      </c>
      <c r="Q3724" s="24">
        <v>13.86</v>
      </c>
      <c r="R3724" s="24">
        <v>101.64</v>
      </c>
      <c r="S3724" s="21">
        <f t="shared" si="176"/>
        <v>0.18296089385474859</v>
      </c>
    </row>
    <row r="3725" spans="2:19" ht="11.4" customHeight="1" x14ac:dyDescent="0.2">
      <c r="B3725" s="24"/>
      <c r="C3725" s="14">
        <v>33494</v>
      </c>
      <c r="D3725" s="18" t="s">
        <v>3891</v>
      </c>
      <c r="E3725" s="18" t="s">
        <v>3428</v>
      </c>
      <c r="F3725" s="18"/>
      <c r="G3725" s="18" t="s">
        <v>23</v>
      </c>
      <c r="H3725" s="17">
        <v>74.34</v>
      </c>
      <c r="I3725" s="15">
        <v>96.5</v>
      </c>
      <c r="J3725" s="21">
        <f t="shared" si="174"/>
        <v>0.29808985741189126</v>
      </c>
      <c r="K3725" s="1">
        <v>2</v>
      </c>
      <c r="L3725" s="24">
        <v>9.6</v>
      </c>
      <c r="M3725" s="24">
        <v>86.850000000000009</v>
      </c>
      <c r="N3725" s="21">
        <f t="shared" si="175"/>
        <v>0.16828087167070224</v>
      </c>
      <c r="P3725" s="1">
        <v>4</v>
      </c>
      <c r="Q3725" s="24">
        <v>11.579999999999998</v>
      </c>
      <c r="R3725" s="24">
        <v>84.92</v>
      </c>
      <c r="S3725" s="21">
        <f t="shared" si="176"/>
        <v>0.14231907452246431</v>
      </c>
    </row>
    <row r="3726" spans="2:19" ht="11.4" customHeight="1" x14ac:dyDescent="0.2">
      <c r="B3726" s="24"/>
      <c r="C3726" s="14">
        <v>42786</v>
      </c>
      <c r="D3726" s="18" t="s">
        <v>3892</v>
      </c>
      <c r="E3726" s="18" t="s">
        <v>3428</v>
      </c>
      <c r="F3726" s="18"/>
      <c r="G3726" s="18" t="s">
        <v>23</v>
      </c>
      <c r="H3726" s="17">
        <v>71.88</v>
      </c>
      <c r="I3726" s="15">
        <v>105.5</v>
      </c>
      <c r="J3726" s="21">
        <f t="shared" si="174"/>
        <v>0.46772398441847535</v>
      </c>
      <c r="K3726" s="1">
        <v>2</v>
      </c>
      <c r="L3726" s="24">
        <v>10.5</v>
      </c>
      <c r="M3726" s="24">
        <v>94.95</v>
      </c>
      <c r="N3726" s="21">
        <f t="shared" si="175"/>
        <v>0.32095158597662782</v>
      </c>
      <c r="P3726" s="1">
        <v>4</v>
      </c>
      <c r="Q3726" s="24">
        <v>12.659999999999997</v>
      </c>
      <c r="R3726" s="24">
        <v>92.84</v>
      </c>
      <c r="S3726" s="21">
        <f t="shared" si="176"/>
        <v>0.29159710628825836</v>
      </c>
    </row>
    <row r="3727" spans="2:19" ht="11.4" customHeight="1" x14ac:dyDescent="0.2">
      <c r="B3727" s="24"/>
      <c r="C3727" s="14">
        <v>46175</v>
      </c>
      <c r="D3727" s="18" t="s">
        <v>3893</v>
      </c>
      <c r="E3727" s="18" t="s">
        <v>3788</v>
      </c>
      <c r="F3727" s="17">
        <v>2</v>
      </c>
      <c r="G3727" s="18" t="s">
        <v>902</v>
      </c>
      <c r="H3727" s="17">
        <v>183.72</v>
      </c>
      <c r="I3727" s="15">
        <v>248.9</v>
      </c>
      <c r="J3727" s="21">
        <f t="shared" si="174"/>
        <v>0.35477901153929897</v>
      </c>
      <c r="K3727" s="1">
        <v>1</v>
      </c>
      <c r="L3727" s="24">
        <v>24.8</v>
      </c>
      <c r="M3727" s="24">
        <v>224.01000000000002</v>
      </c>
      <c r="N3727" s="21">
        <f t="shared" si="175"/>
        <v>0.21930111038536915</v>
      </c>
      <c r="P3727" s="1">
        <v>5</v>
      </c>
      <c r="Q3727" s="24">
        <v>24.889999999999986</v>
      </c>
      <c r="R3727" s="24">
        <v>224.01000000000002</v>
      </c>
      <c r="S3727" s="21">
        <f t="shared" si="176"/>
        <v>0.21930111038536915</v>
      </c>
    </row>
    <row r="3728" spans="2:19" ht="11.4" customHeight="1" x14ac:dyDescent="0.2">
      <c r="B3728" s="24"/>
      <c r="C3728" s="14">
        <v>46336</v>
      </c>
      <c r="D3728" s="18" t="s">
        <v>3894</v>
      </c>
      <c r="E3728" s="18" t="s">
        <v>3788</v>
      </c>
      <c r="F3728" s="18"/>
      <c r="G3728" s="18" t="s">
        <v>902</v>
      </c>
      <c r="H3728" s="17">
        <v>135.65</v>
      </c>
      <c r="I3728" s="15">
        <v>205</v>
      </c>
      <c r="J3728" s="21">
        <f t="shared" si="174"/>
        <v>0.51124216734242534</v>
      </c>
      <c r="K3728" s="1">
        <v>1</v>
      </c>
      <c r="L3728" s="24">
        <v>20.5</v>
      </c>
      <c r="M3728" s="24">
        <v>184.5</v>
      </c>
      <c r="N3728" s="21">
        <f t="shared" si="175"/>
        <v>0.36011795060818275</v>
      </c>
      <c r="P3728" s="1">
        <v>5</v>
      </c>
      <c r="Q3728" s="24">
        <v>20.5</v>
      </c>
      <c r="R3728" s="24">
        <v>184.5</v>
      </c>
      <c r="S3728" s="21">
        <f t="shared" si="176"/>
        <v>0.36011795060818275</v>
      </c>
    </row>
    <row r="3729" spans="2:19" ht="11.4" customHeight="1" x14ac:dyDescent="0.2">
      <c r="B3729" s="24"/>
      <c r="C3729" s="14">
        <v>46125</v>
      </c>
      <c r="D3729" s="18" t="s">
        <v>3895</v>
      </c>
      <c r="E3729" s="18" t="s">
        <v>3356</v>
      </c>
      <c r="F3729" s="18"/>
      <c r="G3729" s="18" t="s">
        <v>23</v>
      </c>
      <c r="H3729" s="18"/>
      <c r="I3729" s="15">
        <v>69.900000000000006</v>
      </c>
      <c r="J3729" s="21" t="e">
        <f t="shared" si="174"/>
        <v>#DIV/0!</v>
      </c>
      <c r="K3729" s="1">
        <v>2</v>
      </c>
      <c r="L3729" s="24">
        <v>6.9</v>
      </c>
      <c r="M3729" s="24">
        <v>62.910000000000004</v>
      </c>
      <c r="N3729" s="21" t="e">
        <f t="shared" si="175"/>
        <v>#DIV/0!</v>
      </c>
      <c r="P3729" s="1">
        <v>4</v>
      </c>
      <c r="Q3729" s="24">
        <v>8.3879999999999981</v>
      </c>
      <c r="R3729" s="24">
        <v>61.512000000000008</v>
      </c>
      <c r="S3729" s="21" t="e">
        <f t="shared" si="176"/>
        <v>#DIV/0!</v>
      </c>
    </row>
    <row r="3730" spans="2:19" ht="11.4" customHeight="1" x14ac:dyDescent="0.2">
      <c r="B3730" s="24"/>
      <c r="C3730" s="14">
        <v>42716</v>
      </c>
      <c r="D3730" s="18" t="s">
        <v>3896</v>
      </c>
      <c r="E3730" s="18" t="s">
        <v>3428</v>
      </c>
      <c r="F3730" s="17">
        <v>5</v>
      </c>
      <c r="G3730" s="18" t="s">
        <v>23</v>
      </c>
      <c r="H3730" s="17">
        <v>50.7</v>
      </c>
      <c r="I3730" s="15">
        <v>68.900000000000006</v>
      </c>
      <c r="J3730" s="21">
        <f t="shared" si="174"/>
        <v>0.35897435897435903</v>
      </c>
      <c r="K3730" s="1">
        <v>2</v>
      </c>
      <c r="L3730" s="24">
        <v>6.8</v>
      </c>
      <c r="M3730" s="24">
        <v>62.010000000000005</v>
      </c>
      <c r="N3730" s="21">
        <f t="shared" si="175"/>
        <v>0.22307692307692312</v>
      </c>
      <c r="P3730" s="1">
        <v>4</v>
      </c>
      <c r="Q3730" s="24">
        <v>8.2680000000000007</v>
      </c>
      <c r="R3730" s="24">
        <v>60.632000000000005</v>
      </c>
      <c r="S3730" s="21">
        <f t="shared" si="176"/>
        <v>0.19589743589743594</v>
      </c>
    </row>
    <row r="3731" spans="2:19" ht="11.4" customHeight="1" x14ac:dyDescent="0.2">
      <c r="B3731" s="24"/>
      <c r="C3731" s="14">
        <v>42785</v>
      </c>
      <c r="D3731" s="18" t="s">
        <v>3897</v>
      </c>
      <c r="E3731" s="18" t="s">
        <v>3428</v>
      </c>
      <c r="F3731" s="18"/>
      <c r="G3731" s="18" t="s">
        <v>23</v>
      </c>
      <c r="H3731" s="17">
        <v>66.63</v>
      </c>
      <c r="I3731" s="15">
        <v>97.5</v>
      </c>
      <c r="J3731" s="21">
        <f t="shared" si="174"/>
        <v>0.46330481764970743</v>
      </c>
      <c r="K3731" s="1">
        <v>2</v>
      </c>
      <c r="L3731" s="24">
        <v>9.6999999999999993</v>
      </c>
      <c r="M3731" s="24">
        <v>87.75</v>
      </c>
      <c r="N3731" s="21">
        <f t="shared" si="175"/>
        <v>0.31697433588473667</v>
      </c>
      <c r="P3731" s="1">
        <v>4</v>
      </c>
      <c r="Q3731" s="24">
        <v>11.700000000000003</v>
      </c>
      <c r="R3731" s="24">
        <v>85.8</v>
      </c>
      <c r="S3731" s="21">
        <f t="shared" si="176"/>
        <v>0.28770823953174252</v>
      </c>
    </row>
    <row r="3732" spans="2:19" ht="11.4" customHeight="1" x14ac:dyDescent="0.2">
      <c r="B3732" s="24"/>
      <c r="C3732" s="14">
        <v>32697</v>
      </c>
      <c r="D3732" s="18" t="s">
        <v>3898</v>
      </c>
      <c r="E3732" s="18" t="s">
        <v>3428</v>
      </c>
      <c r="F3732" s="18"/>
      <c r="G3732" s="18" t="s">
        <v>23</v>
      </c>
      <c r="H3732" s="17">
        <v>90.7</v>
      </c>
      <c r="I3732" s="15">
        <v>114.9</v>
      </c>
      <c r="J3732" s="21">
        <f t="shared" si="174"/>
        <v>0.26681367144432194</v>
      </c>
      <c r="K3732" s="1">
        <v>2</v>
      </c>
      <c r="L3732" s="24">
        <v>11.4</v>
      </c>
      <c r="M3732" s="24">
        <v>103.41000000000001</v>
      </c>
      <c r="N3732" s="21">
        <f t="shared" si="175"/>
        <v>0.14013230429988982</v>
      </c>
      <c r="P3732" s="1">
        <v>4</v>
      </c>
      <c r="Q3732" s="24">
        <v>13.787999999999997</v>
      </c>
      <c r="R3732" s="24">
        <v>101.11200000000001</v>
      </c>
      <c r="S3732" s="21">
        <f t="shared" si="176"/>
        <v>0.11479603087100337</v>
      </c>
    </row>
    <row r="3733" spans="2:19" ht="11.4" customHeight="1" x14ac:dyDescent="0.2">
      <c r="B3733" s="24"/>
      <c r="C3733" s="14">
        <v>2630</v>
      </c>
      <c r="D3733" s="18" t="s">
        <v>3899</v>
      </c>
      <c r="E3733" s="18" t="s">
        <v>3788</v>
      </c>
      <c r="F3733" s="17">
        <v>1.5</v>
      </c>
      <c r="G3733" s="18" t="s">
        <v>902</v>
      </c>
      <c r="H3733" s="17">
        <v>135</v>
      </c>
      <c r="I3733" s="15">
        <v>169.9</v>
      </c>
      <c r="J3733" s="21">
        <f t="shared" si="174"/>
        <v>0.25851851851851854</v>
      </c>
      <c r="K3733" s="1">
        <v>1</v>
      </c>
      <c r="L3733" s="24">
        <v>16.899999999999999</v>
      </c>
      <c r="M3733" s="24">
        <v>152.91</v>
      </c>
      <c r="N3733" s="21">
        <f t="shared" si="175"/>
        <v>0.13266666666666665</v>
      </c>
      <c r="P3733" s="1">
        <v>5</v>
      </c>
      <c r="Q3733" s="24">
        <v>16.990000000000009</v>
      </c>
      <c r="R3733" s="24">
        <v>152.91</v>
      </c>
      <c r="S3733" s="21">
        <f t="shared" si="176"/>
        <v>0.13266666666666665</v>
      </c>
    </row>
    <row r="3734" spans="2:19" ht="11.4" customHeight="1" x14ac:dyDescent="0.2">
      <c r="B3734" s="24"/>
      <c r="C3734" s="14">
        <v>46221</v>
      </c>
      <c r="D3734" s="18" t="s">
        <v>3900</v>
      </c>
      <c r="E3734" s="18" t="s">
        <v>3788</v>
      </c>
      <c r="F3734" s="18"/>
      <c r="G3734" s="18" t="s">
        <v>902</v>
      </c>
      <c r="H3734" s="17">
        <v>130.81</v>
      </c>
      <c r="I3734" s="15">
        <v>194.5</v>
      </c>
      <c r="J3734" s="21">
        <f t="shared" si="174"/>
        <v>0.48688938154575334</v>
      </c>
      <c r="K3734" s="1">
        <v>1</v>
      </c>
      <c r="L3734" s="24">
        <v>19.399999999999999</v>
      </c>
      <c r="M3734" s="24">
        <v>175.05</v>
      </c>
      <c r="N3734" s="21">
        <f t="shared" si="175"/>
        <v>0.33820044339117811</v>
      </c>
      <c r="P3734" s="1">
        <v>5</v>
      </c>
      <c r="Q3734" s="24">
        <v>19.449999999999989</v>
      </c>
      <c r="R3734" s="24">
        <v>175.05</v>
      </c>
      <c r="S3734" s="21">
        <f t="shared" si="176"/>
        <v>0.33820044339117811</v>
      </c>
    </row>
    <row r="3735" spans="2:19" ht="11.4" customHeight="1" x14ac:dyDescent="0.2">
      <c r="B3735" s="24"/>
      <c r="C3735" s="14">
        <v>33922</v>
      </c>
      <c r="D3735" s="18" t="s">
        <v>3901</v>
      </c>
      <c r="E3735" s="18" t="s">
        <v>3788</v>
      </c>
      <c r="F3735" s="18"/>
      <c r="G3735" s="18" t="s">
        <v>902</v>
      </c>
      <c r="H3735" s="17">
        <v>191.46</v>
      </c>
      <c r="I3735" s="15">
        <v>259.89999999999998</v>
      </c>
      <c r="J3735" s="21">
        <f t="shared" si="174"/>
        <v>0.3574636999895538</v>
      </c>
      <c r="K3735" s="1">
        <v>1</v>
      </c>
      <c r="L3735" s="24">
        <v>25.9</v>
      </c>
      <c r="M3735" s="24">
        <v>233.91</v>
      </c>
      <c r="N3735" s="21">
        <f t="shared" si="175"/>
        <v>0.22171732999059848</v>
      </c>
      <c r="P3735" s="1">
        <v>5</v>
      </c>
      <c r="Q3735" s="24">
        <v>25.989999999999981</v>
      </c>
      <c r="R3735" s="24">
        <v>233.91</v>
      </c>
      <c r="S3735" s="21">
        <f t="shared" si="176"/>
        <v>0.22171732999059848</v>
      </c>
    </row>
    <row r="3736" spans="2:19" ht="11.4" customHeight="1" x14ac:dyDescent="0.2">
      <c r="B3736" s="24"/>
      <c r="C3736" s="14">
        <v>6855</v>
      </c>
      <c r="D3736" s="18" t="s">
        <v>3902</v>
      </c>
      <c r="E3736" s="18" t="s">
        <v>3356</v>
      </c>
      <c r="F3736" s="17">
        <v>96</v>
      </c>
      <c r="G3736" s="18" t="s">
        <v>23</v>
      </c>
      <c r="H3736" s="17">
        <v>6.2</v>
      </c>
      <c r="I3736" s="15">
        <v>7.5</v>
      </c>
      <c r="J3736" s="21">
        <f t="shared" si="174"/>
        <v>0.20967741935483866</v>
      </c>
      <c r="K3736" s="1">
        <v>2</v>
      </c>
      <c r="L3736" s="24">
        <v>0.7</v>
      </c>
      <c r="M3736" s="24">
        <v>6.75</v>
      </c>
      <c r="N3736" s="21">
        <f t="shared" si="175"/>
        <v>8.8709677419354802E-2</v>
      </c>
      <c r="P3736" s="1">
        <v>4</v>
      </c>
      <c r="Q3736" s="24">
        <v>0.90000000000000036</v>
      </c>
      <c r="R3736" s="24">
        <v>6.6</v>
      </c>
      <c r="S3736" s="21">
        <f t="shared" si="176"/>
        <v>6.4516129032257979E-2</v>
      </c>
    </row>
    <row r="3737" spans="2:19" ht="11.4" customHeight="1" x14ac:dyDescent="0.2">
      <c r="B3737" s="24"/>
      <c r="C3737" s="14">
        <v>12331</v>
      </c>
      <c r="D3737" s="18" t="s">
        <v>3903</v>
      </c>
      <c r="E3737" s="18" t="s">
        <v>3788</v>
      </c>
      <c r="F3737" s="18"/>
      <c r="G3737" s="18" t="s">
        <v>902</v>
      </c>
      <c r="H3737" s="17">
        <v>109.9</v>
      </c>
      <c r="I3737" s="15">
        <v>119.9</v>
      </c>
      <c r="J3737" s="21">
        <f t="shared" si="174"/>
        <v>9.0991810737033663E-2</v>
      </c>
      <c r="K3737" s="1">
        <v>1</v>
      </c>
      <c r="L3737" s="24">
        <v>11.9</v>
      </c>
      <c r="M3737" s="24">
        <v>107.91000000000001</v>
      </c>
      <c r="N3737" s="21">
        <f t="shared" si="175"/>
        <v>-1.8107370336669652E-2</v>
      </c>
      <c r="P3737" s="1">
        <v>5</v>
      </c>
      <c r="Q3737" s="24">
        <v>11.989999999999995</v>
      </c>
      <c r="R3737" s="24">
        <v>107.91000000000001</v>
      </c>
      <c r="S3737" s="21">
        <f t="shared" si="176"/>
        <v>-1.8107370336669652E-2</v>
      </c>
    </row>
    <row r="3738" spans="2:19" ht="11.4" customHeight="1" x14ac:dyDescent="0.2">
      <c r="B3738" s="24"/>
      <c r="C3738" s="14">
        <v>28608</v>
      </c>
      <c r="D3738" s="18" t="s">
        <v>3904</v>
      </c>
      <c r="E3738" s="18" t="s">
        <v>3788</v>
      </c>
      <c r="F3738" s="18"/>
      <c r="G3738" s="18" t="s">
        <v>902</v>
      </c>
      <c r="H3738" s="17">
        <v>111.6</v>
      </c>
      <c r="I3738" s="15">
        <v>144.9</v>
      </c>
      <c r="J3738" s="21">
        <f t="shared" si="174"/>
        <v>0.29838709677419367</v>
      </c>
      <c r="K3738" s="1">
        <v>1</v>
      </c>
      <c r="L3738" s="24">
        <v>14.4</v>
      </c>
      <c r="M3738" s="24">
        <v>130.41</v>
      </c>
      <c r="N3738" s="21">
        <f t="shared" si="175"/>
        <v>0.16854838709677422</v>
      </c>
      <c r="P3738" s="1">
        <v>5</v>
      </c>
      <c r="Q3738" s="24">
        <v>14.490000000000009</v>
      </c>
      <c r="R3738" s="24">
        <v>130.41</v>
      </c>
      <c r="S3738" s="21">
        <f t="shared" si="176"/>
        <v>0.16854838709677422</v>
      </c>
    </row>
    <row r="3739" spans="2:19" ht="11.4" customHeight="1" x14ac:dyDescent="0.2">
      <c r="B3739" s="24"/>
      <c r="C3739" s="14">
        <v>4073</v>
      </c>
      <c r="D3739" s="18" t="s">
        <v>3905</v>
      </c>
      <c r="E3739" s="18" t="s">
        <v>3356</v>
      </c>
      <c r="F3739" s="17">
        <v>6</v>
      </c>
      <c r="G3739" s="18" t="s">
        <v>23</v>
      </c>
      <c r="H3739" s="17">
        <v>33.9</v>
      </c>
      <c r="I3739" s="15">
        <v>42.9</v>
      </c>
      <c r="J3739" s="21">
        <f t="shared" si="174"/>
        <v>0.26548672566371684</v>
      </c>
      <c r="K3739" s="1">
        <v>2</v>
      </c>
      <c r="L3739" s="24">
        <v>4.2</v>
      </c>
      <c r="M3739" s="24">
        <v>38.61</v>
      </c>
      <c r="N3739" s="21">
        <f t="shared" si="175"/>
        <v>0.13893805309734517</v>
      </c>
      <c r="P3739" s="1">
        <v>4</v>
      </c>
      <c r="Q3739" s="24">
        <v>5.1479999999999961</v>
      </c>
      <c r="R3739" s="24">
        <v>37.752000000000002</v>
      </c>
      <c r="S3739" s="21">
        <f t="shared" si="176"/>
        <v>0.11362831858407091</v>
      </c>
    </row>
    <row r="3740" spans="2:19" ht="11.4" customHeight="1" x14ac:dyDescent="0.2">
      <c r="B3740" s="24"/>
      <c r="C3740" s="14">
        <v>2909</v>
      </c>
      <c r="D3740" s="18" t="s">
        <v>3906</v>
      </c>
      <c r="E3740" s="18" t="s">
        <v>3788</v>
      </c>
      <c r="F3740" s="18"/>
      <c r="G3740" s="18" t="s">
        <v>902</v>
      </c>
      <c r="H3740" s="17">
        <v>85.5</v>
      </c>
      <c r="I3740" s="15">
        <v>105</v>
      </c>
      <c r="J3740" s="21">
        <f t="shared" si="174"/>
        <v>0.22807017543859648</v>
      </c>
      <c r="K3740" s="1">
        <v>1</v>
      </c>
      <c r="L3740" s="24">
        <v>10.5</v>
      </c>
      <c r="M3740" s="24">
        <v>94.5</v>
      </c>
      <c r="N3740" s="21">
        <f t="shared" si="175"/>
        <v>0.10526315789473684</v>
      </c>
      <c r="P3740" s="1">
        <v>5</v>
      </c>
      <c r="Q3740" s="24">
        <v>10.5</v>
      </c>
      <c r="R3740" s="24">
        <v>94.5</v>
      </c>
      <c r="S3740" s="21">
        <f t="shared" si="176"/>
        <v>0.10526315789473684</v>
      </c>
    </row>
    <row r="3741" spans="2:19" ht="11.4" customHeight="1" x14ac:dyDescent="0.2">
      <c r="B3741" s="24"/>
      <c r="C3741" s="14">
        <v>28587</v>
      </c>
      <c r="D3741" s="18" t="s">
        <v>3907</v>
      </c>
      <c r="E3741" s="18" t="s">
        <v>3788</v>
      </c>
      <c r="F3741" s="18"/>
      <c r="G3741" s="18" t="s">
        <v>902</v>
      </c>
      <c r="H3741" s="17">
        <v>169.5</v>
      </c>
      <c r="I3741" s="15">
        <v>229.9</v>
      </c>
      <c r="J3741" s="21">
        <f t="shared" si="174"/>
        <v>0.35634218289085551</v>
      </c>
      <c r="K3741" s="1">
        <v>1</v>
      </c>
      <c r="L3741" s="24">
        <v>22.9</v>
      </c>
      <c r="M3741" s="24">
        <v>206.91</v>
      </c>
      <c r="N3741" s="21">
        <f t="shared" si="175"/>
        <v>0.22070796460176989</v>
      </c>
      <c r="P3741" s="1">
        <v>5</v>
      </c>
      <c r="Q3741" s="24">
        <v>22.990000000000009</v>
      </c>
      <c r="R3741" s="24">
        <v>206.91</v>
      </c>
      <c r="S3741" s="21">
        <f t="shared" si="176"/>
        <v>0.22070796460176989</v>
      </c>
    </row>
    <row r="3742" spans="2:19" ht="11.4" customHeight="1" x14ac:dyDescent="0.2">
      <c r="B3742" s="24"/>
      <c r="C3742" s="14">
        <v>41516</v>
      </c>
      <c r="D3742" s="18" t="s">
        <v>3908</v>
      </c>
      <c r="E3742" s="18" t="s">
        <v>3356</v>
      </c>
      <c r="F3742" s="18"/>
      <c r="G3742" s="18" t="s">
        <v>23</v>
      </c>
      <c r="H3742" s="17">
        <v>58.98</v>
      </c>
      <c r="I3742" s="15">
        <v>87.9</v>
      </c>
      <c r="J3742" s="21">
        <f t="shared" si="174"/>
        <v>0.49033570701932877</v>
      </c>
      <c r="K3742" s="1">
        <v>2</v>
      </c>
      <c r="L3742" s="24">
        <v>8.6999999999999993</v>
      </c>
      <c r="M3742" s="24">
        <v>79.110000000000014</v>
      </c>
      <c r="N3742" s="21">
        <f t="shared" si="175"/>
        <v>0.34130213631739603</v>
      </c>
      <c r="P3742" s="1">
        <v>4</v>
      </c>
      <c r="Q3742" s="24">
        <v>10.548000000000002</v>
      </c>
      <c r="R3742" s="24">
        <v>77.352000000000004</v>
      </c>
      <c r="S3742" s="21">
        <f t="shared" si="176"/>
        <v>0.31149542217700932</v>
      </c>
    </row>
    <row r="3743" spans="2:19" ht="11.4" customHeight="1" x14ac:dyDescent="0.2">
      <c r="B3743" s="24"/>
      <c r="C3743" s="14">
        <v>30235</v>
      </c>
      <c r="D3743" s="18" t="s">
        <v>3909</v>
      </c>
      <c r="E3743" s="18" t="s">
        <v>3356</v>
      </c>
      <c r="F3743" s="17">
        <v>1</v>
      </c>
      <c r="G3743" s="18" t="s">
        <v>23</v>
      </c>
      <c r="H3743" s="17">
        <v>68</v>
      </c>
      <c r="I3743" s="15">
        <v>81.900000000000006</v>
      </c>
      <c r="J3743" s="21">
        <f t="shared" si="174"/>
        <v>0.20441176470588243</v>
      </c>
      <c r="K3743" s="1">
        <v>2</v>
      </c>
      <c r="L3743" s="24">
        <v>8.1</v>
      </c>
      <c r="M3743" s="24">
        <v>73.710000000000008</v>
      </c>
      <c r="N3743" s="21">
        <f t="shared" si="175"/>
        <v>8.3970588235294241E-2</v>
      </c>
      <c r="P3743" s="1">
        <v>4</v>
      </c>
      <c r="Q3743" s="24">
        <v>9.828000000000003</v>
      </c>
      <c r="R3743" s="24">
        <v>72.072000000000003</v>
      </c>
      <c r="S3743" s="21">
        <f t="shared" si="176"/>
        <v>5.9882352941176512E-2</v>
      </c>
    </row>
    <row r="3744" spans="2:19" ht="11.4" customHeight="1" x14ac:dyDescent="0.2">
      <c r="B3744" s="24"/>
      <c r="C3744" s="14">
        <v>19117</v>
      </c>
      <c r="D3744" s="18" t="s">
        <v>3910</v>
      </c>
      <c r="E3744" s="18" t="s">
        <v>3911</v>
      </c>
      <c r="F3744" s="18"/>
      <c r="G3744" s="18" t="s">
        <v>23</v>
      </c>
      <c r="H3744" s="17">
        <v>41.16</v>
      </c>
      <c r="I3744" s="15">
        <v>49.5</v>
      </c>
      <c r="J3744" s="21">
        <f t="shared" si="174"/>
        <v>0.20262390670553945</v>
      </c>
      <c r="K3744" s="1">
        <v>2</v>
      </c>
      <c r="L3744" s="24">
        <v>4.9000000000000004</v>
      </c>
      <c r="M3744" s="24">
        <v>44.550000000000004</v>
      </c>
      <c r="N3744" s="21">
        <f t="shared" si="175"/>
        <v>8.2361516034985621E-2</v>
      </c>
      <c r="P3744" s="1">
        <v>4</v>
      </c>
      <c r="Q3744" s="24">
        <v>5.9399999999999977</v>
      </c>
      <c r="R3744" s="24">
        <v>43.56</v>
      </c>
      <c r="S3744" s="21">
        <f t="shared" si="176"/>
        <v>5.8309037900874779E-2</v>
      </c>
    </row>
    <row r="3745" spans="2:19" ht="11.4" customHeight="1" x14ac:dyDescent="0.2">
      <c r="B3745" s="24"/>
      <c r="C3745" s="14">
        <v>43746</v>
      </c>
      <c r="D3745" s="18" t="s">
        <v>3912</v>
      </c>
      <c r="E3745" s="18" t="s">
        <v>3788</v>
      </c>
      <c r="F3745" s="18"/>
      <c r="G3745" s="18" t="s">
        <v>902</v>
      </c>
      <c r="H3745" s="17">
        <v>108.5</v>
      </c>
      <c r="I3745" s="15">
        <v>162.5</v>
      </c>
      <c r="J3745" s="21">
        <f t="shared" si="174"/>
        <v>0.49769585253456222</v>
      </c>
      <c r="K3745" s="1">
        <v>1</v>
      </c>
      <c r="L3745" s="24">
        <v>16.2</v>
      </c>
      <c r="M3745" s="24">
        <v>146.25</v>
      </c>
      <c r="N3745" s="21">
        <f t="shared" si="175"/>
        <v>0.34792626728110598</v>
      </c>
      <c r="P3745" s="1">
        <v>5</v>
      </c>
      <c r="Q3745" s="24">
        <v>16.25</v>
      </c>
      <c r="R3745" s="24">
        <v>146.25</v>
      </c>
      <c r="S3745" s="21">
        <f t="shared" si="176"/>
        <v>0.34792626728110598</v>
      </c>
    </row>
    <row r="3746" spans="2:19" ht="11.4" customHeight="1" x14ac:dyDescent="0.2">
      <c r="B3746" s="24"/>
      <c r="C3746" s="14">
        <v>32238</v>
      </c>
      <c r="D3746" s="18" t="s">
        <v>3913</v>
      </c>
      <c r="E3746" s="18" t="s">
        <v>3428</v>
      </c>
      <c r="F3746" s="17">
        <v>10</v>
      </c>
      <c r="G3746" s="18" t="s">
        <v>23</v>
      </c>
      <c r="H3746" s="17">
        <v>73.599999999999994</v>
      </c>
      <c r="I3746" s="15">
        <v>80.5</v>
      </c>
      <c r="J3746" s="21">
        <f t="shared" si="174"/>
        <v>9.3750000000000083E-2</v>
      </c>
      <c r="K3746" s="1">
        <v>2</v>
      </c>
      <c r="L3746" s="24">
        <v>8</v>
      </c>
      <c r="M3746" s="24">
        <v>72.45</v>
      </c>
      <c r="N3746" s="21">
        <f t="shared" si="175"/>
        <v>-1.5624999999999886E-2</v>
      </c>
      <c r="P3746" s="1">
        <v>4</v>
      </c>
      <c r="Q3746" s="24">
        <v>9.6599999999999966</v>
      </c>
      <c r="R3746" s="24">
        <v>70.84</v>
      </c>
      <c r="S3746" s="21">
        <f t="shared" si="176"/>
        <v>-3.7499999999999881E-2</v>
      </c>
    </row>
    <row r="3747" spans="2:19" ht="11.4" customHeight="1" x14ac:dyDescent="0.2">
      <c r="B3747" s="24"/>
      <c r="C3747" s="14">
        <v>2773</v>
      </c>
      <c r="D3747" s="18" t="s">
        <v>3914</v>
      </c>
      <c r="E3747" s="18" t="s">
        <v>3788</v>
      </c>
      <c r="F3747" s="18"/>
      <c r="G3747" s="18" t="s">
        <v>902</v>
      </c>
      <c r="H3747" s="17">
        <v>142.5</v>
      </c>
      <c r="I3747" s="15">
        <v>136.9</v>
      </c>
      <c r="J3747" s="21">
        <f t="shared" si="174"/>
        <v>-3.9298245614035048E-2</v>
      </c>
      <c r="K3747" s="1">
        <v>1</v>
      </c>
      <c r="L3747" s="24">
        <v>13.6</v>
      </c>
      <c r="M3747" s="24">
        <v>123.21000000000001</v>
      </c>
      <c r="N3747" s="21">
        <f t="shared" si="175"/>
        <v>-0.13536842105263153</v>
      </c>
      <c r="P3747" s="1">
        <v>5</v>
      </c>
      <c r="Q3747" s="24">
        <v>13.689999999999998</v>
      </c>
      <c r="R3747" s="24">
        <v>123.21000000000001</v>
      </c>
      <c r="S3747" s="21">
        <f t="shared" si="176"/>
        <v>-0.13536842105263153</v>
      </c>
    </row>
    <row r="3748" spans="2:19" ht="11.4" customHeight="1" x14ac:dyDescent="0.2">
      <c r="B3748" s="24"/>
      <c r="C3748" s="14">
        <v>29350</v>
      </c>
      <c r="D3748" s="18" t="s">
        <v>3915</v>
      </c>
      <c r="E3748" s="18" t="s">
        <v>3788</v>
      </c>
      <c r="F3748" s="18"/>
      <c r="G3748" s="18" t="s">
        <v>902</v>
      </c>
      <c r="H3748" s="17">
        <v>179.5</v>
      </c>
      <c r="I3748" s="15">
        <v>213.5</v>
      </c>
      <c r="J3748" s="21">
        <f t="shared" si="174"/>
        <v>0.1894150417827298</v>
      </c>
      <c r="K3748" s="1">
        <v>1</v>
      </c>
      <c r="L3748" s="24">
        <v>21.3</v>
      </c>
      <c r="M3748" s="24">
        <v>192.15</v>
      </c>
      <c r="N3748" s="21">
        <f t="shared" si="175"/>
        <v>7.0473537604456862E-2</v>
      </c>
      <c r="P3748" s="1">
        <v>5</v>
      </c>
      <c r="Q3748" s="24">
        <v>21.349999999999994</v>
      </c>
      <c r="R3748" s="24">
        <v>192.15</v>
      </c>
      <c r="S3748" s="21">
        <f t="shared" si="176"/>
        <v>7.0473537604456862E-2</v>
      </c>
    </row>
    <row r="3749" spans="2:19" ht="11.4" customHeight="1" x14ac:dyDescent="0.2">
      <c r="B3749" s="24"/>
      <c r="C3749" s="14">
        <v>30457</v>
      </c>
      <c r="D3749" s="18" t="s">
        <v>3916</v>
      </c>
      <c r="E3749" s="18" t="s">
        <v>3356</v>
      </c>
      <c r="F3749" s="17">
        <v>1</v>
      </c>
      <c r="G3749" s="18" t="s">
        <v>23</v>
      </c>
      <c r="H3749" s="17">
        <v>57</v>
      </c>
      <c r="I3749" s="15">
        <v>75.900000000000006</v>
      </c>
      <c r="J3749" s="21">
        <f t="shared" si="174"/>
        <v>0.33157894736842114</v>
      </c>
      <c r="K3749" s="1">
        <v>2</v>
      </c>
      <c r="L3749" s="24">
        <v>7.5</v>
      </c>
      <c r="M3749" s="24">
        <v>68.31</v>
      </c>
      <c r="N3749" s="21">
        <f t="shared" si="175"/>
        <v>0.198421052631579</v>
      </c>
      <c r="P3749" s="1">
        <v>4</v>
      </c>
      <c r="Q3749" s="24">
        <v>9.1080000000000041</v>
      </c>
      <c r="R3749" s="24">
        <v>66.792000000000002</v>
      </c>
      <c r="S3749" s="21">
        <f t="shared" si="176"/>
        <v>0.17178947368421055</v>
      </c>
    </row>
    <row r="3750" spans="2:19" ht="11.4" customHeight="1" x14ac:dyDescent="0.2">
      <c r="B3750" s="24"/>
      <c r="C3750" s="14">
        <v>44094</v>
      </c>
      <c r="D3750" s="18" t="s">
        <v>3917</v>
      </c>
      <c r="E3750" s="18" t="s">
        <v>3911</v>
      </c>
      <c r="F3750" s="18"/>
      <c r="G3750" s="18" t="s">
        <v>23</v>
      </c>
      <c r="H3750" s="17">
        <v>41.16</v>
      </c>
      <c r="I3750" s="15">
        <v>54.5</v>
      </c>
      <c r="J3750" s="21">
        <f t="shared" si="174"/>
        <v>0.3241010689990283</v>
      </c>
      <c r="K3750" s="1">
        <v>2</v>
      </c>
      <c r="L3750" s="24">
        <v>5.4</v>
      </c>
      <c r="M3750" s="24">
        <v>49.050000000000004</v>
      </c>
      <c r="N3750" s="21">
        <f t="shared" si="175"/>
        <v>0.19169096209912556</v>
      </c>
      <c r="P3750" s="1">
        <v>4</v>
      </c>
      <c r="Q3750" s="24">
        <v>6.5399999999999991</v>
      </c>
      <c r="R3750" s="24">
        <v>47.96</v>
      </c>
      <c r="S3750" s="21">
        <f t="shared" si="176"/>
        <v>0.16520894071914491</v>
      </c>
    </row>
    <row r="3751" spans="2:19" ht="11.4" customHeight="1" x14ac:dyDescent="0.2">
      <c r="B3751" s="24"/>
      <c r="C3751" s="14">
        <v>5064</v>
      </c>
      <c r="D3751" s="18" t="s">
        <v>3918</v>
      </c>
      <c r="E3751" s="18" t="s">
        <v>3356</v>
      </c>
      <c r="F3751" s="17">
        <v>14</v>
      </c>
      <c r="G3751" s="18" t="s">
        <v>23</v>
      </c>
      <c r="H3751" s="17">
        <v>78.900000000000006</v>
      </c>
      <c r="I3751" s="15">
        <v>91.6</v>
      </c>
      <c r="J3751" s="21">
        <f t="shared" si="174"/>
        <v>0.16096324461343456</v>
      </c>
      <c r="K3751" s="1">
        <v>2</v>
      </c>
      <c r="L3751" s="24">
        <v>9.1</v>
      </c>
      <c r="M3751" s="24">
        <v>82.44</v>
      </c>
      <c r="N3751" s="21">
        <f t="shared" si="175"/>
        <v>4.486692015209115E-2</v>
      </c>
      <c r="P3751" s="1">
        <v>4</v>
      </c>
      <c r="Q3751" s="24">
        <v>10.992000000000004</v>
      </c>
      <c r="R3751" s="24">
        <v>80.60799999999999</v>
      </c>
      <c r="S3751" s="21">
        <f t="shared" si="176"/>
        <v>2.164765525982236E-2</v>
      </c>
    </row>
    <row r="3752" spans="2:19" ht="11.4" customHeight="1" x14ac:dyDescent="0.2">
      <c r="B3752" s="24"/>
      <c r="C3752" s="14">
        <v>32696</v>
      </c>
      <c r="D3752" s="18" t="s">
        <v>3919</v>
      </c>
      <c r="E3752" s="18" t="s">
        <v>3428</v>
      </c>
      <c r="F3752" s="18"/>
      <c r="G3752" s="18" t="s">
        <v>23</v>
      </c>
      <c r="H3752" s="17">
        <v>89.8</v>
      </c>
      <c r="I3752" s="15">
        <v>109.5</v>
      </c>
      <c r="J3752" s="21">
        <f t="shared" si="174"/>
        <v>0.21937639198218267</v>
      </c>
      <c r="K3752" s="1">
        <v>2</v>
      </c>
      <c r="L3752" s="24">
        <v>10.9</v>
      </c>
      <c r="M3752" s="24">
        <v>98.55</v>
      </c>
      <c r="N3752" s="21">
        <f t="shared" si="175"/>
        <v>9.7438752783964369E-2</v>
      </c>
      <c r="P3752" s="1">
        <v>4</v>
      </c>
      <c r="Q3752" s="24">
        <v>13.14</v>
      </c>
      <c r="R3752" s="24">
        <v>96.36</v>
      </c>
      <c r="S3752" s="21">
        <f t="shared" si="176"/>
        <v>7.3051224944320745E-2</v>
      </c>
    </row>
    <row r="3753" spans="2:19" ht="11.4" customHeight="1" x14ac:dyDescent="0.2">
      <c r="B3753" s="24"/>
      <c r="C3753" s="14">
        <v>32698</v>
      </c>
      <c r="D3753" s="18" t="s">
        <v>3920</v>
      </c>
      <c r="E3753" s="18" t="s">
        <v>3428</v>
      </c>
      <c r="F3753" s="18"/>
      <c r="G3753" s="18" t="s">
        <v>23</v>
      </c>
      <c r="H3753" s="17">
        <v>86.2</v>
      </c>
      <c r="I3753" s="15">
        <v>103.5</v>
      </c>
      <c r="J3753" s="21">
        <f t="shared" si="174"/>
        <v>0.20069605568445473</v>
      </c>
      <c r="K3753" s="1">
        <v>2</v>
      </c>
      <c r="L3753" s="24">
        <v>10.3</v>
      </c>
      <c r="M3753" s="24">
        <v>93.15</v>
      </c>
      <c r="N3753" s="21">
        <f t="shared" si="175"/>
        <v>8.0626450116009316E-2</v>
      </c>
      <c r="P3753" s="1">
        <v>4</v>
      </c>
      <c r="Q3753" s="24">
        <v>12.420000000000002</v>
      </c>
      <c r="R3753" s="24">
        <v>91.08</v>
      </c>
      <c r="S3753" s="21">
        <f t="shared" si="176"/>
        <v>5.6612529002320132E-2</v>
      </c>
    </row>
    <row r="3754" spans="2:19" ht="11.4" customHeight="1" x14ac:dyDescent="0.2">
      <c r="B3754" s="24"/>
      <c r="C3754" s="14">
        <v>33970</v>
      </c>
      <c r="D3754" s="18" t="s">
        <v>3921</v>
      </c>
      <c r="E3754" s="18" t="s">
        <v>3428</v>
      </c>
      <c r="F3754" s="18"/>
      <c r="G3754" s="18" t="s">
        <v>23</v>
      </c>
      <c r="H3754" s="17">
        <v>86.2</v>
      </c>
      <c r="I3754" s="15">
        <v>107.5</v>
      </c>
      <c r="J3754" s="21">
        <f t="shared" si="174"/>
        <v>0.24709976798143848</v>
      </c>
      <c r="K3754" s="1">
        <v>2</v>
      </c>
      <c r="L3754" s="24">
        <v>10.7</v>
      </c>
      <c r="M3754" s="24">
        <v>96.75</v>
      </c>
      <c r="N3754" s="21">
        <f t="shared" si="175"/>
        <v>0.12238979118329463</v>
      </c>
      <c r="P3754" s="1">
        <v>4</v>
      </c>
      <c r="Q3754" s="24">
        <v>12.900000000000006</v>
      </c>
      <c r="R3754" s="24">
        <v>94.6</v>
      </c>
      <c r="S3754" s="21">
        <f t="shared" si="176"/>
        <v>9.7447795823665792E-2</v>
      </c>
    </row>
    <row r="3755" spans="2:19" ht="11.4" customHeight="1" x14ac:dyDescent="0.2">
      <c r="B3755" s="24"/>
      <c r="C3755" s="14">
        <v>8610</v>
      </c>
      <c r="D3755" s="18" t="s">
        <v>3922</v>
      </c>
      <c r="E3755" s="18" t="s">
        <v>3428</v>
      </c>
      <c r="F3755" s="18"/>
      <c r="G3755" s="18" t="s">
        <v>23</v>
      </c>
      <c r="H3755" s="17">
        <v>62.2</v>
      </c>
      <c r="I3755" s="15">
        <v>81.5</v>
      </c>
      <c r="J3755" s="21">
        <f t="shared" si="174"/>
        <v>0.31028938906752407</v>
      </c>
      <c r="K3755" s="1">
        <v>2</v>
      </c>
      <c r="L3755" s="24">
        <v>8.1</v>
      </c>
      <c r="M3755" s="24">
        <v>73.350000000000009</v>
      </c>
      <c r="N3755" s="21">
        <f t="shared" si="175"/>
        <v>0.1792604501607718</v>
      </c>
      <c r="P3755" s="1">
        <v>4</v>
      </c>
      <c r="Q3755" s="24">
        <v>9.7800000000000011</v>
      </c>
      <c r="R3755" s="24">
        <v>71.72</v>
      </c>
      <c r="S3755" s="21">
        <f t="shared" si="176"/>
        <v>0.15305466237942114</v>
      </c>
    </row>
    <row r="3756" spans="2:19" ht="11.4" customHeight="1" x14ac:dyDescent="0.2">
      <c r="B3756" s="24"/>
      <c r="C3756" s="14">
        <v>27726</v>
      </c>
      <c r="D3756" s="18" t="s">
        <v>3923</v>
      </c>
      <c r="E3756" s="18" t="s">
        <v>3356</v>
      </c>
      <c r="F3756" s="17">
        <v>16</v>
      </c>
      <c r="G3756" s="18" t="s">
        <v>23</v>
      </c>
      <c r="H3756" s="17">
        <v>37.9</v>
      </c>
      <c r="I3756" s="15">
        <v>41.7</v>
      </c>
      <c r="J3756" s="21">
        <f t="shared" si="174"/>
        <v>0.10026385224274419</v>
      </c>
      <c r="K3756" s="1">
        <v>2</v>
      </c>
      <c r="L3756" s="24">
        <v>4.0999999999999996</v>
      </c>
      <c r="M3756" s="24">
        <v>37.53</v>
      </c>
      <c r="N3756" s="21">
        <f t="shared" si="175"/>
        <v>-9.7625329815302763E-3</v>
      </c>
      <c r="P3756" s="1">
        <v>4</v>
      </c>
      <c r="Q3756" s="24">
        <v>5.0039999999999978</v>
      </c>
      <c r="R3756" s="24">
        <v>36.696000000000005</v>
      </c>
      <c r="S3756" s="21">
        <f t="shared" si="176"/>
        <v>-3.1767810026385054E-2</v>
      </c>
    </row>
    <row r="3757" spans="2:19" ht="11.4" customHeight="1" x14ac:dyDescent="0.2">
      <c r="B3757" s="24"/>
      <c r="C3757" s="14">
        <v>23112</v>
      </c>
      <c r="D3757" s="18" t="s">
        <v>3924</v>
      </c>
      <c r="E3757" s="18" t="s">
        <v>3356</v>
      </c>
      <c r="F3757" s="17">
        <v>16</v>
      </c>
      <c r="G3757" s="18" t="s">
        <v>23</v>
      </c>
      <c r="H3757" s="17">
        <v>37.9</v>
      </c>
      <c r="I3757" s="15">
        <v>41.7</v>
      </c>
      <c r="J3757" s="21">
        <f t="shared" si="174"/>
        <v>0.10026385224274419</v>
      </c>
      <c r="K3757" s="1">
        <v>2</v>
      </c>
      <c r="L3757" s="24">
        <v>4.0999999999999996</v>
      </c>
      <c r="M3757" s="24">
        <v>37.53</v>
      </c>
      <c r="N3757" s="21">
        <f t="shared" si="175"/>
        <v>-9.7625329815302763E-3</v>
      </c>
      <c r="P3757" s="1">
        <v>4</v>
      </c>
      <c r="Q3757" s="24">
        <v>5.0039999999999978</v>
      </c>
      <c r="R3757" s="24">
        <v>36.696000000000005</v>
      </c>
      <c r="S3757" s="21">
        <f t="shared" si="176"/>
        <v>-3.1767810026385054E-2</v>
      </c>
    </row>
    <row r="3758" spans="2:19" ht="11.4" customHeight="1" x14ac:dyDescent="0.2">
      <c r="B3758" s="24"/>
      <c r="C3758" s="14">
        <v>27725</v>
      </c>
      <c r="D3758" s="18" t="s">
        <v>3925</v>
      </c>
      <c r="E3758" s="18" t="s">
        <v>3356</v>
      </c>
      <c r="F3758" s="17">
        <v>16</v>
      </c>
      <c r="G3758" s="18" t="s">
        <v>23</v>
      </c>
      <c r="H3758" s="17">
        <v>31.7</v>
      </c>
      <c r="I3758" s="15">
        <v>35.9</v>
      </c>
      <c r="J3758" s="21">
        <f t="shared" si="174"/>
        <v>0.13249211356466875</v>
      </c>
      <c r="K3758" s="1">
        <v>2</v>
      </c>
      <c r="L3758" s="24">
        <v>3.5</v>
      </c>
      <c r="M3758" s="24">
        <v>32.31</v>
      </c>
      <c r="N3758" s="21">
        <f t="shared" si="175"/>
        <v>1.9242902208201986E-2</v>
      </c>
      <c r="P3758" s="1">
        <v>4</v>
      </c>
      <c r="Q3758" s="24">
        <v>4.3079999999999998</v>
      </c>
      <c r="R3758" s="24">
        <v>31.591999999999999</v>
      </c>
      <c r="S3758" s="21">
        <f t="shared" si="176"/>
        <v>-3.4069400630914997E-3</v>
      </c>
    </row>
    <row r="3759" spans="2:19" ht="11.4" customHeight="1" x14ac:dyDescent="0.2">
      <c r="B3759" s="24"/>
      <c r="C3759" s="14">
        <v>27765</v>
      </c>
      <c r="D3759" s="18" t="s">
        <v>3926</v>
      </c>
      <c r="E3759" s="18" t="s">
        <v>3356</v>
      </c>
      <c r="F3759" s="17">
        <v>18</v>
      </c>
      <c r="G3759" s="18" t="s">
        <v>23</v>
      </c>
      <c r="H3759" s="17">
        <v>30.4</v>
      </c>
      <c r="I3759" s="15">
        <v>35.9</v>
      </c>
      <c r="J3759" s="21">
        <f t="shared" si="174"/>
        <v>0.18092105263157895</v>
      </c>
      <c r="K3759" s="1">
        <v>2</v>
      </c>
      <c r="L3759" s="24">
        <v>3.5</v>
      </c>
      <c r="M3759" s="24">
        <v>32.31</v>
      </c>
      <c r="N3759" s="21">
        <f t="shared" si="175"/>
        <v>6.2828947368421179E-2</v>
      </c>
      <c r="P3759" s="1">
        <v>4</v>
      </c>
      <c r="Q3759" s="24">
        <v>4.3079999999999998</v>
      </c>
      <c r="R3759" s="24">
        <v>31.591999999999999</v>
      </c>
      <c r="S3759" s="21">
        <f t="shared" si="176"/>
        <v>3.921052631578948E-2</v>
      </c>
    </row>
    <row r="3760" spans="2:19" ht="11.4" customHeight="1" x14ac:dyDescent="0.2">
      <c r="B3760" s="24"/>
      <c r="C3760" s="14">
        <v>23113</v>
      </c>
      <c r="D3760" s="18" t="s">
        <v>3927</v>
      </c>
      <c r="E3760" s="18" t="s">
        <v>3356</v>
      </c>
      <c r="F3760" s="17">
        <v>16</v>
      </c>
      <c r="G3760" s="18" t="s">
        <v>23</v>
      </c>
      <c r="H3760" s="17">
        <v>37.9</v>
      </c>
      <c r="I3760" s="15">
        <v>41.7</v>
      </c>
      <c r="J3760" s="21">
        <f t="shared" si="174"/>
        <v>0.10026385224274419</v>
      </c>
      <c r="K3760" s="1">
        <v>2</v>
      </c>
      <c r="L3760" s="24">
        <v>4.0999999999999996</v>
      </c>
      <c r="M3760" s="24">
        <v>37.53</v>
      </c>
      <c r="N3760" s="21">
        <f t="shared" si="175"/>
        <v>-9.7625329815302763E-3</v>
      </c>
      <c r="P3760" s="1">
        <v>4</v>
      </c>
      <c r="Q3760" s="24">
        <v>5.0039999999999978</v>
      </c>
      <c r="R3760" s="24">
        <v>36.696000000000005</v>
      </c>
      <c r="S3760" s="21">
        <f t="shared" si="176"/>
        <v>-3.1767810026385054E-2</v>
      </c>
    </row>
    <row r="3761" spans="2:19" ht="11.4" customHeight="1" x14ac:dyDescent="0.2">
      <c r="B3761" s="24"/>
      <c r="C3761" s="14">
        <v>41719</v>
      </c>
      <c r="D3761" s="18" t="s">
        <v>3928</v>
      </c>
      <c r="E3761" s="18" t="s">
        <v>3356</v>
      </c>
      <c r="F3761" s="17">
        <v>7</v>
      </c>
      <c r="G3761" s="18" t="s">
        <v>23</v>
      </c>
      <c r="H3761" s="17">
        <v>66.58</v>
      </c>
      <c r="I3761" s="15">
        <v>79.900000000000006</v>
      </c>
      <c r="J3761" s="21">
        <f t="shared" si="174"/>
        <v>0.20006007810153212</v>
      </c>
      <c r="K3761" s="1">
        <v>2</v>
      </c>
      <c r="L3761" s="24">
        <v>7.9</v>
      </c>
      <c r="M3761" s="24">
        <v>71.910000000000011</v>
      </c>
      <c r="N3761" s="21">
        <f t="shared" si="175"/>
        <v>8.0054070291378981E-2</v>
      </c>
      <c r="P3761" s="1">
        <v>4</v>
      </c>
      <c r="Q3761" s="24">
        <v>9.5879999999999939</v>
      </c>
      <c r="R3761" s="24">
        <v>70.312000000000012</v>
      </c>
      <c r="S3761" s="21">
        <f t="shared" si="176"/>
        <v>5.6052868729348358E-2</v>
      </c>
    </row>
    <row r="3762" spans="2:19" ht="11.4" customHeight="1" x14ac:dyDescent="0.2">
      <c r="B3762" s="24"/>
      <c r="C3762" s="14">
        <v>41718</v>
      </c>
      <c r="D3762" s="18" t="s">
        <v>3929</v>
      </c>
      <c r="E3762" s="18" t="s">
        <v>3356</v>
      </c>
      <c r="F3762" s="17">
        <v>7</v>
      </c>
      <c r="G3762" s="18" t="s">
        <v>23</v>
      </c>
      <c r="H3762" s="17">
        <v>66.58</v>
      </c>
      <c r="I3762" s="15">
        <v>79.900000000000006</v>
      </c>
      <c r="J3762" s="21">
        <f t="shared" si="174"/>
        <v>0.20006007810153212</v>
      </c>
      <c r="K3762" s="1">
        <v>2</v>
      </c>
      <c r="L3762" s="24">
        <v>7.9</v>
      </c>
      <c r="M3762" s="24">
        <v>71.910000000000011</v>
      </c>
      <c r="N3762" s="21">
        <f t="shared" si="175"/>
        <v>8.0054070291378981E-2</v>
      </c>
      <c r="P3762" s="1">
        <v>4</v>
      </c>
      <c r="Q3762" s="24">
        <v>9.5879999999999939</v>
      </c>
      <c r="R3762" s="24">
        <v>70.312000000000012</v>
      </c>
      <c r="S3762" s="21">
        <f t="shared" si="176"/>
        <v>5.6052868729348358E-2</v>
      </c>
    </row>
    <row r="3763" spans="2:19" ht="11.4" customHeight="1" x14ac:dyDescent="0.2">
      <c r="B3763" s="24"/>
      <c r="C3763" s="14">
        <v>41717</v>
      </c>
      <c r="D3763" s="18" t="s">
        <v>3930</v>
      </c>
      <c r="E3763" s="18" t="s">
        <v>3356</v>
      </c>
      <c r="F3763" s="17">
        <v>7</v>
      </c>
      <c r="G3763" s="18" t="s">
        <v>23</v>
      </c>
      <c r="H3763" s="17">
        <v>66.58</v>
      </c>
      <c r="I3763" s="15">
        <v>79.900000000000006</v>
      </c>
      <c r="J3763" s="21">
        <f t="shared" si="174"/>
        <v>0.20006007810153212</v>
      </c>
      <c r="K3763" s="1">
        <v>2</v>
      </c>
      <c r="L3763" s="24">
        <v>7.9</v>
      </c>
      <c r="M3763" s="24">
        <v>71.910000000000011</v>
      </c>
      <c r="N3763" s="21">
        <f t="shared" si="175"/>
        <v>8.0054070291378981E-2</v>
      </c>
      <c r="P3763" s="1">
        <v>4</v>
      </c>
      <c r="Q3763" s="24">
        <v>9.5879999999999939</v>
      </c>
      <c r="R3763" s="24">
        <v>70.312000000000012</v>
      </c>
      <c r="S3763" s="21">
        <f t="shared" si="176"/>
        <v>5.6052868729348358E-2</v>
      </c>
    </row>
    <row r="3764" spans="2:19" ht="11.4" customHeight="1" x14ac:dyDescent="0.2">
      <c r="B3764" s="24"/>
      <c r="C3764" s="14">
        <v>41720</v>
      </c>
      <c r="D3764" s="18" t="s">
        <v>3931</v>
      </c>
      <c r="E3764" s="18" t="s">
        <v>3356</v>
      </c>
      <c r="F3764" s="17">
        <v>7</v>
      </c>
      <c r="G3764" s="18" t="s">
        <v>23</v>
      </c>
      <c r="H3764" s="17">
        <v>66.569999999999993</v>
      </c>
      <c r="I3764" s="15">
        <v>79.900000000000006</v>
      </c>
      <c r="J3764" s="21">
        <f t="shared" si="174"/>
        <v>0.20024034850533295</v>
      </c>
      <c r="K3764" s="1">
        <v>2</v>
      </c>
      <c r="L3764" s="24">
        <v>7.9</v>
      </c>
      <c r="M3764" s="24">
        <v>71.910000000000011</v>
      </c>
      <c r="N3764" s="21">
        <f t="shared" si="175"/>
        <v>8.0216313654799726E-2</v>
      </c>
      <c r="P3764" s="1">
        <v>4</v>
      </c>
      <c r="Q3764" s="24">
        <v>9.5879999999999939</v>
      </c>
      <c r="R3764" s="24">
        <v>70.312000000000012</v>
      </c>
      <c r="S3764" s="21">
        <f t="shared" si="176"/>
        <v>5.6211506684693088E-2</v>
      </c>
    </row>
    <row r="3765" spans="2:19" ht="11.4" customHeight="1" x14ac:dyDescent="0.2">
      <c r="B3765" s="24"/>
      <c r="C3765" s="14">
        <v>34623</v>
      </c>
      <c r="D3765" s="18" t="s">
        <v>3932</v>
      </c>
      <c r="E3765" s="18" t="s">
        <v>3356</v>
      </c>
      <c r="F3765" s="17">
        <v>16</v>
      </c>
      <c r="G3765" s="18" t="s">
        <v>23</v>
      </c>
      <c r="H3765" s="17">
        <v>30.4</v>
      </c>
      <c r="I3765" s="15">
        <v>35.9</v>
      </c>
      <c r="J3765" s="21">
        <f t="shared" si="174"/>
        <v>0.18092105263157895</v>
      </c>
      <c r="K3765" s="1">
        <v>2</v>
      </c>
      <c r="L3765" s="24">
        <v>3.5</v>
      </c>
      <c r="M3765" s="24">
        <v>32.31</v>
      </c>
      <c r="N3765" s="21">
        <f t="shared" si="175"/>
        <v>6.2828947368421179E-2</v>
      </c>
      <c r="P3765" s="1">
        <v>4</v>
      </c>
      <c r="Q3765" s="24">
        <v>4.3079999999999998</v>
      </c>
      <c r="R3765" s="24">
        <v>31.591999999999999</v>
      </c>
      <c r="S3765" s="21">
        <f t="shared" si="176"/>
        <v>3.921052631578948E-2</v>
      </c>
    </row>
    <row r="3766" spans="2:19" ht="11.4" customHeight="1" x14ac:dyDescent="0.2">
      <c r="B3766" s="24"/>
      <c r="C3766" s="14">
        <v>12629</v>
      </c>
      <c r="D3766" s="18" t="s">
        <v>3933</v>
      </c>
      <c r="E3766" s="18" t="s">
        <v>3788</v>
      </c>
      <c r="F3766" s="18"/>
      <c r="G3766" s="18" t="s">
        <v>902</v>
      </c>
      <c r="H3766" s="17">
        <v>74.88</v>
      </c>
      <c r="I3766" s="15">
        <v>105.9</v>
      </c>
      <c r="J3766" s="21">
        <f t="shared" si="174"/>
        <v>0.41426282051282065</v>
      </c>
      <c r="K3766" s="1">
        <v>1</v>
      </c>
      <c r="L3766" s="24">
        <v>10.5</v>
      </c>
      <c r="M3766" s="24">
        <v>95.31</v>
      </c>
      <c r="N3766" s="21">
        <f t="shared" si="175"/>
        <v>0.27283653846153855</v>
      </c>
      <c r="P3766" s="1">
        <v>5</v>
      </c>
      <c r="Q3766" s="24">
        <v>10.590000000000003</v>
      </c>
      <c r="R3766" s="24">
        <v>95.31</v>
      </c>
      <c r="S3766" s="21">
        <f t="shared" si="176"/>
        <v>0.27283653846153855</v>
      </c>
    </row>
    <row r="3767" spans="2:19" ht="11.4" customHeight="1" x14ac:dyDescent="0.2">
      <c r="B3767" s="24"/>
      <c r="C3767" s="14">
        <v>2912</v>
      </c>
      <c r="D3767" s="18" t="s">
        <v>3934</v>
      </c>
      <c r="E3767" s="18" t="s">
        <v>3788</v>
      </c>
      <c r="F3767" s="17">
        <v>5</v>
      </c>
      <c r="G3767" s="18" t="s">
        <v>902</v>
      </c>
      <c r="H3767" s="17">
        <v>90.5</v>
      </c>
      <c r="I3767" s="15">
        <v>106.9</v>
      </c>
      <c r="J3767" s="21">
        <f t="shared" si="174"/>
        <v>0.18121546961325974</v>
      </c>
      <c r="K3767" s="1">
        <v>1</v>
      </c>
      <c r="L3767" s="24">
        <v>10.6</v>
      </c>
      <c r="M3767" s="24">
        <v>96.210000000000008</v>
      </c>
      <c r="N3767" s="21">
        <f t="shared" si="175"/>
        <v>6.3093922651933795E-2</v>
      </c>
      <c r="P3767" s="1">
        <v>5</v>
      </c>
      <c r="Q3767" s="24">
        <v>10.689999999999998</v>
      </c>
      <c r="R3767" s="24">
        <v>96.210000000000008</v>
      </c>
      <c r="S3767" s="21">
        <f t="shared" si="176"/>
        <v>6.3093922651933795E-2</v>
      </c>
    </row>
    <row r="3768" spans="2:19" ht="11.4" customHeight="1" x14ac:dyDescent="0.2">
      <c r="B3768" s="24"/>
      <c r="C3768" s="14">
        <v>4074</v>
      </c>
      <c r="D3768" s="18" t="s">
        <v>3935</v>
      </c>
      <c r="E3768" s="18" t="s">
        <v>3356</v>
      </c>
      <c r="F3768" s="17">
        <v>24</v>
      </c>
      <c r="G3768" s="18" t="s">
        <v>23</v>
      </c>
      <c r="H3768" s="17">
        <v>23.9</v>
      </c>
      <c r="I3768" s="15">
        <v>24.6</v>
      </c>
      <c r="J3768" s="21">
        <f t="shared" si="174"/>
        <v>2.9288702928870414E-2</v>
      </c>
      <c r="K3768" s="1">
        <v>2</v>
      </c>
      <c r="L3768" s="24">
        <v>2.4</v>
      </c>
      <c r="M3768" s="24">
        <v>22.14</v>
      </c>
      <c r="N3768" s="21">
        <f t="shared" si="175"/>
        <v>-7.3640167364016657E-2</v>
      </c>
      <c r="P3768" s="1">
        <v>4</v>
      </c>
      <c r="Q3768" s="24">
        <v>2.9520000000000017</v>
      </c>
      <c r="R3768" s="24">
        <v>21.648</v>
      </c>
      <c r="S3768" s="21">
        <f t="shared" si="176"/>
        <v>-9.4225941422594106E-2</v>
      </c>
    </row>
    <row r="3769" spans="2:19" ht="11.4" customHeight="1" x14ac:dyDescent="0.2">
      <c r="B3769" s="24"/>
      <c r="C3769" s="14">
        <v>2638</v>
      </c>
      <c r="D3769" s="18" t="s">
        <v>3936</v>
      </c>
      <c r="E3769" s="18" t="s">
        <v>3788</v>
      </c>
      <c r="F3769" s="17">
        <v>3</v>
      </c>
      <c r="G3769" s="18" t="s">
        <v>902</v>
      </c>
      <c r="H3769" s="17">
        <v>197.9</v>
      </c>
      <c r="I3769" s="15">
        <v>133.9</v>
      </c>
      <c r="J3769" s="21">
        <f t="shared" si="174"/>
        <v>-0.3233956543708944</v>
      </c>
      <c r="K3769" s="1">
        <v>1</v>
      </c>
      <c r="L3769" s="24">
        <v>13.3</v>
      </c>
      <c r="M3769" s="24">
        <v>120.51</v>
      </c>
      <c r="N3769" s="21">
        <f t="shared" si="175"/>
        <v>-0.39105608893380495</v>
      </c>
      <c r="P3769" s="1">
        <v>5</v>
      </c>
      <c r="Q3769" s="24">
        <v>13.39</v>
      </c>
      <c r="R3769" s="24">
        <v>120.51</v>
      </c>
      <c r="S3769" s="21">
        <f t="shared" si="176"/>
        <v>-0.39105608893380495</v>
      </c>
    </row>
    <row r="3770" spans="2:19" ht="11.4" customHeight="1" x14ac:dyDescent="0.2">
      <c r="B3770" s="24"/>
      <c r="C3770" s="14">
        <v>2609</v>
      </c>
      <c r="D3770" s="18" t="s">
        <v>3937</v>
      </c>
      <c r="E3770" s="18" t="s">
        <v>3788</v>
      </c>
      <c r="F3770" s="17">
        <v>2.5</v>
      </c>
      <c r="G3770" s="18" t="s">
        <v>902</v>
      </c>
      <c r="H3770" s="17">
        <v>163</v>
      </c>
      <c r="I3770" s="15">
        <v>204.9</v>
      </c>
      <c r="J3770" s="21">
        <f t="shared" si="174"/>
        <v>0.2570552147239264</v>
      </c>
      <c r="K3770" s="1">
        <v>1</v>
      </c>
      <c r="L3770" s="24">
        <v>20.399999999999999</v>
      </c>
      <c r="M3770" s="24">
        <v>184.41</v>
      </c>
      <c r="N3770" s="21">
        <f t="shared" si="175"/>
        <v>0.13134969325153373</v>
      </c>
      <c r="P3770" s="1">
        <v>5</v>
      </c>
      <c r="Q3770" s="24">
        <v>20.490000000000009</v>
      </c>
      <c r="R3770" s="24">
        <v>184.41</v>
      </c>
      <c r="S3770" s="21">
        <f t="shared" si="176"/>
        <v>0.13134969325153373</v>
      </c>
    </row>
    <row r="3771" spans="2:19" ht="11.4" customHeight="1" x14ac:dyDescent="0.2">
      <c r="B3771" s="24"/>
      <c r="C3771" s="14">
        <v>46223</v>
      </c>
      <c r="D3771" s="18" t="s">
        <v>3938</v>
      </c>
      <c r="E3771" s="18" t="s">
        <v>3788</v>
      </c>
      <c r="F3771" s="18"/>
      <c r="G3771" s="18" t="s">
        <v>902</v>
      </c>
      <c r="H3771" s="17">
        <v>154.93</v>
      </c>
      <c r="I3771" s="15">
        <v>229.5</v>
      </c>
      <c r="J3771" s="21">
        <f t="shared" si="174"/>
        <v>0.48131414187052213</v>
      </c>
      <c r="K3771" s="1">
        <v>1</v>
      </c>
      <c r="L3771" s="24">
        <v>22.9</v>
      </c>
      <c r="M3771" s="24">
        <v>206.55</v>
      </c>
      <c r="N3771" s="21">
        <f t="shared" si="175"/>
        <v>0.33318272768346996</v>
      </c>
      <c r="P3771" s="1">
        <v>5</v>
      </c>
      <c r="Q3771" s="24">
        <v>22.949999999999989</v>
      </c>
      <c r="R3771" s="24">
        <v>206.55</v>
      </c>
      <c r="S3771" s="21">
        <f t="shared" si="176"/>
        <v>0.33318272768346996</v>
      </c>
    </row>
    <row r="3772" spans="2:19" ht="11.4" customHeight="1" x14ac:dyDescent="0.2">
      <c r="B3772" s="24"/>
      <c r="C3772" s="14">
        <v>2774</v>
      </c>
      <c r="D3772" s="18" t="s">
        <v>3939</v>
      </c>
      <c r="E3772" s="18" t="s">
        <v>3788</v>
      </c>
      <c r="F3772" s="18"/>
      <c r="G3772" s="18" t="s">
        <v>902</v>
      </c>
      <c r="H3772" s="17">
        <v>167.4</v>
      </c>
      <c r="I3772" s="15">
        <v>184.9</v>
      </c>
      <c r="J3772" s="21">
        <f t="shared" si="174"/>
        <v>0.1045400238948626</v>
      </c>
      <c r="K3772" s="1">
        <v>1</v>
      </c>
      <c r="L3772" s="24">
        <v>18.399999999999999</v>
      </c>
      <c r="M3772" s="24">
        <v>166.41</v>
      </c>
      <c r="N3772" s="21">
        <f t="shared" si="175"/>
        <v>-5.9139784946237103E-3</v>
      </c>
      <c r="P3772" s="1">
        <v>5</v>
      </c>
      <c r="Q3772" s="24">
        <v>18.490000000000009</v>
      </c>
      <c r="R3772" s="24">
        <v>166.41</v>
      </c>
      <c r="S3772" s="21">
        <f t="shared" si="176"/>
        <v>-5.9139784946237103E-3</v>
      </c>
    </row>
    <row r="3773" spans="2:19" ht="11.4" customHeight="1" x14ac:dyDescent="0.2">
      <c r="B3773" s="24"/>
      <c r="C3773" s="14">
        <v>37393</v>
      </c>
      <c r="D3773" s="18" t="s">
        <v>3940</v>
      </c>
      <c r="E3773" s="18" t="s">
        <v>3788</v>
      </c>
      <c r="F3773" s="17">
        <v>2</v>
      </c>
      <c r="G3773" s="18" t="s">
        <v>902</v>
      </c>
      <c r="H3773" s="17">
        <v>219.5</v>
      </c>
      <c r="I3773" s="15">
        <v>262.89999999999998</v>
      </c>
      <c r="J3773" s="21">
        <f t="shared" si="174"/>
        <v>0.19772209567198168</v>
      </c>
      <c r="K3773" s="1">
        <v>1</v>
      </c>
      <c r="L3773" s="24">
        <v>26.2</v>
      </c>
      <c r="M3773" s="24">
        <v>236.60999999999999</v>
      </c>
      <c r="N3773" s="21">
        <f t="shared" si="175"/>
        <v>7.7949886104783525E-2</v>
      </c>
      <c r="P3773" s="1">
        <v>5</v>
      </c>
      <c r="Q3773" s="24">
        <v>26.289999999999992</v>
      </c>
      <c r="R3773" s="24">
        <v>236.60999999999999</v>
      </c>
      <c r="S3773" s="21">
        <f t="shared" si="176"/>
        <v>7.7949886104783525E-2</v>
      </c>
    </row>
    <row r="3774" spans="2:19" ht="11.4" customHeight="1" x14ac:dyDescent="0.2">
      <c r="B3774" s="24"/>
      <c r="C3774" s="14">
        <v>43692</v>
      </c>
      <c r="D3774" s="18" t="s">
        <v>3941</v>
      </c>
      <c r="E3774" s="18" t="s">
        <v>3428</v>
      </c>
      <c r="F3774" s="18"/>
      <c r="G3774" s="18" t="s">
        <v>23</v>
      </c>
      <c r="H3774" s="17">
        <v>50.52</v>
      </c>
      <c r="I3774" s="15">
        <v>81.5</v>
      </c>
      <c r="J3774" s="21">
        <f t="shared" si="174"/>
        <v>0.61322248614410124</v>
      </c>
      <c r="K3774" s="1">
        <v>2</v>
      </c>
      <c r="L3774" s="24">
        <v>8.1</v>
      </c>
      <c r="M3774" s="24">
        <v>73.350000000000009</v>
      </c>
      <c r="N3774" s="21">
        <f t="shared" si="175"/>
        <v>0.45190023752969127</v>
      </c>
      <c r="P3774" s="1">
        <v>4</v>
      </c>
      <c r="Q3774" s="24">
        <v>9.7800000000000011</v>
      </c>
      <c r="R3774" s="24">
        <v>71.72</v>
      </c>
      <c r="S3774" s="21">
        <f t="shared" si="176"/>
        <v>0.4196357878068091</v>
      </c>
    </row>
    <row r="3775" spans="2:19" ht="11.4" customHeight="1" x14ac:dyDescent="0.2">
      <c r="B3775" s="24"/>
      <c r="C3775" s="14">
        <v>2913</v>
      </c>
      <c r="D3775" s="18" t="s">
        <v>3942</v>
      </c>
      <c r="E3775" s="18" t="s">
        <v>3788</v>
      </c>
      <c r="F3775" s="17">
        <v>5</v>
      </c>
      <c r="G3775" s="18" t="s">
        <v>902</v>
      </c>
      <c r="H3775" s="17">
        <v>94.5</v>
      </c>
      <c r="I3775" s="15">
        <v>104.9</v>
      </c>
      <c r="J3775" s="21">
        <f t="shared" si="174"/>
        <v>0.11005291005291011</v>
      </c>
      <c r="K3775" s="1">
        <v>1</v>
      </c>
      <c r="L3775" s="24">
        <v>10.4</v>
      </c>
      <c r="M3775" s="24">
        <v>94.410000000000011</v>
      </c>
      <c r="N3775" s="21">
        <f t="shared" si="175"/>
        <v>-9.5238095238083811E-4</v>
      </c>
      <c r="P3775" s="1">
        <v>5</v>
      </c>
      <c r="Q3775" s="24">
        <v>10.489999999999995</v>
      </c>
      <c r="R3775" s="24">
        <v>94.410000000000011</v>
      </c>
      <c r="S3775" s="21">
        <f t="shared" si="176"/>
        <v>-9.5238095238083811E-4</v>
      </c>
    </row>
    <row r="3776" spans="2:19" ht="11.4" customHeight="1" x14ac:dyDescent="0.2">
      <c r="B3776" s="24"/>
      <c r="C3776" s="14">
        <v>40807</v>
      </c>
      <c r="D3776" s="18" t="s">
        <v>3943</v>
      </c>
      <c r="E3776" s="18" t="s">
        <v>3788</v>
      </c>
      <c r="F3776" s="17">
        <v>1.9</v>
      </c>
      <c r="G3776" s="18" t="s">
        <v>902</v>
      </c>
      <c r="H3776" s="17">
        <v>136.19999999999999</v>
      </c>
      <c r="I3776" s="15">
        <v>231.5</v>
      </c>
      <c r="J3776" s="21">
        <f t="shared" si="174"/>
        <v>0.69970631424375929</v>
      </c>
      <c r="K3776" s="1">
        <v>1</v>
      </c>
      <c r="L3776" s="24">
        <v>23.1</v>
      </c>
      <c r="M3776" s="24">
        <v>208.35</v>
      </c>
      <c r="N3776" s="21">
        <f t="shared" si="175"/>
        <v>0.52973568281938332</v>
      </c>
      <c r="P3776" s="1">
        <v>5</v>
      </c>
      <c r="Q3776" s="24">
        <v>23.150000000000006</v>
      </c>
      <c r="R3776" s="24">
        <v>208.35</v>
      </c>
      <c r="S3776" s="21">
        <f t="shared" si="176"/>
        <v>0.52973568281938332</v>
      </c>
    </row>
    <row r="3777" spans="2:19" ht="11.4" customHeight="1" x14ac:dyDescent="0.2">
      <c r="B3777" s="24"/>
      <c r="C3777" s="14">
        <v>16621</v>
      </c>
      <c r="D3777" s="18" t="s">
        <v>3944</v>
      </c>
      <c r="E3777" s="18" t="s">
        <v>3788</v>
      </c>
      <c r="F3777" s="17">
        <v>2</v>
      </c>
      <c r="G3777" s="18" t="s">
        <v>902</v>
      </c>
      <c r="H3777" s="17">
        <v>94.2</v>
      </c>
      <c r="I3777" s="15">
        <v>141.9</v>
      </c>
      <c r="J3777" s="21">
        <f t="shared" si="174"/>
        <v>0.50636942675159236</v>
      </c>
      <c r="K3777" s="1">
        <v>1</v>
      </c>
      <c r="L3777" s="24">
        <v>14.1</v>
      </c>
      <c r="M3777" s="24">
        <v>127.71000000000001</v>
      </c>
      <c r="N3777" s="21">
        <f t="shared" si="175"/>
        <v>0.35573248407643315</v>
      </c>
      <c r="P3777" s="1">
        <v>5</v>
      </c>
      <c r="Q3777" s="24">
        <v>14.189999999999998</v>
      </c>
      <c r="R3777" s="24">
        <v>127.71000000000001</v>
      </c>
      <c r="S3777" s="21">
        <f t="shared" si="176"/>
        <v>0.35573248407643315</v>
      </c>
    </row>
    <row r="3778" spans="2:19" ht="11.4" customHeight="1" x14ac:dyDescent="0.2">
      <c r="B3778" s="24"/>
      <c r="C3778" s="14">
        <v>41903</v>
      </c>
      <c r="D3778" s="18" t="s">
        <v>3945</v>
      </c>
      <c r="E3778" s="18" t="s">
        <v>3788</v>
      </c>
      <c r="F3778" s="17">
        <v>1.6</v>
      </c>
      <c r="G3778" s="18" t="s">
        <v>902</v>
      </c>
      <c r="H3778" s="17">
        <v>157.99</v>
      </c>
      <c r="I3778" s="15">
        <v>221.9</v>
      </c>
      <c r="J3778" s="21">
        <f t="shared" si="174"/>
        <v>0.40451927337173232</v>
      </c>
      <c r="K3778" s="1">
        <v>1</v>
      </c>
      <c r="L3778" s="24">
        <v>22.1</v>
      </c>
      <c r="M3778" s="24">
        <v>199.71</v>
      </c>
      <c r="N3778" s="21">
        <f t="shared" si="175"/>
        <v>0.26406734603455911</v>
      </c>
      <c r="P3778" s="1">
        <v>5</v>
      </c>
      <c r="Q3778" s="24">
        <v>22.189999999999998</v>
      </c>
      <c r="R3778" s="24">
        <v>199.71</v>
      </c>
      <c r="S3778" s="21">
        <f t="shared" si="176"/>
        <v>0.26406734603455911</v>
      </c>
    </row>
    <row r="3779" spans="2:19" ht="11.4" customHeight="1" x14ac:dyDescent="0.2">
      <c r="B3779" s="24"/>
      <c r="C3779" s="14">
        <v>16767</v>
      </c>
      <c r="D3779" s="18" t="s">
        <v>3946</v>
      </c>
      <c r="E3779" s="18" t="s">
        <v>3788</v>
      </c>
      <c r="F3779" s="17">
        <v>2.2999999999999998</v>
      </c>
      <c r="G3779" s="18" t="s">
        <v>902</v>
      </c>
      <c r="H3779" s="17">
        <v>160.5</v>
      </c>
      <c r="I3779" s="15">
        <v>216.9</v>
      </c>
      <c r="J3779" s="21">
        <f t="shared" ref="J3779:J3842" si="177">(I3779-H3779)/H3779</f>
        <v>0.35140186915887855</v>
      </c>
      <c r="K3779" s="1">
        <v>1</v>
      </c>
      <c r="L3779" s="24">
        <v>21.6</v>
      </c>
      <c r="M3779" s="24">
        <v>195.21</v>
      </c>
      <c r="N3779" s="21">
        <f t="shared" ref="N3779:N3842" si="178">(M3779-H3779)/H3779</f>
        <v>0.21626168224299069</v>
      </c>
      <c r="P3779" s="1">
        <v>5</v>
      </c>
      <c r="Q3779" s="24">
        <v>21.689999999999998</v>
      </c>
      <c r="R3779" s="24">
        <v>195.21</v>
      </c>
      <c r="S3779" s="21">
        <f t="shared" ref="S3779:S3842" si="179">(R3779-H3779)/H3779</f>
        <v>0.21626168224299069</v>
      </c>
    </row>
    <row r="3780" spans="2:19" ht="11.4" customHeight="1" x14ac:dyDescent="0.2">
      <c r="B3780" s="24"/>
      <c r="C3780" s="14">
        <v>19132</v>
      </c>
      <c r="D3780" s="18" t="s">
        <v>3947</v>
      </c>
      <c r="E3780" s="18" t="s">
        <v>3788</v>
      </c>
      <c r="F3780" s="18"/>
      <c r="G3780" s="18" t="s">
        <v>902</v>
      </c>
      <c r="H3780" s="17">
        <v>229.02</v>
      </c>
      <c r="I3780" s="15">
        <v>415.5</v>
      </c>
      <c r="J3780" s="21">
        <f t="shared" si="177"/>
        <v>0.81425203039035887</v>
      </c>
      <c r="K3780" s="1">
        <v>1</v>
      </c>
      <c r="L3780" s="24">
        <v>41.5</v>
      </c>
      <c r="M3780" s="24">
        <v>373.95</v>
      </c>
      <c r="N3780" s="21">
        <f t="shared" si="178"/>
        <v>0.6328268273513229</v>
      </c>
      <c r="P3780" s="1">
        <v>5</v>
      </c>
      <c r="Q3780" s="24">
        <v>41.550000000000011</v>
      </c>
      <c r="R3780" s="24">
        <v>373.95</v>
      </c>
      <c r="S3780" s="21">
        <f t="shared" si="179"/>
        <v>0.6328268273513229</v>
      </c>
    </row>
    <row r="3781" spans="2:19" ht="11.4" customHeight="1" x14ac:dyDescent="0.2">
      <c r="B3781" s="24"/>
      <c r="C3781" s="14">
        <v>2707</v>
      </c>
      <c r="D3781" s="18" t="s">
        <v>3948</v>
      </c>
      <c r="E3781" s="18" t="s">
        <v>3356</v>
      </c>
      <c r="F3781" s="17">
        <v>24</v>
      </c>
      <c r="G3781" s="18" t="s">
        <v>23</v>
      </c>
      <c r="H3781" s="17">
        <v>40.299999999999997</v>
      </c>
      <c r="I3781" s="15">
        <v>42.9</v>
      </c>
      <c r="J3781" s="21">
        <f t="shared" si="177"/>
        <v>6.4516129032258104E-2</v>
      </c>
      <c r="K3781" s="1">
        <v>2</v>
      </c>
      <c r="L3781" s="24">
        <v>4.2</v>
      </c>
      <c r="M3781" s="24">
        <v>38.61</v>
      </c>
      <c r="N3781" s="21">
        <f t="shared" si="178"/>
        <v>-4.1935483870967689E-2</v>
      </c>
      <c r="P3781" s="1">
        <v>4</v>
      </c>
      <c r="Q3781" s="24">
        <v>5.1479999999999961</v>
      </c>
      <c r="R3781" s="24">
        <v>37.752000000000002</v>
      </c>
      <c r="S3781" s="21">
        <f t="shared" si="179"/>
        <v>-6.322580645161277E-2</v>
      </c>
    </row>
    <row r="3782" spans="2:19" ht="11.4" customHeight="1" x14ac:dyDescent="0.2">
      <c r="B3782" s="24"/>
      <c r="C3782" s="14">
        <v>37392</v>
      </c>
      <c r="D3782" s="18" t="s">
        <v>3949</v>
      </c>
      <c r="E3782" s="18" t="s">
        <v>3788</v>
      </c>
      <c r="F3782" s="17">
        <v>3</v>
      </c>
      <c r="G3782" s="18" t="s">
        <v>902</v>
      </c>
      <c r="H3782" s="17">
        <v>114.9</v>
      </c>
      <c r="I3782" s="15">
        <v>138.5</v>
      </c>
      <c r="J3782" s="21">
        <f t="shared" si="177"/>
        <v>0.20539599651871188</v>
      </c>
      <c r="K3782" s="1">
        <v>1</v>
      </c>
      <c r="L3782" s="24">
        <v>13.8</v>
      </c>
      <c r="M3782" s="24">
        <v>124.65</v>
      </c>
      <c r="N3782" s="21">
        <f t="shared" si="178"/>
        <v>8.4856396866840725E-2</v>
      </c>
      <c r="P3782" s="1">
        <v>5</v>
      </c>
      <c r="Q3782" s="24">
        <v>13.849999999999994</v>
      </c>
      <c r="R3782" s="24">
        <v>124.65</v>
      </c>
      <c r="S3782" s="21">
        <f t="shared" si="179"/>
        <v>8.4856396866840725E-2</v>
      </c>
    </row>
    <row r="3783" spans="2:19" ht="11.4" customHeight="1" x14ac:dyDescent="0.2">
      <c r="B3783" s="24"/>
      <c r="C3783" s="14">
        <v>8570</v>
      </c>
      <c r="D3783" s="18" t="s">
        <v>3950</v>
      </c>
      <c r="E3783" s="18" t="s">
        <v>3428</v>
      </c>
      <c r="F3783" s="18"/>
      <c r="G3783" s="18" t="s">
        <v>23</v>
      </c>
      <c r="H3783" s="17">
        <v>58.8</v>
      </c>
      <c r="I3783" s="15">
        <v>77.5</v>
      </c>
      <c r="J3783" s="21">
        <f t="shared" si="177"/>
        <v>0.31802721088435382</v>
      </c>
      <c r="K3783" s="1">
        <v>2</v>
      </c>
      <c r="L3783" s="24">
        <v>7.7</v>
      </c>
      <c r="M3783" s="24">
        <v>69.75</v>
      </c>
      <c r="N3783" s="21">
        <f t="shared" si="178"/>
        <v>0.18622448979591844</v>
      </c>
      <c r="P3783" s="1">
        <v>4</v>
      </c>
      <c r="Q3783" s="24">
        <v>9.2999999999999972</v>
      </c>
      <c r="R3783" s="24">
        <v>68.2</v>
      </c>
      <c r="S3783" s="21">
        <f t="shared" si="179"/>
        <v>0.15986394557823139</v>
      </c>
    </row>
    <row r="3784" spans="2:19" ht="11.4" customHeight="1" x14ac:dyDescent="0.2">
      <c r="B3784" s="24"/>
      <c r="C3784" s="14">
        <v>43481</v>
      </c>
      <c r="D3784" s="18" t="s">
        <v>3951</v>
      </c>
      <c r="E3784" s="18" t="s">
        <v>3788</v>
      </c>
      <c r="F3784" s="17">
        <v>2</v>
      </c>
      <c r="G3784" s="18" t="s">
        <v>902</v>
      </c>
      <c r="H3784" s="17">
        <v>89.64</v>
      </c>
      <c r="I3784" s="15">
        <v>134.9</v>
      </c>
      <c r="J3784" s="21">
        <f t="shared" si="177"/>
        <v>0.50490852298081224</v>
      </c>
      <c r="K3784" s="1">
        <v>1</v>
      </c>
      <c r="L3784" s="24">
        <v>13.4</v>
      </c>
      <c r="M3784" s="24">
        <v>121.41000000000001</v>
      </c>
      <c r="N3784" s="21">
        <f t="shared" si="178"/>
        <v>0.35441767068273106</v>
      </c>
      <c r="P3784" s="1">
        <v>5</v>
      </c>
      <c r="Q3784" s="24">
        <v>13.489999999999995</v>
      </c>
      <c r="R3784" s="24">
        <v>121.41000000000001</v>
      </c>
      <c r="S3784" s="21">
        <f t="shared" si="179"/>
        <v>0.35441767068273106</v>
      </c>
    </row>
    <row r="3785" spans="2:19" ht="11.4" customHeight="1" x14ac:dyDescent="0.2">
      <c r="B3785" s="24"/>
      <c r="C3785" s="14">
        <v>21945</v>
      </c>
      <c r="D3785" s="18" t="s">
        <v>3952</v>
      </c>
      <c r="E3785" s="18" t="s">
        <v>3788</v>
      </c>
      <c r="F3785" s="18"/>
      <c r="G3785" s="18" t="s">
        <v>902</v>
      </c>
      <c r="H3785" s="17">
        <v>156.04</v>
      </c>
      <c r="I3785" s="15">
        <v>232.5</v>
      </c>
      <c r="J3785" s="21">
        <f t="shared" si="177"/>
        <v>0.49000256344527054</v>
      </c>
      <c r="K3785" s="1">
        <v>1</v>
      </c>
      <c r="L3785" s="24">
        <v>23.2</v>
      </c>
      <c r="M3785" s="24">
        <v>209.25</v>
      </c>
      <c r="N3785" s="21">
        <f t="shared" si="178"/>
        <v>0.34100230710074347</v>
      </c>
      <c r="P3785" s="1">
        <v>5</v>
      </c>
      <c r="Q3785" s="24">
        <v>23.25</v>
      </c>
      <c r="R3785" s="24">
        <v>209.25</v>
      </c>
      <c r="S3785" s="21">
        <f t="shared" si="179"/>
        <v>0.34100230710074347</v>
      </c>
    </row>
    <row r="3786" spans="2:19" ht="11.4" customHeight="1" x14ac:dyDescent="0.2">
      <c r="B3786" s="24"/>
      <c r="C3786" s="14">
        <v>12271</v>
      </c>
      <c r="D3786" s="18" t="s">
        <v>3953</v>
      </c>
      <c r="E3786" s="18" t="s">
        <v>3788</v>
      </c>
      <c r="F3786" s="18"/>
      <c r="G3786" s="18" t="s">
        <v>902</v>
      </c>
      <c r="H3786" s="17">
        <v>114.12</v>
      </c>
      <c r="I3786" s="15">
        <v>171.5</v>
      </c>
      <c r="J3786" s="21">
        <f t="shared" si="177"/>
        <v>0.50280406589554849</v>
      </c>
      <c r="K3786" s="1">
        <v>1</v>
      </c>
      <c r="L3786" s="24">
        <v>17.100000000000001</v>
      </c>
      <c r="M3786" s="24">
        <v>154.35</v>
      </c>
      <c r="N3786" s="21">
        <f t="shared" si="178"/>
        <v>0.35252365930599361</v>
      </c>
      <c r="P3786" s="1">
        <v>5</v>
      </c>
      <c r="Q3786" s="24">
        <v>17.150000000000006</v>
      </c>
      <c r="R3786" s="24">
        <v>154.35</v>
      </c>
      <c r="S3786" s="21">
        <f t="shared" si="179"/>
        <v>0.35252365930599361</v>
      </c>
    </row>
    <row r="3787" spans="2:19" ht="11.4" customHeight="1" x14ac:dyDescent="0.2">
      <c r="B3787" s="24"/>
      <c r="C3787" s="14">
        <v>12579</v>
      </c>
      <c r="D3787" s="18" t="s">
        <v>3954</v>
      </c>
      <c r="E3787" s="18" t="s">
        <v>3788</v>
      </c>
      <c r="F3787" s="18"/>
      <c r="G3787" s="18" t="s">
        <v>902</v>
      </c>
      <c r="H3787" s="17">
        <v>113.55</v>
      </c>
      <c r="I3787" s="15">
        <v>192.5</v>
      </c>
      <c r="J3787" s="21">
        <f t="shared" si="177"/>
        <v>0.69528841919859097</v>
      </c>
      <c r="K3787" s="1">
        <v>1</v>
      </c>
      <c r="L3787" s="24">
        <v>19.2</v>
      </c>
      <c r="M3787" s="24">
        <v>173.25</v>
      </c>
      <c r="N3787" s="21">
        <f t="shared" si="178"/>
        <v>0.5257595772787319</v>
      </c>
      <c r="P3787" s="1">
        <v>5</v>
      </c>
      <c r="Q3787" s="24">
        <v>19.25</v>
      </c>
      <c r="R3787" s="24">
        <v>173.25</v>
      </c>
      <c r="S3787" s="21">
        <f t="shared" si="179"/>
        <v>0.5257595772787319</v>
      </c>
    </row>
    <row r="3788" spans="2:19" ht="11.4" customHeight="1" x14ac:dyDescent="0.2">
      <c r="B3788" s="24"/>
      <c r="C3788" s="14">
        <v>36983</v>
      </c>
      <c r="D3788" s="18" t="s">
        <v>3955</v>
      </c>
      <c r="E3788" s="18" t="s">
        <v>3428</v>
      </c>
      <c r="F3788" s="18"/>
      <c r="G3788" s="18" t="s">
        <v>23</v>
      </c>
      <c r="H3788" s="17">
        <v>90.18</v>
      </c>
      <c r="I3788" s="15">
        <v>132.5</v>
      </c>
      <c r="J3788" s="21">
        <f t="shared" si="177"/>
        <v>0.46928365491239732</v>
      </c>
      <c r="K3788" s="1">
        <v>2</v>
      </c>
      <c r="L3788" s="24">
        <v>13.2</v>
      </c>
      <c r="M3788" s="24">
        <v>119.25</v>
      </c>
      <c r="N3788" s="21">
        <f t="shared" si="178"/>
        <v>0.3223552894211576</v>
      </c>
      <c r="P3788" s="1">
        <v>4</v>
      </c>
      <c r="Q3788" s="24">
        <v>15.900000000000006</v>
      </c>
      <c r="R3788" s="24">
        <v>116.6</v>
      </c>
      <c r="S3788" s="21">
        <f t="shared" si="179"/>
        <v>0.29296961632290958</v>
      </c>
    </row>
    <row r="3789" spans="2:19" ht="11.4" customHeight="1" x14ac:dyDescent="0.2">
      <c r="B3789" s="24"/>
      <c r="C3789" s="14">
        <v>40975</v>
      </c>
      <c r="D3789" s="18" t="s">
        <v>3956</v>
      </c>
      <c r="E3789" s="18" t="s">
        <v>3428</v>
      </c>
      <c r="F3789" s="18"/>
      <c r="G3789" s="18" t="s">
        <v>23</v>
      </c>
      <c r="H3789" s="17">
        <v>90.18</v>
      </c>
      <c r="I3789" s="15">
        <v>132.5</v>
      </c>
      <c r="J3789" s="21">
        <f t="shared" si="177"/>
        <v>0.46928365491239732</v>
      </c>
      <c r="K3789" s="1">
        <v>2</v>
      </c>
      <c r="L3789" s="24">
        <v>13.2</v>
      </c>
      <c r="M3789" s="24">
        <v>119.25</v>
      </c>
      <c r="N3789" s="21">
        <f t="shared" si="178"/>
        <v>0.3223552894211576</v>
      </c>
      <c r="P3789" s="1">
        <v>4</v>
      </c>
      <c r="Q3789" s="24">
        <v>15.900000000000006</v>
      </c>
      <c r="R3789" s="24">
        <v>116.6</v>
      </c>
      <c r="S3789" s="21">
        <f t="shared" si="179"/>
        <v>0.29296961632290958</v>
      </c>
    </row>
    <row r="3790" spans="2:19" ht="11.4" customHeight="1" x14ac:dyDescent="0.2">
      <c r="B3790" s="24"/>
      <c r="C3790" s="14">
        <v>40974</v>
      </c>
      <c r="D3790" s="18" t="s">
        <v>3957</v>
      </c>
      <c r="E3790" s="18" t="s">
        <v>3428</v>
      </c>
      <c r="F3790" s="18"/>
      <c r="G3790" s="18" t="s">
        <v>23</v>
      </c>
      <c r="H3790" s="17">
        <v>71.099999999999994</v>
      </c>
      <c r="I3790" s="15">
        <v>103.9</v>
      </c>
      <c r="J3790" s="21">
        <f t="shared" si="177"/>
        <v>0.46132208157524635</v>
      </c>
      <c r="K3790" s="1">
        <v>2</v>
      </c>
      <c r="L3790" s="24">
        <v>10.3</v>
      </c>
      <c r="M3790" s="24">
        <v>93.51</v>
      </c>
      <c r="N3790" s="21">
        <f t="shared" si="178"/>
        <v>0.3151898734177217</v>
      </c>
      <c r="P3790" s="1">
        <v>4</v>
      </c>
      <c r="Q3790" s="24">
        <v>12.468000000000004</v>
      </c>
      <c r="R3790" s="24">
        <v>91.432000000000002</v>
      </c>
      <c r="S3790" s="21">
        <f t="shared" si="179"/>
        <v>0.28596343178621675</v>
      </c>
    </row>
    <row r="3791" spans="2:19" ht="11.4" customHeight="1" x14ac:dyDescent="0.2">
      <c r="B3791" s="24"/>
      <c r="C3791" s="14">
        <v>43743</v>
      </c>
      <c r="D3791" s="18" t="s">
        <v>3958</v>
      </c>
      <c r="E3791" s="18" t="s">
        <v>3788</v>
      </c>
      <c r="F3791" s="18"/>
      <c r="G3791" s="18" t="s">
        <v>902</v>
      </c>
      <c r="H3791" s="17">
        <v>115.7</v>
      </c>
      <c r="I3791" s="15">
        <v>174.9</v>
      </c>
      <c r="J3791" s="21">
        <f t="shared" si="177"/>
        <v>0.51166810717372513</v>
      </c>
      <c r="K3791" s="1">
        <v>1</v>
      </c>
      <c r="L3791" s="24">
        <v>17.399999999999999</v>
      </c>
      <c r="M3791" s="24">
        <v>157.41</v>
      </c>
      <c r="N3791" s="21">
        <f t="shared" si="178"/>
        <v>0.36050129645635259</v>
      </c>
      <c r="P3791" s="1">
        <v>5</v>
      </c>
      <c r="Q3791" s="24">
        <v>17.490000000000009</v>
      </c>
      <c r="R3791" s="24">
        <v>157.41</v>
      </c>
      <c r="S3791" s="21">
        <f t="shared" si="179"/>
        <v>0.36050129645635259</v>
      </c>
    </row>
    <row r="3792" spans="2:19" ht="11.4" customHeight="1" x14ac:dyDescent="0.2">
      <c r="B3792" s="24"/>
      <c r="C3792" s="14">
        <v>8436</v>
      </c>
      <c r="D3792" s="18" t="s">
        <v>3959</v>
      </c>
      <c r="E3792" s="18" t="s">
        <v>3788</v>
      </c>
      <c r="F3792" s="17">
        <v>4</v>
      </c>
      <c r="G3792" s="18" t="s">
        <v>902</v>
      </c>
      <c r="H3792" s="17">
        <v>151.85</v>
      </c>
      <c r="I3792" s="15">
        <v>262.5</v>
      </c>
      <c r="J3792" s="21">
        <f t="shared" si="177"/>
        <v>0.72867961804412251</v>
      </c>
      <c r="K3792" s="1">
        <v>1</v>
      </c>
      <c r="L3792" s="24">
        <v>26.2</v>
      </c>
      <c r="M3792" s="24">
        <v>236.25</v>
      </c>
      <c r="N3792" s="21">
        <f t="shared" si="178"/>
        <v>0.55581165623971029</v>
      </c>
      <c r="P3792" s="1">
        <v>5</v>
      </c>
      <c r="Q3792" s="24">
        <v>26.25</v>
      </c>
      <c r="R3792" s="24">
        <v>236.25</v>
      </c>
      <c r="S3792" s="21">
        <f t="shared" si="179"/>
        <v>0.55581165623971029</v>
      </c>
    </row>
    <row r="3793" spans="2:19" ht="11.4" customHeight="1" x14ac:dyDescent="0.2">
      <c r="B3793" s="24"/>
      <c r="C3793" s="14">
        <v>8435</v>
      </c>
      <c r="D3793" s="18" t="s">
        <v>3960</v>
      </c>
      <c r="E3793" s="18" t="s">
        <v>3788</v>
      </c>
      <c r="F3793" s="18"/>
      <c r="G3793" s="18" t="s">
        <v>902</v>
      </c>
      <c r="H3793" s="17">
        <v>151.85</v>
      </c>
      <c r="I3793" s="15">
        <v>262.5</v>
      </c>
      <c r="J3793" s="21">
        <f t="shared" si="177"/>
        <v>0.72867961804412251</v>
      </c>
      <c r="K3793" s="1">
        <v>1</v>
      </c>
      <c r="L3793" s="24">
        <v>26.2</v>
      </c>
      <c r="M3793" s="24">
        <v>236.25</v>
      </c>
      <c r="N3793" s="21">
        <f t="shared" si="178"/>
        <v>0.55581165623971029</v>
      </c>
      <c r="P3793" s="1">
        <v>5</v>
      </c>
      <c r="Q3793" s="24">
        <v>26.25</v>
      </c>
      <c r="R3793" s="24">
        <v>236.25</v>
      </c>
      <c r="S3793" s="21">
        <f t="shared" si="179"/>
        <v>0.55581165623971029</v>
      </c>
    </row>
    <row r="3794" spans="2:19" ht="11.4" customHeight="1" x14ac:dyDescent="0.2">
      <c r="B3794" s="24"/>
      <c r="C3794" s="14">
        <v>41510</v>
      </c>
      <c r="D3794" s="18" t="s">
        <v>3961</v>
      </c>
      <c r="E3794" s="18" t="s">
        <v>3356</v>
      </c>
      <c r="F3794" s="17">
        <v>12</v>
      </c>
      <c r="G3794" s="18" t="s">
        <v>23</v>
      </c>
      <c r="H3794" s="17">
        <v>81.3</v>
      </c>
      <c r="I3794" s="15">
        <v>119.9</v>
      </c>
      <c r="J3794" s="21">
        <f t="shared" si="177"/>
        <v>0.47478474784747859</v>
      </c>
      <c r="K3794" s="1">
        <v>2</v>
      </c>
      <c r="L3794" s="24">
        <v>11.9</v>
      </c>
      <c r="M3794" s="24">
        <v>107.91000000000001</v>
      </c>
      <c r="N3794" s="21">
        <f t="shared" si="178"/>
        <v>0.3273062730627308</v>
      </c>
      <c r="P3794" s="1">
        <v>4</v>
      </c>
      <c r="Q3794" s="24">
        <v>14.388000000000005</v>
      </c>
      <c r="R3794" s="24">
        <v>105.512</v>
      </c>
      <c r="S3794" s="21">
        <f t="shared" si="179"/>
        <v>0.2978105781057811</v>
      </c>
    </row>
    <row r="3795" spans="2:19" ht="11.4" customHeight="1" x14ac:dyDescent="0.2">
      <c r="B3795" s="24"/>
      <c r="C3795" s="14">
        <v>41511</v>
      </c>
      <c r="D3795" s="18" t="s">
        <v>3962</v>
      </c>
      <c r="E3795" s="18" t="s">
        <v>3356</v>
      </c>
      <c r="F3795" s="17">
        <v>12</v>
      </c>
      <c r="G3795" s="18" t="s">
        <v>23</v>
      </c>
      <c r="H3795" s="17">
        <v>85.38</v>
      </c>
      <c r="I3795" s="15">
        <v>119.9</v>
      </c>
      <c r="J3795" s="21">
        <f t="shared" si="177"/>
        <v>0.40431014289060685</v>
      </c>
      <c r="K3795" s="1">
        <v>2</v>
      </c>
      <c r="L3795" s="24">
        <v>11.9</v>
      </c>
      <c r="M3795" s="24">
        <v>107.91000000000001</v>
      </c>
      <c r="N3795" s="21">
        <f t="shared" si="178"/>
        <v>0.26387912860154622</v>
      </c>
      <c r="P3795" s="1">
        <v>4</v>
      </c>
      <c r="Q3795" s="24">
        <v>14.388000000000005</v>
      </c>
      <c r="R3795" s="24">
        <v>105.512</v>
      </c>
      <c r="S3795" s="21">
        <f t="shared" si="179"/>
        <v>0.23579292574373398</v>
      </c>
    </row>
    <row r="3796" spans="2:19" ht="11.4" customHeight="1" x14ac:dyDescent="0.2">
      <c r="B3796" s="24"/>
      <c r="C3796" s="14">
        <v>42299</v>
      </c>
      <c r="D3796" s="18" t="s">
        <v>3963</v>
      </c>
      <c r="E3796" s="18" t="s">
        <v>3428</v>
      </c>
      <c r="F3796" s="17">
        <v>2</v>
      </c>
      <c r="G3796" s="18" t="s">
        <v>23</v>
      </c>
      <c r="H3796" s="17">
        <v>57.5</v>
      </c>
      <c r="I3796" s="15">
        <v>86.5</v>
      </c>
      <c r="J3796" s="21">
        <f t="shared" si="177"/>
        <v>0.5043478260869565</v>
      </c>
      <c r="K3796" s="1">
        <v>2</v>
      </c>
      <c r="L3796" s="24">
        <v>8.6</v>
      </c>
      <c r="M3796" s="24">
        <v>77.850000000000009</v>
      </c>
      <c r="N3796" s="21">
        <f t="shared" si="178"/>
        <v>0.35391304347826102</v>
      </c>
      <c r="P3796" s="1">
        <v>4</v>
      </c>
      <c r="Q3796" s="24">
        <v>10.379999999999995</v>
      </c>
      <c r="R3796" s="24">
        <v>76.12</v>
      </c>
      <c r="S3796" s="21">
        <f t="shared" si="179"/>
        <v>0.32382608695652182</v>
      </c>
    </row>
    <row r="3797" spans="2:19" ht="11.4" customHeight="1" x14ac:dyDescent="0.2">
      <c r="B3797" s="24"/>
      <c r="C3797" s="14">
        <v>12409</v>
      </c>
      <c r="D3797" s="18" t="s">
        <v>3964</v>
      </c>
      <c r="E3797" s="18" t="s">
        <v>3788</v>
      </c>
      <c r="F3797" s="17">
        <v>3</v>
      </c>
      <c r="G3797" s="18" t="s">
        <v>902</v>
      </c>
      <c r="H3797" s="17">
        <v>112.5</v>
      </c>
      <c r="I3797" s="15">
        <v>152.9</v>
      </c>
      <c r="J3797" s="21">
        <f t="shared" si="177"/>
        <v>0.35911111111111116</v>
      </c>
      <c r="K3797" s="1">
        <v>1</v>
      </c>
      <c r="L3797" s="24">
        <v>15.2</v>
      </c>
      <c r="M3797" s="24">
        <v>137.61000000000001</v>
      </c>
      <c r="N3797" s="21">
        <f t="shared" si="178"/>
        <v>0.22320000000000012</v>
      </c>
      <c r="P3797" s="1">
        <v>5</v>
      </c>
      <c r="Q3797" s="24">
        <v>15.289999999999992</v>
      </c>
      <c r="R3797" s="24">
        <v>137.61000000000001</v>
      </c>
      <c r="S3797" s="21">
        <f t="shared" si="179"/>
        <v>0.22320000000000012</v>
      </c>
    </row>
    <row r="3798" spans="2:19" ht="11.4" customHeight="1" x14ac:dyDescent="0.2">
      <c r="B3798" s="24"/>
      <c r="C3798" s="14">
        <v>29973</v>
      </c>
      <c r="D3798" s="18" t="s">
        <v>3965</v>
      </c>
      <c r="E3798" s="18" t="s">
        <v>3428</v>
      </c>
      <c r="F3798" s="18"/>
      <c r="G3798" s="18" t="s">
        <v>23</v>
      </c>
      <c r="H3798" s="17">
        <v>120.1</v>
      </c>
      <c r="I3798" s="15">
        <v>129.9</v>
      </c>
      <c r="J3798" s="21">
        <f t="shared" si="177"/>
        <v>8.1598667776852721E-2</v>
      </c>
      <c r="K3798" s="1">
        <v>2</v>
      </c>
      <c r="L3798" s="24">
        <v>12.9</v>
      </c>
      <c r="M3798" s="24">
        <v>116.91000000000001</v>
      </c>
      <c r="N3798" s="21">
        <f t="shared" si="178"/>
        <v>-2.6561199000832505E-2</v>
      </c>
      <c r="P3798" s="1">
        <v>4</v>
      </c>
      <c r="Q3798" s="24">
        <v>15.587999999999994</v>
      </c>
      <c r="R3798" s="24">
        <v>114.31200000000001</v>
      </c>
      <c r="S3798" s="21">
        <f t="shared" si="179"/>
        <v>-4.8193172356369551E-2</v>
      </c>
    </row>
    <row r="3799" spans="2:19" ht="11.4" customHeight="1" x14ac:dyDescent="0.2">
      <c r="B3799" s="24"/>
      <c r="C3799" s="14">
        <v>40694</v>
      </c>
      <c r="D3799" s="18" t="s">
        <v>3966</v>
      </c>
      <c r="E3799" s="18" t="s">
        <v>3428</v>
      </c>
      <c r="F3799" s="18"/>
      <c r="G3799" s="18" t="s">
        <v>23</v>
      </c>
      <c r="H3799" s="17">
        <v>59.96</v>
      </c>
      <c r="I3799" s="15">
        <v>86.5</v>
      </c>
      <c r="J3799" s="21">
        <f t="shared" si="177"/>
        <v>0.44262841894596394</v>
      </c>
      <c r="K3799" s="1">
        <v>2</v>
      </c>
      <c r="L3799" s="24">
        <v>8.6</v>
      </c>
      <c r="M3799" s="24">
        <v>77.850000000000009</v>
      </c>
      <c r="N3799" s="21">
        <f t="shared" si="178"/>
        <v>0.29836557705136768</v>
      </c>
      <c r="P3799" s="1">
        <v>4</v>
      </c>
      <c r="Q3799" s="24">
        <v>10.379999999999995</v>
      </c>
      <c r="R3799" s="24">
        <v>76.12</v>
      </c>
      <c r="S3799" s="21">
        <f t="shared" si="179"/>
        <v>0.26951300867244837</v>
      </c>
    </row>
    <row r="3800" spans="2:19" ht="11.4" customHeight="1" x14ac:dyDescent="0.2">
      <c r="B3800" s="24"/>
      <c r="C3800" s="14">
        <v>42715</v>
      </c>
      <c r="D3800" s="18" t="s">
        <v>3967</v>
      </c>
      <c r="E3800" s="18" t="s">
        <v>3428</v>
      </c>
      <c r="F3800" s="17">
        <v>5</v>
      </c>
      <c r="G3800" s="18" t="s">
        <v>23</v>
      </c>
      <c r="H3800" s="17">
        <v>90.72</v>
      </c>
      <c r="I3800" s="15">
        <v>119.9</v>
      </c>
      <c r="J3800" s="21">
        <f t="shared" si="177"/>
        <v>0.32164902998236339</v>
      </c>
      <c r="K3800" s="1">
        <v>2</v>
      </c>
      <c r="L3800" s="24">
        <v>11.9</v>
      </c>
      <c r="M3800" s="24">
        <v>107.91000000000001</v>
      </c>
      <c r="N3800" s="21">
        <f t="shared" si="178"/>
        <v>0.18948412698412712</v>
      </c>
      <c r="P3800" s="1">
        <v>4</v>
      </c>
      <c r="Q3800" s="24">
        <v>14.388000000000005</v>
      </c>
      <c r="R3800" s="24">
        <v>105.512</v>
      </c>
      <c r="S3800" s="21">
        <f t="shared" si="179"/>
        <v>0.16305114638447973</v>
      </c>
    </row>
    <row r="3801" spans="2:19" ht="11.4" customHeight="1" x14ac:dyDescent="0.2">
      <c r="B3801" s="24"/>
      <c r="C3801" s="14">
        <v>40695</v>
      </c>
      <c r="D3801" s="18" t="s">
        <v>3968</v>
      </c>
      <c r="E3801" s="18" t="s">
        <v>3428</v>
      </c>
      <c r="F3801" s="18"/>
      <c r="G3801" s="18" t="s">
        <v>23</v>
      </c>
      <c r="H3801" s="17">
        <v>51.24</v>
      </c>
      <c r="I3801" s="15">
        <v>72.5</v>
      </c>
      <c r="J3801" s="21">
        <f t="shared" si="177"/>
        <v>0.41491022638563618</v>
      </c>
      <c r="K3801" s="1">
        <v>2</v>
      </c>
      <c r="L3801" s="24">
        <v>7.2</v>
      </c>
      <c r="M3801" s="24">
        <v>65.25</v>
      </c>
      <c r="N3801" s="21">
        <f t="shared" si="178"/>
        <v>0.27341920374707257</v>
      </c>
      <c r="P3801" s="1">
        <v>4</v>
      </c>
      <c r="Q3801" s="24">
        <v>8.7000000000000028</v>
      </c>
      <c r="R3801" s="24">
        <v>63.8</v>
      </c>
      <c r="S3801" s="21">
        <f t="shared" si="179"/>
        <v>0.24512099921935976</v>
      </c>
    </row>
    <row r="3802" spans="2:19" ht="11.4" customHeight="1" x14ac:dyDescent="0.2">
      <c r="B3802" s="24"/>
      <c r="C3802" s="14">
        <v>30561</v>
      </c>
      <c r="D3802" s="18" t="s">
        <v>3969</v>
      </c>
      <c r="E3802" s="18" t="s">
        <v>3788</v>
      </c>
      <c r="F3802" s="18"/>
      <c r="G3802" s="18" t="s">
        <v>902</v>
      </c>
      <c r="H3802" s="17">
        <v>100.38</v>
      </c>
      <c r="I3802" s="15">
        <v>164.9</v>
      </c>
      <c r="J3802" s="21">
        <f t="shared" si="177"/>
        <v>0.64275752141860942</v>
      </c>
      <c r="K3802" s="1">
        <v>1</v>
      </c>
      <c r="L3802" s="24">
        <v>16.399999999999999</v>
      </c>
      <c r="M3802" s="24">
        <v>148.41</v>
      </c>
      <c r="N3802" s="21">
        <f t="shared" si="178"/>
        <v>0.4784817692767484</v>
      </c>
      <c r="P3802" s="1">
        <v>5</v>
      </c>
      <c r="Q3802" s="24">
        <v>16.490000000000009</v>
      </c>
      <c r="R3802" s="24">
        <v>148.41</v>
      </c>
      <c r="S3802" s="21">
        <f t="shared" si="179"/>
        <v>0.4784817692767484</v>
      </c>
    </row>
    <row r="3803" spans="2:19" ht="11.4" customHeight="1" x14ac:dyDescent="0.2">
      <c r="B3803" s="24"/>
      <c r="C3803" s="14">
        <v>46225</v>
      </c>
      <c r="D3803" s="18" t="s">
        <v>3970</v>
      </c>
      <c r="E3803" s="18" t="s">
        <v>3788</v>
      </c>
      <c r="F3803" s="18"/>
      <c r="G3803" s="18" t="s">
        <v>902</v>
      </c>
      <c r="H3803" s="17">
        <v>124.15</v>
      </c>
      <c r="I3803" s="15">
        <v>182.5</v>
      </c>
      <c r="J3803" s="21">
        <f t="shared" si="177"/>
        <v>0.46999597261377357</v>
      </c>
      <c r="K3803" s="1">
        <v>1</v>
      </c>
      <c r="L3803" s="24">
        <v>18.2</v>
      </c>
      <c r="M3803" s="24">
        <v>164.25</v>
      </c>
      <c r="N3803" s="21">
        <f t="shared" si="178"/>
        <v>0.32299637535239623</v>
      </c>
      <c r="P3803" s="1">
        <v>5</v>
      </c>
      <c r="Q3803" s="24">
        <v>18.25</v>
      </c>
      <c r="R3803" s="24">
        <v>164.25</v>
      </c>
      <c r="S3803" s="21">
        <f t="shared" si="179"/>
        <v>0.32299637535239623</v>
      </c>
    </row>
    <row r="3804" spans="2:19" ht="11.4" customHeight="1" x14ac:dyDescent="0.2">
      <c r="B3804" s="24"/>
      <c r="C3804" s="14">
        <v>2777</v>
      </c>
      <c r="D3804" s="18" t="s">
        <v>3971</v>
      </c>
      <c r="E3804" s="18" t="s">
        <v>3788</v>
      </c>
      <c r="F3804" s="17">
        <v>2</v>
      </c>
      <c r="G3804" s="18" t="s">
        <v>902</v>
      </c>
      <c r="H3804" s="17">
        <v>188.7</v>
      </c>
      <c r="I3804" s="15">
        <v>238.5</v>
      </c>
      <c r="J3804" s="21">
        <f t="shared" si="177"/>
        <v>0.26391096979332279</v>
      </c>
      <c r="K3804" s="1">
        <v>1</v>
      </c>
      <c r="L3804" s="24">
        <v>23.8</v>
      </c>
      <c r="M3804" s="24">
        <v>214.65</v>
      </c>
      <c r="N3804" s="21">
        <f t="shared" si="178"/>
        <v>0.13751987281399056</v>
      </c>
      <c r="P3804" s="1">
        <v>5</v>
      </c>
      <c r="Q3804" s="24">
        <v>23.849999999999994</v>
      </c>
      <c r="R3804" s="24">
        <v>214.65</v>
      </c>
      <c r="S3804" s="21">
        <f t="shared" si="179"/>
        <v>0.13751987281399056</v>
      </c>
    </row>
    <row r="3805" spans="2:19" ht="11.4" customHeight="1" x14ac:dyDescent="0.2">
      <c r="B3805" s="24"/>
      <c r="C3805" s="14">
        <v>8688</v>
      </c>
      <c r="D3805" s="18" t="s">
        <v>3972</v>
      </c>
      <c r="E3805" s="18" t="s">
        <v>3428</v>
      </c>
      <c r="F3805" s="18"/>
      <c r="G3805" s="18" t="s">
        <v>23</v>
      </c>
      <c r="H3805" s="17">
        <v>47.9</v>
      </c>
      <c r="I3805" s="15">
        <v>61.5</v>
      </c>
      <c r="J3805" s="21">
        <f t="shared" si="177"/>
        <v>0.28392484342379964</v>
      </c>
      <c r="K3805" s="1">
        <v>2</v>
      </c>
      <c r="L3805" s="24">
        <v>6.1</v>
      </c>
      <c r="M3805" s="24">
        <v>55.35</v>
      </c>
      <c r="N3805" s="21">
        <f t="shared" si="178"/>
        <v>0.15553235908141969</v>
      </c>
      <c r="P3805" s="1">
        <v>4</v>
      </c>
      <c r="Q3805" s="24">
        <v>7.3800000000000026</v>
      </c>
      <c r="R3805" s="24">
        <v>54.12</v>
      </c>
      <c r="S3805" s="21">
        <f t="shared" si="179"/>
        <v>0.12985386221294362</v>
      </c>
    </row>
    <row r="3806" spans="2:19" ht="11.4" customHeight="1" x14ac:dyDescent="0.2">
      <c r="B3806" s="24"/>
      <c r="C3806" s="14">
        <v>43380</v>
      </c>
      <c r="D3806" s="18" t="s">
        <v>3973</v>
      </c>
      <c r="E3806" s="18" t="s">
        <v>3356</v>
      </c>
      <c r="F3806" s="17">
        <v>12</v>
      </c>
      <c r="G3806" s="18" t="s">
        <v>23</v>
      </c>
      <c r="H3806" s="17">
        <v>33.6</v>
      </c>
      <c r="I3806" s="15">
        <v>49.9</v>
      </c>
      <c r="J3806" s="21">
        <f t="shared" si="177"/>
        <v>0.48511904761904751</v>
      </c>
      <c r="K3806" s="1">
        <v>2</v>
      </c>
      <c r="L3806" s="24">
        <v>4.9000000000000004</v>
      </c>
      <c r="M3806" s="24">
        <v>44.91</v>
      </c>
      <c r="N3806" s="21">
        <f t="shared" si="178"/>
        <v>0.33660714285714272</v>
      </c>
      <c r="P3806" s="1">
        <v>4</v>
      </c>
      <c r="Q3806" s="24">
        <v>5.9879999999999995</v>
      </c>
      <c r="R3806" s="24">
        <v>43.911999999999999</v>
      </c>
      <c r="S3806" s="21">
        <f t="shared" si="179"/>
        <v>0.30690476190476185</v>
      </c>
    </row>
    <row r="3807" spans="2:19" ht="11.4" customHeight="1" x14ac:dyDescent="0.2">
      <c r="B3807" s="24"/>
      <c r="C3807" s="14">
        <v>43381</v>
      </c>
      <c r="D3807" s="18" t="s">
        <v>3974</v>
      </c>
      <c r="E3807" s="18" t="s">
        <v>3356</v>
      </c>
      <c r="F3807" s="17">
        <v>12</v>
      </c>
      <c r="G3807" s="18" t="s">
        <v>23</v>
      </c>
      <c r="H3807" s="17">
        <v>34.86</v>
      </c>
      <c r="I3807" s="15">
        <v>49.9</v>
      </c>
      <c r="J3807" s="21">
        <f t="shared" si="177"/>
        <v>0.43144004589787721</v>
      </c>
      <c r="K3807" s="1">
        <v>2</v>
      </c>
      <c r="L3807" s="24">
        <v>4.9000000000000004</v>
      </c>
      <c r="M3807" s="24">
        <v>44.91</v>
      </c>
      <c r="N3807" s="21">
        <f t="shared" si="178"/>
        <v>0.28829604130808945</v>
      </c>
      <c r="P3807" s="1">
        <v>4</v>
      </c>
      <c r="Q3807" s="24">
        <v>5.9879999999999995</v>
      </c>
      <c r="R3807" s="24">
        <v>43.911999999999999</v>
      </c>
      <c r="S3807" s="21">
        <f t="shared" si="179"/>
        <v>0.25966724039013195</v>
      </c>
    </row>
    <row r="3808" spans="2:19" ht="11.4" customHeight="1" x14ac:dyDescent="0.2">
      <c r="B3808" s="24"/>
      <c r="C3808" s="14">
        <v>6402</v>
      </c>
      <c r="D3808" s="18" t="s">
        <v>3975</v>
      </c>
      <c r="E3808" s="18" t="s">
        <v>3356</v>
      </c>
      <c r="F3808" s="18"/>
      <c r="G3808" s="18" t="s">
        <v>23</v>
      </c>
      <c r="H3808" s="17">
        <v>143.16</v>
      </c>
      <c r="I3808" s="15">
        <v>207.5</v>
      </c>
      <c r="J3808" s="21">
        <f t="shared" si="177"/>
        <v>0.44942721430567201</v>
      </c>
      <c r="K3808" s="1">
        <v>2</v>
      </c>
      <c r="L3808" s="24">
        <v>20.7</v>
      </c>
      <c r="M3808" s="24">
        <v>186.75</v>
      </c>
      <c r="N3808" s="21">
        <f t="shared" si="178"/>
        <v>0.30448449287510482</v>
      </c>
      <c r="P3808" s="1">
        <v>4</v>
      </c>
      <c r="Q3808" s="24">
        <v>24.900000000000006</v>
      </c>
      <c r="R3808" s="24">
        <v>182.6</v>
      </c>
      <c r="S3808" s="21">
        <f t="shared" si="179"/>
        <v>0.27549594858899135</v>
      </c>
    </row>
    <row r="3809" spans="2:19" ht="11.4" customHeight="1" x14ac:dyDescent="0.2">
      <c r="B3809" s="24"/>
      <c r="C3809" s="14">
        <v>12530</v>
      </c>
      <c r="D3809" s="18" t="s">
        <v>3976</v>
      </c>
      <c r="E3809" s="18" t="s">
        <v>3356</v>
      </c>
      <c r="F3809" s="18"/>
      <c r="G3809" s="18" t="s">
        <v>23</v>
      </c>
      <c r="H3809" s="17">
        <v>159.58000000000001</v>
      </c>
      <c r="I3809" s="15">
        <v>229.9</v>
      </c>
      <c r="J3809" s="21">
        <f t="shared" si="177"/>
        <v>0.44065672390023802</v>
      </c>
      <c r="K3809" s="1">
        <v>2</v>
      </c>
      <c r="L3809" s="24">
        <v>22.9</v>
      </c>
      <c r="M3809" s="24">
        <v>206.91</v>
      </c>
      <c r="N3809" s="21">
        <f t="shared" si="178"/>
        <v>0.2965910515102142</v>
      </c>
      <c r="P3809" s="1">
        <v>4</v>
      </c>
      <c r="Q3809" s="24">
        <v>27.587999999999994</v>
      </c>
      <c r="R3809" s="24">
        <v>202.31200000000001</v>
      </c>
      <c r="S3809" s="21">
        <f t="shared" si="179"/>
        <v>0.26777791703220954</v>
      </c>
    </row>
    <row r="3810" spans="2:19" ht="11.4" customHeight="1" x14ac:dyDescent="0.2">
      <c r="B3810" s="24"/>
      <c r="C3810" s="14">
        <v>16998</v>
      </c>
      <c r="D3810" s="18" t="s">
        <v>3977</v>
      </c>
      <c r="E3810" s="18" t="s">
        <v>3788</v>
      </c>
      <c r="F3810" s="17">
        <v>2</v>
      </c>
      <c r="G3810" s="18" t="s">
        <v>902</v>
      </c>
      <c r="H3810" s="17">
        <v>79.8</v>
      </c>
      <c r="I3810" s="15">
        <v>119.9</v>
      </c>
      <c r="J3810" s="21">
        <f t="shared" si="177"/>
        <v>0.50250626566416057</v>
      </c>
      <c r="K3810" s="1">
        <v>1</v>
      </c>
      <c r="L3810" s="24">
        <v>11.9</v>
      </c>
      <c r="M3810" s="24">
        <v>107.91000000000001</v>
      </c>
      <c r="N3810" s="21">
        <f t="shared" si="178"/>
        <v>0.35225563909774454</v>
      </c>
      <c r="P3810" s="1">
        <v>5</v>
      </c>
      <c r="Q3810" s="24">
        <v>11.989999999999995</v>
      </c>
      <c r="R3810" s="24">
        <v>107.91000000000001</v>
      </c>
      <c r="S3810" s="21">
        <f t="shared" si="179"/>
        <v>0.35225563909774454</v>
      </c>
    </row>
    <row r="3811" spans="2:19" ht="11.4" customHeight="1" x14ac:dyDescent="0.2">
      <c r="B3811" s="24"/>
      <c r="C3811" s="14">
        <v>8440</v>
      </c>
      <c r="D3811" s="18" t="s">
        <v>3978</v>
      </c>
      <c r="E3811" s="18" t="s">
        <v>3428</v>
      </c>
      <c r="F3811" s="18"/>
      <c r="G3811" s="18" t="s">
        <v>23</v>
      </c>
      <c r="H3811" s="17">
        <v>47</v>
      </c>
      <c r="I3811" s="15">
        <v>61.5</v>
      </c>
      <c r="J3811" s="21">
        <f t="shared" si="177"/>
        <v>0.30851063829787234</v>
      </c>
      <c r="K3811" s="1">
        <v>2</v>
      </c>
      <c r="L3811" s="24">
        <v>6.1</v>
      </c>
      <c r="M3811" s="24">
        <v>55.35</v>
      </c>
      <c r="N3811" s="21">
        <f t="shared" si="178"/>
        <v>0.17765957446808514</v>
      </c>
      <c r="P3811" s="1">
        <v>4</v>
      </c>
      <c r="Q3811" s="24">
        <v>7.3800000000000026</v>
      </c>
      <c r="R3811" s="24">
        <v>54.12</v>
      </c>
      <c r="S3811" s="21">
        <f t="shared" si="179"/>
        <v>0.1514893617021276</v>
      </c>
    </row>
    <row r="3812" spans="2:19" ht="11.4" customHeight="1" x14ac:dyDescent="0.2">
      <c r="B3812" s="24"/>
      <c r="C3812" s="14">
        <v>47371</v>
      </c>
      <c r="D3812" s="18" t="s">
        <v>3979</v>
      </c>
      <c r="E3812" s="18" t="s">
        <v>3356</v>
      </c>
      <c r="F3812" s="17">
        <v>16</v>
      </c>
      <c r="G3812" s="18" t="s">
        <v>23</v>
      </c>
      <c r="H3812" s="17">
        <v>106.02</v>
      </c>
      <c r="I3812" s="15">
        <v>137.5</v>
      </c>
      <c r="J3812" s="21">
        <f t="shared" si="177"/>
        <v>0.29692510847010001</v>
      </c>
      <c r="K3812" s="1">
        <v>2</v>
      </c>
      <c r="L3812" s="24">
        <v>13.7</v>
      </c>
      <c r="M3812" s="24">
        <v>123.75</v>
      </c>
      <c r="N3812" s="21">
        <f t="shared" si="178"/>
        <v>0.16723259762309003</v>
      </c>
      <c r="P3812" s="1">
        <v>4</v>
      </c>
      <c r="Q3812" s="24">
        <v>16.5</v>
      </c>
      <c r="R3812" s="24">
        <v>121</v>
      </c>
      <c r="S3812" s="21">
        <f t="shared" si="179"/>
        <v>0.14129409545368804</v>
      </c>
    </row>
    <row r="3813" spans="2:19" ht="11.4" customHeight="1" x14ac:dyDescent="0.2">
      <c r="B3813" s="24"/>
      <c r="C3813" s="14">
        <v>8706</v>
      </c>
      <c r="D3813" s="18" t="s">
        <v>3980</v>
      </c>
      <c r="E3813" s="18" t="s">
        <v>3788</v>
      </c>
      <c r="F3813" s="18"/>
      <c r="G3813" s="18" t="s">
        <v>902</v>
      </c>
      <c r="H3813" s="17">
        <v>131.96</v>
      </c>
      <c r="I3813" s="15">
        <v>199.9</v>
      </c>
      <c r="J3813" s="21">
        <f t="shared" si="177"/>
        <v>0.51485298575325855</v>
      </c>
      <c r="K3813" s="1">
        <v>1</v>
      </c>
      <c r="L3813" s="24">
        <v>19.899999999999999</v>
      </c>
      <c r="M3813" s="24">
        <v>179.91</v>
      </c>
      <c r="N3813" s="21">
        <f t="shared" si="178"/>
        <v>0.36336768717793261</v>
      </c>
      <c r="P3813" s="1">
        <v>5</v>
      </c>
      <c r="Q3813" s="24">
        <v>19.990000000000009</v>
      </c>
      <c r="R3813" s="24">
        <v>179.91</v>
      </c>
      <c r="S3813" s="21">
        <f t="shared" si="179"/>
        <v>0.36336768717793261</v>
      </c>
    </row>
    <row r="3814" spans="2:19" ht="11.4" customHeight="1" x14ac:dyDescent="0.2">
      <c r="B3814" s="24"/>
      <c r="C3814" s="14">
        <v>8707</v>
      </c>
      <c r="D3814" s="18" t="s">
        <v>3981</v>
      </c>
      <c r="E3814" s="18" t="s">
        <v>3788</v>
      </c>
      <c r="F3814" s="18"/>
      <c r="G3814" s="18" t="s">
        <v>902</v>
      </c>
      <c r="H3814" s="17">
        <v>145.01</v>
      </c>
      <c r="I3814" s="15">
        <v>209.9</v>
      </c>
      <c r="J3814" s="21">
        <f t="shared" si="177"/>
        <v>0.4474863802496381</v>
      </c>
      <c r="K3814" s="1">
        <v>1</v>
      </c>
      <c r="L3814" s="24">
        <v>20.9</v>
      </c>
      <c r="M3814" s="24">
        <v>188.91</v>
      </c>
      <c r="N3814" s="21">
        <f t="shared" si="178"/>
        <v>0.3027377422246742</v>
      </c>
      <c r="P3814" s="1">
        <v>5</v>
      </c>
      <c r="Q3814" s="24">
        <v>20.990000000000009</v>
      </c>
      <c r="R3814" s="24">
        <v>188.91</v>
      </c>
      <c r="S3814" s="21">
        <f t="shared" si="179"/>
        <v>0.3027377422246742</v>
      </c>
    </row>
    <row r="3815" spans="2:19" ht="11.4" customHeight="1" x14ac:dyDescent="0.2">
      <c r="B3815" s="24"/>
      <c r="C3815" s="14">
        <v>21252</v>
      </c>
      <c r="D3815" s="18" t="s">
        <v>3982</v>
      </c>
      <c r="E3815" s="18" t="s">
        <v>3788</v>
      </c>
      <c r="F3815" s="17">
        <v>4</v>
      </c>
      <c r="G3815" s="18" t="s">
        <v>902</v>
      </c>
      <c r="H3815" s="17">
        <v>203.5</v>
      </c>
      <c r="I3815" s="15">
        <v>262</v>
      </c>
      <c r="J3815" s="21">
        <f t="shared" si="177"/>
        <v>0.28746928746928746</v>
      </c>
      <c r="K3815" s="1">
        <v>1</v>
      </c>
      <c r="L3815" s="24">
        <v>26.2</v>
      </c>
      <c r="M3815" s="24">
        <v>235.8</v>
      </c>
      <c r="N3815" s="21">
        <f t="shared" si="178"/>
        <v>0.15872235872235879</v>
      </c>
      <c r="P3815" s="1">
        <v>5</v>
      </c>
      <c r="Q3815" s="24">
        <v>26.199999999999989</v>
      </c>
      <c r="R3815" s="24">
        <v>235.8</v>
      </c>
      <c r="S3815" s="21">
        <f t="shared" si="179"/>
        <v>0.15872235872235879</v>
      </c>
    </row>
    <row r="3816" spans="2:19" ht="11.4" customHeight="1" x14ac:dyDescent="0.2">
      <c r="B3816" s="24"/>
      <c r="C3816" s="14">
        <v>46188</v>
      </c>
      <c r="D3816" s="18" t="s">
        <v>3983</v>
      </c>
      <c r="E3816" s="18" t="s">
        <v>3788</v>
      </c>
      <c r="F3816" s="18"/>
      <c r="G3816" s="18" t="s">
        <v>902</v>
      </c>
      <c r="H3816" s="17">
        <v>86.88</v>
      </c>
      <c r="I3816" s="15">
        <v>154.9</v>
      </c>
      <c r="J3816" s="21">
        <f t="shared" si="177"/>
        <v>0.78291896869244948</v>
      </c>
      <c r="K3816" s="1">
        <v>1</v>
      </c>
      <c r="L3816" s="24">
        <v>15.4</v>
      </c>
      <c r="M3816" s="24">
        <v>139.41</v>
      </c>
      <c r="N3816" s="21">
        <f t="shared" si="178"/>
        <v>0.60462707182320441</v>
      </c>
      <c r="P3816" s="1">
        <v>5</v>
      </c>
      <c r="Q3816" s="24">
        <v>15.490000000000009</v>
      </c>
      <c r="R3816" s="24">
        <v>139.41</v>
      </c>
      <c r="S3816" s="21">
        <f t="shared" si="179"/>
        <v>0.60462707182320441</v>
      </c>
    </row>
    <row r="3817" spans="2:19" ht="11.4" customHeight="1" x14ac:dyDescent="0.2">
      <c r="B3817" s="24"/>
      <c r="C3817" s="14">
        <v>18562</v>
      </c>
      <c r="D3817" s="18" t="s">
        <v>3984</v>
      </c>
      <c r="E3817" s="18" t="s">
        <v>3788</v>
      </c>
      <c r="F3817" s="17">
        <v>4.2</v>
      </c>
      <c r="G3817" s="18" t="s">
        <v>902</v>
      </c>
      <c r="H3817" s="17">
        <v>99.5</v>
      </c>
      <c r="I3817" s="15">
        <v>129.9</v>
      </c>
      <c r="J3817" s="21">
        <f t="shared" si="177"/>
        <v>0.30552763819095485</v>
      </c>
      <c r="K3817" s="1">
        <v>1</v>
      </c>
      <c r="L3817" s="24">
        <v>12.9</v>
      </c>
      <c r="M3817" s="24">
        <v>116.91000000000001</v>
      </c>
      <c r="N3817" s="21">
        <f t="shared" si="178"/>
        <v>0.17497487437185941</v>
      </c>
      <c r="P3817" s="1">
        <v>5</v>
      </c>
      <c r="Q3817" s="24">
        <v>12.989999999999995</v>
      </c>
      <c r="R3817" s="24">
        <v>116.91000000000001</v>
      </c>
      <c r="S3817" s="21">
        <f t="shared" si="179"/>
        <v>0.17497487437185941</v>
      </c>
    </row>
    <row r="3818" spans="2:19" ht="11.4" customHeight="1" x14ac:dyDescent="0.2">
      <c r="B3818" s="24"/>
      <c r="C3818" s="14">
        <v>42718</v>
      </c>
      <c r="D3818" s="18" t="s">
        <v>3985</v>
      </c>
      <c r="E3818" s="18" t="s">
        <v>3428</v>
      </c>
      <c r="F3818" s="17">
        <v>5</v>
      </c>
      <c r="G3818" s="18" t="s">
        <v>23</v>
      </c>
      <c r="H3818" s="17">
        <v>80.88</v>
      </c>
      <c r="I3818" s="15">
        <v>112.9</v>
      </c>
      <c r="J3818" s="21">
        <f t="shared" si="177"/>
        <v>0.39589515331355107</v>
      </c>
      <c r="K3818" s="1">
        <v>2</v>
      </c>
      <c r="L3818" s="24">
        <v>11.2</v>
      </c>
      <c r="M3818" s="24">
        <v>101.61000000000001</v>
      </c>
      <c r="N3818" s="21">
        <f t="shared" si="178"/>
        <v>0.25630563798219608</v>
      </c>
      <c r="P3818" s="1">
        <v>4</v>
      </c>
      <c r="Q3818" s="24">
        <v>13.548000000000002</v>
      </c>
      <c r="R3818" s="24">
        <v>99.352000000000004</v>
      </c>
      <c r="S3818" s="21">
        <f t="shared" si="179"/>
        <v>0.22838773491592496</v>
      </c>
    </row>
    <row r="3819" spans="2:19" ht="11.4" customHeight="1" x14ac:dyDescent="0.2">
      <c r="B3819" s="24"/>
      <c r="C3819" s="14">
        <v>6986</v>
      </c>
      <c r="D3819" s="18" t="s">
        <v>3986</v>
      </c>
      <c r="E3819" s="18" t="s">
        <v>3356</v>
      </c>
      <c r="F3819" s="17">
        <v>28</v>
      </c>
      <c r="G3819" s="18" t="s">
        <v>23</v>
      </c>
      <c r="H3819" s="17">
        <v>20.5</v>
      </c>
      <c r="I3819" s="15">
        <v>21.9</v>
      </c>
      <c r="J3819" s="21">
        <f t="shared" si="177"/>
        <v>6.8292682926829204E-2</v>
      </c>
      <c r="K3819" s="1">
        <v>2</v>
      </c>
      <c r="L3819" s="24">
        <v>2.1</v>
      </c>
      <c r="M3819" s="24">
        <v>19.71</v>
      </c>
      <c r="N3819" s="21">
        <f t="shared" si="178"/>
        <v>-3.8536585365853616E-2</v>
      </c>
      <c r="P3819" s="1">
        <v>4</v>
      </c>
      <c r="Q3819" s="24">
        <v>2.6280000000000001</v>
      </c>
      <c r="R3819" s="24">
        <v>19.271999999999998</v>
      </c>
      <c r="S3819" s="21">
        <f t="shared" si="179"/>
        <v>-5.9902439024390318E-2</v>
      </c>
    </row>
    <row r="3820" spans="2:19" ht="11.4" customHeight="1" x14ac:dyDescent="0.2">
      <c r="B3820" s="24"/>
      <c r="C3820" s="14">
        <v>27989</v>
      </c>
      <c r="D3820" s="18" t="s">
        <v>3987</v>
      </c>
      <c r="E3820" s="18" t="s">
        <v>3788</v>
      </c>
      <c r="F3820" s="18"/>
      <c r="G3820" s="18" t="s">
        <v>902</v>
      </c>
      <c r="H3820" s="17">
        <v>91.22</v>
      </c>
      <c r="I3820" s="15">
        <v>145</v>
      </c>
      <c r="J3820" s="21">
        <f t="shared" si="177"/>
        <v>0.58956369217276916</v>
      </c>
      <c r="K3820" s="1">
        <v>1</v>
      </c>
      <c r="L3820" s="24">
        <v>14.5</v>
      </c>
      <c r="M3820" s="24">
        <v>130.5</v>
      </c>
      <c r="N3820" s="21">
        <f t="shared" si="178"/>
        <v>0.43060732295549226</v>
      </c>
      <c r="P3820" s="1">
        <v>5</v>
      </c>
      <c r="Q3820" s="24">
        <v>14.5</v>
      </c>
      <c r="R3820" s="24">
        <v>130.5</v>
      </c>
      <c r="S3820" s="21">
        <f t="shared" si="179"/>
        <v>0.43060732295549226</v>
      </c>
    </row>
    <row r="3821" spans="2:19" ht="11.4" customHeight="1" x14ac:dyDescent="0.2">
      <c r="B3821" s="24"/>
      <c r="C3821" s="14">
        <v>23250</v>
      </c>
      <c r="D3821" s="18" t="s">
        <v>3988</v>
      </c>
      <c r="E3821" s="18" t="s">
        <v>3788</v>
      </c>
      <c r="F3821" s="18"/>
      <c r="G3821" s="18" t="s">
        <v>902</v>
      </c>
      <c r="H3821" s="17">
        <v>107.7</v>
      </c>
      <c r="I3821" s="15">
        <v>148.9</v>
      </c>
      <c r="J3821" s="21">
        <f t="shared" si="177"/>
        <v>0.38254410399257199</v>
      </c>
      <c r="K3821" s="1">
        <v>1</v>
      </c>
      <c r="L3821" s="24">
        <v>14.8</v>
      </c>
      <c r="M3821" s="24">
        <v>134.01000000000002</v>
      </c>
      <c r="N3821" s="21">
        <f t="shared" si="178"/>
        <v>0.2442896935933149</v>
      </c>
      <c r="P3821" s="1">
        <v>5</v>
      </c>
      <c r="Q3821" s="24">
        <v>14.889999999999986</v>
      </c>
      <c r="R3821" s="24">
        <v>134.01000000000002</v>
      </c>
      <c r="S3821" s="21">
        <f t="shared" si="179"/>
        <v>0.2442896935933149</v>
      </c>
    </row>
    <row r="3822" spans="2:19" ht="11.4" customHeight="1" x14ac:dyDescent="0.2">
      <c r="B3822" s="24"/>
      <c r="C3822" s="14">
        <v>38713</v>
      </c>
      <c r="D3822" s="18" t="s">
        <v>3989</v>
      </c>
      <c r="E3822" s="18" t="s">
        <v>3356</v>
      </c>
      <c r="F3822" s="17">
        <v>28</v>
      </c>
      <c r="G3822" s="18" t="s">
        <v>23</v>
      </c>
      <c r="H3822" s="17">
        <v>26.9</v>
      </c>
      <c r="I3822" s="15">
        <v>34.299999999999997</v>
      </c>
      <c r="J3822" s="21">
        <f t="shared" si="177"/>
        <v>0.27509293680297392</v>
      </c>
      <c r="K3822" s="1">
        <v>2</v>
      </c>
      <c r="L3822" s="24">
        <v>3.4</v>
      </c>
      <c r="M3822" s="24">
        <v>30.869999999999997</v>
      </c>
      <c r="N3822" s="21">
        <f t="shared" si="178"/>
        <v>0.14758364312267655</v>
      </c>
      <c r="P3822" s="1">
        <v>4</v>
      </c>
      <c r="Q3822" s="24">
        <v>4.1159999999999997</v>
      </c>
      <c r="R3822" s="24">
        <v>30.183999999999997</v>
      </c>
      <c r="S3822" s="21">
        <f t="shared" si="179"/>
        <v>0.12208178438661707</v>
      </c>
    </row>
    <row r="3823" spans="2:19" ht="11.4" customHeight="1" x14ac:dyDescent="0.2">
      <c r="B3823" s="24"/>
      <c r="C3823" s="14">
        <v>12407</v>
      </c>
      <c r="D3823" s="18" t="s">
        <v>3990</v>
      </c>
      <c r="E3823" s="18" t="s">
        <v>3788</v>
      </c>
      <c r="F3823" s="18"/>
      <c r="G3823" s="18" t="s">
        <v>902</v>
      </c>
      <c r="H3823" s="17">
        <v>206.8</v>
      </c>
      <c r="I3823" s="15">
        <v>279.89999999999998</v>
      </c>
      <c r="J3823" s="21">
        <f t="shared" si="177"/>
        <v>0.35348162475822031</v>
      </c>
      <c r="K3823" s="1">
        <v>1</v>
      </c>
      <c r="L3823" s="24">
        <v>27.9</v>
      </c>
      <c r="M3823" s="24">
        <v>251.91</v>
      </c>
      <c r="N3823" s="21">
        <f t="shared" si="178"/>
        <v>0.21813346228239838</v>
      </c>
      <c r="P3823" s="1">
        <v>5</v>
      </c>
      <c r="Q3823" s="24">
        <v>27.989999999999981</v>
      </c>
      <c r="R3823" s="24">
        <v>251.91</v>
      </c>
      <c r="S3823" s="21">
        <f t="shared" si="179"/>
        <v>0.21813346228239838</v>
      </c>
    </row>
    <row r="3824" spans="2:19" ht="11.4" customHeight="1" x14ac:dyDescent="0.2">
      <c r="B3824" s="24"/>
      <c r="C3824" s="14">
        <v>34147</v>
      </c>
      <c r="D3824" s="18" t="s">
        <v>3991</v>
      </c>
      <c r="E3824" s="18" t="s">
        <v>3428</v>
      </c>
      <c r="F3824" s="18"/>
      <c r="G3824" s="18" t="s">
        <v>23</v>
      </c>
      <c r="H3824" s="17">
        <v>96.3</v>
      </c>
      <c r="I3824" s="15">
        <v>124.9</v>
      </c>
      <c r="J3824" s="21">
        <f t="shared" si="177"/>
        <v>0.29698857736240925</v>
      </c>
      <c r="K3824" s="1">
        <v>2</v>
      </c>
      <c r="L3824" s="24">
        <v>12.4</v>
      </c>
      <c r="M3824" s="24">
        <v>112.41000000000001</v>
      </c>
      <c r="N3824" s="21">
        <f t="shared" si="178"/>
        <v>0.16728971962616837</v>
      </c>
      <c r="P3824" s="1">
        <v>4</v>
      </c>
      <c r="Q3824" s="24">
        <v>14.988</v>
      </c>
      <c r="R3824" s="24">
        <v>109.91200000000001</v>
      </c>
      <c r="S3824" s="21">
        <f t="shared" si="179"/>
        <v>0.14134994807892015</v>
      </c>
    </row>
    <row r="3825" spans="2:19" ht="11.4" customHeight="1" x14ac:dyDescent="0.2">
      <c r="B3825" s="24"/>
      <c r="C3825" s="14">
        <v>33948</v>
      </c>
      <c r="D3825" s="18" t="s">
        <v>3992</v>
      </c>
      <c r="E3825" s="18" t="s">
        <v>3356</v>
      </c>
      <c r="F3825" s="17">
        <v>28</v>
      </c>
      <c r="G3825" s="18" t="s">
        <v>23</v>
      </c>
      <c r="H3825" s="17">
        <v>34.299999999999997</v>
      </c>
      <c r="I3825" s="15">
        <v>37.9</v>
      </c>
      <c r="J3825" s="21">
        <f t="shared" si="177"/>
        <v>0.10495626822157439</v>
      </c>
      <c r="K3825" s="1">
        <v>2</v>
      </c>
      <c r="L3825" s="24">
        <v>3.7</v>
      </c>
      <c r="M3825" s="24">
        <v>34.11</v>
      </c>
      <c r="N3825" s="21">
        <f t="shared" si="178"/>
        <v>-5.5393586005830246E-3</v>
      </c>
      <c r="P3825" s="1">
        <v>4</v>
      </c>
      <c r="Q3825" s="24">
        <v>4.5480000000000018</v>
      </c>
      <c r="R3825" s="24">
        <v>33.351999999999997</v>
      </c>
      <c r="S3825" s="21">
        <f t="shared" si="179"/>
        <v>-2.7638483965014591E-2</v>
      </c>
    </row>
    <row r="3826" spans="2:19" ht="11.4" customHeight="1" x14ac:dyDescent="0.2">
      <c r="B3826" s="24"/>
      <c r="C3826" s="14">
        <v>34148</v>
      </c>
      <c r="D3826" s="18" t="s">
        <v>3993</v>
      </c>
      <c r="E3826" s="18" t="s">
        <v>3428</v>
      </c>
      <c r="F3826" s="18"/>
      <c r="G3826" s="18" t="s">
        <v>23</v>
      </c>
      <c r="H3826" s="17">
        <v>82.9</v>
      </c>
      <c r="I3826" s="15">
        <v>106.5</v>
      </c>
      <c r="J3826" s="21">
        <f t="shared" si="177"/>
        <v>0.28468033775633284</v>
      </c>
      <c r="K3826" s="1">
        <v>2</v>
      </c>
      <c r="L3826" s="24">
        <v>10.6</v>
      </c>
      <c r="M3826" s="24">
        <v>95.850000000000009</v>
      </c>
      <c r="N3826" s="21">
        <f t="shared" si="178"/>
        <v>0.15621230398069966</v>
      </c>
      <c r="P3826" s="1">
        <v>4</v>
      </c>
      <c r="Q3826" s="24">
        <v>12.780000000000001</v>
      </c>
      <c r="R3826" s="24">
        <v>93.72</v>
      </c>
      <c r="S3826" s="21">
        <f t="shared" si="179"/>
        <v>0.13051869722557288</v>
      </c>
    </row>
    <row r="3827" spans="2:19" ht="11.4" customHeight="1" x14ac:dyDescent="0.2">
      <c r="B3827" s="24"/>
      <c r="C3827" s="14">
        <v>28602</v>
      </c>
      <c r="D3827" s="18" t="s">
        <v>3994</v>
      </c>
      <c r="E3827" s="18" t="s">
        <v>3428</v>
      </c>
      <c r="F3827" s="18"/>
      <c r="G3827" s="18" t="s">
        <v>23</v>
      </c>
      <c r="H3827" s="17">
        <v>95.6</v>
      </c>
      <c r="I3827" s="15">
        <v>126.5</v>
      </c>
      <c r="J3827" s="21">
        <f t="shared" si="177"/>
        <v>0.32322175732217578</v>
      </c>
      <c r="K3827" s="1">
        <v>2</v>
      </c>
      <c r="L3827" s="24">
        <v>12.6</v>
      </c>
      <c r="M3827" s="24">
        <v>113.85000000000001</v>
      </c>
      <c r="N3827" s="21">
        <f t="shared" si="178"/>
        <v>0.19089958158995832</v>
      </c>
      <c r="P3827" s="1">
        <v>4</v>
      </c>
      <c r="Q3827" s="24">
        <v>15.179999999999993</v>
      </c>
      <c r="R3827" s="24">
        <v>111.32000000000001</v>
      </c>
      <c r="S3827" s="21">
        <f t="shared" si="179"/>
        <v>0.16443514644351478</v>
      </c>
    </row>
    <row r="3828" spans="2:19" ht="11.4" customHeight="1" x14ac:dyDescent="0.2">
      <c r="B3828" s="24"/>
      <c r="C3828" s="14">
        <v>21363</v>
      </c>
      <c r="D3828" s="18" t="s">
        <v>3995</v>
      </c>
      <c r="E3828" s="18" t="s">
        <v>3788</v>
      </c>
      <c r="F3828" s="18"/>
      <c r="G3828" s="18" t="s">
        <v>902</v>
      </c>
      <c r="H3828" s="17">
        <v>185.9</v>
      </c>
      <c r="I3828" s="15">
        <v>239.9</v>
      </c>
      <c r="J3828" s="21">
        <f t="shared" si="177"/>
        <v>0.29047875201721357</v>
      </c>
      <c r="K3828" s="1">
        <v>1</v>
      </c>
      <c r="L3828" s="24">
        <v>23.9</v>
      </c>
      <c r="M3828" s="24">
        <v>215.91</v>
      </c>
      <c r="N3828" s="21">
        <f t="shared" si="178"/>
        <v>0.16143087681549215</v>
      </c>
      <c r="P3828" s="1">
        <v>5</v>
      </c>
      <c r="Q3828" s="24">
        <v>23.990000000000009</v>
      </c>
      <c r="R3828" s="24">
        <v>215.91</v>
      </c>
      <c r="S3828" s="21">
        <f t="shared" si="179"/>
        <v>0.16143087681549215</v>
      </c>
    </row>
    <row r="3829" spans="2:19" ht="11.4" customHeight="1" x14ac:dyDescent="0.2">
      <c r="B3829" s="24"/>
      <c r="C3829" s="14">
        <v>27867</v>
      </c>
      <c r="D3829" s="18" t="s">
        <v>3996</v>
      </c>
      <c r="E3829" s="18" t="s">
        <v>3788</v>
      </c>
      <c r="F3829" s="18"/>
      <c r="G3829" s="18" t="s">
        <v>902</v>
      </c>
      <c r="H3829" s="17">
        <v>145.30000000000001</v>
      </c>
      <c r="I3829" s="15">
        <v>178.9</v>
      </c>
      <c r="J3829" s="21">
        <f t="shared" si="177"/>
        <v>0.23124569855471433</v>
      </c>
      <c r="K3829" s="1">
        <v>1</v>
      </c>
      <c r="L3829" s="24">
        <v>17.8</v>
      </c>
      <c r="M3829" s="24">
        <v>161.01000000000002</v>
      </c>
      <c r="N3829" s="21">
        <f t="shared" si="178"/>
        <v>0.10812112869924299</v>
      </c>
      <c r="P3829" s="1">
        <v>5</v>
      </c>
      <c r="Q3829" s="24">
        <v>17.889999999999986</v>
      </c>
      <c r="R3829" s="24">
        <v>161.01000000000002</v>
      </c>
      <c r="S3829" s="21">
        <f t="shared" si="179"/>
        <v>0.10812112869924299</v>
      </c>
    </row>
    <row r="3830" spans="2:19" ht="11.4" customHeight="1" x14ac:dyDescent="0.2">
      <c r="B3830" s="24"/>
      <c r="C3830" s="14">
        <v>5794</v>
      </c>
      <c r="D3830" s="18" t="s">
        <v>3997</v>
      </c>
      <c r="E3830" s="18" t="s">
        <v>3788</v>
      </c>
      <c r="F3830" s="17">
        <v>1.7</v>
      </c>
      <c r="G3830" s="18" t="s">
        <v>902</v>
      </c>
      <c r="H3830" s="17">
        <v>160.32</v>
      </c>
      <c r="I3830" s="15">
        <v>249.9</v>
      </c>
      <c r="J3830" s="21">
        <f t="shared" si="177"/>
        <v>0.55875748502994027</v>
      </c>
      <c r="K3830" s="1">
        <v>1</v>
      </c>
      <c r="L3830" s="24">
        <v>24.9</v>
      </c>
      <c r="M3830" s="24">
        <v>224.91</v>
      </c>
      <c r="N3830" s="21">
        <f t="shared" si="178"/>
        <v>0.40288173652694614</v>
      </c>
      <c r="P3830" s="1">
        <v>5</v>
      </c>
      <c r="Q3830" s="24">
        <v>24.990000000000009</v>
      </c>
      <c r="R3830" s="24">
        <v>224.91</v>
      </c>
      <c r="S3830" s="21">
        <f t="shared" si="179"/>
        <v>0.40288173652694614</v>
      </c>
    </row>
    <row r="3831" spans="2:19" ht="11.4" customHeight="1" x14ac:dyDescent="0.2">
      <c r="B3831" s="24"/>
      <c r="C3831" s="14">
        <v>34571</v>
      </c>
      <c r="D3831" s="18" t="s">
        <v>3998</v>
      </c>
      <c r="E3831" s="18" t="s">
        <v>3788</v>
      </c>
      <c r="F3831" s="18"/>
      <c r="G3831" s="18" t="s">
        <v>902</v>
      </c>
      <c r="H3831" s="17">
        <v>91.01</v>
      </c>
      <c r="I3831" s="15">
        <v>145</v>
      </c>
      <c r="J3831" s="21">
        <f t="shared" si="177"/>
        <v>0.59323151302054711</v>
      </c>
      <c r="K3831" s="1">
        <v>1</v>
      </c>
      <c r="L3831" s="24">
        <v>14.5</v>
      </c>
      <c r="M3831" s="24">
        <v>130.5</v>
      </c>
      <c r="N3831" s="21">
        <f t="shared" si="178"/>
        <v>0.4339083617184924</v>
      </c>
      <c r="P3831" s="1">
        <v>5</v>
      </c>
      <c r="Q3831" s="24">
        <v>14.5</v>
      </c>
      <c r="R3831" s="24">
        <v>130.5</v>
      </c>
      <c r="S3831" s="21">
        <f t="shared" si="179"/>
        <v>0.4339083617184924</v>
      </c>
    </row>
    <row r="3832" spans="2:19" ht="11.4" customHeight="1" x14ac:dyDescent="0.2">
      <c r="B3832" s="24"/>
      <c r="C3832" s="14">
        <v>21300</v>
      </c>
      <c r="D3832" s="18" t="s">
        <v>3999</v>
      </c>
      <c r="E3832" s="18" t="s">
        <v>3788</v>
      </c>
      <c r="F3832" s="18"/>
      <c r="G3832" s="18" t="s">
        <v>902</v>
      </c>
      <c r="H3832" s="17">
        <v>108.5</v>
      </c>
      <c r="I3832" s="15">
        <v>123.5</v>
      </c>
      <c r="J3832" s="21">
        <f t="shared" si="177"/>
        <v>0.13824884792626729</v>
      </c>
      <c r="K3832" s="1">
        <v>1</v>
      </c>
      <c r="L3832" s="24">
        <v>12.3</v>
      </c>
      <c r="M3832" s="24">
        <v>111.15</v>
      </c>
      <c r="N3832" s="21">
        <f t="shared" si="178"/>
        <v>2.4423963133640605E-2</v>
      </c>
      <c r="P3832" s="1">
        <v>5</v>
      </c>
      <c r="Q3832" s="24">
        <v>12.349999999999994</v>
      </c>
      <c r="R3832" s="24">
        <v>111.15</v>
      </c>
      <c r="S3832" s="21">
        <f t="shared" si="179"/>
        <v>2.4423963133640605E-2</v>
      </c>
    </row>
    <row r="3833" spans="2:19" ht="11.4" customHeight="1" x14ac:dyDescent="0.2">
      <c r="B3833" s="24"/>
      <c r="C3833" s="14">
        <v>7218</v>
      </c>
      <c r="D3833" s="18" t="s">
        <v>4000</v>
      </c>
      <c r="E3833" s="18" t="s">
        <v>3356</v>
      </c>
      <c r="F3833" s="17">
        <v>60</v>
      </c>
      <c r="G3833" s="18" t="s">
        <v>23</v>
      </c>
      <c r="H3833" s="17">
        <v>17.5</v>
      </c>
      <c r="I3833" s="15">
        <v>18.899999999999999</v>
      </c>
      <c r="J3833" s="21">
        <f t="shared" si="177"/>
        <v>7.9999999999999918E-2</v>
      </c>
      <c r="K3833" s="1">
        <v>2</v>
      </c>
      <c r="L3833" s="24">
        <v>1.8</v>
      </c>
      <c r="M3833" s="24">
        <v>17.009999999999998</v>
      </c>
      <c r="N3833" s="21">
        <f t="shared" si="178"/>
        <v>-2.8000000000000115E-2</v>
      </c>
      <c r="P3833" s="1">
        <v>4</v>
      </c>
      <c r="Q3833" s="24">
        <v>2.2680000000000007</v>
      </c>
      <c r="R3833" s="24">
        <v>16.631999999999998</v>
      </c>
      <c r="S3833" s="21">
        <f t="shared" si="179"/>
        <v>-4.9600000000000123E-2</v>
      </c>
    </row>
    <row r="3834" spans="2:19" ht="11.4" customHeight="1" x14ac:dyDescent="0.2">
      <c r="B3834" s="24"/>
      <c r="C3834" s="14">
        <v>19902</v>
      </c>
      <c r="D3834" s="18" t="s">
        <v>4001</v>
      </c>
      <c r="E3834" s="18" t="s">
        <v>3788</v>
      </c>
      <c r="F3834" s="18"/>
      <c r="G3834" s="18" t="s">
        <v>902</v>
      </c>
      <c r="H3834" s="17">
        <v>136.56</v>
      </c>
      <c r="I3834" s="15">
        <v>188.5</v>
      </c>
      <c r="J3834" s="21">
        <f t="shared" si="177"/>
        <v>0.38034563561804335</v>
      </c>
      <c r="K3834" s="1">
        <v>1</v>
      </c>
      <c r="L3834" s="24">
        <v>18.8</v>
      </c>
      <c r="M3834" s="24">
        <v>169.65</v>
      </c>
      <c r="N3834" s="21">
        <f t="shared" si="178"/>
        <v>0.24231107205623903</v>
      </c>
      <c r="P3834" s="1">
        <v>5</v>
      </c>
      <c r="Q3834" s="24">
        <v>18.849999999999994</v>
      </c>
      <c r="R3834" s="24">
        <v>169.65</v>
      </c>
      <c r="S3834" s="21">
        <f t="shared" si="179"/>
        <v>0.24231107205623903</v>
      </c>
    </row>
    <row r="3835" spans="2:19" ht="11.4" customHeight="1" x14ac:dyDescent="0.2">
      <c r="B3835" s="24"/>
      <c r="C3835" s="14">
        <v>42115</v>
      </c>
      <c r="D3835" s="18" t="s">
        <v>4002</v>
      </c>
      <c r="E3835" s="18" t="s">
        <v>3428</v>
      </c>
      <c r="F3835" s="18"/>
      <c r="G3835" s="18" t="s">
        <v>23</v>
      </c>
      <c r="H3835" s="17">
        <v>110.26</v>
      </c>
      <c r="I3835" s="15">
        <v>169.9</v>
      </c>
      <c r="J3835" s="21">
        <f t="shared" si="177"/>
        <v>0.54090331942680936</v>
      </c>
      <c r="K3835" s="1">
        <v>2</v>
      </c>
      <c r="L3835" s="24">
        <v>16.899999999999999</v>
      </c>
      <c r="M3835" s="24">
        <v>152.91</v>
      </c>
      <c r="N3835" s="21">
        <f t="shared" si="178"/>
        <v>0.38681298748412835</v>
      </c>
      <c r="P3835" s="1">
        <v>4</v>
      </c>
      <c r="Q3835" s="24">
        <v>20.388000000000005</v>
      </c>
      <c r="R3835" s="24">
        <v>149.512</v>
      </c>
      <c r="S3835" s="21">
        <f t="shared" si="179"/>
        <v>0.35599492109559217</v>
      </c>
    </row>
    <row r="3836" spans="2:19" ht="11.4" customHeight="1" x14ac:dyDescent="0.2">
      <c r="B3836" s="24"/>
      <c r="C3836" s="14">
        <v>42116</v>
      </c>
      <c r="D3836" s="18" t="s">
        <v>4003</v>
      </c>
      <c r="E3836" s="18" t="s">
        <v>3428</v>
      </c>
      <c r="F3836" s="18"/>
      <c r="G3836" s="18" t="s">
        <v>23</v>
      </c>
      <c r="H3836" s="17">
        <v>78.52</v>
      </c>
      <c r="I3836" s="15">
        <v>121.5</v>
      </c>
      <c r="J3836" s="21">
        <f t="shared" si="177"/>
        <v>0.54737646459500777</v>
      </c>
      <c r="K3836" s="1">
        <v>2</v>
      </c>
      <c r="L3836" s="24">
        <v>12.1</v>
      </c>
      <c r="M3836" s="24">
        <v>109.35000000000001</v>
      </c>
      <c r="N3836" s="21">
        <f t="shared" si="178"/>
        <v>0.39263881813550705</v>
      </c>
      <c r="P3836" s="1">
        <v>4</v>
      </c>
      <c r="Q3836" s="24">
        <v>14.579999999999998</v>
      </c>
      <c r="R3836" s="24">
        <v>106.92</v>
      </c>
      <c r="S3836" s="21">
        <f t="shared" si="179"/>
        <v>0.3616912888436068</v>
      </c>
    </row>
    <row r="3837" spans="2:19" ht="11.4" customHeight="1" x14ac:dyDescent="0.2">
      <c r="B3837" s="24"/>
      <c r="C3837" s="14">
        <v>4936</v>
      </c>
      <c r="D3837" s="18" t="s">
        <v>4004</v>
      </c>
      <c r="E3837" s="18" t="s">
        <v>3788</v>
      </c>
      <c r="F3837" s="17">
        <v>5</v>
      </c>
      <c r="G3837" s="18" t="s">
        <v>902</v>
      </c>
      <c r="H3837" s="17">
        <v>99.9</v>
      </c>
      <c r="I3837" s="15">
        <v>118.9</v>
      </c>
      <c r="J3837" s="21">
        <f t="shared" si="177"/>
        <v>0.19019019019019018</v>
      </c>
      <c r="K3837" s="1">
        <v>1</v>
      </c>
      <c r="L3837" s="24">
        <v>11.8</v>
      </c>
      <c r="M3837" s="24">
        <v>107.01</v>
      </c>
      <c r="N3837" s="21">
        <f t="shared" si="178"/>
        <v>7.1171171171171166E-2</v>
      </c>
      <c r="P3837" s="1">
        <v>5</v>
      </c>
      <c r="Q3837" s="24">
        <v>11.89</v>
      </c>
      <c r="R3837" s="24">
        <v>107.01</v>
      </c>
      <c r="S3837" s="21">
        <f t="shared" si="179"/>
        <v>7.1171171171171166E-2</v>
      </c>
    </row>
    <row r="3838" spans="2:19" ht="11.4" customHeight="1" x14ac:dyDescent="0.2">
      <c r="B3838" s="24"/>
      <c r="C3838" s="14">
        <v>37306</v>
      </c>
      <c r="D3838" s="18" t="s">
        <v>4005</v>
      </c>
      <c r="E3838" s="18" t="s">
        <v>3788</v>
      </c>
      <c r="F3838" s="17">
        <v>4</v>
      </c>
      <c r="G3838" s="18" t="s">
        <v>902</v>
      </c>
      <c r="H3838" s="17">
        <v>102.5</v>
      </c>
      <c r="I3838" s="15">
        <v>129.9</v>
      </c>
      <c r="J3838" s="21">
        <f t="shared" si="177"/>
        <v>0.26731707317073178</v>
      </c>
      <c r="K3838" s="1">
        <v>1</v>
      </c>
      <c r="L3838" s="24">
        <v>12.9</v>
      </c>
      <c r="M3838" s="24">
        <v>116.91000000000001</v>
      </c>
      <c r="N3838" s="21">
        <f t="shared" si="178"/>
        <v>0.14058536585365863</v>
      </c>
      <c r="P3838" s="1">
        <v>5</v>
      </c>
      <c r="Q3838" s="24">
        <v>12.989999999999995</v>
      </c>
      <c r="R3838" s="24">
        <v>116.91000000000001</v>
      </c>
      <c r="S3838" s="21">
        <f t="shared" si="179"/>
        <v>0.14058536585365863</v>
      </c>
    </row>
    <row r="3839" spans="2:19" ht="11.4" customHeight="1" x14ac:dyDescent="0.2">
      <c r="B3839" s="24"/>
      <c r="C3839" s="14">
        <v>4689</v>
      </c>
      <c r="D3839" s="18" t="s">
        <v>4006</v>
      </c>
      <c r="E3839" s="18" t="s">
        <v>3356</v>
      </c>
      <c r="F3839" s="17">
        <v>30</v>
      </c>
      <c r="G3839" s="18" t="s">
        <v>23</v>
      </c>
      <c r="H3839" s="17">
        <v>17.899999999999999</v>
      </c>
      <c r="I3839" s="15">
        <v>25.3</v>
      </c>
      <c r="J3839" s="21">
        <f t="shared" si="177"/>
        <v>0.41340782122905045</v>
      </c>
      <c r="K3839" s="1">
        <v>2</v>
      </c>
      <c r="L3839" s="24">
        <v>2.5</v>
      </c>
      <c r="M3839" s="24">
        <v>22.77</v>
      </c>
      <c r="N3839" s="21">
        <f t="shared" si="178"/>
        <v>0.27206703910614533</v>
      </c>
      <c r="P3839" s="1">
        <v>4</v>
      </c>
      <c r="Q3839" s="24">
        <v>3.0360000000000014</v>
      </c>
      <c r="R3839" s="24">
        <v>22.263999999999999</v>
      </c>
      <c r="S3839" s="21">
        <f t="shared" si="179"/>
        <v>0.2437988826815643</v>
      </c>
    </row>
    <row r="3840" spans="2:19" ht="11.4" customHeight="1" x14ac:dyDescent="0.2">
      <c r="B3840" s="24"/>
      <c r="C3840" s="14">
        <v>2907</v>
      </c>
      <c r="D3840" s="18" t="s">
        <v>4007</v>
      </c>
      <c r="E3840" s="18" t="s">
        <v>3356</v>
      </c>
      <c r="F3840" s="17">
        <v>48</v>
      </c>
      <c r="G3840" s="18" t="s">
        <v>23</v>
      </c>
      <c r="H3840" s="17">
        <v>21.5</v>
      </c>
      <c r="I3840" s="15">
        <v>24.6</v>
      </c>
      <c r="J3840" s="21">
        <f t="shared" si="177"/>
        <v>0.14418604651162797</v>
      </c>
      <c r="K3840" s="1">
        <v>2</v>
      </c>
      <c r="L3840" s="24">
        <v>2.4</v>
      </c>
      <c r="M3840" s="24">
        <v>22.14</v>
      </c>
      <c r="N3840" s="21">
        <f t="shared" si="178"/>
        <v>2.9767441860465142E-2</v>
      </c>
      <c r="P3840" s="1">
        <v>4</v>
      </c>
      <c r="Q3840" s="24">
        <v>2.9520000000000017</v>
      </c>
      <c r="R3840" s="24">
        <v>21.648</v>
      </c>
      <c r="S3840" s="21">
        <f t="shared" si="179"/>
        <v>6.8837209302325432E-3</v>
      </c>
    </row>
    <row r="3841" spans="2:19" ht="11.4" customHeight="1" x14ac:dyDescent="0.2">
      <c r="B3841" s="24"/>
      <c r="C3841" s="14">
        <v>5063</v>
      </c>
      <c r="D3841" s="18" t="s">
        <v>4008</v>
      </c>
      <c r="E3841" s="18" t="s">
        <v>3356</v>
      </c>
      <c r="F3841" s="17">
        <v>96</v>
      </c>
      <c r="G3841" s="18" t="s">
        <v>23</v>
      </c>
      <c r="H3841" s="17">
        <v>6.2</v>
      </c>
      <c r="I3841" s="15">
        <v>7.5</v>
      </c>
      <c r="J3841" s="21">
        <f t="shared" si="177"/>
        <v>0.20967741935483866</v>
      </c>
      <c r="K3841" s="1">
        <v>2</v>
      </c>
      <c r="L3841" s="24">
        <v>0.7</v>
      </c>
      <c r="M3841" s="24">
        <v>6.75</v>
      </c>
      <c r="N3841" s="21">
        <f t="shared" si="178"/>
        <v>8.8709677419354802E-2</v>
      </c>
      <c r="P3841" s="1">
        <v>4</v>
      </c>
      <c r="Q3841" s="24">
        <v>0.90000000000000036</v>
      </c>
      <c r="R3841" s="24">
        <v>6.6</v>
      </c>
      <c r="S3841" s="21">
        <f t="shared" si="179"/>
        <v>6.4516129032257979E-2</v>
      </c>
    </row>
    <row r="3842" spans="2:19" ht="11.4" customHeight="1" x14ac:dyDescent="0.2">
      <c r="B3842" s="24"/>
      <c r="C3842" s="14">
        <v>41268</v>
      </c>
      <c r="D3842" s="18" t="s">
        <v>4009</v>
      </c>
      <c r="E3842" s="18" t="s">
        <v>3356</v>
      </c>
      <c r="F3842" s="17">
        <v>20</v>
      </c>
      <c r="G3842" s="18" t="s">
        <v>23</v>
      </c>
      <c r="H3842" s="17">
        <v>85.16</v>
      </c>
      <c r="I3842" s="15">
        <v>116.5</v>
      </c>
      <c r="J3842" s="21">
        <f t="shared" si="177"/>
        <v>0.36801315171441995</v>
      </c>
      <c r="K3842" s="1">
        <v>2</v>
      </c>
      <c r="L3842" s="24">
        <v>11.6</v>
      </c>
      <c r="M3842" s="24">
        <v>104.85000000000001</v>
      </c>
      <c r="N3842" s="21">
        <f t="shared" si="178"/>
        <v>0.23121183654297808</v>
      </c>
      <c r="P3842" s="1">
        <v>4</v>
      </c>
      <c r="Q3842" s="24">
        <v>13.980000000000004</v>
      </c>
      <c r="R3842" s="24">
        <v>102.52</v>
      </c>
      <c r="S3842" s="21">
        <f t="shared" si="179"/>
        <v>0.20385157350868952</v>
      </c>
    </row>
    <row r="3843" spans="2:19" ht="11.4" customHeight="1" x14ac:dyDescent="0.2">
      <c r="B3843" s="24"/>
      <c r="C3843" s="14">
        <v>21773</v>
      </c>
      <c r="D3843" s="18" t="s">
        <v>4010</v>
      </c>
      <c r="E3843" s="18" t="s">
        <v>3788</v>
      </c>
      <c r="F3843" s="17">
        <v>5</v>
      </c>
      <c r="G3843" s="18" t="s">
        <v>902</v>
      </c>
      <c r="H3843" s="17">
        <v>159.5</v>
      </c>
      <c r="I3843" s="15">
        <v>219.5</v>
      </c>
      <c r="J3843" s="21">
        <f t="shared" ref="J3843:J3906" si="180">(I3843-H3843)/H3843</f>
        <v>0.37617554858934171</v>
      </c>
      <c r="K3843" s="1">
        <v>1</v>
      </c>
      <c r="L3843" s="24">
        <v>21.9</v>
      </c>
      <c r="M3843" s="24">
        <v>197.55</v>
      </c>
      <c r="N3843" s="21">
        <f t="shared" ref="N3843:N3906" si="181">(M3843-H3843)/H3843</f>
        <v>0.23855799373040759</v>
      </c>
      <c r="P3843" s="1">
        <v>5</v>
      </c>
      <c r="Q3843" s="24">
        <v>21.949999999999989</v>
      </c>
      <c r="R3843" s="24">
        <v>197.55</v>
      </c>
      <c r="S3843" s="21">
        <f t="shared" ref="S3843:S3906" si="182">(R3843-H3843)/H3843</f>
        <v>0.23855799373040759</v>
      </c>
    </row>
    <row r="3844" spans="2:19" ht="11.4" customHeight="1" x14ac:dyDescent="0.2">
      <c r="B3844" s="24"/>
      <c r="C3844" s="14">
        <v>44720</v>
      </c>
      <c r="D3844" s="18" t="s">
        <v>4011</v>
      </c>
      <c r="E3844" s="18" t="s">
        <v>3356</v>
      </c>
      <c r="F3844" s="17">
        <v>28</v>
      </c>
      <c r="G3844" s="18" t="s">
        <v>23</v>
      </c>
      <c r="H3844" s="17">
        <v>29.32</v>
      </c>
      <c r="I3844" s="15">
        <v>37.9</v>
      </c>
      <c r="J3844" s="21">
        <f t="shared" si="180"/>
        <v>0.29263301500682121</v>
      </c>
      <c r="K3844" s="1">
        <v>2</v>
      </c>
      <c r="L3844" s="24">
        <v>3.7</v>
      </c>
      <c r="M3844" s="24">
        <v>34.11</v>
      </c>
      <c r="N3844" s="21">
        <f t="shared" si="181"/>
        <v>0.16336971350613913</v>
      </c>
      <c r="P3844" s="1">
        <v>4</v>
      </c>
      <c r="Q3844" s="24">
        <v>4.5480000000000018</v>
      </c>
      <c r="R3844" s="24">
        <v>33.351999999999997</v>
      </c>
      <c r="S3844" s="21">
        <f t="shared" si="182"/>
        <v>0.1375170532060026</v>
      </c>
    </row>
    <row r="3845" spans="2:19" ht="11.4" customHeight="1" x14ac:dyDescent="0.2">
      <c r="B3845" s="24"/>
      <c r="C3845" s="14">
        <v>44722</v>
      </c>
      <c r="D3845" s="18" t="s">
        <v>4012</v>
      </c>
      <c r="E3845" s="18" t="s">
        <v>3356</v>
      </c>
      <c r="F3845" s="17">
        <v>28</v>
      </c>
      <c r="G3845" s="18" t="s">
        <v>23</v>
      </c>
      <c r="H3845" s="17">
        <v>29.31</v>
      </c>
      <c r="I3845" s="15">
        <v>37.9</v>
      </c>
      <c r="J3845" s="21">
        <f t="shared" si="180"/>
        <v>0.29307403616513134</v>
      </c>
      <c r="K3845" s="1">
        <v>2</v>
      </c>
      <c r="L3845" s="24">
        <v>3.7</v>
      </c>
      <c r="M3845" s="24">
        <v>34.11</v>
      </c>
      <c r="N3845" s="21">
        <f t="shared" si="181"/>
        <v>0.16376663254861826</v>
      </c>
      <c r="P3845" s="1">
        <v>4</v>
      </c>
      <c r="Q3845" s="24">
        <v>4.5480000000000018</v>
      </c>
      <c r="R3845" s="24">
        <v>33.351999999999997</v>
      </c>
      <c r="S3845" s="21">
        <f t="shared" si="182"/>
        <v>0.13790515182531554</v>
      </c>
    </row>
    <row r="3846" spans="2:19" ht="11.4" customHeight="1" x14ac:dyDescent="0.2">
      <c r="B3846" s="24"/>
      <c r="C3846" s="14">
        <v>46185</v>
      </c>
      <c r="D3846" s="18" t="s">
        <v>4013</v>
      </c>
      <c r="E3846" s="18" t="s">
        <v>3788</v>
      </c>
      <c r="F3846" s="18"/>
      <c r="G3846" s="18" t="s">
        <v>902</v>
      </c>
      <c r="H3846" s="17">
        <v>117.42</v>
      </c>
      <c r="I3846" s="15">
        <v>179.9</v>
      </c>
      <c r="J3846" s="21">
        <f t="shared" si="180"/>
        <v>0.53210696644523936</v>
      </c>
      <c r="K3846" s="1">
        <v>1</v>
      </c>
      <c r="L3846" s="24">
        <v>17.899999999999999</v>
      </c>
      <c r="M3846" s="24">
        <v>161.91</v>
      </c>
      <c r="N3846" s="21">
        <f t="shared" si="181"/>
        <v>0.37889626980071534</v>
      </c>
      <c r="P3846" s="1">
        <v>5</v>
      </c>
      <c r="Q3846" s="24">
        <v>17.990000000000009</v>
      </c>
      <c r="R3846" s="24">
        <v>161.91</v>
      </c>
      <c r="S3846" s="21">
        <f t="shared" si="182"/>
        <v>0.37889626980071534</v>
      </c>
    </row>
    <row r="3847" spans="2:19" ht="11.4" customHeight="1" x14ac:dyDescent="0.2">
      <c r="B3847" s="24"/>
      <c r="C3847" s="14">
        <v>24151</v>
      </c>
      <c r="D3847" s="18" t="s">
        <v>4014</v>
      </c>
      <c r="E3847" s="18" t="s">
        <v>3356</v>
      </c>
      <c r="F3847" s="17">
        <v>26</v>
      </c>
      <c r="G3847" s="18" t="s">
        <v>23</v>
      </c>
      <c r="H3847" s="17">
        <v>22.35</v>
      </c>
      <c r="I3847" s="15">
        <v>31.9</v>
      </c>
      <c r="J3847" s="21">
        <f t="shared" si="180"/>
        <v>0.42729306487695734</v>
      </c>
      <c r="K3847" s="1">
        <v>2</v>
      </c>
      <c r="L3847" s="24">
        <v>3.1</v>
      </c>
      <c r="M3847" s="24">
        <v>28.71</v>
      </c>
      <c r="N3847" s="21">
        <f t="shared" si="181"/>
        <v>0.28456375838926168</v>
      </c>
      <c r="P3847" s="1">
        <v>4</v>
      </c>
      <c r="Q3847" s="24">
        <v>3.8279999999999994</v>
      </c>
      <c r="R3847" s="24">
        <v>28.071999999999999</v>
      </c>
      <c r="S3847" s="21">
        <f t="shared" si="182"/>
        <v>0.25601789709172246</v>
      </c>
    </row>
    <row r="3848" spans="2:19" ht="11.4" customHeight="1" x14ac:dyDescent="0.2">
      <c r="B3848" s="24"/>
      <c r="C3848" s="14">
        <v>24152</v>
      </c>
      <c r="D3848" s="18" t="s">
        <v>4015</v>
      </c>
      <c r="E3848" s="18" t="s">
        <v>3356</v>
      </c>
      <c r="F3848" s="17">
        <v>26</v>
      </c>
      <c r="G3848" s="18" t="s">
        <v>23</v>
      </c>
      <c r="H3848" s="17">
        <v>22.35</v>
      </c>
      <c r="I3848" s="15">
        <v>31.9</v>
      </c>
      <c r="J3848" s="21">
        <f t="shared" si="180"/>
        <v>0.42729306487695734</v>
      </c>
      <c r="K3848" s="1">
        <v>2</v>
      </c>
      <c r="L3848" s="24">
        <v>3.1</v>
      </c>
      <c r="M3848" s="24">
        <v>28.71</v>
      </c>
      <c r="N3848" s="21">
        <f t="shared" si="181"/>
        <v>0.28456375838926168</v>
      </c>
      <c r="P3848" s="1">
        <v>4</v>
      </c>
      <c r="Q3848" s="24">
        <v>3.8279999999999994</v>
      </c>
      <c r="R3848" s="24">
        <v>28.071999999999999</v>
      </c>
      <c r="S3848" s="21">
        <f t="shared" si="182"/>
        <v>0.25601789709172246</v>
      </c>
    </row>
    <row r="3849" spans="2:19" ht="11.4" customHeight="1" x14ac:dyDescent="0.2">
      <c r="B3849" s="24"/>
      <c r="C3849" s="14">
        <v>34006</v>
      </c>
      <c r="D3849" s="18" t="s">
        <v>4016</v>
      </c>
      <c r="E3849" s="18" t="s">
        <v>3911</v>
      </c>
      <c r="F3849" s="17">
        <v>14</v>
      </c>
      <c r="G3849" s="18" t="s">
        <v>23</v>
      </c>
      <c r="H3849" s="17">
        <v>18.600000000000001</v>
      </c>
      <c r="I3849" s="15">
        <v>21.5</v>
      </c>
      <c r="J3849" s="21">
        <f t="shared" si="180"/>
        <v>0.15591397849462357</v>
      </c>
      <c r="K3849" s="1">
        <v>2</v>
      </c>
      <c r="L3849" s="24">
        <v>2.1</v>
      </c>
      <c r="M3849" s="24">
        <v>19.350000000000001</v>
      </c>
      <c r="N3849" s="21">
        <f t="shared" si="181"/>
        <v>4.0322580645161289E-2</v>
      </c>
      <c r="P3849" s="1">
        <v>4</v>
      </c>
      <c r="Q3849" s="24">
        <v>2.5799999999999983</v>
      </c>
      <c r="R3849" s="24">
        <v>18.920000000000002</v>
      </c>
      <c r="S3849" s="21">
        <f t="shared" si="182"/>
        <v>1.7204301075268831E-2</v>
      </c>
    </row>
    <row r="3850" spans="2:19" ht="11.4" customHeight="1" x14ac:dyDescent="0.2">
      <c r="B3850" s="24"/>
      <c r="C3850" s="14">
        <v>44312</v>
      </c>
      <c r="D3850" s="18" t="s">
        <v>4017</v>
      </c>
      <c r="E3850" s="18" t="s">
        <v>3818</v>
      </c>
      <c r="F3850" s="18"/>
      <c r="G3850" s="18" t="s">
        <v>23</v>
      </c>
      <c r="H3850" s="17">
        <v>26.76</v>
      </c>
      <c r="I3850" s="15">
        <v>30</v>
      </c>
      <c r="J3850" s="21">
        <f t="shared" si="180"/>
        <v>0.12107623318385644</v>
      </c>
      <c r="K3850" s="1">
        <v>2</v>
      </c>
      <c r="L3850" s="24">
        <v>3</v>
      </c>
      <c r="M3850" s="24">
        <v>27</v>
      </c>
      <c r="N3850" s="21">
        <f t="shared" si="181"/>
        <v>8.9686098654707929E-3</v>
      </c>
      <c r="P3850" s="1">
        <v>4</v>
      </c>
      <c r="Q3850" s="24">
        <v>3.6000000000000014</v>
      </c>
      <c r="R3850" s="24">
        <v>26.4</v>
      </c>
      <c r="S3850" s="21">
        <f t="shared" si="182"/>
        <v>-1.3452914798206388E-2</v>
      </c>
    </row>
    <row r="3851" spans="2:19" ht="11.4" customHeight="1" x14ac:dyDescent="0.2">
      <c r="B3851" s="24"/>
      <c r="C3851" s="14">
        <v>44311</v>
      </c>
      <c r="D3851" s="18" t="s">
        <v>4018</v>
      </c>
      <c r="E3851" s="18" t="s">
        <v>3818</v>
      </c>
      <c r="F3851" s="18"/>
      <c r="G3851" s="18" t="s">
        <v>23</v>
      </c>
      <c r="H3851" s="17">
        <v>24.84</v>
      </c>
      <c r="I3851" s="15">
        <v>29</v>
      </c>
      <c r="J3851" s="21">
        <f t="shared" si="180"/>
        <v>0.16747181964573268</v>
      </c>
      <c r="K3851" s="1">
        <v>2</v>
      </c>
      <c r="L3851" s="24">
        <v>2.9</v>
      </c>
      <c r="M3851" s="24">
        <v>26.1</v>
      </c>
      <c r="N3851" s="21">
        <f t="shared" si="181"/>
        <v>5.0724637681159486E-2</v>
      </c>
      <c r="P3851" s="1">
        <v>4</v>
      </c>
      <c r="Q3851" s="24">
        <v>3.4800000000000004</v>
      </c>
      <c r="R3851" s="24">
        <v>25.52</v>
      </c>
      <c r="S3851" s="21">
        <f t="shared" si="182"/>
        <v>2.7375201288244756E-2</v>
      </c>
    </row>
    <row r="3852" spans="2:19" ht="11.4" customHeight="1" x14ac:dyDescent="0.2">
      <c r="B3852" s="24"/>
      <c r="C3852" s="14">
        <v>44514</v>
      </c>
      <c r="D3852" s="18" t="s">
        <v>4019</v>
      </c>
      <c r="E3852" s="18" t="s">
        <v>3818</v>
      </c>
      <c r="F3852" s="17">
        <v>20</v>
      </c>
      <c r="G3852" s="18" t="s">
        <v>23</v>
      </c>
      <c r="H3852" s="17">
        <v>35.1</v>
      </c>
      <c r="I3852" s="15">
        <v>49.9</v>
      </c>
      <c r="J3852" s="21">
        <f t="shared" si="180"/>
        <v>0.42165242165242156</v>
      </c>
      <c r="K3852" s="1">
        <v>2</v>
      </c>
      <c r="L3852" s="24">
        <v>4.9000000000000004</v>
      </c>
      <c r="M3852" s="24">
        <v>44.91</v>
      </c>
      <c r="N3852" s="21">
        <f t="shared" si="181"/>
        <v>0.27948717948717933</v>
      </c>
      <c r="P3852" s="1">
        <v>4</v>
      </c>
      <c r="Q3852" s="24">
        <v>5.9879999999999995</v>
      </c>
      <c r="R3852" s="24">
        <v>43.911999999999999</v>
      </c>
      <c r="S3852" s="21">
        <f t="shared" si="182"/>
        <v>0.25105413105413099</v>
      </c>
    </row>
    <row r="3853" spans="2:19" ht="11.4" customHeight="1" x14ac:dyDescent="0.2">
      <c r="B3853" s="24"/>
      <c r="C3853" s="14">
        <v>44313</v>
      </c>
      <c r="D3853" s="18" t="s">
        <v>4020</v>
      </c>
      <c r="E3853" s="18" t="s">
        <v>3818</v>
      </c>
      <c r="F3853" s="18"/>
      <c r="G3853" s="18" t="s">
        <v>23</v>
      </c>
      <c r="H3853" s="17">
        <v>26.7</v>
      </c>
      <c r="I3853" s="15">
        <v>30</v>
      </c>
      <c r="J3853" s="21">
        <f t="shared" si="180"/>
        <v>0.12359550561797755</v>
      </c>
      <c r="K3853" s="1">
        <v>2</v>
      </c>
      <c r="L3853" s="24">
        <v>3</v>
      </c>
      <c r="M3853" s="24">
        <v>27</v>
      </c>
      <c r="N3853" s="21">
        <f t="shared" si="181"/>
        <v>1.1235955056179803E-2</v>
      </c>
      <c r="P3853" s="1">
        <v>4</v>
      </c>
      <c r="Q3853" s="24">
        <v>3.6000000000000014</v>
      </c>
      <c r="R3853" s="24">
        <v>26.4</v>
      </c>
      <c r="S3853" s="21">
        <f t="shared" si="182"/>
        <v>-1.1235955056179803E-2</v>
      </c>
    </row>
    <row r="3854" spans="2:19" ht="11.4" customHeight="1" x14ac:dyDescent="0.2">
      <c r="B3854" s="24"/>
      <c r="C3854" s="14">
        <v>31655</v>
      </c>
      <c r="D3854" s="18" t="s">
        <v>4021</v>
      </c>
      <c r="E3854" s="18" t="s">
        <v>4022</v>
      </c>
      <c r="F3854" s="18"/>
      <c r="G3854" s="18" t="s">
        <v>902</v>
      </c>
      <c r="H3854" s="17">
        <v>62.2</v>
      </c>
      <c r="I3854" s="15">
        <v>92.5</v>
      </c>
      <c r="J3854" s="21">
        <f t="shared" si="180"/>
        <v>0.48713826366559476</v>
      </c>
      <c r="K3854" s="1">
        <v>1</v>
      </c>
      <c r="L3854" s="24">
        <v>9.1999999999999993</v>
      </c>
      <c r="M3854" s="24">
        <v>83.25</v>
      </c>
      <c r="N3854" s="21">
        <f t="shared" si="181"/>
        <v>0.33842443729903532</v>
      </c>
      <c r="P3854" s="1">
        <v>5</v>
      </c>
      <c r="Q3854" s="24">
        <v>9.25</v>
      </c>
      <c r="R3854" s="24">
        <v>83.25</v>
      </c>
      <c r="S3854" s="21">
        <f t="shared" si="182"/>
        <v>0.33842443729903532</v>
      </c>
    </row>
    <row r="3855" spans="2:19" ht="11.4" customHeight="1" x14ac:dyDescent="0.2">
      <c r="B3855" s="24"/>
      <c r="C3855" s="14">
        <v>44101</v>
      </c>
      <c r="D3855" s="18" t="s">
        <v>4023</v>
      </c>
      <c r="E3855" s="18" t="s">
        <v>3818</v>
      </c>
      <c r="F3855" s="18"/>
      <c r="G3855" s="18" t="s">
        <v>23</v>
      </c>
      <c r="H3855" s="17">
        <v>52.56</v>
      </c>
      <c r="I3855" s="15">
        <v>60.9</v>
      </c>
      <c r="J3855" s="21">
        <f t="shared" si="180"/>
        <v>0.15867579908675791</v>
      </c>
      <c r="K3855" s="1">
        <v>2</v>
      </c>
      <c r="L3855" s="24">
        <v>6</v>
      </c>
      <c r="M3855" s="24">
        <v>54.81</v>
      </c>
      <c r="N3855" s="21">
        <f t="shared" si="181"/>
        <v>4.2808219178082189E-2</v>
      </c>
      <c r="P3855" s="1">
        <v>4</v>
      </c>
      <c r="Q3855" s="24">
        <v>7.3079999999999998</v>
      </c>
      <c r="R3855" s="24">
        <v>53.591999999999999</v>
      </c>
      <c r="S3855" s="21">
        <f t="shared" si="182"/>
        <v>1.9634703196346963E-2</v>
      </c>
    </row>
    <row r="3856" spans="2:19" ht="11.4" customHeight="1" x14ac:dyDescent="0.2">
      <c r="B3856" s="24"/>
      <c r="C3856" s="14">
        <v>12543</v>
      </c>
      <c r="D3856" s="18" t="s">
        <v>4024</v>
      </c>
      <c r="E3856" s="18" t="s">
        <v>4022</v>
      </c>
      <c r="F3856" s="18"/>
      <c r="G3856" s="18" t="s">
        <v>902</v>
      </c>
      <c r="H3856" s="17">
        <v>142.08000000000001</v>
      </c>
      <c r="I3856" s="15">
        <v>219.9</v>
      </c>
      <c r="J3856" s="21">
        <f t="shared" si="180"/>
        <v>0.54771959459459452</v>
      </c>
      <c r="K3856" s="1">
        <v>1</v>
      </c>
      <c r="L3856" s="24">
        <v>21.9</v>
      </c>
      <c r="M3856" s="24">
        <v>197.91</v>
      </c>
      <c r="N3856" s="21">
        <f t="shared" si="181"/>
        <v>0.39294763513513498</v>
      </c>
      <c r="P3856" s="1">
        <v>5</v>
      </c>
      <c r="Q3856" s="24">
        <v>21.990000000000009</v>
      </c>
      <c r="R3856" s="24">
        <v>197.91</v>
      </c>
      <c r="S3856" s="21">
        <f t="shared" si="182"/>
        <v>0.39294763513513498</v>
      </c>
    </row>
    <row r="3857" spans="2:19" ht="11.4" customHeight="1" x14ac:dyDescent="0.2">
      <c r="B3857" s="24"/>
      <c r="C3857" s="14">
        <v>12363</v>
      </c>
      <c r="D3857" s="18" t="s">
        <v>4025</v>
      </c>
      <c r="E3857" s="18" t="s">
        <v>4022</v>
      </c>
      <c r="F3857" s="18"/>
      <c r="G3857" s="18" t="s">
        <v>902</v>
      </c>
      <c r="H3857" s="17">
        <v>125.16</v>
      </c>
      <c r="I3857" s="15">
        <v>168.9</v>
      </c>
      <c r="J3857" s="21">
        <f t="shared" si="180"/>
        <v>0.34947267497603074</v>
      </c>
      <c r="K3857" s="1">
        <v>1</v>
      </c>
      <c r="L3857" s="24">
        <v>16.8</v>
      </c>
      <c r="M3857" s="24">
        <v>152.01000000000002</v>
      </c>
      <c r="N3857" s="21">
        <f t="shared" si="181"/>
        <v>0.2145254074784278</v>
      </c>
      <c r="P3857" s="1">
        <v>5</v>
      </c>
      <c r="Q3857" s="24">
        <v>16.889999999999986</v>
      </c>
      <c r="R3857" s="24">
        <v>152.01000000000002</v>
      </c>
      <c r="S3857" s="21">
        <f t="shared" si="182"/>
        <v>0.2145254074784278</v>
      </c>
    </row>
    <row r="3858" spans="2:19" ht="11.4" customHeight="1" x14ac:dyDescent="0.2">
      <c r="B3858" s="24"/>
      <c r="C3858" s="14">
        <v>34939</v>
      </c>
      <c r="D3858" s="18" t="s">
        <v>4026</v>
      </c>
      <c r="E3858" s="18" t="s">
        <v>3818</v>
      </c>
      <c r="F3858" s="17">
        <v>16</v>
      </c>
      <c r="G3858" s="18" t="s">
        <v>23</v>
      </c>
      <c r="H3858" s="17">
        <v>40.700000000000003</v>
      </c>
      <c r="I3858" s="15">
        <v>44.9</v>
      </c>
      <c r="J3858" s="21">
        <f t="shared" si="180"/>
        <v>0.10319410319410308</v>
      </c>
      <c r="K3858" s="1">
        <v>2</v>
      </c>
      <c r="L3858" s="24">
        <v>4.4000000000000004</v>
      </c>
      <c r="M3858" s="24">
        <v>40.409999999999997</v>
      </c>
      <c r="N3858" s="21">
        <f t="shared" si="181"/>
        <v>-7.1253071253072784E-3</v>
      </c>
      <c r="P3858" s="1">
        <v>4</v>
      </c>
      <c r="Q3858" s="24">
        <v>5.3879999999999981</v>
      </c>
      <c r="R3858" s="24">
        <v>39.512</v>
      </c>
      <c r="S3858" s="21">
        <f t="shared" si="182"/>
        <v>-2.9189189189189245E-2</v>
      </c>
    </row>
    <row r="3859" spans="2:19" ht="11.4" customHeight="1" x14ac:dyDescent="0.2">
      <c r="B3859" s="24"/>
      <c r="C3859" s="14">
        <v>44075</v>
      </c>
      <c r="D3859" s="18" t="s">
        <v>4027</v>
      </c>
      <c r="E3859" s="18" t="s">
        <v>3818</v>
      </c>
      <c r="F3859" s="18"/>
      <c r="G3859" s="18" t="s">
        <v>23</v>
      </c>
      <c r="H3859" s="17">
        <v>43.8</v>
      </c>
      <c r="I3859" s="15">
        <v>57.9</v>
      </c>
      <c r="J3859" s="21">
        <f t="shared" si="180"/>
        <v>0.32191780821917815</v>
      </c>
      <c r="K3859" s="1">
        <v>2</v>
      </c>
      <c r="L3859" s="24">
        <v>5.7</v>
      </c>
      <c r="M3859" s="24">
        <v>52.11</v>
      </c>
      <c r="N3859" s="21">
        <f t="shared" si="181"/>
        <v>0.18972602739726033</v>
      </c>
      <c r="P3859" s="1">
        <v>4</v>
      </c>
      <c r="Q3859" s="24">
        <v>6.9480000000000004</v>
      </c>
      <c r="R3859" s="24">
        <v>50.951999999999998</v>
      </c>
      <c r="S3859" s="21">
        <f t="shared" si="182"/>
        <v>0.16328767123287674</v>
      </c>
    </row>
    <row r="3860" spans="2:19" ht="11.4" customHeight="1" x14ac:dyDescent="0.2">
      <c r="B3860" s="24"/>
      <c r="C3860" s="14">
        <v>42717</v>
      </c>
      <c r="D3860" s="18" t="s">
        <v>4028</v>
      </c>
      <c r="E3860" s="18" t="s">
        <v>3428</v>
      </c>
      <c r="F3860" s="18"/>
      <c r="G3860" s="18" t="s">
        <v>23</v>
      </c>
      <c r="H3860" s="17">
        <v>91.8</v>
      </c>
      <c r="I3860" s="15">
        <v>119.9</v>
      </c>
      <c r="J3860" s="21">
        <f t="shared" si="180"/>
        <v>0.30610021786492386</v>
      </c>
      <c r="K3860" s="1">
        <v>2</v>
      </c>
      <c r="L3860" s="24">
        <v>11.9</v>
      </c>
      <c r="M3860" s="24">
        <v>107.91000000000001</v>
      </c>
      <c r="N3860" s="21">
        <f t="shared" si="181"/>
        <v>0.17549019607843153</v>
      </c>
      <c r="P3860" s="1">
        <v>4</v>
      </c>
      <c r="Q3860" s="24">
        <v>14.388000000000005</v>
      </c>
      <c r="R3860" s="24">
        <v>105.512</v>
      </c>
      <c r="S3860" s="21">
        <f t="shared" si="182"/>
        <v>0.14936819172113294</v>
      </c>
    </row>
    <row r="3861" spans="2:19" ht="11.4" customHeight="1" x14ac:dyDescent="0.2">
      <c r="B3861" s="24"/>
      <c r="C3861" s="14">
        <v>22350</v>
      </c>
      <c r="D3861" s="18" t="s">
        <v>4029</v>
      </c>
      <c r="E3861" s="18" t="s">
        <v>4022</v>
      </c>
      <c r="F3861" s="18"/>
      <c r="G3861" s="18" t="s">
        <v>902</v>
      </c>
      <c r="H3861" s="17">
        <v>145.5</v>
      </c>
      <c r="I3861" s="15">
        <v>197.9</v>
      </c>
      <c r="J3861" s="21">
        <f t="shared" si="180"/>
        <v>0.36013745704467359</v>
      </c>
      <c r="K3861" s="1">
        <v>1</v>
      </c>
      <c r="L3861" s="24">
        <v>19.7</v>
      </c>
      <c r="M3861" s="24">
        <v>178.11</v>
      </c>
      <c r="N3861" s="21">
        <f t="shared" si="181"/>
        <v>0.22412371134020628</v>
      </c>
      <c r="P3861" s="1">
        <v>5</v>
      </c>
      <c r="Q3861" s="24">
        <v>19.789999999999992</v>
      </c>
      <c r="R3861" s="24">
        <v>178.11</v>
      </c>
      <c r="S3861" s="21">
        <f t="shared" si="182"/>
        <v>0.22412371134020628</v>
      </c>
    </row>
    <row r="3862" spans="2:19" ht="11.4" customHeight="1" x14ac:dyDescent="0.2">
      <c r="B3862" s="24"/>
      <c r="C3862" s="14">
        <v>46830</v>
      </c>
      <c r="D3862" s="18" t="s">
        <v>4030</v>
      </c>
      <c r="E3862" s="18" t="s">
        <v>3818</v>
      </c>
      <c r="F3862" s="17">
        <v>12</v>
      </c>
      <c r="G3862" s="18" t="s">
        <v>23</v>
      </c>
      <c r="H3862" s="17">
        <v>45.72</v>
      </c>
      <c r="I3862" s="15">
        <v>77.5</v>
      </c>
      <c r="J3862" s="21">
        <f t="shared" si="180"/>
        <v>0.69510061242344712</v>
      </c>
      <c r="K3862" s="1">
        <v>2</v>
      </c>
      <c r="L3862" s="24">
        <v>7.7</v>
      </c>
      <c r="M3862" s="24">
        <v>69.75</v>
      </c>
      <c r="N3862" s="21">
        <f t="shared" si="181"/>
        <v>0.52559055118110243</v>
      </c>
      <c r="P3862" s="1">
        <v>4</v>
      </c>
      <c r="Q3862" s="24">
        <v>9.2999999999999972</v>
      </c>
      <c r="R3862" s="24">
        <v>68.2</v>
      </c>
      <c r="S3862" s="21">
        <f t="shared" si="182"/>
        <v>0.49168853893263353</v>
      </c>
    </row>
    <row r="3863" spans="2:19" ht="11.4" customHeight="1" x14ac:dyDescent="0.2">
      <c r="B3863" s="24"/>
      <c r="C3863" s="14">
        <v>44886</v>
      </c>
      <c r="D3863" s="18" t="s">
        <v>4031</v>
      </c>
      <c r="E3863" s="18" t="s">
        <v>3818</v>
      </c>
      <c r="F3863" s="18"/>
      <c r="G3863" s="18" t="s">
        <v>23</v>
      </c>
      <c r="H3863" s="17">
        <v>52.56</v>
      </c>
      <c r="I3863" s="15">
        <v>63.5</v>
      </c>
      <c r="J3863" s="21">
        <f t="shared" si="180"/>
        <v>0.20814307458143069</v>
      </c>
      <c r="K3863" s="1">
        <v>2</v>
      </c>
      <c r="L3863" s="24">
        <v>6.3</v>
      </c>
      <c r="M3863" s="24">
        <v>57.15</v>
      </c>
      <c r="N3863" s="21">
        <f t="shared" si="181"/>
        <v>8.7328767123287604E-2</v>
      </c>
      <c r="P3863" s="1">
        <v>4</v>
      </c>
      <c r="Q3863" s="24">
        <v>7.6199999999999974</v>
      </c>
      <c r="R3863" s="24">
        <v>55.88</v>
      </c>
      <c r="S3863" s="21">
        <f t="shared" si="182"/>
        <v>6.3165905631659053E-2</v>
      </c>
    </row>
    <row r="3864" spans="2:19" ht="11.4" customHeight="1" x14ac:dyDescent="0.2">
      <c r="B3864" s="24"/>
      <c r="C3864" s="14">
        <v>46831</v>
      </c>
      <c r="D3864" s="18" t="s">
        <v>4032</v>
      </c>
      <c r="E3864" s="18" t="s">
        <v>3818</v>
      </c>
      <c r="F3864" s="17">
        <v>12</v>
      </c>
      <c r="G3864" s="18" t="s">
        <v>23</v>
      </c>
      <c r="H3864" s="17">
        <v>45.72</v>
      </c>
      <c r="I3864" s="15">
        <v>77.5</v>
      </c>
      <c r="J3864" s="21">
        <f t="shared" si="180"/>
        <v>0.69510061242344712</v>
      </c>
      <c r="K3864" s="1">
        <v>2</v>
      </c>
      <c r="L3864" s="24">
        <v>7.7</v>
      </c>
      <c r="M3864" s="24">
        <v>69.75</v>
      </c>
      <c r="N3864" s="21">
        <f t="shared" si="181"/>
        <v>0.52559055118110243</v>
      </c>
      <c r="P3864" s="1">
        <v>4</v>
      </c>
      <c r="Q3864" s="24">
        <v>9.2999999999999972</v>
      </c>
      <c r="R3864" s="24">
        <v>68.2</v>
      </c>
      <c r="S3864" s="21">
        <f t="shared" si="182"/>
        <v>0.49168853893263353</v>
      </c>
    </row>
    <row r="3865" spans="2:19" ht="11.4" customHeight="1" x14ac:dyDescent="0.2">
      <c r="B3865" s="24"/>
      <c r="C3865" s="14">
        <v>12364</v>
      </c>
      <c r="D3865" s="18" t="s">
        <v>4033</v>
      </c>
      <c r="E3865" s="18" t="s">
        <v>4022</v>
      </c>
      <c r="F3865" s="18"/>
      <c r="G3865" s="18" t="s">
        <v>902</v>
      </c>
      <c r="H3865" s="17">
        <v>181.08</v>
      </c>
      <c r="I3865" s="15">
        <v>263.89999999999998</v>
      </c>
      <c r="J3865" s="21">
        <f t="shared" si="180"/>
        <v>0.45736690965319171</v>
      </c>
      <c r="K3865" s="1">
        <v>1</v>
      </c>
      <c r="L3865" s="24">
        <v>26.3</v>
      </c>
      <c r="M3865" s="24">
        <v>237.51</v>
      </c>
      <c r="N3865" s="21">
        <f t="shared" si="181"/>
        <v>0.31163021868787261</v>
      </c>
      <c r="P3865" s="1">
        <v>5</v>
      </c>
      <c r="Q3865" s="24">
        <v>26.389999999999986</v>
      </c>
      <c r="R3865" s="24">
        <v>237.51</v>
      </c>
      <c r="S3865" s="21">
        <f t="shared" si="182"/>
        <v>0.31163021868787261</v>
      </c>
    </row>
    <row r="3866" spans="2:19" ht="11.4" customHeight="1" x14ac:dyDescent="0.2">
      <c r="B3866" s="24"/>
      <c r="C3866" s="14">
        <v>44100</v>
      </c>
      <c r="D3866" s="18" t="s">
        <v>4034</v>
      </c>
      <c r="E3866" s="18" t="s">
        <v>3818</v>
      </c>
      <c r="F3866" s="18"/>
      <c r="G3866" s="18" t="s">
        <v>23</v>
      </c>
      <c r="H3866" s="17">
        <v>37.08</v>
      </c>
      <c r="I3866" s="15">
        <v>53.5</v>
      </c>
      <c r="J3866" s="21">
        <f t="shared" si="180"/>
        <v>0.44282632146709822</v>
      </c>
      <c r="K3866" s="1">
        <v>2</v>
      </c>
      <c r="L3866" s="24">
        <v>5.3</v>
      </c>
      <c r="M3866" s="24">
        <v>48.15</v>
      </c>
      <c r="N3866" s="21">
        <f t="shared" si="181"/>
        <v>0.29854368932038838</v>
      </c>
      <c r="P3866" s="1">
        <v>4</v>
      </c>
      <c r="Q3866" s="24">
        <v>6.4200000000000017</v>
      </c>
      <c r="R3866" s="24">
        <v>47.08</v>
      </c>
      <c r="S3866" s="21">
        <f t="shared" si="182"/>
        <v>0.26968716289104638</v>
      </c>
    </row>
    <row r="3867" spans="2:19" ht="11.4" customHeight="1" x14ac:dyDescent="0.2">
      <c r="B3867" s="24"/>
      <c r="C3867" s="14">
        <v>44885</v>
      </c>
      <c r="D3867" s="18" t="s">
        <v>4035</v>
      </c>
      <c r="E3867" s="18" t="s">
        <v>3818</v>
      </c>
      <c r="F3867" s="18"/>
      <c r="G3867" s="18" t="s">
        <v>23</v>
      </c>
      <c r="H3867" s="17">
        <v>37.08</v>
      </c>
      <c r="I3867" s="15">
        <v>44.5</v>
      </c>
      <c r="J3867" s="21">
        <f t="shared" si="180"/>
        <v>0.20010787486515647</v>
      </c>
      <c r="K3867" s="1">
        <v>2</v>
      </c>
      <c r="L3867" s="24">
        <v>4.4000000000000004</v>
      </c>
      <c r="M3867" s="24">
        <v>40.050000000000004</v>
      </c>
      <c r="N3867" s="21">
        <f t="shared" si="181"/>
        <v>8.0097087378640935E-2</v>
      </c>
      <c r="P3867" s="1">
        <v>4</v>
      </c>
      <c r="Q3867" s="24">
        <v>5.3399999999999963</v>
      </c>
      <c r="R3867" s="24">
        <v>39.160000000000004</v>
      </c>
      <c r="S3867" s="21">
        <f t="shared" si="182"/>
        <v>5.6094929881337796E-2</v>
      </c>
    </row>
    <row r="3868" spans="2:19" ht="11.4" customHeight="1" x14ac:dyDescent="0.2">
      <c r="B3868" s="24"/>
      <c r="C3868" s="14">
        <v>44887</v>
      </c>
      <c r="D3868" s="18" t="s">
        <v>4036</v>
      </c>
      <c r="E3868" s="18" t="s">
        <v>3818</v>
      </c>
      <c r="F3868" s="18"/>
      <c r="G3868" s="18" t="s">
        <v>23</v>
      </c>
      <c r="H3868" s="17">
        <v>37.08</v>
      </c>
      <c r="I3868" s="15">
        <v>44.5</v>
      </c>
      <c r="J3868" s="21">
        <f t="shared" si="180"/>
        <v>0.20010787486515647</v>
      </c>
      <c r="K3868" s="1">
        <v>2</v>
      </c>
      <c r="L3868" s="24">
        <v>4.4000000000000004</v>
      </c>
      <c r="M3868" s="24">
        <v>40.050000000000004</v>
      </c>
      <c r="N3868" s="21">
        <f t="shared" si="181"/>
        <v>8.0097087378640935E-2</v>
      </c>
      <c r="P3868" s="1">
        <v>4</v>
      </c>
      <c r="Q3868" s="24">
        <v>5.3399999999999963</v>
      </c>
      <c r="R3868" s="24">
        <v>39.160000000000004</v>
      </c>
      <c r="S3868" s="21">
        <f t="shared" si="182"/>
        <v>5.6094929881337796E-2</v>
      </c>
    </row>
    <row r="3869" spans="2:19" ht="11.4" customHeight="1" x14ac:dyDescent="0.2">
      <c r="B3869" s="24"/>
      <c r="C3869" s="14">
        <v>44883</v>
      </c>
      <c r="D3869" s="18" t="s">
        <v>4037</v>
      </c>
      <c r="E3869" s="18" t="s">
        <v>3818</v>
      </c>
      <c r="F3869" s="18"/>
      <c r="G3869" s="18" t="s">
        <v>23</v>
      </c>
      <c r="H3869" s="17">
        <v>43.8</v>
      </c>
      <c r="I3869" s="15">
        <v>52.5</v>
      </c>
      <c r="J3869" s="21">
        <f t="shared" si="180"/>
        <v>0.19863013698630144</v>
      </c>
      <c r="K3869" s="1">
        <v>2</v>
      </c>
      <c r="L3869" s="24">
        <v>5.2</v>
      </c>
      <c r="M3869" s="24">
        <v>47.25</v>
      </c>
      <c r="N3869" s="21">
        <f t="shared" si="181"/>
        <v>7.8767123287671298E-2</v>
      </c>
      <c r="P3869" s="1">
        <v>4</v>
      </c>
      <c r="Q3869" s="24">
        <v>6.2999999999999972</v>
      </c>
      <c r="R3869" s="24">
        <v>46.2</v>
      </c>
      <c r="S3869" s="21">
        <f t="shared" si="182"/>
        <v>5.4794520547945341E-2</v>
      </c>
    </row>
    <row r="3870" spans="2:19" ht="11.4" customHeight="1" x14ac:dyDescent="0.2">
      <c r="B3870" s="24"/>
      <c r="C3870" s="14">
        <v>22654</v>
      </c>
      <c r="D3870" s="18" t="s">
        <v>4038</v>
      </c>
      <c r="E3870" s="18" t="s">
        <v>4022</v>
      </c>
      <c r="F3870" s="17">
        <v>4</v>
      </c>
      <c r="G3870" s="18" t="s">
        <v>902</v>
      </c>
      <c r="H3870" s="17">
        <v>68.87</v>
      </c>
      <c r="I3870" s="15">
        <v>109.5</v>
      </c>
      <c r="J3870" s="21">
        <f t="shared" si="180"/>
        <v>0.58995208363583551</v>
      </c>
      <c r="K3870" s="1">
        <v>1</v>
      </c>
      <c r="L3870" s="24">
        <v>10.9</v>
      </c>
      <c r="M3870" s="24">
        <v>98.55</v>
      </c>
      <c r="N3870" s="21">
        <f t="shared" si="181"/>
        <v>0.43095687527225196</v>
      </c>
      <c r="P3870" s="1">
        <v>5</v>
      </c>
      <c r="Q3870" s="24">
        <v>10.950000000000003</v>
      </c>
      <c r="R3870" s="24">
        <v>98.55</v>
      </c>
      <c r="S3870" s="21">
        <f t="shared" si="182"/>
        <v>0.43095687527225196</v>
      </c>
    </row>
    <row r="3871" spans="2:19" ht="11.4" customHeight="1" x14ac:dyDescent="0.2">
      <c r="B3871" s="24"/>
      <c r="C3871" s="14">
        <v>41276</v>
      </c>
      <c r="D3871" s="18" t="s">
        <v>4039</v>
      </c>
      <c r="E3871" s="18" t="s">
        <v>3818</v>
      </c>
      <c r="F3871" s="17">
        <v>8</v>
      </c>
      <c r="G3871" s="18" t="s">
        <v>23</v>
      </c>
      <c r="H3871" s="17">
        <v>50.04</v>
      </c>
      <c r="I3871" s="15">
        <v>71.900000000000006</v>
      </c>
      <c r="J3871" s="21">
        <f t="shared" si="180"/>
        <v>0.43685051958433269</v>
      </c>
      <c r="K3871" s="1">
        <v>2</v>
      </c>
      <c r="L3871" s="24">
        <v>7.1</v>
      </c>
      <c r="M3871" s="24">
        <v>64.710000000000008</v>
      </c>
      <c r="N3871" s="21">
        <f t="shared" si="181"/>
        <v>0.29316546762589946</v>
      </c>
      <c r="P3871" s="1">
        <v>4</v>
      </c>
      <c r="Q3871" s="24">
        <v>8.6280000000000001</v>
      </c>
      <c r="R3871" s="24">
        <v>63.272000000000006</v>
      </c>
      <c r="S3871" s="21">
        <f t="shared" si="182"/>
        <v>0.26442845723421277</v>
      </c>
    </row>
    <row r="3872" spans="2:19" ht="11.4" customHeight="1" x14ac:dyDescent="0.2">
      <c r="B3872" s="24"/>
      <c r="C3872" s="14">
        <v>38428</v>
      </c>
      <c r="D3872" s="18" t="s">
        <v>4040</v>
      </c>
      <c r="E3872" s="18" t="s">
        <v>3818</v>
      </c>
      <c r="F3872" s="18"/>
      <c r="G3872" s="18" t="s">
        <v>23</v>
      </c>
      <c r="H3872" s="17">
        <v>40.700000000000003</v>
      </c>
      <c r="I3872" s="15">
        <v>38.9</v>
      </c>
      <c r="J3872" s="21">
        <f t="shared" si="180"/>
        <v>-4.4226044226044328E-2</v>
      </c>
      <c r="K3872" s="1">
        <v>2</v>
      </c>
      <c r="L3872" s="24">
        <v>3.8</v>
      </c>
      <c r="M3872" s="24">
        <v>35.01</v>
      </c>
      <c r="N3872" s="21">
        <f t="shared" si="181"/>
        <v>-0.1398034398034399</v>
      </c>
      <c r="P3872" s="1">
        <v>4</v>
      </c>
      <c r="Q3872" s="24">
        <v>4.6679999999999993</v>
      </c>
      <c r="R3872" s="24">
        <v>34.231999999999999</v>
      </c>
      <c r="S3872" s="21">
        <f t="shared" si="182"/>
        <v>-0.15891891891891899</v>
      </c>
    </row>
    <row r="3873" spans="2:19" ht="11.4" customHeight="1" x14ac:dyDescent="0.2">
      <c r="B3873" s="24"/>
      <c r="C3873" s="14">
        <v>46828</v>
      </c>
      <c r="D3873" s="18" t="s">
        <v>4041</v>
      </c>
      <c r="E3873" s="18" t="s">
        <v>3818</v>
      </c>
      <c r="F3873" s="17">
        <v>12</v>
      </c>
      <c r="G3873" s="18" t="s">
        <v>23</v>
      </c>
      <c r="H3873" s="17">
        <v>26.82</v>
      </c>
      <c r="I3873" s="15">
        <v>45.5</v>
      </c>
      <c r="J3873" s="21">
        <f t="shared" si="180"/>
        <v>0.69649515287099173</v>
      </c>
      <c r="K3873" s="1">
        <v>2</v>
      </c>
      <c r="L3873" s="24">
        <v>4.5</v>
      </c>
      <c r="M3873" s="24">
        <v>40.950000000000003</v>
      </c>
      <c r="N3873" s="21">
        <f t="shared" si="181"/>
        <v>0.52684563758389269</v>
      </c>
      <c r="P3873" s="1">
        <v>4</v>
      </c>
      <c r="Q3873" s="24">
        <v>5.4600000000000009</v>
      </c>
      <c r="R3873" s="24">
        <v>40.04</v>
      </c>
      <c r="S3873" s="21">
        <f t="shared" si="182"/>
        <v>0.49291573452647275</v>
      </c>
    </row>
    <row r="3874" spans="2:19" ht="11.4" customHeight="1" x14ac:dyDescent="0.2">
      <c r="B3874" s="24"/>
      <c r="C3874" s="14">
        <v>46835</v>
      </c>
      <c r="D3874" s="18" t="s">
        <v>4042</v>
      </c>
      <c r="E3874" s="18" t="s">
        <v>3818</v>
      </c>
      <c r="F3874" s="17">
        <v>8</v>
      </c>
      <c r="G3874" s="18" t="s">
        <v>23</v>
      </c>
      <c r="H3874" s="17">
        <v>32.119999999999997</v>
      </c>
      <c r="I3874" s="15">
        <v>52.5</v>
      </c>
      <c r="J3874" s="21">
        <f t="shared" si="180"/>
        <v>0.63449564134495651</v>
      </c>
      <c r="K3874" s="1">
        <v>2</v>
      </c>
      <c r="L3874" s="24">
        <v>5.2</v>
      </c>
      <c r="M3874" s="24">
        <v>47.25</v>
      </c>
      <c r="N3874" s="21">
        <f t="shared" si="181"/>
        <v>0.47104607721046088</v>
      </c>
      <c r="P3874" s="1">
        <v>4</v>
      </c>
      <c r="Q3874" s="24">
        <v>6.2999999999999972</v>
      </c>
      <c r="R3874" s="24">
        <v>46.2</v>
      </c>
      <c r="S3874" s="21">
        <f t="shared" si="182"/>
        <v>0.43835616438356184</v>
      </c>
    </row>
    <row r="3875" spans="2:19" ht="11.4" customHeight="1" x14ac:dyDescent="0.2">
      <c r="B3875" s="24"/>
      <c r="C3875" s="14">
        <v>46833</v>
      </c>
      <c r="D3875" s="18" t="s">
        <v>4043</v>
      </c>
      <c r="E3875" s="18" t="s">
        <v>3818</v>
      </c>
      <c r="F3875" s="17">
        <v>12</v>
      </c>
      <c r="G3875" s="18" t="s">
        <v>23</v>
      </c>
      <c r="H3875" s="17">
        <v>26.82</v>
      </c>
      <c r="I3875" s="15">
        <v>45.5</v>
      </c>
      <c r="J3875" s="21">
        <f t="shared" si="180"/>
        <v>0.69649515287099173</v>
      </c>
      <c r="K3875" s="1">
        <v>2</v>
      </c>
      <c r="L3875" s="24">
        <v>4.5</v>
      </c>
      <c r="M3875" s="24">
        <v>40.950000000000003</v>
      </c>
      <c r="N3875" s="21">
        <f t="shared" si="181"/>
        <v>0.52684563758389269</v>
      </c>
      <c r="P3875" s="1">
        <v>4</v>
      </c>
      <c r="Q3875" s="24">
        <v>5.4600000000000009</v>
      </c>
      <c r="R3875" s="24">
        <v>40.04</v>
      </c>
      <c r="S3875" s="21">
        <f t="shared" si="182"/>
        <v>0.49291573452647275</v>
      </c>
    </row>
    <row r="3876" spans="2:19" ht="11.4" customHeight="1" x14ac:dyDescent="0.2">
      <c r="B3876" s="24"/>
      <c r="C3876" s="14">
        <v>46834</v>
      </c>
      <c r="D3876" s="18" t="s">
        <v>4044</v>
      </c>
      <c r="E3876" s="18" t="s">
        <v>3818</v>
      </c>
      <c r="F3876" s="17">
        <v>12</v>
      </c>
      <c r="G3876" s="18" t="s">
        <v>23</v>
      </c>
      <c r="H3876" s="17">
        <v>26.82</v>
      </c>
      <c r="I3876" s="15">
        <v>45.5</v>
      </c>
      <c r="J3876" s="21">
        <f t="shared" si="180"/>
        <v>0.69649515287099173</v>
      </c>
      <c r="K3876" s="1">
        <v>2</v>
      </c>
      <c r="L3876" s="24">
        <v>4.5</v>
      </c>
      <c r="M3876" s="24">
        <v>40.950000000000003</v>
      </c>
      <c r="N3876" s="21">
        <f t="shared" si="181"/>
        <v>0.52684563758389269</v>
      </c>
      <c r="P3876" s="1">
        <v>4</v>
      </c>
      <c r="Q3876" s="24">
        <v>5.4600000000000009</v>
      </c>
      <c r="R3876" s="24">
        <v>40.04</v>
      </c>
      <c r="S3876" s="21">
        <f t="shared" si="182"/>
        <v>0.49291573452647275</v>
      </c>
    </row>
    <row r="3877" spans="2:19" ht="11.4" customHeight="1" x14ac:dyDescent="0.2">
      <c r="B3877" s="24"/>
      <c r="C3877" s="14">
        <v>32404</v>
      </c>
      <c r="D3877" s="18" t="s">
        <v>4045</v>
      </c>
      <c r="E3877" s="18" t="s">
        <v>4022</v>
      </c>
      <c r="F3877" s="17">
        <v>5</v>
      </c>
      <c r="G3877" s="18" t="s">
        <v>902</v>
      </c>
      <c r="H3877" s="17">
        <v>68.5</v>
      </c>
      <c r="I3877" s="15">
        <v>104.9</v>
      </c>
      <c r="J3877" s="21">
        <f t="shared" si="180"/>
        <v>0.5313868613138687</v>
      </c>
      <c r="K3877" s="1">
        <v>1</v>
      </c>
      <c r="L3877" s="24">
        <v>10.4</v>
      </c>
      <c r="M3877" s="24">
        <v>94.410000000000011</v>
      </c>
      <c r="N3877" s="21">
        <f t="shared" si="181"/>
        <v>0.37824817518248188</v>
      </c>
      <c r="P3877" s="1">
        <v>5</v>
      </c>
      <c r="Q3877" s="24">
        <v>10.489999999999995</v>
      </c>
      <c r="R3877" s="24">
        <v>94.410000000000011</v>
      </c>
      <c r="S3877" s="21">
        <f t="shared" si="182"/>
        <v>0.37824817518248188</v>
      </c>
    </row>
    <row r="3878" spans="2:19" ht="11.4" customHeight="1" x14ac:dyDescent="0.2">
      <c r="B3878" s="24"/>
      <c r="C3878" s="14">
        <v>44096</v>
      </c>
      <c r="D3878" s="18" t="s">
        <v>4046</v>
      </c>
      <c r="E3878" s="18" t="s">
        <v>3818</v>
      </c>
      <c r="F3878" s="18"/>
      <c r="G3878" s="18" t="s">
        <v>23</v>
      </c>
      <c r="H3878" s="17">
        <v>41.52</v>
      </c>
      <c r="I3878" s="15">
        <v>55.5</v>
      </c>
      <c r="J3878" s="21">
        <f t="shared" si="180"/>
        <v>0.33670520231213863</v>
      </c>
      <c r="K3878" s="1">
        <v>2</v>
      </c>
      <c r="L3878" s="24">
        <v>5.5</v>
      </c>
      <c r="M3878" s="24">
        <v>49.95</v>
      </c>
      <c r="N3878" s="21">
        <f t="shared" si="181"/>
        <v>0.20303468208092484</v>
      </c>
      <c r="P3878" s="1">
        <v>4</v>
      </c>
      <c r="Q3878" s="24">
        <v>6.6599999999999966</v>
      </c>
      <c r="R3878" s="24">
        <v>48.84</v>
      </c>
      <c r="S3878" s="21">
        <f t="shared" si="182"/>
        <v>0.17630057803468208</v>
      </c>
    </row>
    <row r="3879" spans="2:19" ht="11.4" customHeight="1" x14ac:dyDescent="0.2">
      <c r="B3879" s="24"/>
      <c r="C3879" s="14">
        <v>30229</v>
      </c>
      <c r="D3879" s="18" t="s">
        <v>4047</v>
      </c>
      <c r="E3879" s="18" t="s">
        <v>3818</v>
      </c>
      <c r="F3879" s="18"/>
      <c r="G3879" s="18" t="s">
        <v>23</v>
      </c>
      <c r="H3879" s="17">
        <v>44.34</v>
      </c>
      <c r="I3879" s="15">
        <v>54.5</v>
      </c>
      <c r="J3879" s="21">
        <f t="shared" si="180"/>
        <v>0.2291384754172304</v>
      </c>
      <c r="K3879" s="1">
        <v>2</v>
      </c>
      <c r="L3879" s="24">
        <v>5.4</v>
      </c>
      <c r="M3879" s="24">
        <v>49.050000000000004</v>
      </c>
      <c r="N3879" s="21">
        <f t="shared" si="181"/>
        <v>0.10622462787550746</v>
      </c>
      <c r="P3879" s="1">
        <v>4</v>
      </c>
      <c r="Q3879" s="24">
        <v>6.5399999999999991</v>
      </c>
      <c r="R3879" s="24">
        <v>47.96</v>
      </c>
      <c r="S3879" s="21">
        <f t="shared" si="182"/>
        <v>8.164185836716277E-2</v>
      </c>
    </row>
    <row r="3880" spans="2:19" ht="11.4" customHeight="1" x14ac:dyDescent="0.2">
      <c r="B3880" s="24"/>
      <c r="C3880" s="14">
        <v>44881</v>
      </c>
      <c r="D3880" s="18" t="s">
        <v>4048</v>
      </c>
      <c r="E3880" s="18" t="s">
        <v>3818</v>
      </c>
      <c r="F3880" s="18"/>
      <c r="G3880" s="18" t="s">
        <v>23</v>
      </c>
      <c r="H3880" s="17">
        <v>44.52</v>
      </c>
      <c r="I3880" s="15">
        <v>53.5</v>
      </c>
      <c r="J3880" s="21">
        <f t="shared" si="180"/>
        <v>0.20170709793351294</v>
      </c>
      <c r="K3880" s="1">
        <v>2</v>
      </c>
      <c r="L3880" s="24">
        <v>5.3</v>
      </c>
      <c r="M3880" s="24">
        <v>48.15</v>
      </c>
      <c r="N3880" s="21">
        <f t="shared" si="181"/>
        <v>8.153638814016162E-2</v>
      </c>
      <c r="P3880" s="1">
        <v>4</v>
      </c>
      <c r="Q3880" s="24">
        <v>6.4200000000000017</v>
      </c>
      <c r="R3880" s="24">
        <v>47.08</v>
      </c>
      <c r="S3880" s="21">
        <f t="shared" si="182"/>
        <v>5.750224618149135E-2</v>
      </c>
    </row>
    <row r="3881" spans="2:19" ht="11.4" customHeight="1" x14ac:dyDescent="0.2">
      <c r="B3881" s="24"/>
      <c r="C3881" s="14">
        <v>44874</v>
      </c>
      <c r="D3881" s="18" t="s">
        <v>4049</v>
      </c>
      <c r="E3881" s="18" t="s">
        <v>3818</v>
      </c>
      <c r="F3881" s="18"/>
      <c r="G3881" s="18" t="s">
        <v>23</v>
      </c>
      <c r="H3881" s="17">
        <v>43.8</v>
      </c>
      <c r="I3881" s="15">
        <v>52.5</v>
      </c>
      <c r="J3881" s="21">
        <f t="shared" si="180"/>
        <v>0.19863013698630144</v>
      </c>
      <c r="K3881" s="1">
        <v>2</v>
      </c>
      <c r="L3881" s="24">
        <v>5.2</v>
      </c>
      <c r="M3881" s="24">
        <v>47.25</v>
      </c>
      <c r="N3881" s="21">
        <f t="shared" si="181"/>
        <v>7.8767123287671298E-2</v>
      </c>
      <c r="P3881" s="1">
        <v>4</v>
      </c>
      <c r="Q3881" s="24">
        <v>6.2999999999999972</v>
      </c>
      <c r="R3881" s="24">
        <v>46.2</v>
      </c>
      <c r="S3881" s="21">
        <f t="shared" si="182"/>
        <v>5.4794520547945341E-2</v>
      </c>
    </row>
    <row r="3882" spans="2:19" ht="11.4" customHeight="1" x14ac:dyDescent="0.2">
      <c r="B3882" s="24"/>
      <c r="C3882" s="14">
        <v>46832</v>
      </c>
      <c r="D3882" s="18" t="s">
        <v>4050</v>
      </c>
      <c r="E3882" s="18" t="s">
        <v>3818</v>
      </c>
      <c r="F3882" s="17">
        <v>12</v>
      </c>
      <c r="G3882" s="18" t="s">
        <v>23</v>
      </c>
      <c r="H3882" s="17">
        <v>44.48</v>
      </c>
      <c r="I3882" s="15">
        <v>75.5</v>
      </c>
      <c r="J3882" s="21">
        <f t="shared" si="180"/>
        <v>0.69739208633093541</v>
      </c>
      <c r="K3882" s="1">
        <v>2</v>
      </c>
      <c r="L3882" s="24">
        <v>7.5</v>
      </c>
      <c r="M3882" s="24">
        <v>67.95</v>
      </c>
      <c r="N3882" s="21">
        <f t="shared" si="181"/>
        <v>0.52765287769784186</v>
      </c>
      <c r="P3882" s="1">
        <v>4</v>
      </c>
      <c r="Q3882" s="24">
        <v>9.0600000000000023</v>
      </c>
      <c r="R3882" s="24">
        <v>66.44</v>
      </c>
      <c r="S3882" s="21">
        <f t="shared" si="182"/>
        <v>0.49370503597122306</v>
      </c>
    </row>
    <row r="3883" spans="2:19" ht="11.4" customHeight="1" x14ac:dyDescent="0.2">
      <c r="B3883" s="24"/>
      <c r="C3883" s="14">
        <v>30821</v>
      </c>
      <c r="D3883" s="18" t="s">
        <v>4051</v>
      </c>
      <c r="E3883" s="18" t="s">
        <v>4052</v>
      </c>
      <c r="F3883" s="17">
        <v>1</v>
      </c>
      <c r="G3883" s="18" t="s">
        <v>902</v>
      </c>
      <c r="H3883" s="17">
        <v>178</v>
      </c>
      <c r="I3883" s="15">
        <v>190.9</v>
      </c>
      <c r="J3883" s="21">
        <f t="shared" si="180"/>
        <v>7.247191011235958E-2</v>
      </c>
      <c r="K3883" s="1">
        <v>1</v>
      </c>
      <c r="L3883" s="24">
        <v>19</v>
      </c>
      <c r="M3883" s="24">
        <v>171.81</v>
      </c>
      <c r="N3883" s="21">
        <f t="shared" si="181"/>
        <v>-3.4775280898876389E-2</v>
      </c>
      <c r="P3883" s="1">
        <v>5</v>
      </c>
      <c r="Q3883" s="24">
        <v>19.090000000000003</v>
      </c>
      <c r="R3883" s="24">
        <v>171.81</v>
      </c>
      <c r="S3883" s="21">
        <f t="shared" si="182"/>
        <v>-3.4775280898876389E-2</v>
      </c>
    </row>
    <row r="3884" spans="2:19" ht="11.4" customHeight="1" x14ac:dyDescent="0.2">
      <c r="B3884" s="24"/>
      <c r="C3884" s="14">
        <v>40741</v>
      </c>
      <c r="D3884" s="18" t="s">
        <v>4053</v>
      </c>
      <c r="E3884" s="18" t="s">
        <v>3911</v>
      </c>
      <c r="F3884" s="17">
        <v>65</v>
      </c>
      <c r="G3884" s="18" t="s">
        <v>23</v>
      </c>
      <c r="H3884" s="17">
        <v>15.3</v>
      </c>
      <c r="I3884" s="15">
        <v>19.899999999999999</v>
      </c>
      <c r="J3884" s="21">
        <f t="shared" si="180"/>
        <v>0.30065359477124165</v>
      </c>
      <c r="K3884" s="1">
        <v>2</v>
      </c>
      <c r="L3884" s="24">
        <v>1.9</v>
      </c>
      <c r="M3884" s="24">
        <v>17.91</v>
      </c>
      <c r="N3884" s="21">
        <f t="shared" si="181"/>
        <v>0.1705882352941176</v>
      </c>
      <c r="P3884" s="1">
        <v>4</v>
      </c>
      <c r="Q3884" s="24">
        <v>2.3879999999999981</v>
      </c>
      <c r="R3884" s="24">
        <v>17.512</v>
      </c>
      <c r="S3884" s="21">
        <f t="shared" si="182"/>
        <v>0.14457516339869278</v>
      </c>
    </row>
    <row r="3885" spans="2:19" ht="11.4" customHeight="1" x14ac:dyDescent="0.2">
      <c r="B3885" s="24"/>
      <c r="C3885" s="14">
        <v>44898</v>
      </c>
      <c r="D3885" s="18" t="s">
        <v>4054</v>
      </c>
      <c r="E3885" s="18" t="s">
        <v>3911</v>
      </c>
      <c r="F3885" s="18"/>
      <c r="G3885" s="18" t="s">
        <v>23</v>
      </c>
      <c r="H3885" s="17">
        <v>15.18</v>
      </c>
      <c r="I3885" s="15">
        <v>18.5</v>
      </c>
      <c r="J3885" s="21">
        <f t="shared" si="180"/>
        <v>0.21870882740447961</v>
      </c>
      <c r="K3885" s="1">
        <v>2</v>
      </c>
      <c r="L3885" s="24">
        <v>1.8</v>
      </c>
      <c r="M3885" s="24">
        <v>16.650000000000002</v>
      </c>
      <c r="N3885" s="21">
        <f t="shared" si="181"/>
        <v>9.6837944664031783E-2</v>
      </c>
      <c r="P3885" s="1">
        <v>4</v>
      </c>
      <c r="Q3885" s="24">
        <v>2.2199999999999989</v>
      </c>
      <c r="R3885" s="24">
        <v>16.28</v>
      </c>
      <c r="S3885" s="21">
        <f t="shared" si="182"/>
        <v>7.2463768115942129E-2</v>
      </c>
    </row>
    <row r="3886" spans="2:19" ht="11.4" customHeight="1" x14ac:dyDescent="0.2">
      <c r="B3886" s="24"/>
      <c r="C3886" s="14">
        <v>35118</v>
      </c>
      <c r="D3886" s="18" t="s">
        <v>4055</v>
      </c>
      <c r="E3886" s="18" t="s">
        <v>3911</v>
      </c>
      <c r="F3886" s="17">
        <v>20</v>
      </c>
      <c r="G3886" s="18" t="s">
        <v>23</v>
      </c>
      <c r="H3886" s="17">
        <v>29.9</v>
      </c>
      <c r="I3886" s="15">
        <v>29.9</v>
      </c>
      <c r="J3886" s="21">
        <f t="shared" si="180"/>
        <v>0</v>
      </c>
      <c r="K3886" s="1">
        <v>2</v>
      </c>
      <c r="L3886" s="24">
        <v>2.9</v>
      </c>
      <c r="M3886" s="24">
        <v>26.91</v>
      </c>
      <c r="N3886" s="21">
        <f t="shared" si="181"/>
        <v>-9.999999999999995E-2</v>
      </c>
      <c r="P3886" s="1">
        <v>4</v>
      </c>
      <c r="Q3886" s="24">
        <v>3.588000000000001</v>
      </c>
      <c r="R3886" s="24">
        <v>26.311999999999998</v>
      </c>
      <c r="S3886" s="21">
        <f t="shared" si="182"/>
        <v>-0.12000000000000004</v>
      </c>
    </row>
    <row r="3887" spans="2:19" ht="11.4" customHeight="1" x14ac:dyDescent="0.2">
      <c r="B3887" s="24"/>
      <c r="C3887" s="14">
        <v>44103</v>
      </c>
      <c r="D3887" s="18" t="s">
        <v>4056</v>
      </c>
      <c r="E3887" s="18" t="s">
        <v>3911</v>
      </c>
      <c r="F3887" s="18"/>
      <c r="G3887" s="18" t="s">
        <v>23</v>
      </c>
      <c r="H3887" s="17">
        <v>14.58</v>
      </c>
      <c r="I3887" s="15">
        <v>18.899999999999999</v>
      </c>
      <c r="J3887" s="21">
        <f t="shared" si="180"/>
        <v>0.29629629629629617</v>
      </c>
      <c r="K3887" s="1">
        <v>2</v>
      </c>
      <c r="L3887" s="24">
        <v>1.8</v>
      </c>
      <c r="M3887" s="24">
        <v>17.009999999999998</v>
      </c>
      <c r="N3887" s="21">
        <f t="shared" si="181"/>
        <v>0.16666666666666652</v>
      </c>
      <c r="P3887" s="1">
        <v>4</v>
      </c>
      <c r="Q3887" s="24">
        <v>2.2680000000000007</v>
      </c>
      <c r="R3887" s="24">
        <v>16.631999999999998</v>
      </c>
      <c r="S3887" s="21">
        <f t="shared" si="182"/>
        <v>0.14074074074074058</v>
      </c>
    </row>
    <row r="3888" spans="2:19" ht="11.4" customHeight="1" x14ac:dyDescent="0.2">
      <c r="B3888" s="24"/>
      <c r="C3888" s="14">
        <v>44890</v>
      </c>
      <c r="D3888" s="18" t="s">
        <v>4057</v>
      </c>
      <c r="E3888" s="18" t="s">
        <v>3911</v>
      </c>
      <c r="F3888" s="18"/>
      <c r="G3888" s="18" t="s">
        <v>23</v>
      </c>
      <c r="H3888" s="17">
        <v>33.6</v>
      </c>
      <c r="I3888" s="15">
        <v>40.5</v>
      </c>
      <c r="J3888" s="21">
        <f t="shared" si="180"/>
        <v>0.20535714285714279</v>
      </c>
      <c r="K3888" s="1">
        <v>2</v>
      </c>
      <c r="L3888" s="24">
        <v>4</v>
      </c>
      <c r="M3888" s="24">
        <v>36.450000000000003</v>
      </c>
      <c r="N3888" s="21">
        <f t="shared" si="181"/>
        <v>8.4821428571428617E-2</v>
      </c>
      <c r="P3888" s="1">
        <v>4</v>
      </c>
      <c r="Q3888" s="24">
        <v>4.8599999999999994</v>
      </c>
      <c r="R3888" s="24">
        <v>35.64</v>
      </c>
      <c r="S3888" s="21">
        <f t="shared" si="182"/>
        <v>6.0714285714285686E-2</v>
      </c>
    </row>
    <row r="3889" spans="2:19" ht="11.4" customHeight="1" x14ac:dyDescent="0.2">
      <c r="B3889" s="24"/>
      <c r="C3889" s="14">
        <v>44896</v>
      </c>
      <c r="D3889" s="18" t="s">
        <v>4058</v>
      </c>
      <c r="E3889" s="18" t="s">
        <v>3911</v>
      </c>
      <c r="F3889" s="18"/>
      <c r="G3889" s="18" t="s">
        <v>23</v>
      </c>
      <c r="H3889" s="17">
        <v>57.25</v>
      </c>
      <c r="I3889" s="15">
        <v>68.900000000000006</v>
      </c>
      <c r="J3889" s="21">
        <f t="shared" si="180"/>
        <v>0.20349344978165948</v>
      </c>
      <c r="K3889" s="1">
        <v>2</v>
      </c>
      <c r="L3889" s="24">
        <v>6.8</v>
      </c>
      <c r="M3889" s="24">
        <v>62.010000000000005</v>
      </c>
      <c r="N3889" s="21">
        <f t="shared" si="181"/>
        <v>8.3144104803493546E-2</v>
      </c>
      <c r="P3889" s="1">
        <v>4</v>
      </c>
      <c r="Q3889" s="24">
        <v>8.2680000000000007</v>
      </c>
      <c r="R3889" s="24">
        <v>60.632000000000005</v>
      </c>
      <c r="S3889" s="21">
        <f t="shared" si="182"/>
        <v>5.9074235807860351E-2</v>
      </c>
    </row>
    <row r="3890" spans="2:19" ht="11.4" customHeight="1" x14ac:dyDescent="0.2">
      <c r="B3890" s="24"/>
      <c r="C3890" s="14">
        <v>35119</v>
      </c>
      <c r="D3890" s="18" t="s">
        <v>4059</v>
      </c>
      <c r="E3890" s="18" t="s">
        <v>3911</v>
      </c>
      <c r="F3890" s="17">
        <v>20</v>
      </c>
      <c r="G3890" s="18" t="s">
        <v>23</v>
      </c>
      <c r="H3890" s="17">
        <v>29.9</v>
      </c>
      <c r="I3890" s="15">
        <v>29.9</v>
      </c>
      <c r="J3890" s="21">
        <f t="shared" si="180"/>
        <v>0</v>
      </c>
      <c r="K3890" s="1">
        <v>2</v>
      </c>
      <c r="L3890" s="24">
        <v>2.9</v>
      </c>
      <c r="M3890" s="24">
        <v>26.91</v>
      </c>
      <c r="N3890" s="21">
        <f t="shared" si="181"/>
        <v>-9.999999999999995E-2</v>
      </c>
      <c r="P3890" s="1">
        <v>4</v>
      </c>
      <c r="Q3890" s="24">
        <v>3.588000000000001</v>
      </c>
      <c r="R3890" s="24">
        <v>26.311999999999998</v>
      </c>
      <c r="S3890" s="21">
        <f t="shared" si="182"/>
        <v>-0.12000000000000004</v>
      </c>
    </row>
    <row r="3891" spans="2:19" ht="11.4" customHeight="1" x14ac:dyDescent="0.2">
      <c r="B3891" s="24"/>
      <c r="C3891" s="14">
        <v>34980</v>
      </c>
      <c r="D3891" s="18" t="s">
        <v>4060</v>
      </c>
      <c r="E3891" s="18" t="s">
        <v>3911</v>
      </c>
      <c r="F3891" s="18"/>
      <c r="G3891" s="18" t="s">
        <v>23</v>
      </c>
      <c r="H3891" s="17">
        <v>12.72</v>
      </c>
      <c r="I3891" s="15">
        <v>14.5</v>
      </c>
      <c r="J3891" s="21">
        <f t="shared" si="180"/>
        <v>0.13993710691823893</v>
      </c>
      <c r="K3891" s="1">
        <v>2</v>
      </c>
      <c r="L3891" s="24">
        <v>1.4</v>
      </c>
      <c r="M3891" s="24">
        <v>13.05</v>
      </c>
      <c r="N3891" s="21">
        <f t="shared" si="181"/>
        <v>2.5943396226415099E-2</v>
      </c>
      <c r="P3891" s="1">
        <v>4</v>
      </c>
      <c r="Q3891" s="24">
        <v>1.7400000000000002</v>
      </c>
      <c r="R3891" s="24">
        <v>12.76</v>
      </c>
      <c r="S3891" s="21">
        <f t="shared" si="182"/>
        <v>3.1446540880502474E-3</v>
      </c>
    </row>
    <row r="3892" spans="2:19" ht="11.4" customHeight="1" x14ac:dyDescent="0.2">
      <c r="B3892" s="24"/>
      <c r="C3892" s="14">
        <v>30460</v>
      </c>
      <c r="D3892" s="18" t="s">
        <v>4061</v>
      </c>
      <c r="E3892" s="18" t="s">
        <v>4052</v>
      </c>
      <c r="F3892" s="17">
        <v>4</v>
      </c>
      <c r="G3892" s="18" t="s">
        <v>902</v>
      </c>
      <c r="H3892" s="17">
        <v>115.5</v>
      </c>
      <c r="I3892" s="15">
        <v>158.9</v>
      </c>
      <c r="J3892" s="21">
        <f t="shared" si="180"/>
        <v>0.37575757575757579</v>
      </c>
      <c r="K3892" s="1">
        <v>1</v>
      </c>
      <c r="L3892" s="24">
        <v>15.8</v>
      </c>
      <c r="M3892" s="24">
        <v>143.01000000000002</v>
      </c>
      <c r="N3892" s="21">
        <f t="shared" si="181"/>
        <v>0.23818181818181836</v>
      </c>
      <c r="P3892" s="1">
        <v>5</v>
      </c>
      <c r="Q3892" s="24">
        <v>15.889999999999986</v>
      </c>
      <c r="R3892" s="24">
        <v>143.01000000000002</v>
      </c>
      <c r="S3892" s="21">
        <f t="shared" si="182"/>
        <v>0.23818181818181836</v>
      </c>
    </row>
    <row r="3893" spans="2:19" ht="11.4" customHeight="1" x14ac:dyDescent="0.2">
      <c r="B3893" s="24"/>
      <c r="C3893" s="14">
        <v>30459</v>
      </c>
      <c r="D3893" s="18" t="s">
        <v>4062</v>
      </c>
      <c r="E3893" s="18" t="s">
        <v>4052</v>
      </c>
      <c r="F3893" s="17">
        <v>1</v>
      </c>
      <c r="G3893" s="18" t="s">
        <v>902</v>
      </c>
      <c r="H3893" s="17">
        <v>115.3</v>
      </c>
      <c r="I3893" s="15">
        <v>158.9</v>
      </c>
      <c r="J3893" s="21">
        <f t="shared" si="180"/>
        <v>0.37814397224631402</v>
      </c>
      <c r="K3893" s="1">
        <v>1</v>
      </c>
      <c r="L3893" s="24">
        <v>15.8</v>
      </c>
      <c r="M3893" s="24">
        <v>143.01000000000002</v>
      </c>
      <c r="N3893" s="21">
        <f t="shared" si="181"/>
        <v>0.24032957502168276</v>
      </c>
      <c r="P3893" s="1">
        <v>5</v>
      </c>
      <c r="Q3893" s="24">
        <v>15.889999999999986</v>
      </c>
      <c r="R3893" s="24">
        <v>143.01000000000002</v>
      </c>
      <c r="S3893" s="21">
        <f t="shared" si="182"/>
        <v>0.24032957502168276</v>
      </c>
    </row>
    <row r="3894" spans="2:19" ht="11.4" customHeight="1" x14ac:dyDescent="0.2">
      <c r="B3894" s="24"/>
      <c r="C3894" s="14">
        <v>34981</v>
      </c>
      <c r="D3894" s="18" t="s">
        <v>4063</v>
      </c>
      <c r="E3894" s="18" t="s">
        <v>3911</v>
      </c>
      <c r="F3894" s="18"/>
      <c r="G3894" s="18" t="s">
        <v>23</v>
      </c>
      <c r="H3894" s="17">
        <v>12.72</v>
      </c>
      <c r="I3894" s="15">
        <v>14.5</v>
      </c>
      <c r="J3894" s="21">
        <f t="shared" si="180"/>
        <v>0.13993710691823893</v>
      </c>
      <c r="K3894" s="1">
        <v>2</v>
      </c>
      <c r="L3894" s="24">
        <v>1.4</v>
      </c>
      <c r="M3894" s="24">
        <v>13.05</v>
      </c>
      <c r="N3894" s="21">
        <f t="shared" si="181"/>
        <v>2.5943396226415099E-2</v>
      </c>
      <c r="P3894" s="1">
        <v>4</v>
      </c>
      <c r="Q3894" s="24">
        <v>1.7400000000000002</v>
      </c>
      <c r="R3894" s="24">
        <v>12.76</v>
      </c>
      <c r="S3894" s="21">
        <f t="shared" si="182"/>
        <v>3.1446540880502474E-3</v>
      </c>
    </row>
    <row r="3895" spans="2:19" ht="11.4" customHeight="1" x14ac:dyDescent="0.2">
      <c r="B3895" s="24"/>
      <c r="C3895" s="14">
        <v>44106</v>
      </c>
      <c r="D3895" s="18" t="s">
        <v>4064</v>
      </c>
      <c r="E3895" s="18" t="s">
        <v>4065</v>
      </c>
      <c r="F3895" s="18"/>
      <c r="G3895" s="18" t="s">
        <v>23</v>
      </c>
      <c r="H3895" s="17">
        <v>32.340000000000003</v>
      </c>
      <c r="I3895" s="15">
        <v>36.9</v>
      </c>
      <c r="J3895" s="21">
        <f t="shared" si="180"/>
        <v>0.14100185528756942</v>
      </c>
      <c r="K3895" s="1">
        <v>2</v>
      </c>
      <c r="L3895" s="24">
        <v>3.6</v>
      </c>
      <c r="M3895" s="24">
        <v>33.21</v>
      </c>
      <c r="N3895" s="21">
        <f t="shared" si="181"/>
        <v>2.6901669758812533E-2</v>
      </c>
      <c r="P3895" s="1">
        <v>4</v>
      </c>
      <c r="Q3895" s="24">
        <v>4.4279999999999973</v>
      </c>
      <c r="R3895" s="24">
        <v>32.472000000000001</v>
      </c>
      <c r="S3895" s="21">
        <f t="shared" si="182"/>
        <v>4.0816326530611589E-3</v>
      </c>
    </row>
    <row r="3896" spans="2:19" ht="11.4" customHeight="1" x14ac:dyDescent="0.2">
      <c r="B3896" s="24"/>
      <c r="C3896" s="14">
        <v>32244</v>
      </c>
      <c r="D3896" s="18" t="s">
        <v>4066</v>
      </c>
      <c r="E3896" s="18" t="s">
        <v>4067</v>
      </c>
      <c r="F3896" s="17">
        <v>4</v>
      </c>
      <c r="G3896" s="18" t="s">
        <v>902</v>
      </c>
      <c r="H3896" s="17">
        <v>136.9</v>
      </c>
      <c r="I3896" s="15">
        <v>175.9</v>
      </c>
      <c r="J3896" s="21">
        <f t="shared" si="180"/>
        <v>0.28487947406866326</v>
      </c>
      <c r="K3896" s="1">
        <v>1</v>
      </c>
      <c r="L3896" s="24">
        <v>17.5</v>
      </c>
      <c r="M3896" s="24">
        <v>158.31</v>
      </c>
      <c r="N3896" s="21">
        <f t="shared" si="181"/>
        <v>0.1563915266617969</v>
      </c>
      <c r="P3896" s="1">
        <v>5</v>
      </c>
      <c r="Q3896" s="24">
        <v>17.590000000000003</v>
      </c>
      <c r="R3896" s="24">
        <v>158.31</v>
      </c>
      <c r="S3896" s="21">
        <f t="shared" si="182"/>
        <v>0.1563915266617969</v>
      </c>
    </row>
    <row r="3897" spans="2:19" ht="11.4" customHeight="1" x14ac:dyDescent="0.2">
      <c r="B3897" s="24"/>
      <c r="C3897" s="14">
        <v>312</v>
      </c>
      <c r="D3897" s="18" t="s">
        <v>4068</v>
      </c>
      <c r="E3897" s="18" t="s">
        <v>4065</v>
      </c>
      <c r="F3897" s="18"/>
      <c r="G3897" s="18" t="s">
        <v>23</v>
      </c>
      <c r="H3897" s="17">
        <v>37.32</v>
      </c>
      <c r="I3897" s="15">
        <v>49.9</v>
      </c>
      <c r="J3897" s="21">
        <f t="shared" si="180"/>
        <v>0.33708467309753476</v>
      </c>
      <c r="K3897" s="1">
        <v>2</v>
      </c>
      <c r="L3897" s="24">
        <v>4.9000000000000004</v>
      </c>
      <c r="M3897" s="24">
        <v>44.91</v>
      </c>
      <c r="N3897" s="21">
        <f t="shared" si="181"/>
        <v>0.20337620578778126</v>
      </c>
      <c r="P3897" s="1">
        <v>4</v>
      </c>
      <c r="Q3897" s="24">
        <v>5.9879999999999995</v>
      </c>
      <c r="R3897" s="24">
        <v>43.911999999999999</v>
      </c>
      <c r="S3897" s="21">
        <f t="shared" si="182"/>
        <v>0.17663451232583061</v>
      </c>
    </row>
    <row r="3898" spans="2:19" ht="11.4" customHeight="1" x14ac:dyDescent="0.2">
      <c r="B3898" s="24"/>
      <c r="C3898" s="14">
        <v>45502</v>
      </c>
      <c r="D3898" s="18" t="s">
        <v>4069</v>
      </c>
      <c r="E3898" s="18" t="s">
        <v>4067</v>
      </c>
      <c r="F3898" s="17">
        <v>4</v>
      </c>
      <c r="G3898" s="18" t="s">
        <v>902</v>
      </c>
      <c r="H3898" s="17">
        <v>104.94</v>
      </c>
      <c r="I3898" s="15">
        <v>151.9</v>
      </c>
      <c r="J3898" s="21">
        <f t="shared" si="180"/>
        <v>0.44749380598437211</v>
      </c>
      <c r="K3898" s="1">
        <v>1</v>
      </c>
      <c r="L3898" s="24">
        <v>15.1</v>
      </c>
      <c r="M3898" s="24">
        <v>136.71</v>
      </c>
      <c r="N3898" s="21">
        <f t="shared" si="181"/>
        <v>0.30274442538593493</v>
      </c>
      <c r="P3898" s="1">
        <v>5</v>
      </c>
      <c r="Q3898" s="24">
        <v>15.189999999999998</v>
      </c>
      <c r="R3898" s="24">
        <v>136.71</v>
      </c>
      <c r="S3898" s="21">
        <f t="shared" si="182"/>
        <v>0.30274442538593493</v>
      </c>
    </row>
    <row r="3899" spans="2:19" ht="11.4" customHeight="1" x14ac:dyDescent="0.2">
      <c r="B3899" s="24"/>
      <c r="C3899" s="14">
        <v>7668</v>
      </c>
      <c r="D3899" s="18" t="s">
        <v>4070</v>
      </c>
      <c r="E3899" s="18" t="s">
        <v>4067</v>
      </c>
      <c r="F3899" s="18"/>
      <c r="G3899" s="18" t="s">
        <v>902</v>
      </c>
      <c r="H3899" s="18"/>
      <c r="I3899" s="15">
        <v>134.9</v>
      </c>
      <c r="J3899" s="21" t="e">
        <f t="shared" si="180"/>
        <v>#DIV/0!</v>
      </c>
      <c r="K3899" s="1">
        <v>1</v>
      </c>
      <c r="L3899" s="24">
        <v>13.4</v>
      </c>
      <c r="M3899" s="24">
        <v>121.41000000000001</v>
      </c>
      <c r="N3899" s="21" t="e">
        <f t="shared" si="181"/>
        <v>#DIV/0!</v>
      </c>
      <c r="P3899" s="1">
        <v>5</v>
      </c>
      <c r="Q3899" s="24">
        <v>13.489999999999995</v>
      </c>
      <c r="R3899" s="24">
        <v>121.41000000000001</v>
      </c>
      <c r="S3899" s="21" t="e">
        <f t="shared" si="182"/>
        <v>#DIV/0!</v>
      </c>
    </row>
    <row r="3900" spans="2:19" ht="11.4" customHeight="1" x14ac:dyDescent="0.2">
      <c r="B3900" s="24"/>
      <c r="C3900" s="14">
        <v>30462</v>
      </c>
      <c r="D3900" s="18" t="s">
        <v>4071</v>
      </c>
      <c r="E3900" s="18" t="s">
        <v>4072</v>
      </c>
      <c r="F3900" s="17">
        <v>5</v>
      </c>
      <c r="G3900" s="18" t="s">
        <v>902</v>
      </c>
      <c r="H3900" s="17">
        <v>102.5</v>
      </c>
      <c r="I3900" s="15">
        <v>128.9</v>
      </c>
      <c r="J3900" s="21">
        <f t="shared" si="180"/>
        <v>0.25756097560975616</v>
      </c>
      <c r="K3900" s="1">
        <v>1</v>
      </c>
      <c r="L3900" s="24">
        <v>12.8</v>
      </c>
      <c r="M3900" s="24">
        <v>116.01</v>
      </c>
      <c r="N3900" s="21">
        <f t="shared" si="181"/>
        <v>0.13180487804878055</v>
      </c>
      <c r="P3900" s="1">
        <v>5</v>
      </c>
      <c r="Q3900" s="24">
        <v>12.89</v>
      </c>
      <c r="R3900" s="24">
        <v>116.01</v>
      </c>
      <c r="S3900" s="21">
        <f t="shared" si="182"/>
        <v>0.13180487804878055</v>
      </c>
    </row>
    <row r="3901" spans="2:19" ht="11.4" customHeight="1" x14ac:dyDescent="0.2">
      <c r="B3901" s="24"/>
      <c r="C3901" s="14">
        <v>42779</v>
      </c>
      <c r="D3901" s="18" t="s">
        <v>4073</v>
      </c>
      <c r="E3901" s="18" t="s">
        <v>4072</v>
      </c>
      <c r="F3901" s="18"/>
      <c r="G3901" s="18" t="s">
        <v>902</v>
      </c>
      <c r="H3901" s="17">
        <v>108.36</v>
      </c>
      <c r="I3901" s="15">
        <v>143.5</v>
      </c>
      <c r="J3901" s="21">
        <f t="shared" si="180"/>
        <v>0.32428940568475451</v>
      </c>
      <c r="K3901" s="1">
        <v>1</v>
      </c>
      <c r="L3901" s="24">
        <v>14.3</v>
      </c>
      <c r="M3901" s="24">
        <v>129.15</v>
      </c>
      <c r="N3901" s="21">
        <f t="shared" si="181"/>
        <v>0.19186046511627913</v>
      </c>
      <c r="P3901" s="1">
        <v>5</v>
      </c>
      <c r="Q3901" s="24">
        <v>14.349999999999994</v>
      </c>
      <c r="R3901" s="24">
        <v>129.15</v>
      </c>
      <c r="S3901" s="21">
        <f t="shared" si="182"/>
        <v>0.19186046511627913</v>
      </c>
    </row>
    <row r="3902" spans="2:19" ht="11.4" customHeight="1" x14ac:dyDescent="0.2">
      <c r="B3902" s="24"/>
      <c r="C3902" s="14">
        <v>46840</v>
      </c>
      <c r="D3902" s="18" t="s">
        <v>4074</v>
      </c>
      <c r="E3902" s="18" t="s">
        <v>4075</v>
      </c>
      <c r="F3902" s="17">
        <v>8</v>
      </c>
      <c r="G3902" s="18" t="s">
        <v>23</v>
      </c>
      <c r="H3902" s="17">
        <v>22.24</v>
      </c>
      <c r="I3902" s="15">
        <v>37.5</v>
      </c>
      <c r="J3902" s="21">
        <f t="shared" si="180"/>
        <v>0.68615107913669071</v>
      </c>
      <c r="K3902" s="1">
        <v>2</v>
      </c>
      <c r="L3902" s="24">
        <v>3.7</v>
      </c>
      <c r="M3902" s="24">
        <v>33.75</v>
      </c>
      <c r="N3902" s="21">
        <f t="shared" si="181"/>
        <v>0.51753597122302164</v>
      </c>
      <c r="P3902" s="1">
        <v>4</v>
      </c>
      <c r="Q3902" s="24">
        <v>4.5</v>
      </c>
      <c r="R3902" s="24">
        <v>33</v>
      </c>
      <c r="S3902" s="21">
        <f t="shared" si="182"/>
        <v>0.48381294964028787</v>
      </c>
    </row>
    <row r="3903" spans="2:19" ht="11.4" customHeight="1" x14ac:dyDescent="0.2">
      <c r="B3903" s="24"/>
      <c r="C3903" s="14">
        <v>42780</v>
      </c>
      <c r="D3903" s="18" t="s">
        <v>4076</v>
      </c>
      <c r="E3903" s="18" t="s">
        <v>4072</v>
      </c>
      <c r="F3903" s="18"/>
      <c r="G3903" s="18" t="s">
        <v>902</v>
      </c>
      <c r="H3903" s="17">
        <v>111.09</v>
      </c>
      <c r="I3903" s="15">
        <v>144.5</v>
      </c>
      <c r="J3903" s="21">
        <f t="shared" si="180"/>
        <v>0.30074714195697178</v>
      </c>
      <c r="K3903" s="1">
        <v>1</v>
      </c>
      <c r="L3903" s="24">
        <v>14.4</v>
      </c>
      <c r="M3903" s="24">
        <v>130.05000000000001</v>
      </c>
      <c r="N3903" s="21">
        <f t="shared" si="181"/>
        <v>0.1706724277612747</v>
      </c>
      <c r="P3903" s="1">
        <v>5</v>
      </c>
      <c r="Q3903" s="24">
        <v>14.449999999999989</v>
      </c>
      <c r="R3903" s="24">
        <v>130.05000000000001</v>
      </c>
      <c r="S3903" s="21">
        <f t="shared" si="182"/>
        <v>0.1706724277612747</v>
      </c>
    </row>
    <row r="3904" spans="2:19" ht="11.4" customHeight="1" x14ac:dyDescent="0.2">
      <c r="B3904" s="24"/>
      <c r="C3904" s="14">
        <v>46841</v>
      </c>
      <c r="D3904" s="18" t="s">
        <v>4077</v>
      </c>
      <c r="E3904" s="18" t="s">
        <v>4075</v>
      </c>
      <c r="F3904" s="17">
        <v>8</v>
      </c>
      <c r="G3904" s="18" t="s">
        <v>23</v>
      </c>
      <c r="H3904" s="17">
        <v>22.24</v>
      </c>
      <c r="I3904" s="15">
        <v>37.5</v>
      </c>
      <c r="J3904" s="21">
        <f t="shared" si="180"/>
        <v>0.68615107913669071</v>
      </c>
      <c r="K3904" s="1">
        <v>2</v>
      </c>
      <c r="L3904" s="24">
        <v>3.7</v>
      </c>
      <c r="M3904" s="24">
        <v>33.75</v>
      </c>
      <c r="N3904" s="21">
        <f t="shared" si="181"/>
        <v>0.51753597122302164</v>
      </c>
      <c r="P3904" s="1">
        <v>4</v>
      </c>
      <c r="Q3904" s="24">
        <v>4.5</v>
      </c>
      <c r="R3904" s="24">
        <v>33</v>
      </c>
      <c r="S3904" s="21">
        <f t="shared" si="182"/>
        <v>0.48381294964028787</v>
      </c>
    </row>
    <row r="3905" spans="2:19" ht="11.4" customHeight="1" x14ac:dyDescent="0.2">
      <c r="B3905" s="24"/>
      <c r="C3905" s="14">
        <v>7507</v>
      </c>
      <c r="D3905" s="18" t="s">
        <v>4078</v>
      </c>
      <c r="E3905" s="18" t="s">
        <v>4072</v>
      </c>
      <c r="F3905" s="18"/>
      <c r="G3905" s="18" t="s">
        <v>902</v>
      </c>
      <c r="H3905" s="18"/>
      <c r="I3905" s="15">
        <v>129.9</v>
      </c>
      <c r="J3905" s="21" t="e">
        <f t="shared" si="180"/>
        <v>#DIV/0!</v>
      </c>
      <c r="K3905" s="1">
        <v>1</v>
      </c>
      <c r="L3905" s="24">
        <v>12.9</v>
      </c>
      <c r="M3905" s="24">
        <v>116.91000000000001</v>
      </c>
      <c r="N3905" s="21" t="e">
        <f t="shared" si="181"/>
        <v>#DIV/0!</v>
      </c>
      <c r="P3905" s="1">
        <v>5</v>
      </c>
      <c r="Q3905" s="24">
        <v>12.989999999999995</v>
      </c>
      <c r="R3905" s="24">
        <v>116.91000000000001</v>
      </c>
      <c r="S3905" s="21" t="e">
        <f t="shared" si="182"/>
        <v>#DIV/0!</v>
      </c>
    </row>
    <row r="3906" spans="2:19" ht="11.4" customHeight="1" x14ac:dyDescent="0.2">
      <c r="B3906" s="24"/>
      <c r="C3906" s="14">
        <v>32243</v>
      </c>
      <c r="D3906" s="18" t="s">
        <v>4079</v>
      </c>
      <c r="E3906" s="18" t="s">
        <v>4072</v>
      </c>
      <c r="F3906" s="17">
        <v>3</v>
      </c>
      <c r="G3906" s="18" t="s">
        <v>902</v>
      </c>
      <c r="H3906" s="17">
        <v>143.1</v>
      </c>
      <c r="I3906" s="15">
        <v>179.9</v>
      </c>
      <c r="J3906" s="21">
        <f t="shared" si="180"/>
        <v>0.25716282320055917</v>
      </c>
      <c r="K3906" s="1">
        <v>1</v>
      </c>
      <c r="L3906" s="24">
        <v>17.899999999999999</v>
      </c>
      <c r="M3906" s="24">
        <v>161.91</v>
      </c>
      <c r="N3906" s="21">
        <f t="shared" si="181"/>
        <v>0.13144654088050317</v>
      </c>
      <c r="P3906" s="1">
        <v>5</v>
      </c>
      <c r="Q3906" s="24">
        <v>17.990000000000009</v>
      </c>
      <c r="R3906" s="24">
        <v>161.91</v>
      </c>
      <c r="S3906" s="21">
        <f t="shared" si="182"/>
        <v>0.13144654088050317</v>
      </c>
    </row>
    <row r="3907" spans="2:19" ht="11.4" customHeight="1" x14ac:dyDescent="0.2">
      <c r="B3907" s="24"/>
      <c r="C3907" s="14">
        <v>44105</v>
      </c>
      <c r="D3907" s="18" t="s">
        <v>4080</v>
      </c>
      <c r="E3907" s="18" t="s">
        <v>4075</v>
      </c>
      <c r="F3907" s="18"/>
      <c r="G3907" s="18" t="s">
        <v>23</v>
      </c>
      <c r="H3907" s="17">
        <v>26.58</v>
      </c>
      <c r="I3907" s="15">
        <v>39.9</v>
      </c>
      <c r="J3907" s="21">
        <f t="shared" ref="J3907:J3970" si="183">(I3907-H3907)/H3907</f>
        <v>0.50112866817155766</v>
      </c>
      <c r="K3907" s="1">
        <v>2</v>
      </c>
      <c r="L3907" s="24">
        <v>3.9</v>
      </c>
      <c r="M3907" s="24">
        <v>35.909999999999997</v>
      </c>
      <c r="N3907" s="21">
        <f t="shared" ref="N3907:N3970" si="184">(M3907-H3907)/H3907</f>
        <v>0.35101580135440175</v>
      </c>
      <c r="P3907" s="1">
        <v>4</v>
      </c>
      <c r="Q3907" s="24">
        <v>4.7879999999999967</v>
      </c>
      <c r="R3907" s="24">
        <v>35.112000000000002</v>
      </c>
      <c r="S3907" s="21">
        <f t="shared" ref="S3907:S3970" si="185">(R3907-H3907)/H3907</f>
        <v>0.3209932279909708</v>
      </c>
    </row>
    <row r="3908" spans="2:19" ht="11.4" customHeight="1" x14ac:dyDescent="0.2">
      <c r="B3908" s="24"/>
      <c r="C3908" s="14">
        <v>41000</v>
      </c>
      <c r="D3908" s="18" t="s">
        <v>4081</v>
      </c>
      <c r="E3908" s="18" t="s">
        <v>4072</v>
      </c>
      <c r="F3908" s="17">
        <v>6</v>
      </c>
      <c r="G3908" s="18" t="s">
        <v>902</v>
      </c>
      <c r="H3908" s="17">
        <v>79.16</v>
      </c>
      <c r="I3908" s="15">
        <v>118.9</v>
      </c>
      <c r="J3908" s="21">
        <f t="shared" si="183"/>
        <v>0.5020212228398182</v>
      </c>
      <c r="K3908" s="1">
        <v>1</v>
      </c>
      <c r="L3908" s="24">
        <v>11.8</v>
      </c>
      <c r="M3908" s="24">
        <v>107.01</v>
      </c>
      <c r="N3908" s="21">
        <f t="shared" si="184"/>
        <v>0.35181910055583643</v>
      </c>
      <c r="P3908" s="1">
        <v>5</v>
      </c>
      <c r="Q3908" s="24">
        <v>11.89</v>
      </c>
      <c r="R3908" s="24">
        <v>107.01</v>
      </c>
      <c r="S3908" s="21">
        <f t="shared" si="185"/>
        <v>0.35181910055583643</v>
      </c>
    </row>
    <row r="3909" spans="2:19" ht="11.4" customHeight="1" x14ac:dyDescent="0.2">
      <c r="B3909" s="24"/>
      <c r="C3909" s="14">
        <v>45503</v>
      </c>
      <c r="D3909" s="18" t="s">
        <v>4082</v>
      </c>
      <c r="E3909" s="18" t="s">
        <v>4072</v>
      </c>
      <c r="F3909" s="17">
        <v>6</v>
      </c>
      <c r="G3909" s="18" t="s">
        <v>902</v>
      </c>
      <c r="H3909" s="18"/>
      <c r="I3909" s="15">
        <v>107.9</v>
      </c>
      <c r="J3909" s="21" t="e">
        <f t="shared" si="183"/>
        <v>#DIV/0!</v>
      </c>
      <c r="K3909" s="1">
        <v>1</v>
      </c>
      <c r="L3909" s="24">
        <v>10.7</v>
      </c>
      <c r="M3909" s="24">
        <v>97.110000000000014</v>
      </c>
      <c r="N3909" s="21" t="e">
        <f t="shared" si="184"/>
        <v>#DIV/0!</v>
      </c>
      <c r="P3909" s="1">
        <v>5</v>
      </c>
      <c r="Q3909" s="24">
        <v>10.789999999999992</v>
      </c>
      <c r="R3909" s="24">
        <v>97.110000000000014</v>
      </c>
      <c r="S3909" s="21" t="e">
        <f t="shared" si="185"/>
        <v>#DIV/0!</v>
      </c>
    </row>
    <row r="3910" spans="2:19" ht="11.4" customHeight="1" x14ac:dyDescent="0.2">
      <c r="B3910" s="24"/>
      <c r="C3910" s="14">
        <v>38426</v>
      </c>
      <c r="D3910" s="18" t="s">
        <v>4083</v>
      </c>
      <c r="E3910" s="18" t="s">
        <v>4075</v>
      </c>
      <c r="F3910" s="17">
        <v>15</v>
      </c>
      <c r="G3910" s="18" t="s">
        <v>23</v>
      </c>
      <c r="H3910" s="17">
        <v>31</v>
      </c>
      <c r="I3910" s="15">
        <v>29</v>
      </c>
      <c r="J3910" s="21">
        <f t="shared" si="183"/>
        <v>-6.4516129032258063E-2</v>
      </c>
      <c r="K3910" s="1">
        <v>2</v>
      </c>
      <c r="L3910" s="24">
        <v>2.9</v>
      </c>
      <c r="M3910" s="24">
        <v>26.1</v>
      </c>
      <c r="N3910" s="21">
        <f t="shared" si="184"/>
        <v>-0.15806451612903222</v>
      </c>
      <c r="P3910" s="1">
        <v>4</v>
      </c>
      <c r="Q3910" s="24">
        <v>3.4800000000000004</v>
      </c>
      <c r="R3910" s="24">
        <v>25.52</v>
      </c>
      <c r="S3910" s="21">
        <f t="shared" si="185"/>
        <v>-0.17677419354838711</v>
      </c>
    </row>
    <row r="3911" spans="2:19" ht="11.4" customHeight="1" x14ac:dyDescent="0.2">
      <c r="B3911" s="24"/>
      <c r="C3911" s="14">
        <v>44102</v>
      </c>
      <c r="D3911" s="18" t="s">
        <v>4084</v>
      </c>
      <c r="E3911" s="18" t="s">
        <v>4075</v>
      </c>
      <c r="F3911" s="18"/>
      <c r="G3911" s="18" t="s">
        <v>23</v>
      </c>
      <c r="H3911" s="17">
        <v>32.159999999999997</v>
      </c>
      <c r="I3911" s="15">
        <v>36.9</v>
      </c>
      <c r="J3911" s="21">
        <f t="shared" si="183"/>
        <v>0.1473880597014926</v>
      </c>
      <c r="K3911" s="1">
        <v>2</v>
      </c>
      <c r="L3911" s="24">
        <v>3.6</v>
      </c>
      <c r="M3911" s="24">
        <v>33.21</v>
      </c>
      <c r="N3911" s="21">
        <f t="shared" si="184"/>
        <v>3.2649253731343419E-2</v>
      </c>
      <c r="P3911" s="1">
        <v>4</v>
      </c>
      <c r="Q3911" s="24">
        <v>4.4279999999999973</v>
      </c>
      <c r="R3911" s="24">
        <v>32.472000000000001</v>
      </c>
      <c r="S3911" s="21">
        <f t="shared" si="185"/>
        <v>9.7014925373135798E-3</v>
      </c>
    </row>
    <row r="3912" spans="2:19" ht="11.4" customHeight="1" x14ac:dyDescent="0.2">
      <c r="B3912" s="24"/>
      <c r="C3912" s="14">
        <v>44888</v>
      </c>
      <c r="D3912" s="18" t="s">
        <v>4085</v>
      </c>
      <c r="E3912" s="18" t="s">
        <v>4075</v>
      </c>
      <c r="F3912" s="18"/>
      <c r="G3912" s="18" t="s">
        <v>23</v>
      </c>
      <c r="H3912" s="17">
        <v>51.54</v>
      </c>
      <c r="I3912" s="15">
        <v>61.9</v>
      </c>
      <c r="J3912" s="21">
        <f t="shared" si="183"/>
        <v>0.20100892510671323</v>
      </c>
      <c r="K3912" s="1">
        <v>2</v>
      </c>
      <c r="L3912" s="24">
        <v>6.1</v>
      </c>
      <c r="M3912" s="24">
        <v>55.71</v>
      </c>
      <c r="N3912" s="21">
        <f t="shared" si="184"/>
        <v>8.0908032596041943E-2</v>
      </c>
      <c r="P3912" s="1">
        <v>4</v>
      </c>
      <c r="Q3912" s="24">
        <v>7.4279999999999973</v>
      </c>
      <c r="R3912" s="24">
        <v>54.472000000000001</v>
      </c>
      <c r="S3912" s="21">
        <f t="shared" si="185"/>
        <v>5.6887854093907689E-2</v>
      </c>
    </row>
    <row r="3913" spans="2:19" ht="11.4" customHeight="1" x14ac:dyDescent="0.2">
      <c r="B3913" s="24"/>
      <c r="C3913" s="14">
        <v>45549</v>
      </c>
      <c r="D3913" s="18" t="s">
        <v>4086</v>
      </c>
      <c r="E3913" s="18" t="s">
        <v>4072</v>
      </c>
      <c r="F3913" s="17">
        <v>6</v>
      </c>
      <c r="G3913" s="18" t="s">
        <v>902</v>
      </c>
      <c r="H3913" s="17">
        <v>85.44</v>
      </c>
      <c r="I3913" s="15">
        <v>112.9</v>
      </c>
      <c r="J3913" s="21">
        <f t="shared" si="183"/>
        <v>0.32139513108614243</v>
      </c>
      <c r="K3913" s="1">
        <v>1</v>
      </c>
      <c r="L3913" s="24">
        <v>11.2</v>
      </c>
      <c r="M3913" s="24">
        <v>101.61000000000001</v>
      </c>
      <c r="N3913" s="21">
        <f t="shared" si="184"/>
        <v>0.18925561797752827</v>
      </c>
      <c r="P3913" s="1">
        <v>5</v>
      </c>
      <c r="Q3913" s="24">
        <v>11.289999999999992</v>
      </c>
      <c r="R3913" s="24">
        <v>101.61000000000001</v>
      </c>
      <c r="S3913" s="21">
        <f t="shared" si="185"/>
        <v>0.18925561797752827</v>
      </c>
    </row>
    <row r="3914" spans="2:19" ht="11.4" customHeight="1" x14ac:dyDescent="0.2">
      <c r="B3914" s="24"/>
      <c r="C3914" s="14">
        <v>45504</v>
      </c>
      <c r="D3914" s="18" t="s">
        <v>4087</v>
      </c>
      <c r="E3914" s="18" t="s">
        <v>4072</v>
      </c>
      <c r="F3914" s="17">
        <v>6</v>
      </c>
      <c r="G3914" s="18" t="s">
        <v>902</v>
      </c>
      <c r="H3914" s="18"/>
      <c r="I3914" s="15">
        <v>107.9</v>
      </c>
      <c r="J3914" s="21" t="e">
        <f t="shared" si="183"/>
        <v>#DIV/0!</v>
      </c>
      <c r="K3914" s="1">
        <v>1</v>
      </c>
      <c r="L3914" s="24">
        <v>10.7</v>
      </c>
      <c r="M3914" s="24">
        <v>97.110000000000014</v>
      </c>
      <c r="N3914" s="21" t="e">
        <f t="shared" si="184"/>
        <v>#DIV/0!</v>
      </c>
      <c r="P3914" s="1">
        <v>5</v>
      </c>
      <c r="Q3914" s="24">
        <v>10.789999999999992</v>
      </c>
      <c r="R3914" s="24">
        <v>97.110000000000014</v>
      </c>
      <c r="S3914" s="21" t="e">
        <f t="shared" si="185"/>
        <v>#DIV/0!</v>
      </c>
    </row>
    <row r="3915" spans="2:19" ht="11.4" customHeight="1" x14ac:dyDescent="0.2">
      <c r="B3915" s="24"/>
      <c r="C3915" s="14">
        <v>44104</v>
      </c>
      <c r="D3915" s="18" t="s">
        <v>4088</v>
      </c>
      <c r="E3915" s="18" t="s">
        <v>4075</v>
      </c>
      <c r="F3915" s="18"/>
      <c r="G3915" s="18" t="s">
        <v>23</v>
      </c>
      <c r="H3915" s="17">
        <v>26.58</v>
      </c>
      <c r="I3915" s="15">
        <v>36.9</v>
      </c>
      <c r="J3915" s="21">
        <f t="shared" si="183"/>
        <v>0.38826185101580141</v>
      </c>
      <c r="K3915" s="1">
        <v>2</v>
      </c>
      <c r="L3915" s="24">
        <v>3.6</v>
      </c>
      <c r="M3915" s="24">
        <v>33.21</v>
      </c>
      <c r="N3915" s="21">
        <f t="shared" si="184"/>
        <v>0.24943566591422134</v>
      </c>
      <c r="P3915" s="1">
        <v>4</v>
      </c>
      <c r="Q3915" s="24">
        <v>4.4279999999999973</v>
      </c>
      <c r="R3915" s="24">
        <v>32.472000000000001</v>
      </c>
      <c r="S3915" s="21">
        <f t="shared" si="185"/>
        <v>0.22167042889390531</v>
      </c>
    </row>
    <row r="3916" spans="2:19" ht="11.4" customHeight="1" x14ac:dyDescent="0.2">
      <c r="B3916" s="24"/>
      <c r="C3916" s="14">
        <v>38427</v>
      </c>
      <c r="D3916" s="18" t="s">
        <v>4089</v>
      </c>
      <c r="E3916" s="18" t="s">
        <v>4075</v>
      </c>
      <c r="F3916" s="17">
        <v>15</v>
      </c>
      <c r="G3916" s="18" t="s">
        <v>23</v>
      </c>
      <c r="H3916" s="17">
        <v>29.6</v>
      </c>
      <c r="I3916" s="15">
        <v>27</v>
      </c>
      <c r="J3916" s="21">
        <f t="shared" si="183"/>
        <v>-8.7837837837837884E-2</v>
      </c>
      <c r="K3916" s="1">
        <v>2</v>
      </c>
      <c r="L3916" s="24">
        <v>2.7</v>
      </c>
      <c r="M3916" s="24">
        <v>24.3</v>
      </c>
      <c r="N3916" s="21">
        <f t="shared" si="184"/>
        <v>-0.17905405405405406</v>
      </c>
      <c r="P3916" s="1">
        <v>4</v>
      </c>
      <c r="Q3916" s="24">
        <v>3.2399999999999984</v>
      </c>
      <c r="R3916" s="24">
        <v>23.76</v>
      </c>
      <c r="S3916" s="21">
        <f t="shared" si="185"/>
        <v>-0.19729729729729728</v>
      </c>
    </row>
    <row r="3917" spans="2:19" ht="11.4" customHeight="1" x14ac:dyDescent="0.2">
      <c r="B3917" s="24"/>
      <c r="C3917" s="14">
        <v>44895</v>
      </c>
      <c r="D3917" s="18" t="s">
        <v>4090</v>
      </c>
      <c r="E3917" s="18" t="s">
        <v>4075</v>
      </c>
      <c r="F3917" s="18"/>
      <c r="G3917" s="18" t="s">
        <v>23</v>
      </c>
      <c r="H3917" s="17">
        <v>51.54</v>
      </c>
      <c r="I3917" s="15">
        <v>61.9</v>
      </c>
      <c r="J3917" s="21">
        <f t="shared" si="183"/>
        <v>0.20100892510671323</v>
      </c>
      <c r="K3917" s="1">
        <v>2</v>
      </c>
      <c r="L3917" s="24">
        <v>6.1</v>
      </c>
      <c r="M3917" s="24">
        <v>55.71</v>
      </c>
      <c r="N3917" s="21">
        <f t="shared" si="184"/>
        <v>8.0908032596041943E-2</v>
      </c>
      <c r="P3917" s="1">
        <v>4</v>
      </c>
      <c r="Q3917" s="24">
        <v>7.4279999999999973</v>
      </c>
      <c r="R3917" s="24">
        <v>54.472000000000001</v>
      </c>
      <c r="S3917" s="21">
        <f t="shared" si="185"/>
        <v>5.6887854093907689E-2</v>
      </c>
    </row>
    <row r="3918" spans="2:19" ht="11.4" customHeight="1" x14ac:dyDescent="0.2">
      <c r="B3918" s="24"/>
      <c r="C3918" s="14">
        <v>45505</v>
      </c>
      <c r="D3918" s="18" t="s">
        <v>4091</v>
      </c>
      <c r="E3918" s="18" t="s">
        <v>4072</v>
      </c>
      <c r="F3918" s="17">
        <v>6</v>
      </c>
      <c r="G3918" s="18" t="s">
        <v>902</v>
      </c>
      <c r="H3918" s="17">
        <v>83.4</v>
      </c>
      <c r="I3918" s="15">
        <v>119.9</v>
      </c>
      <c r="J3918" s="21">
        <f t="shared" si="183"/>
        <v>0.4376498800959232</v>
      </c>
      <c r="K3918" s="1">
        <v>1</v>
      </c>
      <c r="L3918" s="24">
        <v>11.9</v>
      </c>
      <c r="M3918" s="24">
        <v>107.91000000000001</v>
      </c>
      <c r="N3918" s="21">
        <f t="shared" si="184"/>
        <v>0.29388489208633095</v>
      </c>
      <c r="P3918" s="1">
        <v>5</v>
      </c>
      <c r="Q3918" s="24">
        <v>11.989999999999995</v>
      </c>
      <c r="R3918" s="24">
        <v>107.91000000000001</v>
      </c>
      <c r="S3918" s="21">
        <f t="shared" si="185"/>
        <v>0.29388489208633095</v>
      </c>
    </row>
    <row r="3919" spans="2:19" ht="11.4" customHeight="1" x14ac:dyDescent="0.2">
      <c r="B3919" s="24"/>
      <c r="C3919" s="14">
        <v>44897</v>
      </c>
      <c r="D3919" s="18" t="s">
        <v>4092</v>
      </c>
      <c r="E3919" s="18" t="s">
        <v>4075</v>
      </c>
      <c r="F3919" s="18"/>
      <c r="G3919" s="18" t="s">
        <v>23</v>
      </c>
      <c r="H3919" s="17">
        <v>35.340000000000003</v>
      </c>
      <c r="I3919" s="15">
        <v>49.9</v>
      </c>
      <c r="J3919" s="21">
        <f t="shared" si="183"/>
        <v>0.41199773627617414</v>
      </c>
      <c r="K3919" s="1">
        <v>2</v>
      </c>
      <c r="L3919" s="24">
        <v>4.9000000000000004</v>
      </c>
      <c r="M3919" s="24">
        <v>44.91</v>
      </c>
      <c r="N3919" s="21">
        <f t="shared" si="184"/>
        <v>0.27079796264855666</v>
      </c>
      <c r="P3919" s="1">
        <v>4</v>
      </c>
      <c r="Q3919" s="24">
        <v>5.9879999999999995</v>
      </c>
      <c r="R3919" s="24">
        <v>43.911999999999999</v>
      </c>
      <c r="S3919" s="21">
        <f t="shared" si="185"/>
        <v>0.24255800792303325</v>
      </c>
    </row>
    <row r="3920" spans="2:19" ht="11.4" customHeight="1" x14ac:dyDescent="0.2">
      <c r="B3920" s="24"/>
      <c r="C3920" s="14">
        <v>37986</v>
      </c>
      <c r="D3920" s="18" t="s">
        <v>4093</v>
      </c>
      <c r="E3920" s="18" t="s">
        <v>4094</v>
      </c>
      <c r="F3920" s="18"/>
      <c r="G3920" s="18" t="s">
        <v>902</v>
      </c>
      <c r="H3920" s="17">
        <v>150.4</v>
      </c>
      <c r="I3920" s="15">
        <v>187.5</v>
      </c>
      <c r="J3920" s="21">
        <f t="shared" si="183"/>
        <v>0.24667553191489358</v>
      </c>
      <c r="K3920" s="1">
        <v>1</v>
      </c>
      <c r="L3920" s="24">
        <v>18.7</v>
      </c>
      <c r="M3920" s="24">
        <v>168.75</v>
      </c>
      <c r="N3920" s="21">
        <f t="shared" si="184"/>
        <v>0.12200797872340421</v>
      </c>
      <c r="P3920" s="1">
        <v>5</v>
      </c>
      <c r="Q3920" s="24">
        <v>18.75</v>
      </c>
      <c r="R3920" s="24">
        <v>168.75</v>
      </c>
      <c r="S3920" s="21">
        <f t="shared" si="185"/>
        <v>0.12200797872340421</v>
      </c>
    </row>
    <row r="3921" spans="2:19" ht="11.4" customHeight="1" x14ac:dyDescent="0.2">
      <c r="B3921" s="24"/>
      <c r="C3921" s="14">
        <v>37987</v>
      </c>
      <c r="D3921" s="18" t="s">
        <v>4095</v>
      </c>
      <c r="E3921" s="18" t="s">
        <v>4094</v>
      </c>
      <c r="F3921" s="18"/>
      <c r="G3921" s="18" t="s">
        <v>902</v>
      </c>
      <c r="H3921" s="17">
        <v>139</v>
      </c>
      <c r="I3921" s="15">
        <v>166.5</v>
      </c>
      <c r="J3921" s="21">
        <f t="shared" si="183"/>
        <v>0.19784172661870503</v>
      </c>
      <c r="K3921" s="1">
        <v>1</v>
      </c>
      <c r="L3921" s="24">
        <v>16.600000000000001</v>
      </c>
      <c r="M3921" s="24">
        <v>149.85</v>
      </c>
      <c r="N3921" s="21">
        <f t="shared" si="184"/>
        <v>7.8057553956834488E-2</v>
      </c>
      <c r="P3921" s="1">
        <v>5</v>
      </c>
      <c r="Q3921" s="24">
        <v>16.650000000000006</v>
      </c>
      <c r="R3921" s="24">
        <v>149.85</v>
      </c>
      <c r="S3921" s="21">
        <f t="shared" si="185"/>
        <v>7.8057553956834488E-2</v>
      </c>
    </row>
    <row r="3922" spans="2:19" ht="11.4" customHeight="1" x14ac:dyDescent="0.2">
      <c r="B3922" s="24"/>
      <c r="C3922" s="14">
        <v>35608</v>
      </c>
      <c r="D3922" s="18" t="s">
        <v>4096</v>
      </c>
      <c r="E3922" s="18" t="s">
        <v>4094</v>
      </c>
      <c r="F3922" s="17">
        <v>1.5</v>
      </c>
      <c r="G3922" s="18" t="s">
        <v>902</v>
      </c>
      <c r="H3922" s="17">
        <v>235.5</v>
      </c>
      <c r="I3922" s="15">
        <v>264.89999999999998</v>
      </c>
      <c r="J3922" s="21">
        <f t="shared" si="183"/>
        <v>0.12484076433121009</v>
      </c>
      <c r="K3922" s="1">
        <v>1</v>
      </c>
      <c r="L3922" s="24">
        <v>26.4</v>
      </c>
      <c r="M3922" s="24">
        <v>238.41</v>
      </c>
      <c r="N3922" s="21">
        <f t="shared" si="184"/>
        <v>1.2356687898089157E-2</v>
      </c>
      <c r="P3922" s="1">
        <v>5</v>
      </c>
      <c r="Q3922" s="24">
        <v>26.489999999999981</v>
      </c>
      <c r="R3922" s="24">
        <v>238.41</v>
      </c>
      <c r="S3922" s="21">
        <f t="shared" si="185"/>
        <v>1.2356687898089157E-2</v>
      </c>
    </row>
    <row r="3923" spans="2:19" ht="11.4" customHeight="1" x14ac:dyDescent="0.2">
      <c r="B3923" s="24"/>
      <c r="C3923" s="14">
        <v>34764</v>
      </c>
      <c r="D3923" s="18" t="s">
        <v>4097</v>
      </c>
      <c r="E3923" s="18" t="s">
        <v>3551</v>
      </c>
      <c r="F3923" s="17">
        <v>0.8</v>
      </c>
      <c r="G3923" s="18" t="s">
        <v>902</v>
      </c>
      <c r="H3923" s="17">
        <v>164.7</v>
      </c>
      <c r="I3923" s="15">
        <v>189.9</v>
      </c>
      <c r="J3923" s="21">
        <f t="shared" si="183"/>
        <v>0.15300546448087443</v>
      </c>
      <c r="K3923" s="1">
        <v>1</v>
      </c>
      <c r="L3923" s="24">
        <v>18.899999999999999</v>
      </c>
      <c r="M3923" s="24">
        <v>170.91</v>
      </c>
      <c r="N3923" s="21">
        <f t="shared" si="184"/>
        <v>3.7704918032786937E-2</v>
      </c>
      <c r="P3923" s="1">
        <v>5</v>
      </c>
      <c r="Q3923" s="24">
        <v>18.990000000000009</v>
      </c>
      <c r="R3923" s="24">
        <v>170.91</v>
      </c>
      <c r="S3923" s="21">
        <f t="shared" si="185"/>
        <v>3.7704918032786937E-2</v>
      </c>
    </row>
    <row r="3924" spans="2:19" ht="11.4" customHeight="1" x14ac:dyDescent="0.2">
      <c r="B3924" s="24"/>
      <c r="C3924" s="14">
        <v>34765</v>
      </c>
      <c r="D3924" s="18" t="s">
        <v>4098</v>
      </c>
      <c r="E3924" s="18" t="s">
        <v>3551</v>
      </c>
      <c r="F3924" s="17">
        <v>0.8</v>
      </c>
      <c r="G3924" s="18" t="s">
        <v>902</v>
      </c>
      <c r="H3924" s="17">
        <v>164.7</v>
      </c>
      <c r="I3924" s="15">
        <v>189.9</v>
      </c>
      <c r="J3924" s="21">
        <f t="shared" si="183"/>
        <v>0.15300546448087443</v>
      </c>
      <c r="K3924" s="1">
        <v>1</v>
      </c>
      <c r="L3924" s="24">
        <v>18.899999999999999</v>
      </c>
      <c r="M3924" s="24">
        <v>170.91</v>
      </c>
      <c r="N3924" s="21">
        <f t="shared" si="184"/>
        <v>3.7704918032786937E-2</v>
      </c>
      <c r="P3924" s="1">
        <v>5</v>
      </c>
      <c r="Q3924" s="24">
        <v>18.990000000000009</v>
      </c>
      <c r="R3924" s="24">
        <v>170.91</v>
      </c>
      <c r="S3924" s="21">
        <f t="shared" si="185"/>
        <v>3.7704918032786937E-2</v>
      </c>
    </row>
    <row r="3925" spans="2:19" ht="11.4" customHeight="1" x14ac:dyDescent="0.2">
      <c r="B3925" s="24"/>
      <c r="C3925" s="14">
        <v>43569</v>
      </c>
      <c r="D3925" s="18" t="s">
        <v>4099</v>
      </c>
      <c r="E3925" s="18" t="s">
        <v>4100</v>
      </c>
      <c r="F3925" s="17">
        <v>8</v>
      </c>
      <c r="G3925" s="18" t="s">
        <v>23</v>
      </c>
      <c r="H3925" s="17">
        <v>68.16</v>
      </c>
      <c r="I3925" s="15">
        <v>109.9</v>
      </c>
      <c r="J3925" s="21">
        <f t="shared" si="183"/>
        <v>0.61238262910798136</v>
      </c>
      <c r="K3925" s="1">
        <v>2</v>
      </c>
      <c r="L3925" s="24">
        <v>10.9</v>
      </c>
      <c r="M3925" s="24">
        <v>98.910000000000011</v>
      </c>
      <c r="N3925" s="21">
        <f t="shared" si="184"/>
        <v>0.45114436619718334</v>
      </c>
      <c r="P3925" s="1">
        <v>4</v>
      </c>
      <c r="Q3925" s="24">
        <v>13.188000000000002</v>
      </c>
      <c r="R3925" s="24">
        <v>96.712000000000003</v>
      </c>
      <c r="S3925" s="21">
        <f t="shared" si="185"/>
        <v>0.41889671361502362</v>
      </c>
    </row>
    <row r="3926" spans="2:19" ht="11.4" customHeight="1" x14ac:dyDescent="0.2">
      <c r="B3926" s="24"/>
      <c r="C3926" s="14">
        <v>43555</v>
      </c>
      <c r="D3926" s="18" t="s">
        <v>4101</v>
      </c>
      <c r="E3926" s="18" t="s">
        <v>4100</v>
      </c>
      <c r="F3926" s="17">
        <v>8</v>
      </c>
      <c r="G3926" s="18" t="s">
        <v>23</v>
      </c>
      <c r="H3926" s="17">
        <v>106.14</v>
      </c>
      <c r="I3926" s="15">
        <v>143</v>
      </c>
      <c r="J3926" s="21">
        <f t="shared" si="183"/>
        <v>0.34727718108159034</v>
      </c>
      <c r="K3926" s="1">
        <v>2</v>
      </c>
      <c r="L3926" s="24">
        <v>14.3</v>
      </c>
      <c r="M3926" s="24">
        <v>128.70000000000002</v>
      </c>
      <c r="N3926" s="21">
        <f t="shared" si="184"/>
        <v>0.21254946297343147</v>
      </c>
      <c r="P3926" s="1">
        <v>4</v>
      </c>
      <c r="Q3926" s="24">
        <v>17.159999999999997</v>
      </c>
      <c r="R3926" s="24">
        <v>125.84</v>
      </c>
      <c r="S3926" s="21">
        <f t="shared" si="185"/>
        <v>0.18560391935179954</v>
      </c>
    </row>
    <row r="3927" spans="2:19" ht="11.4" customHeight="1" x14ac:dyDescent="0.2">
      <c r="B3927" s="24"/>
      <c r="C3927" s="14">
        <v>43563</v>
      </c>
      <c r="D3927" s="18" t="s">
        <v>4102</v>
      </c>
      <c r="E3927" s="18" t="s">
        <v>3368</v>
      </c>
      <c r="F3927" s="18"/>
      <c r="G3927" s="18" t="s">
        <v>23</v>
      </c>
      <c r="H3927" s="17">
        <v>100.32</v>
      </c>
      <c r="I3927" s="15">
        <v>139.9</v>
      </c>
      <c r="J3927" s="21">
        <f t="shared" si="183"/>
        <v>0.39453748006379602</v>
      </c>
      <c r="K3927" s="1">
        <v>2</v>
      </c>
      <c r="L3927" s="24">
        <v>13.9</v>
      </c>
      <c r="M3927" s="24">
        <v>125.91000000000001</v>
      </c>
      <c r="N3927" s="21">
        <f t="shared" si="184"/>
        <v>0.25508373205741647</v>
      </c>
      <c r="P3927" s="1">
        <v>4</v>
      </c>
      <c r="Q3927" s="24">
        <v>16.787999999999997</v>
      </c>
      <c r="R3927" s="24">
        <v>123.11200000000001</v>
      </c>
      <c r="S3927" s="21">
        <f t="shared" si="185"/>
        <v>0.22719298245614053</v>
      </c>
    </row>
    <row r="3928" spans="2:19" ht="11.4" customHeight="1" x14ac:dyDescent="0.2">
      <c r="B3928" s="24"/>
      <c r="C3928" s="14">
        <v>43577</v>
      </c>
      <c r="D3928" s="18" t="s">
        <v>4103</v>
      </c>
      <c r="E3928" s="18" t="s">
        <v>3368</v>
      </c>
      <c r="F3928" s="18"/>
      <c r="G3928" s="18" t="s">
        <v>23</v>
      </c>
      <c r="H3928" s="17">
        <v>99.36</v>
      </c>
      <c r="I3928" s="15">
        <v>139.9</v>
      </c>
      <c r="J3928" s="21">
        <f t="shared" si="183"/>
        <v>0.40801127214170702</v>
      </c>
      <c r="K3928" s="1">
        <v>2</v>
      </c>
      <c r="L3928" s="24">
        <v>13.9</v>
      </c>
      <c r="M3928" s="24">
        <v>125.91000000000001</v>
      </c>
      <c r="N3928" s="21">
        <f t="shared" si="184"/>
        <v>0.26721014492753636</v>
      </c>
      <c r="P3928" s="1">
        <v>4</v>
      </c>
      <c r="Q3928" s="24">
        <v>16.787999999999997</v>
      </c>
      <c r="R3928" s="24">
        <v>123.11200000000001</v>
      </c>
      <c r="S3928" s="21">
        <f t="shared" si="185"/>
        <v>0.23904991948470219</v>
      </c>
    </row>
    <row r="3929" spans="2:19" ht="11.4" customHeight="1" x14ac:dyDescent="0.2">
      <c r="B3929" s="24"/>
      <c r="C3929" s="14">
        <v>43579</v>
      </c>
      <c r="D3929" s="18" t="s">
        <v>4104</v>
      </c>
      <c r="E3929" s="18" t="s">
        <v>3368</v>
      </c>
      <c r="F3929" s="18"/>
      <c r="G3929" s="18" t="s">
        <v>23</v>
      </c>
      <c r="H3929" s="17">
        <v>99.36</v>
      </c>
      <c r="I3929" s="15">
        <v>139.9</v>
      </c>
      <c r="J3929" s="21">
        <f t="shared" si="183"/>
        <v>0.40801127214170702</v>
      </c>
      <c r="K3929" s="1">
        <v>2</v>
      </c>
      <c r="L3929" s="24">
        <v>13.9</v>
      </c>
      <c r="M3929" s="24">
        <v>125.91000000000001</v>
      </c>
      <c r="N3929" s="21">
        <f t="shared" si="184"/>
        <v>0.26721014492753636</v>
      </c>
      <c r="P3929" s="1">
        <v>4</v>
      </c>
      <c r="Q3929" s="24">
        <v>16.787999999999997</v>
      </c>
      <c r="R3929" s="24">
        <v>123.11200000000001</v>
      </c>
      <c r="S3929" s="21">
        <f t="shared" si="185"/>
        <v>0.23904991948470219</v>
      </c>
    </row>
    <row r="3930" spans="2:19" ht="11.4" customHeight="1" x14ac:dyDescent="0.2">
      <c r="B3930" s="24"/>
      <c r="C3930" s="14">
        <v>43548</v>
      </c>
      <c r="D3930" s="18" t="s">
        <v>4105</v>
      </c>
      <c r="E3930" s="18" t="s">
        <v>3368</v>
      </c>
      <c r="F3930" s="17">
        <v>10</v>
      </c>
      <c r="G3930" s="18" t="s">
        <v>23</v>
      </c>
      <c r="H3930" s="17">
        <v>66.36</v>
      </c>
      <c r="I3930" s="15">
        <v>85.5</v>
      </c>
      <c r="J3930" s="21">
        <f t="shared" si="183"/>
        <v>0.2884267631103074</v>
      </c>
      <c r="K3930" s="1">
        <v>2</v>
      </c>
      <c r="L3930" s="24">
        <v>8.5</v>
      </c>
      <c r="M3930" s="24">
        <v>76.95</v>
      </c>
      <c r="N3930" s="21">
        <f t="shared" si="184"/>
        <v>0.15958408679927671</v>
      </c>
      <c r="P3930" s="1">
        <v>4</v>
      </c>
      <c r="Q3930" s="24">
        <v>10.260000000000005</v>
      </c>
      <c r="R3930" s="24">
        <v>75.239999999999995</v>
      </c>
      <c r="S3930" s="21">
        <f t="shared" si="185"/>
        <v>0.13381555153707045</v>
      </c>
    </row>
    <row r="3931" spans="2:19" ht="11.4" customHeight="1" x14ac:dyDescent="0.2">
      <c r="B3931" s="24"/>
      <c r="C3931" s="14">
        <v>43552</v>
      </c>
      <c r="D3931" s="18" t="s">
        <v>4106</v>
      </c>
      <c r="E3931" s="18" t="s">
        <v>3368</v>
      </c>
      <c r="F3931" s="17">
        <v>10</v>
      </c>
      <c r="G3931" s="18" t="s">
        <v>23</v>
      </c>
      <c r="H3931" s="17">
        <v>66.36</v>
      </c>
      <c r="I3931" s="15">
        <v>85.5</v>
      </c>
      <c r="J3931" s="21">
        <f t="shared" si="183"/>
        <v>0.2884267631103074</v>
      </c>
      <c r="K3931" s="1">
        <v>2</v>
      </c>
      <c r="L3931" s="24">
        <v>8.5</v>
      </c>
      <c r="M3931" s="24">
        <v>76.95</v>
      </c>
      <c r="N3931" s="21">
        <f t="shared" si="184"/>
        <v>0.15958408679927671</v>
      </c>
      <c r="P3931" s="1">
        <v>4</v>
      </c>
      <c r="Q3931" s="24">
        <v>10.260000000000005</v>
      </c>
      <c r="R3931" s="24">
        <v>75.239999999999995</v>
      </c>
      <c r="S3931" s="21">
        <f t="shared" si="185"/>
        <v>0.13381555153707045</v>
      </c>
    </row>
    <row r="3932" spans="2:19" ht="11.4" customHeight="1" x14ac:dyDescent="0.2">
      <c r="B3932" s="24"/>
      <c r="C3932" s="14">
        <v>43582</v>
      </c>
      <c r="D3932" s="18" t="s">
        <v>4107</v>
      </c>
      <c r="E3932" s="18" t="s">
        <v>3368</v>
      </c>
      <c r="F3932" s="18"/>
      <c r="G3932" s="18" t="s">
        <v>23</v>
      </c>
      <c r="H3932" s="17">
        <v>100.8</v>
      </c>
      <c r="I3932" s="15">
        <v>139.9</v>
      </c>
      <c r="J3932" s="21">
        <f t="shared" si="183"/>
        <v>0.38789682539682552</v>
      </c>
      <c r="K3932" s="1">
        <v>2</v>
      </c>
      <c r="L3932" s="24">
        <v>13.9</v>
      </c>
      <c r="M3932" s="24">
        <v>125.91000000000001</v>
      </c>
      <c r="N3932" s="21">
        <f t="shared" si="184"/>
        <v>0.249107142857143</v>
      </c>
      <c r="P3932" s="1">
        <v>4</v>
      </c>
      <c r="Q3932" s="24">
        <v>16.787999999999997</v>
      </c>
      <c r="R3932" s="24">
        <v>123.11200000000001</v>
      </c>
      <c r="S3932" s="21">
        <f t="shared" si="185"/>
        <v>0.22134920634920646</v>
      </c>
    </row>
    <row r="3933" spans="2:19" ht="11.4" customHeight="1" x14ac:dyDescent="0.2">
      <c r="B3933" s="24"/>
      <c r="C3933" s="14">
        <v>45132</v>
      </c>
      <c r="D3933" s="18" t="s">
        <v>4108</v>
      </c>
      <c r="E3933" s="18" t="s">
        <v>4094</v>
      </c>
      <c r="F3933" s="18"/>
      <c r="G3933" s="18" t="s">
        <v>902</v>
      </c>
      <c r="H3933" s="17">
        <v>148.76</v>
      </c>
      <c r="I3933" s="15">
        <v>204.9</v>
      </c>
      <c r="J3933" s="21">
        <f t="shared" si="183"/>
        <v>0.37738639419198722</v>
      </c>
      <c r="K3933" s="1">
        <v>1</v>
      </c>
      <c r="L3933" s="24">
        <v>20.399999999999999</v>
      </c>
      <c r="M3933" s="24">
        <v>184.41</v>
      </c>
      <c r="N3933" s="21">
        <f t="shared" si="184"/>
        <v>0.23964775477278843</v>
      </c>
      <c r="P3933" s="1">
        <v>5</v>
      </c>
      <c r="Q3933" s="24">
        <v>20.490000000000009</v>
      </c>
      <c r="R3933" s="24">
        <v>184.41</v>
      </c>
      <c r="S3933" s="21">
        <f t="shared" si="185"/>
        <v>0.23964775477278843</v>
      </c>
    </row>
    <row r="3934" spans="2:19" ht="11.4" customHeight="1" x14ac:dyDescent="0.2">
      <c r="B3934" s="24"/>
      <c r="C3934" s="14">
        <v>45133</v>
      </c>
      <c r="D3934" s="18" t="s">
        <v>4109</v>
      </c>
      <c r="E3934" s="18" t="s">
        <v>4094</v>
      </c>
      <c r="F3934" s="18"/>
      <c r="G3934" s="18" t="s">
        <v>902</v>
      </c>
      <c r="H3934" s="17">
        <v>144.06</v>
      </c>
      <c r="I3934" s="15">
        <v>204.9</v>
      </c>
      <c r="J3934" s="21">
        <f t="shared" si="183"/>
        <v>0.42232403165347776</v>
      </c>
      <c r="K3934" s="1">
        <v>1</v>
      </c>
      <c r="L3934" s="24">
        <v>20.399999999999999</v>
      </c>
      <c r="M3934" s="24">
        <v>184.41</v>
      </c>
      <c r="N3934" s="21">
        <f t="shared" si="184"/>
        <v>0.28009162848812991</v>
      </c>
      <c r="P3934" s="1">
        <v>5</v>
      </c>
      <c r="Q3934" s="24">
        <v>20.490000000000009</v>
      </c>
      <c r="R3934" s="24">
        <v>184.41</v>
      </c>
      <c r="S3934" s="21">
        <f t="shared" si="185"/>
        <v>0.28009162848812991</v>
      </c>
    </row>
    <row r="3935" spans="2:19" ht="11.4" customHeight="1" x14ac:dyDescent="0.2">
      <c r="B3935" s="24"/>
      <c r="C3935" s="14">
        <v>43583</v>
      </c>
      <c r="D3935" s="18" t="s">
        <v>4110</v>
      </c>
      <c r="E3935" s="18" t="s">
        <v>4100</v>
      </c>
      <c r="F3935" s="18"/>
      <c r="G3935" s="18" t="s">
        <v>23</v>
      </c>
      <c r="H3935" s="17">
        <v>165</v>
      </c>
      <c r="I3935" s="15">
        <v>219.9</v>
      </c>
      <c r="J3935" s="21">
        <f t="shared" si="183"/>
        <v>0.33272727272727276</v>
      </c>
      <c r="K3935" s="1">
        <v>2</v>
      </c>
      <c r="L3935" s="24">
        <v>21.9</v>
      </c>
      <c r="M3935" s="24">
        <v>197.91</v>
      </c>
      <c r="N3935" s="21">
        <f t="shared" si="184"/>
        <v>0.19945454545454544</v>
      </c>
      <c r="P3935" s="1">
        <v>4</v>
      </c>
      <c r="Q3935" s="24">
        <v>26.388000000000005</v>
      </c>
      <c r="R3935" s="24">
        <v>193.512</v>
      </c>
      <c r="S3935" s="21">
        <f t="shared" si="185"/>
        <v>0.17280000000000001</v>
      </c>
    </row>
    <row r="3936" spans="2:19" ht="11.4" customHeight="1" x14ac:dyDescent="0.2">
      <c r="B3936" s="24"/>
      <c r="C3936" s="14">
        <v>43584</v>
      </c>
      <c r="D3936" s="18" t="s">
        <v>4111</v>
      </c>
      <c r="E3936" s="18" t="s">
        <v>4100</v>
      </c>
      <c r="F3936" s="18"/>
      <c r="G3936" s="18" t="s">
        <v>23</v>
      </c>
      <c r="H3936" s="17">
        <v>165</v>
      </c>
      <c r="I3936" s="15">
        <v>219.9</v>
      </c>
      <c r="J3936" s="21">
        <f t="shared" si="183"/>
        <v>0.33272727272727276</v>
      </c>
      <c r="K3936" s="1">
        <v>2</v>
      </c>
      <c r="L3936" s="24">
        <v>21.9</v>
      </c>
      <c r="M3936" s="24">
        <v>197.91</v>
      </c>
      <c r="N3936" s="21">
        <f t="shared" si="184"/>
        <v>0.19945454545454544</v>
      </c>
      <c r="P3936" s="1">
        <v>4</v>
      </c>
      <c r="Q3936" s="24">
        <v>26.388000000000005</v>
      </c>
      <c r="R3936" s="24">
        <v>193.512</v>
      </c>
      <c r="S3936" s="21">
        <f t="shared" si="185"/>
        <v>0.17280000000000001</v>
      </c>
    </row>
    <row r="3937" spans="2:19" ht="11.4" customHeight="1" x14ac:dyDescent="0.2">
      <c r="B3937" s="24"/>
      <c r="C3937" s="14">
        <v>29896</v>
      </c>
      <c r="D3937" s="18" t="s">
        <v>4112</v>
      </c>
      <c r="E3937" s="18" t="s">
        <v>4113</v>
      </c>
      <c r="F3937" s="17">
        <v>30</v>
      </c>
      <c r="G3937" s="18" t="s">
        <v>23</v>
      </c>
      <c r="H3937" s="17">
        <v>18.8</v>
      </c>
      <c r="I3937" s="15">
        <v>19.899999999999999</v>
      </c>
      <c r="J3937" s="21">
        <f t="shared" si="183"/>
        <v>5.8510638297872224E-2</v>
      </c>
      <c r="K3937" s="1">
        <v>2</v>
      </c>
      <c r="L3937" s="24">
        <v>1.9</v>
      </c>
      <c r="M3937" s="24">
        <v>17.91</v>
      </c>
      <c r="N3937" s="21">
        <f t="shared" si="184"/>
        <v>-4.734042553191492E-2</v>
      </c>
      <c r="P3937" s="1">
        <v>4</v>
      </c>
      <c r="Q3937" s="24">
        <v>2.3879999999999981</v>
      </c>
      <c r="R3937" s="24">
        <v>17.512</v>
      </c>
      <c r="S3937" s="21">
        <f t="shared" si="185"/>
        <v>-6.851063829787235E-2</v>
      </c>
    </row>
    <row r="3938" spans="2:19" ht="11.4" customHeight="1" x14ac:dyDescent="0.2">
      <c r="B3938" s="24"/>
      <c r="C3938" s="14">
        <v>46339</v>
      </c>
      <c r="D3938" s="18" t="s">
        <v>4114</v>
      </c>
      <c r="E3938" s="18" t="s">
        <v>3351</v>
      </c>
      <c r="F3938" s="18"/>
      <c r="G3938" s="18" t="s">
        <v>23</v>
      </c>
      <c r="H3938" s="17">
        <v>86.27</v>
      </c>
      <c r="I3938" s="15">
        <v>207.9</v>
      </c>
      <c r="J3938" s="21">
        <f t="shared" si="183"/>
        <v>1.4098759707893824</v>
      </c>
      <c r="K3938" s="1">
        <v>2</v>
      </c>
      <c r="L3938" s="24">
        <v>20.7</v>
      </c>
      <c r="M3938" s="24">
        <v>187.11</v>
      </c>
      <c r="N3938" s="21">
        <f t="shared" si="184"/>
        <v>1.1688883737104443</v>
      </c>
      <c r="P3938" s="1">
        <v>4</v>
      </c>
      <c r="Q3938" s="24">
        <v>24.948000000000008</v>
      </c>
      <c r="R3938" s="24">
        <v>182.952</v>
      </c>
      <c r="S3938" s="21">
        <f t="shared" si="185"/>
        <v>1.1206908542946563</v>
      </c>
    </row>
    <row r="3939" spans="2:19" ht="11.4" customHeight="1" x14ac:dyDescent="0.2">
      <c r="B3939" s="24"/>
      <c r="C3939" s="14">
        <v>46369</v>
      </c>
      <c r="D3939" s="18" t="s">
        <v>4115</v>
      </c>
      <c r="E3939" s="18" t="s">
        <v>4116</v>
      </c>
      <c r="F3939" s="18"/>
      <c r="G3939" s="18" t="s">
        <v>902</v>
      </c>
      <c r="H3939" s="17">
        <v>143.79</v>
      </c>
      <c r="I3939" s="15">
        <v>215.5</v>
      </c>
      <c r="J3939" s="21">
        <f t="shared" si="183"/>
        <v>0.49871340148828158</v>
      </c>
      <c r="K3939" s="1">
        <v>1</v>
      </c>
      <c r="L3939" s="24">
        <v>21.5</v>
      </c>
      <c r="M3939" s="24">
        <v>193.95000000000002</v>
      </c>
      <c r="N3939" s="21">
        <f t="shared" si="184"/>
        <v>0.34884206133945356</v>
      </c>
      <c r="P3939" s="1">
        <v>5</v>
      </c>
      <c r="Q3939" s="24">
        <v>21.549999999999983</v>
      </c>
      <c r="R3939" s="24">
        <v>193.95000000000002</v>
      </c>
      <c r="S3939" s="21">
        <f t="shared" si="185"/>
        <v>0.34884206133945356</v>
      </c>
    </row>
    <row r="3940" spans="2:19" ht="11.4" customHeight="1" x14ac:dyDescent="0.2">
      <c r="B3940" s="24"/>
      <c r="C3940" s="14">
        <v>43559</v>
      </c>
      <c r="D3940" s="18" t="s">
        <v>4117</v>
      </c>
      <c r="E3940" s="18" t="s">
        <v>4118</v>
      </c>
      <c r="F3940" s="17">
        <v>1</v>
      </c>
      <c r="G3940" s="18" t="s">
        <v>23</v>
      </c>
      <c r="H3940" s="18"/>
      <c r="I3940" s="15">
        <v>365.9</v>
      </c>
      <c r="J3940" s="21" t="e">
        <f t="shared" si="183"/>
        <v>#DIV/0!</v>
      </c>
      <c r="K3940" s="1">
        <v>2</v>
      </c>
      <c r="L3940" s="24">
        <v>36.5</v>
      </c>
      <c r="M3940" s="24">
        <v>329.31</v>
      </c>
      <c r="N3940" s="21" t="e">
        <f t="shared" si="184"/>
        <v>#DIV/0!</v>
      </c>
      <c r="P3940" s="1">
        <v>4</v>
      </c>
      <c r="Q3940" s="24">
        <v>43.908000000000015</v>
      </c>
      <c r="R3940" s="24">
        <v>321.99199999999996</v>
      </c>
      <c r="S3940" s="21" t="e">
        <f t="shared" si="185"/>
        <v>#DIV/0!</v>
      </c>
    </row>
    <row r="3941" spans="2:19" ht="11.4" customHeight="1" x14ac:dyDescent="0.2">
      <c r="B3941" s="24"/>
      <c r="C3941" s="14">
        <v>45277</v>
      </c>
      <c r="D3941" s="18" t="s">
        <v>4119</v>
      </c>
      <c r="E3941" s="18" t="s">
        <v>3371</v>
      </c>
      <c r="F3941" s="17">
        <v>1</v>
      </c>
      <c r="G3941" s="18" t="s">
        <v>902</v>
      </c>
      <c r="H3941" s="17">
        <v>281.39999999999998</v>
      </c>
      <c r="I3941" s="15">
        <v>365.9</v>
      </c>
      <c r="J3941" s="21">
        <f t="shared" si="183"/>
        <v>0.30028429282160629</v>
      </c>
      <c r="K3941" s="1">
        <v>1</v>
      </c>
      <c r="L3941" s="24">
        <v>36.5</v>
      </c>
      <c r="M3941" s="24">
        <v>329.31</v>
      </c>
      <c r="N3941" s="21">
        <f t="shared" si="184"/>
        <v>0.17025586353944575</v>
      </c>
      <c r="P3941" s="1">
        <v>5</v>
      </c>
      <c r="Q3941" s="24">
        <v>36.589999999999975</v>
      </c>
      <c r="R3941" s="24">
        <v>329.31</v>
      </c>
      <c r="S3941" s="21">
        <f t="shared" si="185"/>
        <v>0.17025586353944575</v>
      </c>
    </row>
    <row r="3942" spans="2:19" ht="11.4" customHeight="1" x14ac:dyDescent="0.2">
      <c r="B3942" s="24"/>
      <c r="C3942" s="14">
        <v>26625</v>
      </c>
      <c r="D3942" s="18" t="s">
        <v>4120</v>
      </c>
      <c r="E3942" s="18" t="s">
        <v>4121</v>
      </c>
      <c r="F3942" s="18"/>
      <c r="G3942" s="18" t="s">
        <v>23</v>
      </c>
      <c r="H3942" s="17">
        <v>22.96</v>
      </c>
      <c r="I3942" s="15">
        <v>29.9</v>
      </c>
      <c r="J3942" s="21">
        <f t="shared" si="183"/>
        <v>0.30226480836236924</v>
      </c>
      <c r="K3942" s="1">
        <v>2</v>
      </c>
      <c r="L3942" s="24">
        <v>2.9</v>
      </c>
      <c r="M3942" s="24">
        <v>26.91</v>
      </c>
      <c r="N3942" s="21">
        <f t="shared" si="184"/>
        <v>0.17203832752613238</v>
      </c>
      <c r="P3942" s="1">
        <v>4</v>
      </c>
      <c r="Q3942" s="24">
        <v>3.588000000000001</v>
      </c>
      <c r="R3942" s="24">
        <v>26.311999999999998</v>
      </c>
      <c r="S3942" s="21">
        <f t="shared" si="185"/>
        <v>0.14599303135888486</v>
      </c>
    </row>
    <row r="3943" spans="2:19" ht="11.4" customHeight="1" x14ac:dyDescent="0.2">
      <c r="B3943" s="24"/>
      <c r="C3943" s="14">
        <v>32230</v>
      </c>
      <c r="D3943" s="18" t="s">
        <v>4122</v>
      </c>
      <c r="E3943" s="18" t="s">
        <v>4121</v>
      </c>
      <c r="F3943" s="18"/>
      <c r="G3943" s="18" t="s">
        <v>23</v>
      </c>
      <c r="H3943" s="17">
        <v>22.96</v>
      </c>
      <c r="I3943" s="15">
        <v>29.9</v>
      </c>
      <c r="J3943" s="21">
        <f t="shared" si="183"/>
        <v>0.30226480836236924</v>
      </c>
      <c r="K3943" s="1">
        <v>2</v>
      </c>
      <c r="L3943" s="24">
        <v>2.9</v>
      </c>
      <c r="M3943" s="24">
        <v>26.91</v>
      </c>
      <c r="N3943" s="21">
        <f t="shared" si="184"/>
        <v>0.17203832752613238</v>
      </c>
      <c r="P3943" s="1">
        <v>4</v>
      </c>
      <c r="Q3943" s="24">
        <v>3.588000000000001</v>
      </c>
      <c r="R3943" s="24">
        <v>26.311999999999998</v>
      </c>
      <c r="S3943" s="21">
        <f t="shared" si="185"/>
        <v>0.14599303135888486</v>
      </c>
    </row>
    <row r="3944" spans="2:19" ht="11.4" customHeight="1" x14ac:dyDescent="0.2">
      <c r="B3944" s="24"/>
      <c r="C3944" s="14">
        <v>44088</v>
      </c>
      <c r="D3944" s="18" t="s">
        <v>4123</v>
      </c>
      <c r="E3944" s="18" t="s">
        <v>4124</v>
      </c>
      <c r="F3944" s="17">
        <v>24</v>
      </c>
      <c r="G3944" s="18" t="s">
        <v>23</v>
      </c>
      <c r="H3944" s="17">
        <v>14.76</v>
      </c>
      <c r="I3944" s="15">
        <v>21.5</v>
      </c>
      <c r="J3944" s="21">
        <f t="shared" si="183"/>
        <v>0.456639566395664</v>
      </c>
      <c r="K3944" s="1">
        <v>2</v>
      </c>
      <c r="L3944" s="24">
        <v>2.1</v>
      </c>
      <c r="M3944" s="24">
        <v>19.350000000000001</v>
      </c>
      <c r="N3944" s="21">
        <f t="shared" si="184"/>
        <v>0.31097560975609767</v>
      </c>
      <c r="P3944" s="1">
        <v>4</v>
      </c>
      <c r="Q3944" s="24">
        <v>2.5799999999999983</v>
      </c>
      <c r="R3944" s="24">
        <v>18.920000000000002</v>
      </c>
      <c r="S3944" s="21">
        <f t="shared" si="185"/>
        <v>0.28184281842818443</v>
      </c>
    </row>
    <row r="3945" spans="2:19" ht="11.4" customHeight="1" x14ac:dyDescent="0.2">
      <c r="B3945" s="24"/>
      <c r="C3945" s="14">
        <v>44092</v>
      </c>
      <c r="D3945" s="18" t="s">
        <v>4125</v>
      </c>
      <c r="E3945" s="18" t="s">
        <v>4124</v>
      </c>
      <c r="F3945" s="17">
        <v>24</v>
      </c>
      <c r="G3945" s="18" t="s">
        <v>23</v>
      </c>
      <c r="H3945" s="17">
        <v>14.76</v>
      </c>
      <c r="I3945" s="15">
        <v>21.5</v>
      </c>
      <c r="J3945" s="21">
        <f t="shared" si="183"/>
        <v>0.456639566395664</v>
      </c>
      <c r="K3945" s="1">
        <v>2</v>
      </c>
      <c r="L3945" s="24">
        <v>2.1</v>
      </c>
      <c r="M3945" s="24">
        <v>19.350000000000001</v>
      </c>
      <c r="N3945" s="21">
        <f t="shared" si="184"/>
        <v>0.31097560975609767</v>
      </c>
      <c r="P3945" s="1">
        <v>4</v>
      </c>
      <c r="Q3945" s="24">
        <v>2.5799999999999983</v>
      </c>
      <c r="R3945" s="24">
        <v>18.920000000000002</v>
      </c>
      <c r="S3945" s="21">
        <f t="shared" si="185"/>
        <v>0.28184281842818443</v>
      </c>
    </row>
    <row r="3946" spans="2:19" ht="11.4" customHeight="1" x14ac:dyDescent="0.2">
      <c r="B3946" s="24"/>
      <c r="C3946" s="14">
        <v>44086</v>
      </c>
      <c r="D3946" s="18" t="s">
        <v>4126</v>
      </c>
      <c r="E3946" s="18" t="s">
        <v>4124</v>
      </c>
      <c r="F3946" s="17">
        <v>24</v>
      </c>
      <c r="G3946" s="18" t="s">
        <v>23</v>
      </c>
      <c r="H3946" s="17">
        <v>14.76</v>
      </c>
      <c r="I3946" s="15">
        <v>21.5</v>
      </c>
      <c r="J3946" s="21">
        <f t="shared" si="183"/>
        <v>0.456639566395664</v>
      </c>
      <c r="K3946" s="1">
        <v>2</v>
      </c>
      <c r="L3946" s="24">
        <v>2.1</v>
      </c>
      <c r="M3946" s="24">
        <v>19.350000000000001</v>
      </c>
      <c r="N3946" s="21">
        <f t="shared" si="184"/>
        <v>0.31097560975609767</v>
      </c>
      <c r="P3946" s="1">
        <v>4</v>
      </c>
      <c r="Q3946" s="24">
        <v>2.5799999999999983</v>
      </c>
      <c r="R3946" s="24">
        <v>18.920000000000002</v>
      </c>
      <c r="S3946" s="21">
        <f t="shared" si="185"/>
        <v>0.28184281842818443</v>
      </c>
    </row>
    <row r="3947" spans="2:19" ht="11.4" customHeight="1" x14ac:dyDescent="0.2">
      <c r="B3947" s="24"/>
      <c r="C3947" s="14">
        <v>44095</v>
      </c>
      <c r="D3947" s="18" t="s">
        <v>4127</v>
      </c>
      <c r="E3947" s="18" t="s">
        <v>4124</v>
      </c>
      <c r="F3947" s="17">
        <v>24</v>
      </c>
      <c r="G3947" s="18" t="s">
        <v>23</v>
      </c>
      <c r="H3947" s="17">
        <v>14.76</v>
      </c>
      <c r="I3947" s="15">
        <v>21.5</v>
      </c>
      <c r="J3947" s="21">
        <f t="shared" si="183"/>
        <v>0.456639566395664</v>
      </c>
      <c r="K3947" s="1">
        <v>2</v>
      </c>
      <c r="L3947" s="24">
        <v>2.1</v>
      </c>
      <c r="M3947" s="24">
        <v>19.350000000000001</v>
      </c>
      <c r="N3947" s="21">
        <f t="shared" si="184"/>
        <v>0.31097560975609767</v>
      </c>
      <c r="P3947" s="1">
        <v>4</v>
      </c>
      <c r="Q3947" s="24">
        <v>2.5799999999999983</v>
      </c>
      <c r="R3947" s="24">
        <v>18.920000000000002</v>
      </c>
      <c r="S3947" s="21">
        <f t="shared" si="185"/>
        <v>0.28184281842818443</v>
      </c>
    </row>
    <row r="3948" spans="2:19" ht="11.4" customHeight="1" x14ac:dyDescent="0.2">
      <c r="B3948" s="24"/>
      <c r="C3948" s="14">
        <v>44090</v>
      </c>
      <c r="D3948" s="18" t="s">
        <v>4128</v>
      </c>
      <c r="E3948" s="18" t="s">
        <v>4124</v>
      </c>
      <c r="F3948" s="17">
        <v>24</v>
      </c>
      <c r="G3948" s="18" t="s">
        <v>23</v>
      </c>
      <c r="H3948" s="17">
        <v>14.76</v>
      </c>
      <c r="I3948" s="15">
        <v>21.5</v>
      </c>
      <c r="J3948" s="21">
        <f t="shared" si="183"/>
        <v>0.456639566395664</v>
      </c>
      <c r="K3948" s="1">
        <v>2</v>
      </c>
      <c r="L3948" s="24">
        <v>2.1</v>
      </c>
      <c r="M3948" s="24">
        <v>19.350000000000001</v>
      </c>
      <c r="N3948" s="21">
        <f t="shared" si="184"/>
        <v>0.31097560975609767</v>
      </c>
      <c r="P3948" s="1">
        <v>4</v>
      </c>
      <c r="Q3948" s="24">
        <v>2.5799999999999983</v>
      </c>
      <c r="R3948" s="24">
        <v>18.920000000000002</v>
      </c>
      <c r="S3948" s="21">
        <f t="shared" si="185"/>
        <v>0.28184281842818443</v>
      </c>
    </row>
    <row r="3949" spans="2:19" ht="11.4" customHeight="1" x14ac:dyDescent="0.2">
      <c r="B3949" s="24"/>
      <c r="C3949" s="14">
        <v>44596</v>
      </c>
      <c r="D3949" s="18" t="s">
        <v>4129</v>
      </c>
      <c r="E3949" s="18" t="s">
        <v>4130</v>
      </c>
      <c r="F3949" s="17">
        <v>2</v>
      </c>
      <c r="G3949" s="18" t="s">
        <v>902</v>
      </c>
      <c r="H3949" s="17">
        <v>119</v>
      </c>
      <c r="I3949" s="15">
        <v>199.9</v>
      </c>
      <c r="J3949" s="21">
        <f t="shared" si="183"/>
        <v>0.67983193277310927</v>
      </c>
      <c r="K3949" s="1">
        <v>1</v>
      </c>
      <c r="L3949" s="24">
        <v>19.899999999999999</v>
      </c>
      <c r="M3949" s="24">
        <v>179.91</v>
      </c>
      <c r="N3949" s="21">
        <f t="shared" si="184"/>
        <v>0.51184873949579834</v>
      </c>
      <c r="P3949" s="1">
        <v>5</v>
      </c>
      <c r="Q3949" s="24">
        <v>19.990000000000009</v>
      </c>
      <c r="R3949" s="24">
        <v>179.91</v>
      </c>
      <c r="S3949" s="21">
        <f t="shared" si="185"/>
        <v>0.51184873949579834</v>
      </c>
    </row>
    <row r="3950" spans="2:19" ht="11.4" customHeight="1" x14ac:dyDescent="0.2">
      <c r="B3950" s="24"/>
      <c r="C3950" s="14">
        <v>43679</v>
      </c>
      <c r="D3950" s="18" t="s">
        <v>4131</v>
      </c>
      <c r="E3950" s="18" t="s">
        <v>4132</v>
      </c>
      <c r="F3950" s="18"/>
      <c r="G3950" s="18" t="s">
        <v>902</v>
      </c>
      <c r="H3950" s="17">
        <v>113</v>
      </c>
      <c r="I3950" s="15">
        <v>184.5</v>
      </c>
      <c r="J3950" s="21">
        <f t="shared" si="183"/>
        <v>0.63274336283185839</v>
      </c>
      <c r="K3950" s="1">
        <v>1</v>
      </c>
      <c r="L3950" s="24">
        <v>18.399999999999999</v>
      </c>
      <c r="M3950" s="24">
        <v>166.05</v>
      </c>
      <c r="N3950" s="21">
        <f t="shared" si="184"/>
        <v>0.46946902654867267</v>
      </c>
      <c r="P3950" s="1">
        <v>5</v>
      </c>
      <c r="Q3950" s="24">
        <v>18.449999999999989</v>
      </c>
      <c r="R3950" s="24">
        <v>166.05</v>
      </c>
      <c r="S3950" s="21">
        <f t="shared" si="185"/>
        <v>0.46946902654867267</v>
      </c>
    </row>
    <row r="3951" spans="2:19" ht="11.4" customHeight="1" x14ac:dyDescent="0.2">
      <c r="B3951" s="24"/>
      <c r="C3951" s="14">
        <v>45181</v>
      </c>
      <c r="D3951" s="18" t="s">
        <v>4133</v>
      </c>
      <c r="E3951" s="18" t="s">
        <v>4132</v>
      </c>
      <c r="F3951" s="18"/>
      <c r="G3951" s="18" t="s">
        <v>902</v>
      </c>
      <c r="H3951" s="17">
        <v>104</v>
      </c>
      <c r="I3951" s="15">
        <v>174.5</v>
      </c>
      <c r="J3951" s="21">
        <f t="shared" si="183"/>
        <v>0.67788461538461542</v>
      </c>
      <c r="K3951" s="1">
        <v>1</v>
      </c>
      <c r="L3951" s="24">
        <v>17.399999999999999</v>
      </c>
      <c r="M3951" s="24">
        <v>157.05000000000001</v>
      </c>
      <c r="N3951" s="21">
        <f t="shared" si="184"/>
        <v>0.51009615384615392</v>
      </c>
      <c r="P3951" s="1">
        <v>5</v>
      </c>
      <c r="Q3951" s="24">
        <v>17.449999999999989</v>
      </c>
      <c r="R3951" s="24">
        <v>157.05000000000001</v>
      </c>
      <c r="S3951" s="21">
        <f t="shared" si="185"/>
        <v>0.51009615384615392</v>
      </c>
    </row>
    <row r="3952" spans="2:19" ht="11.4" customHeight="1" x14ac:dyDescent="0.2">
      <c r="B3952" s="24"/>
      <c r="C3952" s="14">
        <v>13173</v>
      </c>
      <c r="D3952" s="18" t="s">
        <v>4134</v>
      </c>
      <c r="E3952" s="18" t="s">
        <v>3465</v>
      </c>
      <c r="F3952" s="17">
        <v>10</v>
      </c>
      <c r="G3952" s="18" t="s">
        <v>23</v>
      </c>
      <c r="H3952" s="17">
        <v>11.1</v>
      </c>
      <c r="I3952" s="15">
        <v>13.2</v>
      </c>
      <c r="J3952" s="21">
        <f t="shared" si="183"/>
        <v>0.18918918918918917</v>
      </c>
      <c r="K3952" s="1">
        <v>2</v>
      </c>
      <c r="L3952" s="24">
        <v>1.3</v>
      </c>
      <c r="M3952" s="24">
        <v>11.879999999999999</v>
      </c>
      <c r="N3952" s="21">
        <f t="shared" si="184"/>
        <v>7.0270270270270219E-2</v>
      </c>
      <c r="P3952" s="1">
        <v>4</v>
      </c>
      <c r="Q3952" s="24">
        <v>1.5839999999999996</v>
      </c>
      <c r="R3952" s="24">
        <v>11.616</v>
      </c>
      <c r="S3952" s="21">
        <f t="shared" si="185"/>
        <v>4.648648648648649E-2</v>
      </c>
    </row>
    <row r="3953" spans="2:19" ht="11.4" customHeight="1" x14ac:dyDescent="0.2">
      <c r="B3953" s="24"/>
      <c r="C3953" s="14">
        <v>12637</v>
      </c>
      <c r="D3953" s="18" t="s">
        <v>4135</v>
      </c>
      <c r="E3953" s="18" t="s">
        <v>3465</v>
      </c>
      <c r="F3953" s="17">
        <v>10</v>
      </c>
      <c r="G3953" s="18" t="s">
        <v>23</v>
      </c>
      <c r="H3953" s="17">
        <v>11.1</v>
      </c>
      <c r="I3953" s="15">
        <v>13.2</v>
      </c>
      <c r="J3953" s="21">
        <f t="shared" si="183"/>
        <v>0.18918918918918917</v>
      </c>
      <c r="K3953" s="1">
        <v>2</v>
      </c>
      <c r="L3953" s="24">
        <v>1.3</v>
      </c>
      <c r="M3953" s="24">
        <v>11.879999999999999</v>
      </c>
      <c r="N3953" s="21">
        <f t="shared" si="184"/>
        <v>7.0270270270270219E-2</v>
      </c>
      <c r="P3953" s="1">
        <v>4</v>
      </c>
      <c r="Q3953" s="24">
        <v>1.5839999999999996</v>
      </c>
      <c r="R3953" s="24">
        <v>11.616</v>
      </c>
      <c r="S3953" s="21">
        <f t="shared" si="185"/>
        <v>4.648648648648649E-2</v>
      </c>
    </row>
    <row r="3954" spans="2:19" ht="11.4" customHeight="1" x14ac:dyDescent="0.2">
      <c r="B3954" s="24"/>
      <c r="C3954" s="14">
        <v>31651</v>
      </c>
      <c r="D3954" s="18" t="s">
        <v>4136</v>
      </c>
      <c r="E3954" s="18" t="s">
        <v>4130</v>
      </c>
      <c r="F3954" s="18"/>
      <c r="G3954" s="18" t="s">
        <v>23</v>
      </c>
      <c r="H3954" s="17">
        <v>40.6</v>
      </c>
      <c r="I3954" s="15">
        <v>54.9</v>
      </c>
      <c r="J3954" s="21">
        <f t="shared" si="183"/>
        <v>0.35221674876847281</v>
      </c>
      <c r="K3954" s="1">
        <v>2</v>
      </c>
      <c r="L3954" s="24">
        <v>5.4</v>
      </c>
      <c r="M3954" s="24">
        <v>49.41</v>
      </c>
      <c r="N3954" s="21">
        <f t="shared" si="184"/>
        <v>0.21699507389162548</v>
      </c>
      <c r="P3954" s="1">
        <v>4</v>
      </c>
      <c r="Q3954" s="24">
        <v>6.588000000000001</v>
      </c>
      <c r="R3954" s="24">
        <v>48.311999999999998</v>
      </c>
      <c r="S3954" s="21">
        <f t="shared" si="185"/>
        <v>0.18995073891625605</v>
      </c>
    </row>
    <row r="3955" spans="2:19" ht="11.4" customHeight="1" x14ac:dyDescent="0.2">
      <c r="B3955" s="24"/>
      <c r="C3955" s="14">
        <v>31652</v>
      </c>
      <c r="D3955" s="18" t="s">
        <v>4137</v>
      </c>
      <c r="E3955" s="18" t="s">
        <v>4130</v>
      </c>
      <c r="F3955" s="18"/>
      <c r="G3955" s="18" t="s">
        <v>23</v>
      </c>
      <c r="H3955" s="17">
        <v>40.6</v>
      </c>
      <c r="I3955" s="15">
        <v>54.9</v>
      </c>
      <c r="J3955" s="21">
        <f t="shared" si="183"/>
        <v>0.35221674876847281</v>
      </c>
      <c r="K3955" s="1">
        <v>2</v>
      </c>
      <c r="L3955" s="24">
        <v>5.4</v>
      </c>
      <c r="M3955" s="24">
        <v>49.41</v>
      </c>
      <c r="N3955" s="21">
        <f t="shared" si="184"/>
        <v>0.21699507389162548</v>
      </c>
      <c r="P3955" s="1">
        <v>4</v>
      </c>
      <c r="Q3955" s="24">
        <v>6.588000000000001</v>
      </c>
      <c r="R3955" s="24">
        <v>48.311999999999998</v>
      </c>
      <c r="S3955" s="21">
        <f t="shared" si="185"/>
        <v>0.18995073891625605</v>
      </c>
    </row>
    <row r="3956" spans="2:19" ht="11.4" customHeight="1" x14ac:dyDescent="0.2">
      <c r="B3956" s="24"/>
      <c r="C3956" s="14">
        <v>31653</v>
      </c>
      <c r="D3956" s="18" t="s">
        <v>4138</v>
      </c>
      <c r="E3956" s="18" t="s">
        <v>4130</v>
      </c>
      <c r="F3956" s="18"/>
      <c r="G3956" s="18" t="s">
        <v>23</v>
      </c>
      <c r="H3956" s="17">
        <v>40.6</v>
      </c>
      <c r="I3956" s="15">
        <v>54.9</v>
      </c>
      <c r="J3956" s="21">
        <f t="shared" si="183"/>
        <v>0.35221674876847281</v>
      </c>
      <c r="K3956" s="1">
        <v>2</v>
      </c>
      <c r="L3956" s="24">
        <v>5.4</v>
      </c>
      <c r="M3956" s="24">
        <v>49.41</v>
      </c>
      <c r="N3956" s="21">
        <f t="shared" si="184"/>
        <v>0.21699507389162548</v>
      </c>
      <c r="P3956" s="1">
        <v>4</v>
      </c>
      <c r="Q3956" s="24">
        <v>6.588000000000001</v>
      </c>
      <c r="R3956" s="24">
        <v>48.311999999999998</v>
      </c>
      <c r="S3956" s="21">
        <f t="shared" si="185"/>
        <v>0.18995073891625605</v>
      </c>
    </row>
    <row r="3957" spans="2:19" ht="11.4" customHeight="1" x14ac:dyDescent="0.2">
      <c r="B3957" s="24"/>
      <c r="C3957" s="14">
        <v>45180</v>
      </c>
      <c r="D3957" s="18" t="s">
        <v>4139</v>
      </c>
      <c r="E3957" s="18" t="s">
        <v>4140</v>
      </c>
      <c r="F3957" s="18"/>
      <c r="G3957" s="18" t="s">
        <v>902</v>
      </c>
      <c r="H3957" s="17">
        <v>125</v>
      </c>
      <c r="I3957" s="15">
        <v>198.5</v>
      </c>
      <c r="J3957" s="21">
        <f t="shared" si="183"/>
        <v>0.58799999999999997</v>
      </c>
      <c r="K3957" s="1">
        <v>1</v>
      </c>
      <c r="L3957" s="24">
        <v>19.8</v>
      </c>
      <c r="M3957" s="24">
        <v>178.65</v>
      </c>
      <c r="N3957" s="21">
        <f t="shared" si="184"/>
        <v>0.42920000000000003</v>
      </c>
      <c r="P3957" s="1">
        <v>5</v>
      </c>
      <c r="Q3957" s="24">
        <v>19.849999999999994</v>
      </c>
      <c r="R3957" s="24">
        <v>178.65</v>
      </c>
      <c r="S3957" s="21">
        <f t="shared" si="185"/>
        <v>0.42920000000000003</v>
      </c>
    </row>
    <row r="3958" spans="2:19" ht="11.4" customHeight="1" x14ac:dyDescent="0.2">
      <c r="B3958" s="24"/>
      <c r="C3958" s="14">
        <v>44795</v>
      </c>
      <c r="D3958" s="18" t="s">
        <v>4141</v>
      </c>
      <c r="E3958" s="18" t="s">
        <v>4140</v>
      </c>
      <c r="F3958" s="18"/>
      <c r="G3958" s="18" t="s">
        <v>902</v>
      </c>
      <c r="H3958" s="17">
        <v>106</v>
      </c>
      <c r="I3958" s="15">
        <v>189.9</v>
      </c>
      <c r="J3958" s="21">
        <f t="shared" si="183"/>
        <v>0.79150943396226425</v>
      </c>
      <c r="K3958" s="1">
        <v>1</v>
      </c>
      <c r="L3958" s="24">
        <v>18.899999999999999</v>
      </c>
      <c r="M3958" s="24">
        <v>170.91</v>
      </c>
      <c r="N3958" s="21">
        <f t="shared" si="184"/>
        <v>0.61235849056603775</v>
      </c>
      <c r="P3958" s="1">
        <v>5</v>
      </c>
      <c r="Q3958" s="24">
        <v>18.990000000000009</v>
      </c>
      <c r="R3958" s="24">
        <v>170.91</v>
      </c>
      <c r="S3958" s="21">
        <f t="shared" si="185"/>
        <v>0.61235849056603775</v>
      </c>
    </row>
    <row r="3959" spans="2:19" ht="11.4" customHeight="1" x14ac:dyDescent="0.2">
      <c r="B3959" s="24"/>
      <c r="C3959" s="14">
        <v>45140</v>
      </c>
      <c r="D3959" s="18" t="s">
        <v>4142</v>
      </c>
      <c r="E3959" s="18" t="s">
        <v>4140</v>
      </c>
      <c r="F3959" s="17">
        <v>2</v>
      </c>
      <c r="G3959" s="18" t="s">
        <v>902</v>
      </c>
      <c r="H3959" s="17">
        <v>159.69999999999999</v>
      </c>
      <c r="I3959" s="15">
        <v>254.9</v>
      </c>
      <c r="J3959" s="21">
        <f t="shared" si="183"/>
        <v>0.59611772072636204</v>
      </c>
      <c r="K3959" s="1">
        <v>1</v>
      </c>
      <c r="L3959" s="24">
        <v>25.4</v>
      </c>
      <c r="M3959" s="24">
        <v>229.41</v>
      </c>
      <c r="N3959" s="21">
        <f t="shared" si="184"/>
        <v>0.43650594865372583</v>
      </c>
      <c r="P3959" s="1">
        <v>5</v>
      </c>
      <c r="Q3959" s="24">
        <v>25.490000000000009</v>
      </c>
      <c r="R3959" s="24">
        <v>229.41</v>
      </c>
      <c r="S3959" s="21">
        <f t="shared" si="185"/>
        <v>0.43650594865372583</v>
      </c>
    </row>
    <row r="3960" spans="2:19" ht="11.4" customHeight="1" x14ac:dyDescent="0.2">
      <c r="B3960" s="24"/>
      <c r="C3960" s="14">
        <v>45001</v>
      </c>
      <c r="D3960" s="18" t="s">
        <v>4143</v>
      </c>
      <c r="E3960" s="18" t="s">
        <v>4144</v>
      </c>
      <c r="F3960" s="18"/>
      <c r="G3960" s="18" t="s">
        <v>23</v>
      </c>
      <c r="H3960" s="18"/>
      <c r="I3960" s="15">
        <v>66.900000000000006</v>
      </c>
      <c r="J3960" s="21" t="e">
        <f t="shared" si="183"/>
        <v>#DIV/0!</v>
      </c>
      <c r="K3960" s="1">
        <v>2</v>
      </c>
      <c r="L3960" s="24">
        <v>6.6</v>
      </c>
      <c r="M3960" s="24">
        <v>60.210000000000008</v>
      </c>
      <c r="N3960" s="21" t="e">
        <f t="shared" si="184"/>
        <v>#DIV/0!</v>
      </c>
      <c r="P3960" s="1">
        <v>4</v>
      </c>
      <c r="Q3960" s="24">
        <v>8.0279999999999987</v>
      </c>
      <c r="R3960" s="24">
        <v>58.872000000000007</v>
      </c>
      <c r="S3960" s="21" t="e">
        <f t="shared" si="185"/>
        <v>#DIV/0!</v>
      </c>
    </row>
    <row r="3961" spans="2:19" ht="11.4" customHeight="1" x14ac:dyDescent="0.2">
      <c r="B3961" s="24"/>
      <c r="C3961" s="14">
        <v>45002</v>
      </c>
      <c r="D3961" s="18" t="s">
        <v>4145</v>
      </c>
      <c r="E3961" s="18" t="s">
        <v>4144</v>
      </c>
      <c r="F3961" s="18"/>
      <c r="G3961" s="18" t="s">
        <v>23</v>
      </c>
      <c r="H3961" s="18"/>
      <c r="I3961" s="15">
        <v>53.5</v>
      </c>
      <c r="J3961" s="21" t="e">
        <f t="shared" si="183"/>
        <v>#DIV/0!</v>
      </c>
      <c r="K3961" s="1">
        <v>2</v>
      </c>
      <c r="L3961" s="24">
        <v>5.3</v>
      </c>
      <c r="M3961" s="24">
        <v>48.15</v>
      </c>
      <c r="N3961" s="21" t="e">
        <f t="shared" si="184"/>
        <v>#DIV/0!</v>
      </c>
      <c r="P3961" s="1">
        <v>4</v>
      </c>
      <c r="Q3961" s="24">
        <v>6.4200000000000017</v>
      </c>
      <c r="R3961" s="24">
        <v>47.08</v>
      </c>
      <c r="S3961" s="21" t="e">
        <f t="shared" si="185"/>
        <v>#DIV/0!</v>
      </c>
    </row>
    <row r="3962" spans="2:19" ht="11.4" customHeight="1" x14ac:dyDescent="0.2">
      <c r="B3962" s="24"/>
      <c r="C3962" s="14">
        <v>43915</v>
      </c>
      <c r="D3962" s="18" t="s">
        <v>4146</v>
      </c>
      <c r="E3962" s="18" t="s">
        <v>4132</v>
      </c>
      <c r="F3962" s="17">
        <v>1</v>
      </c>
      <c r="G3962" s="18" t="s">
        <v>23</v>
      </c>
      <c r="H3962" s="17">
        <v>101.94</v>
      </c>
      <c r="I3962" s="15">
        <v>132.5</v>
      </c>
      <c r="J3962" s="21">
        <f t="shared" si="183"/>
        <v>0.29978418677653523</v>
      </c>
      <c r="K3962" s="1">
        <v>2</v>
      </c>
      <c r="L3962" s="24">
        <v>13.2</v>
      </c>
      <c r="M3962" s="24">
        <v>119.25</v>
      </c>
      <c r="N3962" s="21">
        <f t="shared" si="184"/>
        <v>0.16980576809888173</v>
      </c>
      <c r="P3962" s="1">
        <v>4</v>
      </c>
      <c r="Q3962" s="24">
        <v>15.900000000000006</v>
      </c>
      <c r="R3962" s="24">
        <v>116.6</v>
      </c>
      <c r="S3962" s="21">
        <f t="shared" si="185"/>
        <v>0.14381008436335097</v>
      </c>
    </row>
    <row r="3963" spans="2:19" ht="11.4" customHeight="1" x14ac:dyDescent="0.2">
      <c r="B3963" s="24"/>
      <c r="C3963" s="14">
        <v>43567</v>
      </c>
      <c r="D3963" s="18" t="s">
        <v>4147</v>
      </c>
      <c r="E3963" s="18" t="s">
        <v>4132</v>
      </c>
      <c r="F3963" s="17">
        <v>1</v>
      </c>
      <c r="G3963" s="18" t="s">
        <v>23</v>
      </c>
      <c r="H3963" s="17">
        <v>124.86</v>
      </c>
      <c r="I3963" s="15">
        <v>159.9</v>
      </c>
      <c r="J3963" s="21">
        <f t="shared" si="183"/>
        <v>0.28063431042767906</v>
      </c>
      <c r="K3963" s="1">
        <v>2</v>
      </c>
      <c r="L3963" s="24">
        <v>15.9</v>
      </c>
      <c r="M3963" s="24">
        <v>143.91</v>
      </c>
      <c r="N3963" s="21">
        <f t="shared" si="184"/>
        <v>0.15257087938491107</v>
      </c>
      <c r="P3963" s="1">
        <v>4</v>
      </c>
      <c r="Q3963" s="24">
        <v>19.187999999999988</v>
      </c>
      <c r="R3963" s="24">
        <v>140.71200000000002</v>
      </c>
      <c r="S3963" s="21">
        <f t="shared" si="185"/>
        <v>0.12695819317635768</v>
      </c>
    </row>
    <row r="3964" spans="2:19" ht="11.4" customHeight="1" x14ac:dyDescent="0.2">
      <c r="B3964" s="24"/>
      <c r="C3964" s="14">
        <v>26669</v>
      </c>
      <c r="D3964" s="18" t="s">
        <v>4148</v>
      </c>
      <c r="E3964" s="18" t="s">
        <v>3453</v>
      </c>
      <c r="F3964" s="18"/>
      <c r="G3964" s="18" t="s">
        <v>23</v>
      </c>
      <c r="H3964" s="17">
        <v>21.72</v>
      </c>
      <c r="I3964" s="15">
        <v>23.5</v>
      </c>
      <c r="J3964" s="21">
        <f t="shared" si="183"/>
        <v>8.1952117863720128E-2</v>
      </c>
      <c r="K3964" s="1">
        <v>2</v>
      </c>
      <c r="L3964" s="24">
        <v>2.2999999999999998</v>
      </c>
      <c r="M3964" s="24">
        <v>21.150000000000002</v>
      </c>
      <c r="N3964" s="21">
        <f t="shared" si="184"/>
        <v>-2.6243093922651783E-2</v>
      </c>
      <c r="P3964" s="1">
        <v>4</v>
      </c>
      <c r="Q3964" s="24">
        <v>2.8200000000000003</v>
      </c>
      <c r="R3964" s="24">
        <v>20.68</v>
      </c>
      <c r="S3964" s="21">
        <f t="shared" si="185"/>
        <v>-4.7882136279926296E-2</v>
      </c>
    </row>
    <row r="3965" spans="2:19" ht="11.4" customHeight="1" x14ac:dyDescent="0.2">
      <c r="B3965" s="24"/>
      <c r="C3965" s="14">
        <v>37585</v>
      </c>
      <c r="D3965" s="18" t="s">
        <v>4149</v>
      </c>
      <c r="E3965" s="18" t="s">
        <v>4132</v>
      </c>
      <c r="F3965" s="17">
        <v>2</v>
      </c>
      <c r="G3965" s="18" t="s">
        <v>902</v>
      </c>
      <c r="H3965" s="17">
        <v>188.64</v>
      </c>
      <c r="I3965" s="15">
        <v>252.9</v>
      </c>
      <c r="J3965" s="21">
        <f t="shared" si="183"/>
        <v>0.34064885496183217</v>
      </c>
      <c r="K3965" s="1">
        <v>1</v>
      </c>
      <c r="L3965" s="24">
        <v>25.2</v>
      </c>
      <c r="M3965" s="24">
        <v>227.61</v>
      </c>
      <c r="N3965" s="21">
        <f t="shared" si="184"/>
        <v>0.20658396946564903</v>
      </c>
      <c r="P3965" s="1">
        <v>5</v>
      </c>
      <c r="Q3965" s="24">
        <v>25.289999999999992</v>
      </c>
      <c r="R3965" s="24">
        <v>227.61</v>
      </c>
      <c r="S3965" s="21">
        <f t="shared" si="185"/>
        <v>0.20658396946564903</v>
      </c>
    </row>
    <row r="3966" spans="2:19" ht="11.4" customHeight="1" x14ac:dyDescent="0.2">
      <c r="B3966" s="24"/>
      <c r="C3966" s="14">
        <v>37587</v>
      </c>
      <c r="D3966" s="18" t="s">
        <v>4150</v>
      </c>
      <c r="E3966" s="18" t="s">
        <v>4132</v>
      </c>
      <c r="F3966" s="17">
        <v>1</v>
      </c>
      <c r="G3966" s="18" t="s">
        <v>902</v>
      </c>
      <c r="H3966" s="17">
        <v>222</v>
      </c>
      <c r="I3966" s="15">
        <v>294.89999999999998</v>
      </c>
      <c r="J3966" s="21">
        <f t="shared" si="183"/>
        <v>0.3283783783783783</v>
      </c>
      <c r="K3966" s="1">
        <v>1</v>
      </c>
      <c r="L3966" s="24">
        <v>29.4</v>
      </c>
      <c r="M3966" s="24">
        <v>265.40999999999997</v>
      </c>
      <c r="N3966" s="21">
        <f t="shared" si="184"/>
        <v>0.1955405405405404</v>
      </c>
      <c r="P3966" s="1">
        <v>5</v>
      </c>
      <c r="Q3966" s="24">
        <v>29.490000000000009</v>
      </c>
      <c r="R3966" s="24">
        <v>265.40999999999997</v>
      </c>
      <c r="S3966" s="21">
        <f t="shared" si="185"/>
        <v>0.1955405405405404</v>
      </c>
    </row>
    <row r="3967" spans="2:19" ht="11.4" customHeight="1" x14ac:dyDescent="0.2">
      <c r="B3967" s="24"/>
      <c r="C3967" s="14">
        <v>37586</v>
      </c>
      <c r="D3967" s="18" t="s">
        <v>4151</v>
      </c>
      <c r="E3967" s="18" t="s">
        <v>4132</v>
      </c>
      <c r="F3967" s="17">
        <v>1</v>
      </c>
      <c r="G3967" s="18" t="s">
        <v>902</v>
      </c>
      <c r="H3967" s="17">
        <v>215</v>
      </c>
      <c r="I3967" s="15">
        <v>267.89999999999998</v>
      </c>
      <c r="J3967" s="21">
        <f t="shared" si="183"/>
        <v>0.24604651162790686</v>
      </c>
      <c r="K3967" s="1">
        <v>1</v>
      </c>
      <c r="L3967" s="24">
        <v>26.7</v>
      </c>
      <c r="M3967" s="24">
        <v>241.10999999999999</v>
      </c>
      <c r="N3967" s="21">
        <f t="shared" si="184"/>
        <v>0.12144186046511621</v>
      </c>
      <c r="P3967" s="1">
        <v>5</v>
      </c>
      <c r="Q3967" s="24">
        <v>26.789999999999992</v>
      </c>
      <c r="R3967" s="24">
        <v>241.10999999999999</v>
      </c>
      <c r="S3967" s="21">
        <f t="shared" si="185"/>
        <v>0.12144186046511621</v>
      </c>
    </row>
    <row r="3968" spans="2:19" ht="11.4" customHeight="1" x14ac:dyDescent="0.2">
      <c r="B3968" s="24"/>
      <c r="C3968" s="14">
        <v>26919</v>
      </c>
      <c r="D3968" s="18" t="s">
        <v>4152</v>
      </c>
      <c r="E3968" s="18" t="s">
        <v>4132</v>
      </c>
      <c r="F3968" s="17">
        <v>1</v>
      </c>
      <c r="G3968" s="18" t="s">
        <v>902</v>
      </c>
      <c r="H3968" s="17">
        <v>166.9</v>
      </c>
      <c r="I3968" s="15">
        <v>214.5</v>
      </c>
      <c r="J3968" s="21">
        <f t="shared" si="183"/>
        <v>0.28520071899340921</v>
      </c>
      <c r="K3968" s="1">
        <v>1</v>
      </c>
      <c r="L3968" s="24">
        <v>21.4</v>
      </c>
      <c r="M3968" s="24">
        <v>193.05</v>
      </c>
      <c r="N3968" s="21">
        <f t="shared" si="184"/>
        <v>0.15668064709406834</v>
      </c>
      <c r="P3968" s="1">
        <v>5</v>
      </c>
      <c r="Q3968" s="24">
        <v>21.449999999999989</v>
      </c>
      <c r="R3968" s="24">
        <v>193.05</v>
      </c>
      <c r="S3968" s="21">
        <f t="shared" si="185"/>
        <v>0.15668064709406834</v>
      </c>
    </row>
    <row r="3969" spans="2:19" ht="11.4" customHeight="1" x14ac:dyDescent="0.2">
      <c r="B3969" s="24"/>
      <c r="C3969" s="14">
        <v>45179</v>
      </c>
      <c r="D3969" s="18" t="s">
        <v>4153</v>
      </c>
      <c r="E3969" s="18" t="s">
        <v>4132</v>
      </c>
      <c r="F3969" s="18"/>
      <c r="G3969" s="18" t="s">
        <v>902</v>
      </c>
      <c r="H3969" s="17">
        <v>99</v>
      </c>
      <c r="I3969" s="15">
        <v>157.5</v>
      </c>
      <c r="J3969" s="21">
        <f t="shared" si="183"/>
        <v>0.59090909090909094</v>
      </c>
      <c r="K3969" s="1">
        <v>1</v>
      </c>
      <c r="L3969" s="24">
        <v>15.7</v>
      </c>
      <c r="M3969" s="24">
        <v>141.75</v>
      </c>
      <c r="N3969" s="21">
        <f t="shared" si="184"/>
        <v>0.43181818181818182</v>
      </c>
      <c r="P3969" s="1">
        <v>5</v>
      </c>
      <c r="Q3969" s="24">
        <v>15.75</v>
      </c>
      <c r="R3969" s="24">
        <v>141.75</v>
      </c>
      <c r="S3969" s="21">
        <f t="shared" si="185"/>
        <v>0.43181818181818182</v>
      </c>
    </row>
    <row r="3970" spans="2:19" ht="11.4" customHeight="1" x14ac:dyDescent="0.2">
      <c r="B3970" s="24"/>
      <c r="C3970" s="14">
        <v>45886</v>
      </c>
      <c r="D3970" s="18" t="s">
        <v>4154</v>
      </c>
      <c r="E3970" s="18" t="s">
        <v>4130</v>
      </c>
      <c r="F3970" s="17">
        <v>10</v>
      </c>
      <c r="G3970" s="18" t="s">
        <v>23</v>
      </c>
      <c r="H3970" s="17">
        <v>35.46</v>
      </c>
      <c r="I3970" s="15">
        <v>58</v>
      </c>
      <c r="J3970" s="21">
        <f t="shared" si="183"/>
        <v>0.63564579808234623</v>
      </c>
      <c r="K3970" s="1">
        <v>2</v>
      </c>
      <c r="L3970" s="24">
        <v>5.8</v>
      </c>
      <c r="M3970" s="24">
        <v>52.2</v>
      </c>
      <c r="N3970" s="21">
        <f t="shared" si="184"/>
        <v>0.4720812182741117</v>
      </c>
      <c r="P3970" s="1">
        <v>4</v>
      </c>
      <c r="Q3970" s="24">
        <v>6.9600000000000009</v>
      </c>
      <c r="R3970" s="24">
        <v>51.04</v>
      </c>
      <c r="S3970" s="21">
        <f t="shared" si="185"/>
        <v>0.43936830231246471</v>
      </c>
    </row>
    <row r="3971" spans="2:19" ht="11.4" customHeight="1" x14ac:dyDescent="0.2">
      <c r="B3971" s="24"/>
      <c r="C3971" s="14">
        <v>43540</v>
      </c>
      <c r="D3971" s="18" t="s">
        <v>4155</v>
      </c>
      <c r="E3971" s="18" t="s">
        <v>4132</v>
      </c>
      <c r="F3971" s="17">
        <v>10</v>
      </c>
      <c r="G3971" s="18" t="s">
        <v>23</v>
      </c>
      <c r="H3971" s="17">
        <v>34.200000000000003</v>
      </c>
      <c r="I3971" s="15">
        <v>45</v>
      </c>
      <c r="J3971" s="21">
        <f t="shared" ref="J3971:J4034" si="186">(I3971-H3971)/H3971</f>
        <v>0.3157894736842104</v>
      </c>
      <c r="K3971" s="1">
        <v>2</v>
      </c>
      <c r="L3971" s="24">
        <v>4.5</v>
      </c>
      <c r="M3971" s="24">
        <v>40.5</v>
      </c>
      <c r="N3971" s="21">
        <f t="shared" ref="N3971:N4034" si="187">(M3971-H3971)/H3971</f>
        <v>0.18421052631578938</v>
      </c>
      <c r="P3971" s="1">
        <v>4</v>
      </c>
      <c r="Q3971" s="24">
        <v>5.3999999999999986</v>
      </c>
      <c r="R3971" s="24">
        <v>39.6</v>
      </c>
      <c r="S3971" s="21">
        <f t="shared" ref="S3971:S4034" si="188">(R3971-H3971)/H3971</f>
        <v>0.1578947368421052</v>
      </c>
    </row>
    <row r="3972" spans="2:19" ht="11.4" customHeight="1" x14ac:dyDescent="0.2">
      <c r="B3972" s="24"/>
      <c r="C3972" s="14">
        <v>44973</v>
      </c>
      <c r="D3972" s="18" t="s">
        <v>4156</v>
      </c>
      <c r="E3972" s="18" t="s">
        <v>4132</v>
      </c>
      <c r="F3972" s="18"/>
      <c r="G3972" s="18" t="s">
        <v>23</v>
      </c>
      <c r="H3972" s="17">
        <v>20.04</v>
      </c>
      <c r="I3972" s="15">
        <v>27.5</v>
      </c>
      <c r="J3972" s="21">
        <f t="shared" si="186"/>
        <v>0.37225548902195615</v>
      </c>
      <c r="K3972" s="1">
        <v>2</v>
      </c>
      <c r="L3972" s="24">
        <v>2.7</v>
      </c>
      <c r="M3972" s="24">
        <v>24.75</v>
      </c>
      <c r="N3972" s="21">
        <f t="shared" si="187"/>
        <v>0.23502994011976053</v>
      </c>
      <c r="P3972" s="1">
        <v>4</v>
      </c>
      <c r="Q3972" s="24">
        <v>3.3000000000000007</v>
      </c>
      <c r="R3972" s="24">
        <v>24.2</v>
      </c>
      <c r="S3972" s="21">
        <f t="shared" si="188"/>
        <v>0.20758483033932137</v>
      </c>
    </row>
    <row r="3973" spans="2:19" ht="11.4" customHeight="1" x14ac:dyDescent="0.2">
      <c r="B3973" s="24"/>
      <c r="C3973" s="14">
        <v>47025</v>
      </c>
      <c r="D3973" s="18" t="s">
        <v>4157</v>
      </c>
      <c r="E3973" s="18" t="s">
        <v>3447</v>
      </c>
      <c r="F3973" s="18"/>
      <c r="G3973" s="18" t="s">
        <v>23</v>
      </c>
      <c r="H3973" s="18"/>
      <c r="I3973" s="15">
        <v>18.5</v>
      </c>
      <c r="J3973" s="21" t="e">
        <f t="shared" si="186"/>
        <v>#DIV/0!</v>
      </c>
      <c r="K3973" s="1">
        <v>2</v>
      </c>
      <c r="L3973" s="24">
        <v>1.8</v>
      </c>
      <c r="M3973" s="24">
        <v>16.650000000000002</v>
      </c>
      <c r="N3973" s="21" t="e">
        <f t="shared" si="187"/>
        <v>#DIV/0!</v>
      </c>
      <c r="P3973" s="1">
        <v>4</v>
      </c>
      <c r="Q3973" s="24">
        <v>2.2199999999999989</v>
      </c>
      <c r="R3973" s="24">
        <v>16.28</v>
      </c>
      <c r="S3973" s="21" t="e">
        <f t="shared" si="188"/>
        <v>#DIV/0!</v>
      </c>
    </row>
    <row r="3974" spans="2:19" ht="11.4" customHeight="1" x14ac:dyDescent="0.2">
      <c r="B3974" s="24"/>
      <c r="C3974" s="14">
        <v>43680</v>
      </c>
      <c r="D3974" s="18" t="s">
        <v>4158</v>
      </c>
      <c r="E3974" s="18" t="s">
        <v>4132</v>
      </c>
      <c r="F3974" s="18"/>
      <c r="G3974" s="18" t="s">
        <v>902</v>
      </c>
      <c r="H3974" s="17">
        <v>136.5</v>
      </c>
      <c r="I3974" s="15">
        <v>215.5</v>
      </c>
      <c r="J3974" s="21">
        <f t="shared" si="186"/>
        <v>0.57875457875457881</v>
      </c>
      <c r="K3974" s="1">
        <v>1</v>
      </c>
      <c r="L3974" s="24">
        <v>21.5</v>
      </c>
      <c r="M3974" s="24">
        <v>193.95000000000002</v>
      </c>
      <c r="N3974" s="21">
        <f t="shared" si="187"/>
        <v>0.42087912087912099</v>
      </c>
      <c r="P3974" s="1">
        <v>5</v>
      </c>
      <c r="Q3974" s="24">
        <v>21.549999999999983</v>
      </c>
      <c r="R3974" s="24">
        <v>193.95000000000002</v>
      </c>
      <c r="S3974" s="21">
        <f t="shared" si="188"/>
        <v>0.42087912087912099</v>
      </c>
    </row>
    <row r="3975" spans="2:19" ht="11.4" customHeight="1" x14ac:dyDescent="0.2">
      <c r="B3975" s="24"/>
      <c r="C3975" s="14">
        <v>44975</v>
      </c>
      <c r="D3975" s="18" t="s">
        <v>4159</v>
      </c>
      <c r="E3975" s="18" t="s">
        <v>4132</v>
      </c>
      <c r="F3975" s="18"/>
      <c r="G3975" s="18" t="s">
        <v>23</v>
      </c>
      <c r="H3975" s="17">
        <v>20.04</v>
      </c>
      <c r="I3975" s="15">
        <v>27.5</v>
      </c>
      <c r="J3975" s="21">
        <f t="shared" si="186"/>
        <v>0.37225548902195615</v>
      </c>
      <c r="K3975" s="1">
        <v>2</v>
      </c>
      <c r="L3975" s="24">
        <v>2.7</v>
      </c>
      <c r="M3975" s="24">
        <v>24.75</v>
      </c>
      <c r="N3975" s="21">
        <f t="shared" si="187"/>
        <v>0.23502994011976053</v>
      </c>
      <c r="P3975" s="1">
        <v>4</v>
      </c>
      <c r="Q3975" s="24">
        <v>3.3000000000000007</v>
      </c>
      <c r="R3975" s="24">
        <v>24.2</v>
      </c>
      <c r="S3975" s="21">
        <f t="shared" si="188"/>
        <v>0.20758483033932137</v>
      </c>
    </row>
    <row r="3976" spans="2:19" ht="11.4" customHeight="1" x14ac:dyDescent="0.2">
      <c r="B3976" s="24"/>
      <c r="C3976" s="14">
        <v>44575</v>
      </c>
      <c r="D3976" s="18" t="s">
        <v>4160</v>
      </c>
      <c r="E3976" s="18" t="s">
        <v>4132</v>
      </c>
      <c r="F3976" s="17">
        <v>2</v>
      </c>
      <c r="G3976" s="18" t="s">
        <v>902</v>
      </c>
      <c r="H3976" s="17">
        <v>101</v>
      </c>
      <c r="I3976" s="15">
        <v>209.9</v>
      </c>
      <c r="J3976" s="21">
        <f t="shared" si="186"/>
        <v>1.0782178217821783</v>
      </c>
      <c r="K3976" s="1">
        <v>1</v>
      </c>
      <c r="L3976" s="24">
        <v>20.9</v>
      </c>
      <c r="M3976" s="24">
        <v>188.91</v>
      </c>
      <c r="N3976" s="21">
        <f t="shared" si="187"/>
        <v>0.87039603960396039</v>
      </c>
      <c r="P3976" s="1">
        <v>5</v>
      </c>
      <c r="Q3976" s="24">
        <v>20.990000000000009</v>
      </c>
      <c r="R3976" s="24">
        <v>188.91</v>
      </c>
      <c r="S3976" s="21">
        <f t="shared" si="188"/>
        <v>0.87039603960396039</v>
      </c>
    </row>
    <row r="3977" spans="2:19" ht="11.4" customHeight="1" x14ac:dyDescent="0.2">
      <c r="B3977" s="24"/>
      <c r="C3977" s="14">
        <v>36184</v>
      </c>
      <c r="D3977" s="18" t="s">
        <v>4161</v>
      </c>
      <c r="E3977" s="18" t="s">
        <v>4132</v>
      </c>
      <c r="F3977" s="17">
        <v>24</v>
      </c>
      <c r="G3977" s="18" t="s">
        <v>23</v>
      </c>
      <c r="H3977" s="17">
        <v>13.9</v>
      </c>
      <c r="I3977" s="15">
        <v>16.899999999999999</v>
      </c>
      <c r="J3977" s="21">
        <f t="shared" si="186"/>
        <v>0.21582733812949628</v>
      </c>
      <c r="K3977" s="1">
        <v>2</v>
      </c>
      <c r="L3977" s="24">
        <v>1.6</v>
      </c>
      <c r="M3977" s="24">
        <v>15.209999999999999</v>
      </c>
      <c r="N3977" s="21">
        <f t="shared" si="187"/>
        <v>9.4244604316546673E-2</v>
      </c>
      <c r="P3977" s="1">
        <v>4</v>
      </c>
      <c r="Q3977" s="24">
        <v>2.0280000000000005</v>
      </c>
      <c r="R3977" s="24">
        <v>14.871999999999998</v>
      </c>
      <c r="S3977" s="21">
        <f t="shared" si="188"/>
        <v>6.9928057553956674E-2</v>
      </c>
    </row>
    <row r="3978" spans="2:19" ht="11.4" customHeight="1" x14ac:dyDescent="0.2">
      <c r="B3978" s="24"/>
      <c r="C3978" s="14">
        <v>45025</v>
      </c>
      <c r="D3978" s="18" t="s">
        <v>4162</v>
      </c>
      <c r="E3978" s="18" t="s">
        <v>4132</v>
      </c>
      <c r="F3978" s="18"/>
      <c r="G3978" s="18" t="s">
        <v>902</v>
      </c>
      <c r="H3978" s="17">
        <v>214.44</v>
      </c>
      <c r="I3978" s="15">
        <v>288.89999999999998</v>
      </c>
      <c r="J3978" s="21">
        <f t="shared" si="186"/>
        <v>0.34722999440402902</v>
      </c>
      <c r="K3978" s="1">
        <v>1</v>
      </c>
      <c r="L3978" s="24">
        <v>28.8</v>
      </c>
      <c r="M3978" s="24">
        <v>260.01</v>
      </c>
      <c r="N3978" s="21">
        <f t="shared" si="187"/>
        <v>0.21250699496362616</v>
      </c>
      <c r="P3978" s="1">
        <v>5</v>
      </c>
      <c r="Q3978" s="24">
        <v>28.889999999999986</v>
      </c>
      <c r="R3978" s="24">
        <v>260.01</v>
      </c>
      <c r="S3978" s="21">
        <f t="shared" si="188"/>
        <v>0.21250699496362616</v>
      </c>
    </row>
    <row r="3979" spans="2:19" ht="11.4" customHeight="1" x14ac:dyDescent="0.2">
      <c r="B3979" s="24"/>
      <c r="C3979" s="14">
        <v>45028</v>
      </c>
      <c r="D3979" s="18" t="s">
        <v>4163</v>
      </c>
      <c r="E3979" s="18" t="s">
        <v>4132</v>
      </c>
      <c r="F3979" s="18"/>
      <c r="G3979" s="18" t="s">
        <v>902</v>
      </c>
      <c r="H3979" s="17">
        <v>214.56</v>
      </c>
      <c r="I3979" s="15">
        <v>288.89999999999998</v>
      </c>
      <c r="J3979" s="21">
        <f t="shared" si="186"/>
        <v>0.346476510067114</v>
      </c>
      <c r="K3979" s="1">
        <v>1</v>
      </c>
      <c r="L3979" s="24">
        <v>28.8</v>
      </c>
      <c r="M3979" s="24">
        <v>260.01</v>
      </c>
      <c r="N3979" s="21">
        <f t="shared" si="187"/>
        <v>0.21182885906040264</v>
      </c>
      <c r="P3979" s="1">
        <v>5</v>
      </c>
      <c r="Q3979" s="24">
        <v>28.889999999999986</v>
      </c>
      <c r="R3979" s="24">
        <v>260.01</v>
      </c>
      <c r="S3979" s="21">
        <f t="shared" si="188"/>
        <v>0.21182885906040264</v>
      </c>
    </row>
    <row r="3980" spans="2:19" ht="11.4" customHeight="1" x14ac:dyDescent="0.2">
      <c r="B3980" s="24"/>
      <c r="C3980" s="14">
        <v>43678</v>
      </c>
      <c r="D3980" s="18" t="s">
        <v>4164</v>
      </c>
      <c r="E3980" s="18" t="s">
        <v>4132</v>
      </c>
      <c r="F3980" s="18"/>
      <c r="G3980" s="18" t="s">
        <v>902</v>
      </c>
      <c r="H3980" s="17">
        <v>117</v>
      </c>
      <c r="I3980" s="15">
        <v>226.5</v>
      </c>
      <c r="J3980" s="21">
        <f t="shared" si="186"/>
        <v>0.9358974358974359</v>
      </c>
      <c r="K3980" s="1">
        <v>1</v>
      </c>
      <c r="L3980" s="24">
        <v>22.6</v>
      </c>
      <c r="M3980" s="24">
        <v>203.85</v>
      </c>
      <c r="N3980" s="21">
        <f t="shared" si="187"/>
        <v>0.74230769230769222</v>
      </c>
      <c r="P3980" s="1">
        <v>5</v>
      </c>
      <c r="Q3980" s="24">
        <v>22.650000000000006</v>
      </c>
      <c r="R3980" s="24">
        <v>203.85</v>
      </c>
      <c r="S3980" s="21">
        <f t="shared" si="188"/>
        <v>0.74230769230769222</v>
      </c>
    </row>
    <row r="3981" spans="2:19" ht="11.4" customHeight="1" x14ac:dyDescent="0.2">
      <c r="B3981" s="24"/>
      <c r="C3981" s="14">
        <v>34759</v>
      </c>
      <c r="D3981" s="18" t="s">
        <v>4165</v>
      </c>
      <c r="E3981" s="18" t="s">
        <v>4132</v>
      </c>
      <c r="F3981" s="17">
        <v>2</v>
      </c>
      <c r="G3981" s="18" t="s">
        <v>902</v>
      </c>
      <c r="H3981" s="17">
        <v>151</v>
      </c>
      <c r="I3981" s="15">
        <v>183.5</v>
      </c>
      <c r="J3981" s="21">
        <f t="shared" si="186"/>
        <v>0.21523178807947019</v>
      </c>
      <c r="K3981" s="1">
        <v>1</v>
      </c>
      <c r="L3981" s="24">
        <v>18.3</v>
      </c>
      <c r="M3981" s="24">
        <v>165.15</v>
      </c>
      <c r="N3981" s="21">
        <f t="shared" si="187"/>
        <v>9.3708609271523219E-2</v>
      </c>
      <c r="P3981" s="1">
        <v>5</v>
      </c>
      <c r="Q3981" s="24">
        <v>18.349999999999994</v>
      </c>
      <c r="R3981" s="24">
        <v>165.15</v>
      </c>
      <c r="S3981" s="21">
        <f t="shared" si="188"/>
        <v>9.3708609271523219E-2</v>
      </c>
    </row>
    <row r="3982" spans="2:19" ht="11.4" customHeight="1" x14ac:dyDescent="0.2">
      <c r="B3982" s="24"/>
      <c r="C3982" s="14">
        <v>37477</v>
      </c>
      <c r="D3982" s="18" t="s">
        <v>4166</v>
      </c>
      <c r="E3982" s="18" t="s">
        <v>4132</v>
      </c>
      <c r="F3982" s="17">
        <v>24</v>
      </c>
      <c r="G3982" s="18" t="s">
        <v>23</v>
      </c>
      <c r="H3982" s="17">
        <v>13.9</v>
      </c>
      <c r="I3982" s="15">
        <v>16.899999999999999</v>
      </c>
      <c r="J3982" s="21">
        <f t="shared" si="186"/>
        <v>0.21582733812949628</v>
      </c>
      <c r="K3982" s="1">
        <v>2</v>
      </c>
      <c r="L3982" s="24">
        <v>1.6</v>
      </c>
      <c r="M3982" s="24">
        <v>15.209999999999999</v>
      </c>
      <c r="N3982" s="21">
        <f t="shared" si="187"/>
        <v>9.4244604316546673E-2</v>
      </c>
      <c r="P3982" s="1">
        <v>4</v>
      </c>
      <c r="Q3982" s="24">
        <v>2.0280000000000005</v>
      </c>
      <c r="R3982" s="24">
        <v>14.871999999999998</v>
      </c>
      <c r="S3982" s="21">
        <f t="shared" si="188"/>
        <v>6.9928057553956674E-2</v>
      </c>
    </row>
    <row r="3983" spans="2:19" ht="11.4" customHeight="1" x14ac:dyDescent="0.2">
      <c r="B3983" s="24"/>
      <c r="C3983" s="14">
        <v>42646</v>
      </c>
      <c r="D3983" s="18" t="s">
        <v>4167</v>
      </c>
      <c r="E3983" s="18" t="s">
        <v>4132</v>
      </c>
      <c r="F3983" s="17">
        <v>2</v>
      </c>
      <c r="G3983" s="18" t="s">
        <v>902</v>
      </c>
      <c r="H3983" s="17">
        <v>206.94</v>
      </c>
      <c r="I3983" s="15">
        <v>270.5</v>
      </c>
      <c r="J3983" s="21">
        <f t="shared" si="186"/>
        <v>0.30714216681163625</v>
      </c>
      <c r="K3983" s="1">
        <v>1</v>
      </c>
      <c r="L3983" s="24">
        <v>27</v>
      </c>
      <c r="M3983" s="24">
        <v>243.45000000000002</v>
      </c>
      <c r="N3983" s="21">
        <f t="shared" si="187"/>
        <v>0.17642795013047269</v>
      </c>
      <c r="P3983" s="1">
        <v>5</v>
      </c>
      <c r="Q3983" s="24">
        <v>27.049999999999983</v>
      </c>
      <c r="R3983" s="24">
        <v>243.45000000000002</v>
      </c>
      <c r="S3983" s="21">
        <f t="shared" si="188"/>
        <v>0.17642795013047269</v>
      </c>
    </row>
    <row r="3984" spans="2:19" ht="11.4" customHeight="1" x14ac:dyDescent="0.2">
      <c r="B3984" s="24"/>
      <c r="C3984" s="14">
        <v>38358</v>
      </c>
      <c r="D3984" s="18" t="s">
        <v>4168</v>
      </c>
      <c r="E3984" s="18" t="s">
        <v>4132</v>
      </c>
      <c r="F3984" s="18"/>
      <c r="G3984" s="18" t="s">
        <v>902</v>
      </c>
      <c r="H3984" s="17">
        <v>152</v>
      </c>
      <c r="I3984" s="15">
        <v>226.5</v>
      </c>
      <c r="J3984" s="21">
        <f t="shared" si="186"/>
        <v>0.49013157894736842</v>
      </c>
      <c r="K3984" s="1">
        <v>1</v>
      </c>
      <c r="L3984" s="24">
        <v>22.6</v>
      </c>
      <c r="M3984" s="24">
        <v>203.85</v>
      </c>
      <c r="N3984" s="21">
        <f t="shared" si="187"/>
        <v>0.34111842105263152</v>
      </c>
      <c r="P3984" s="1">
        <v>5</v>
      </c>
      <c r="Q3984" s="24">
        <v>22.650000000000006</v>
      </c>
      <c r="R3984" s="24">
        <v>203.85</v>
      </c>
      <c r="S3984" s="21">
        <f t="shared" si="188"/>
        <v>0.34111842105263152</v>
      </c>
    </row>
    <row r="3985" spans="2:19" ht="11.4" customHeight="1" x14ac:dyDescent="0.2">
      <c r="B3985" s="24"/>
      <c r="C3985" s="14">
        <v>45004</v>
      </c>
      <c r="D3985" s="18" t="s">
        <v>4169</v>
      </c>
      <c r="E3985" s="18" t="s">
        <v>4170</v>
      </c>
      <c r="F3985" s="18"/>
      <c r="G3985" s="18" t="s">
        <v>23</v>
      </c>
      <c r="H3985" s="18"/>
      <c r="I3985" s="15">
        <v>62.9</v>
      </c>
      <c r="J3985" s="21" t="e">
        <f t="shared" si="186"/>
        <v>#DIV/0!</v>
      </c>
      <c r="K3985" s="1">
        <v>2</v>
      </c>
      <c r="L3985" s="24">
        <v>6.2</v>
      </c>
      <c r="M3985" s="24">
        <v>56.61</v>
      </c>
      <c r="N3985" s="21" t="e">
        <f t="shared" si="187"/>
        <v>#DIV/0!</v>
      </c>
      <c r="P3985" s="1">
        <v>4</v>
      </c>
      <c r="Q3985" s="24">
        <v>7.5480000000000018</v>
      </c>
      <c r="R3985" s="24">
        <v>55.351999999999997</v>
      </c>
      <c r="S3985" s="21" t="e">
        <f t="shared" si="188"/>
        <v>#DIV/0!</v>
      </c>
    </row>
    <row r="3986" spans="2:19" ht="11.4" customHeight="1" x14ac:dyDescent="0.2">
      <c r="B3986" s="24"/>
      <c r="C3986" s="14">
        <v>37637</v>
      </c>
      <c r="D3986" s="18" t="s">
        <v>4171</v>
      </c>
      <c r="E3986" s="18" t="s">
        <v>4172</v>
      </c>
      <c r="F3986" s="18"/>
      <c r="G3986" s="18" t="s">
        <v>23</v>
      </c>
      <c r="H3986" s="17">
        <v>259</v>
      </c>
      <c r="I3986" s="15">
        <v>339.9</v>
      </c>
      <c r="J3986" s="21">
        <f t="shared" si="186"/>
        <v>0.31235521235521224</v>
      </c>
      <c r="K3986" s="1">
        <v>2</v>
      </c>
      <c r="L3986" s="24">
        <v>33.9</v>
      </c>
      <c r="M3986" s="24">
        <v>305.90999999999997</v>
      </c>
      <c r="N3986" s="21">
        <f t="shared" si="187"/>
        <v>0.18111969111969101</v>
      </c>
      <c r="P3986" s="1">
        <v>4</v>
      </c>
      <c r="Q3986" s="24">
        <v>40.788000000000011</v>
      </c>
      <c r="R3986" s="24">
        <v>299.11199999999997</v>
      </c>
      <c r="S3986" s="21">
        <f t="shared" si="188"/>
        <v>0.15487258687258673</v>
      </c>
    </row>
    <row r="3987" spans="2:19" ht="11.4" customHeight="1" x14ac:dyDescent="0.2">
      <c r="B3987" s="24"/>
      <c r="C3987" s="14">
        <v>21610</v>
      </c>
      <c r="D3987" s="18" t="s">
        <v>4173</v>
      </c>
      <c r="E3987" s="18" t="s">
        <v>4172</v>
      </c>
      <c r="F3987" s="17">
        <v>1</v>
      </c>
      <c r="G3987" s="18" t="s">
        <v>23</v>
      </c>
      <c r="H3987" s="17">
        <v>135</v>
      </c>
      <c r="I3987" s="15">
        <v>215</v>
      </c>
      <c r="J3987" s="21">
        <f t="shared" si="186"/>
        <v>0.59259259259259256</v>
      </c>
      <c r="K3987" s="1">
        <v>2</v>
      </c>
      <c r="L3987" s="24">
        <v>21.5</v>
      </c>
      <c r="M3987" s="24">
        <v>193.5</v>
      </c>
      <c r="N3987" s="21">
        <f t="shared" si="187"/>
        <v>0.43333333333333335</v>
      </c>
      <c r="P3987" s="1">
        <v>4</v>
      </c>
      <c r="Q3987" s="24">
        <v>25.800000000000011</v>
      </c>
      <c r="R3987" s="24">
        <v>189.2</v>
      </c>
      <c r="S3987" s="21">
        <f t="shared" si="188"/>
        <v>0.40148148148148138</v>
      </c>
    </row>
    <row r="3988" spans="2:19" ht="11.4" customHeight="1" x14ac:dyDescent="0.2">
      <c r="B3988" s="24"/>
      <c r="C3988" s="14">
        <v>47504</v>
      </c>
      <c r="D3988" s="18" t="s">
        <v>4174</v>
      </c>
      <c r="E3988" s="18" t="s">
        <v>4172</v>
      </c>
      <c r="F3988" s="17">
        <v>1</v>
      </c>
      <c r="G3988" s="18" t="s">
        <v>23</v>
      </c>
      <c r="H3988" s="17">
        <v>230</v>
      </c>
      <c r="I3988" s="15">
        <v>369</v>
      </c>
      <c r="J3988" s="21">
        <f t="shared" si="186"/>
        <v>0.60434782608695647</v>
      </c>
      <c r="K3988" s="1">
        <v>2</v>
      </c>
      <c r="L3988" s="24">
        <v>36.9</v>
      </c>
      <c r="M3988" s="24">
        <v>332.1</v>
      </c>
      <c r="N3988" s="21">
        <f t="shared" si="187"/>
        <v>0.44391304347826099</v>
      </c>
      <c r="P3988" s="1">
        <v>4</v>
      </c>
      <c r="Q3988" s="24">
        <v>44.279999999999973</v>
      </c>
      <c r="R3988" s="24">
        <v>324.72000000000003</v>
      </c>
      <c r="S3988" s="21">
        <f t="shared" si="188"/>
        <v>0.41182608695652184</v>
      </c>
    </row>
    <row r="3989" spans="2:19" ht="11.4" customHeight="1" x14ac:dyDescent="0.2">
      <c r="B3989" s="24"/>
      <c r="C3989" s="14">
        <v>45022</v>
      </c>
      <c r="D3989" s="18" t="s">
        <v>4175</v>
      </c>
      <c r="E3989" s="18" t="s">
        <v>4172</v>
      </c>
      <c r="F3989" s="17">
        <v>1</v>
      </c>
      <c r="G3989" s="18" t="s">
        <v>23</v>
      </c>
      <c r="H3989" s="17">
        <v>309.36</v>
      </c>
      <c r="I3989" s="15">
        <v>419.9</v>
      </c>
      <c r="J3989" s="21">
        <f t="shared" si="186"/>
        <v>0.35731833462632517</v>
      </c>
      <c r="K3989" s="1">
        <v>2</v>
      </c>
      <c r="L3989" s="24">
        <v>41.9</v>
      </c>
      <c r="M3989" s="24">
        <v>377.90999999999997</v>
      </c>
      <c r="N3989" s="21">
        <f t="shared" si="187"/>
        <v>0.22158650116369263</v>
      </c>
      <c r="P3989" s="1">
        <v>4</v>
      </c>
      <c r="Q3989" s="24">
        <v>50.387999999999977</v>
      </c>
      <c r="R3989" s="24">
        <v>369.512</v>
      </c>
      <c r="S3989" s="21">
        <f t="shared" si="188"/>
        <v>0.19444013447116623</v>
      </c>
    </row>
    <row r="3990" spans="2:19" ht="11.4" customHeight="1" x14ac:dyDescent="0.2">
      <c r="B3990" s="24"/>
      <c r="C3990" s="14">
        <v>40763</v>
      </c>
      <c r="D3990" s="18" t="s">
        <v>4176</v>
      </c>
      <c r="E3990" s="18" t="s">
        <v>4170</v>
      </c>
      <c r="F3990" s="17">
        <v>1</v>
      </c>
      <c r="G3990" s="18" t="s">
        <v>902</v>
      </c>
      <c r="H3990" s="17">
        <v>240.5</v>
      </c>
      <c r="I3990" s="15">
        <v>322.89999999999998</v>
      </c>
      <c r="J3990" s="21">
        <f t="shared" si="186"/>
        <v>0.34261954261954253</v>
      </c>
      <c r="K3990" s="1">
        <v>1</v>
      </c>
      <c r="L3990" s="24">
        <v>32.200000000000003</v>
      </c>
      <c r="M3990" s="24">
        <v>290.61</v>
      </c>
      <c r="N3990" s="21">
        <f t="shared" si="187"/>
        <v>0.20835758835758841</v>
      </c>
      <c r="P3990" s="1">
        <v>5</v>
      </c>
      <c r="Q3990" s="24">
        <v>32.289999999999964</v>
      </c>
      <c r="R3990" s="24">
        <v>290.61</v>
      </c>
      <c r="S3990" s="21">
        <f t="shared" si="188"/>
        <v>0.20835758835758841</v>
      </c>
    </row>
    <row r="3991" spans="2:19" ht="11.4" customHeight="1" x14ac:dyDescent="0.2">
      <c r="B3991" s="24"/>
      <c r="C3991" s="14">
        <v>40764</v>
      </c>
      <c r="D3991" s="18" t="s">
        <v>4177</v>
      </c>
      <c r="E3991" s="18" t="s">
        <v>4170</v>
      </c>
      <c r="F3991" s="17">
        <v>1</v>
      </c>
      <c r="G3991" s="18" t="s">
        <v>902</v>
      </c>
      <c r="H3991" s="17">
        <v>245.52</v>
      </c>
      <c r="I3991" s="15">
        <v>333</v>
      </c>
      <c r="J3991" s="21">
        <f t="shared" si="186"/>
        <v>0.35630498533724336</v>
      </c>
      <c r="K3991" s="1">
        <v>1</v>
      </c>
      <c r="L3991" s="24">
        <v>33.299999999999997</v>
      </c>
      <c r="M3991" s="24">
        <v>299.7</v>
      </c>
      <c r="N3991" s="21">
        <f t="shared" si="187"/>
        <v>0.22067448680351898</v>
      </c>
      <c r="P3991" s="1">
        <v>5</v>
      </c>
      <c r="Q3991" s="24">
        <v>33.300000000000011</v>
      </c>
      <c r="R3991" s="24">
        <v>299.7</v>
      </c>
      <c r="S3991" s="21">
        <f t="shared" si="188"/>
        <v>0.22067448680351898</v>
      </c>
    </row>
    <row r="3992" spans="2:19" ht="11.4" customHeight="1" x14ac:dyDescent="0.2">
      <c r="B3992" s="24"/>
      <c r="C3992" s="14">
        <v>45162</v>
      </c>
      <c r="D3992" s="18" t="s">
        <v>4178</v>
      </c>
      <c r="E3992" s="18" t="s">
        <v>4172</v>
      </c>
      <c r="F3992" s="18"/>
      <c r="G3992" s="18" t="s">
        <v>23</v>
      </c>
      <c r="H3992" s="17">
        <v>312.95999999999998</v>
      </c>
      <c r="I3992" s="15">
        <v>399.9</v>
      </c>
      <c r="J3992" s="21">
        <f t="shared" si="186"/>
        <v>0.27779907975460122</v>
      </c>
      <c r="K3992" s="1">
        <v>2</v>
      </c>
      <c r="L3992" s="24">
        <v>39.9</v>
      </c>
      <c r="M3992" s="24">
        <v>359.90999999999997</v>
      </c>
      <c r="N3992" s="21">
        <f t="shared" si="187"/>
        <v>0.15001917177914106</v>
      </c>
      <c r="P3992" s="1">
        <v>4</v>
      </c>
      <c r="Q3992" s="24">
        <v>47.988</v>
      </c>
      <c r="R3992" s="24">
        <v>351.91199999999998</v>
      </c>
      <c r="S3992" s="21">
        <f t="shared" si="188"/>
        <v>0.12446319018404908</v>
      </c>
    </row>
    <row r="3993" spans="2:19" ht="11.4" customHeight="1" x14ac:dyDescent="0.2">
      <c r="B3993" s="24"/>
      <c r="C3993" s="14">
        <v>37583</v>
      </c>
      <c r="D3993" s="18" t="s">
        <v>4179</v>
      </c>
      <c r="E3993" s="18" t="s">
        <v>4170</v>
      </c>
      <c r="F3993" s="17">
        <v>2</v>
      </c>
      <c r="G3993" s="18" t="s">
        <v>902</v>
      </c>
      <c r="H3993" s="17">
        <v>187.92</v>
      </c>
      <c r="I3993" s="15">
        <v>256.89999999999998</v>
      </c>
      <c r="J3993" s="21">
        <f t="shared" si="186"/>
        <v>0.36707109408258831</v>
      </c>
      <c r="K3993" s="1">
        <v>1</v>
      </c>
      <c r="L3993" s="24">
        <v>25.6</v>
      </c>
      <c r="M3993" s="24">
        <v>231.20999999999998</v>
      </c>
      <c r="N3993" s="21">
        <f t="shared" si="187"/>
        <v>0.23036398467432948</v>
      </c>
      <c r="P3993" s="1">
        <v>5</v>
      </c>
      <c r="Q3993" s="24">
        <v>25.689999999999998</v>
      </c>
      <c r="R3993" s="24">
        <v>231.20999999999998</v>
      </c>
      <c r="S3993" s="21">
        <f t="shared" si="188"/>
        <v>0.23036398467432948</v>
      </c>
    </row>
    <row r="3994" spans="2:19" ht="11.4" customHeight="1" x14ac:dyDescent="0.2">
      <c r="B3994" s="24"/>
      <c r="C3994" s="14">
        <v>37582</v>
      </c>
      <c r="D3994" s="18" t="s">
        <v>4180</v>
      </c>
      <c r="E3994" s="18" t="s">
        <v>4170</v>
      </c>
      <c r="F3994" s="17">
        <v>2</v>
      </c>
      <c r="G3994" s="18" t="s">
        <v>902</v>
      </c>
      <c r="H3994" s="17">
        <v>169.2</v>
      </c>
      <c r="I3994" s="15">
        <v>230.9</v>
      </c>
      <c r="J3994" s="21">
        <f t="shared" si="186"/>
        <v>0.36465721040189136</v>
      </c>
      <c r="K3994" s="1">
        <v>1</v>
      </c>
      <c r="L3994" s="24">
        <v>23</v>
      </c>
      <c r="M3994" s="24">
        <v>207.81</v>
      </c>
      <c r="N3994" s="21">
        <f t="shared" si="187"/>
        <v>0.22819148936170222</v>
      </c>
      <c r="P3994" s="1">
        <v>5</v>
      </c>
      <c r="Q3994" s="24">
        <v>23.090000000000003</v>
      </c>
      <c r="R3994" s="24">
        <v>207.81</v>
      </c>
      <c r="S3994" s="21">
        <f t="shared" si="188"/>
        <v>0.22819148936170222</v>
      </c>
    </row>
    <row r="3995" spans="2:19" ht="11.4" customHeight="1" x14ac:dyDescent="0.2">
      <c r="B3995" s="24"/>
      <c r="C3995" s="14">
        <v>45024</v>
      </c>
      <c r="D3995" s="18" t="s">
        <v>4181</v>
      </c>
      <c r="E3995" s="18" t="s">
        <v>4172</v>
      </c>
      <c r="F3995" s="17">
        <v>1</v>
      </c>
      <c r="G3995" s="18" t="s">
        <v>23</v>
      </c>
      <c r="H3995" s="17">
        <v>282.89999999999998</v>
      </c>
      <c r="I3995" s="15">
        <v>383.9</v>
      </c>
      <c r="J3995" s="21">
        <f t="shared" si="186"/>
        <v>0.35701661364439735</v>
      </c>
      <c r="K3995" s="1">
        <v>2</v>
      </c>
      <c r="L3995" s="24">
        <v>38.299999999999997</v>
      </c>
      <c r="M3995" s="24">
        <v>345.51</v>
      </c>
      <c r="N3995" s="21">
        <f t="shared" si="187"/>
        <v>0.22131495227995765</v>
      </c>
      <c r="P3995" s="1">
        <v>4</v>
      </c>
      <c r="Q3995" s="24">
        <v>46.067999999999984</v>
      </c>
      <c r="R3995" s="24">
        <v>337.83199999999999</v>
      </c>
      <c r="S3995" s="21">
        <f t="shared" si="188"/>
        <v>0.1941746200070697</v>
      </c>
    </row>
    <row r="3996" spans="2:19" ht="11.4" customHeight="1" x14ac:dyDescent="0.2">
      <c r="B3996" s="24"/>
      <c r="C3996" s="14">
        <v>37584</v>
      </c>
      <c r="D3996" s="18" t="s">
        <v>4182</v>
      </c>
      <c r="E3996" s="18" t="s">
        <v>4170</v>
      </c>
      <c r="F3996" s="17">
        <v>2</v>
      </c>
      <c r="G3996" s="18" t="s">
        <v>902</v>
      </c>
      <c r="H3996" s="17">
        <v>185.88</v>
      </c>
      <c r="I3996" s="15">
        <v>250</v>
      </c>
      <c r="J3996" s="21">
        <f t="shared" si="186"/>
        <v>0.3449537335915645</v>
      </c>
      <c r="K3996" s="1">
        <v>1</v>
      </c>
      <c r="L3996" s="24">
        <v>25</v>
      </c>
      <c r="M3996" s="24">
        <v>225</v>
      </c>
      <c r="N3996" s="21">
        <f t="shared" si="187"/>
        <v>0.21045836023240805</v>
      </c>
      <c r="P3996" s="1">
        <v>5</v>
      </c>
      <c r="Q3996" s="24">
        <v>37.5</v>
      </c>
      <c r="R3996" s="24">
        <v>212.5</v>
      </c>
      <c r="S3996" s="21">
        <f t="shared" si="188"/>
        <v>0.14321067355282982</v>
      </c>
    </row>
    <row r="3997" spans="2:19" ht="11.4" customHeight="1" x14ac:dyDescent="0.2">
      <c r="B3997" s="24"/>
      <c r="C3997" s="14">
        <v>30610</v>
      </c>
      <c r="D3997" s="18" t="s">
        <v>4183</v>
      </c>
      <c r="E3997" s="18" t="s">
        <v>4172</v>
      </c>
      <c r="F3997" s="17">
        <v>2</v>
      </c>
      <c r="G3997" s="18" t="s">
        <v>902</v>
      </c>
      <c r="H3997" s="17">
        <v>204</v>
      </c>
      <c r="I3997" s="15">
        <v>266.5</v>
      </c>
      <c r="J3997" s="21">
        <f t="shared" si="186"/>
        <v>0.30637254901960786</v>
      </c>
      <c r="K3997" s="1">
        <v>1</v>
      </c>
      <c r="L3997" s="24">
        <v>26.6</v>
      </c>
      <c r="M3997" s="24">
        <v>239.85</v>
      </c>
      <c r="N3997" s="21">
        <f t="shared" si="187"/>
        <v>0.17573529411764702</v>
      </c>
      <c r="P3997" s="1">
        <v>5</v>
      </c>
      <c r="Q3997" s="24">
        <v>39.974999999999994</v>
      </c>
      <c r="R3997" s="24">
        <v>226.52500000000001</v>
      </c>
      <c r="S3997" s="21">
        <f t="shared" si="188"/>
        <v>0.11041666666666669</v>
      </c>
    </row>
    <row r="3998" spans="2:19" ht="11.4" customHeight="1" x14ac:dyDescent="0.2">
      <c r="B3998" s="24"/>
      <c r="C3998" s="14">
        <v>47508</v>
      </c>
      <c r="D3998" s="18" t="s">
        <v>4184</v>
      </c>
      <c r="E3998" s="18" t="s">
        <v>4172</v>
      </c>
      <c r="F3998" s="17">
        <v>1</v>
      </c>
      <c r="G3998" s="18" t="s">
        <v>23</v>
      </c>
      <c r="H3998" s="17">
        <v>260</v>
      </c>
      <c r="I3998" s="15">
        <v>390</v>
      </c>
      <c r="J3998" s="21">
        <f t="shared" si="186"/>
        <v>0.5</v>
      </c>
      <c r="K3998" s="1">
        <v>2</v>
      </c>
      <c r="L3998" s="24">
        <v>39</v>
      </c>
      <c r="M3998" s="24">
        <v>351</v>
      </c>
      <c r="N3998" s="21">
        <f t="shared" si="187"/>
        <v>0.35</v>
      </c>
      <c r="P3998" s="1">
        <v>4</v>
      </c>
      <c r="Q3998" s="24">
        <v>46.800000000000011</v>
      </c>
      <c r="R3998" s="24">
        <v>343.2</v>
      </c>
      <c r="S3998" s="21">
        <f t="shared" si="188"/>
        <v>0.31999999999999995</v>
      </c>
    </row>
    <row r="3999" spans="2:19" ht="11.4" customHeight="1" x14ac:dyDescent="0.2">
      <c r="B3999" s="24"/>
      <c r="C3999" s="14">
        <v>47506</v>
      </c>
      <c r="D3999" s="18" t="s">
        <v>4185</v>
      </c>
      <c r="E3999" s="18" t="s">
        <v>4172</v>
      </c>
      <c r="F3999" s="17">
        <v>1</v>
      </c>
      <c r="G3999" s="18" t="s">
        <v>23</v>
      </c>
      <c r="H3999" s="17">
        <v>230</v>
      </c>
      <c r="I3999" s="15">
        <v>369</v>
      </c>
      <c r="J3999" s="21">
        <f t="shared" si="186"/>
        <v>0.60434782608695647</v>
      </c>
      <c r="K3999" s="1">
        <v>2</v>
      </c>
      <c r="L3999" s="24">
        <v>36.9</v>
      </c>
      <c r="M3999" s="24">
        <v>332.1</v>
      </c>
      <c r="N3999" s="21">
        <f t="shared" si="187"/>
        <v>0.44391304347826099</v>
      </c>
      <c r="P3999" s="1">
        <v>4</v>
      </c>
      <c r="Q3999" s="24">
        <v>44.279999999999973</v>
      </c>
      <c r="R3999" s="24">
        <v>324.72000000000003</v>
      </c>
      <c r="S3999" s="21">
        <f t="shared" si="188"/>
        <v>0.41182608695652184</v>
      </c>
    </row>
    <row r="4000" spans="2:19" ht="11.4" customHeight="1" x14ac:dyDescent="0.2">
      <c r="B4000" s="24"/>
      <c r="C4000" s="14">
        <v>21248</v>
      </c>
      <c r="D4000" s="18" t="s">
        <v>4186</v>
      </c>
      <c r="E4000" s="18" t="s">
        <v>3431</v>
      </c>
      <c r="F4000" s="17">
        <v>14</v>
      </c>
      <c r="G4000" s="18" t="s">
        <v>23</v>
      </c>
      <c r="H4000" s="17">
        <v>46.7</v>
      </c>
      <c r="I4000" s="15">
        <v>54.9</v>
      </c>
      <c r="J4000" s="21">
        <f t="shared" si="186"/>
        <v>0.17558886509635965</v>
      </c>
      <c r="K4000" s="1">
        <v>2</v>
      </c>
      <c r="L4000" s="24">
        <v>5.4</v>
      </c>
      <c r="M4000" s="24">
        <v>49.41</v>
      </c>
      <c r="N4000" s="21">
        <f t="shared" si="187"/>
        <v>5.8029978586723631E-2</v>
      </c>
      <c r="P4000" s="1">
        <v>4</v>
      </c>
      <c r="Q4000" s="24">
        <v>6.588000000000001</v>
      </c>
      <c r="R4000" s="24">
        <v>48.311999999999998</v>
      </c>
      <c r="S4000" s="21">
        <f t="shared" si="188"/>
        <v>3.4518201284796463E-2</v>
      </c>
    </row>
    <row r="4001" spans="2:19" ht="11.4" customHeight="1" x14ac:dyDescent="0.2">
      <c r="B4001" s="24"/>
      <c r="C4001" s="14">
        <v>36449</v>
      </c>
      <c r="D4001" s="18" t="s">
        <v>4187</v>
      </c>
      <c r="E4001" s="18" t="s">
        <v>3431</v>
      </c>
      <c r="F4001" s="17">
        <v>14</v>
      </c>
      <c r="G4001" s="18" t="s">
        <v>23</v>
      </c>
      <c r="H4001" s="17">
        <v>46.7</v>
      </c>
      <c r="I4001" s="15">
        <v>54.9</v>
      </c>
      <c r="J4001" s="21">
        <f t="shared" si="186"/>
        <v>0.17558886509635965</v>
      </c>
      <c r="K4001" s="1">
        <v>2</v>
      </c>
      <c r="L4001" s="24">
        <v>5.4</v>
      </c>
      <c r="M4001" s="24">
        <v>49.41</v>
      </c>
      <c r="N4001" s="21">
        <f t="shared" si="187"/>
        <v>5.8029978586723631E-2</v>
      </c>
      <c r="P4001" s="1">
        <v>4</v>
      </c>
      <c r="Q4001" s="24">
        <v>6.588000000000001</v>
      </c>
      <c r="R4001" s="24">
        <v>48.311999999999998</v>
      </c>
      <c r="S4001" s="21">
        <f t="shared" si="188"/>
        <v>3.4518201284796463E-2</v>
      </c>
    </row>
    <row r="4002" spans="2:19" ht="11.4" customHeight="1" x14ac:dyDescent="0.2">
      <c r="B4002" s="24"/>
      <c r="C4002" s="14">
        <v>21250</v>
      </c>
      <c r="D4002" s="18" t="s">
        <v>4188</v>
      </c>
      <c r="E4002" s="18" t="s">
        <v>3431</v>
      </c>
      <c r="F4002" s="17">
        <v>14</v>
      </c>
      <c r="G4002" s="18" t="s">
        <v>23</v>
      </c>
      <c r="H4002" s="17">
        <v>46.7</v>
      </c>
      <c r="I4002" s="15">
        <v>54.9</v>
      </c>
      <c r="J4002" s="21">
        <f t="shared" si="186"/>
        <v>0.17558886509635965</v>
      </c>
      <c r="K4002" s="1">
        <v>2</v>
      </c>
      <c r="L4002" s="24">
        <v>5.4</v>
      </c>
      <c r="M4002" s="24">
        <v>49.41</v>
      </c>
      <c r="N4002" s="21">
        <f t="shared" si="187"/>
        <v>5.8029978586723631E-2</v>
      </c>
      <c r="P4002" s="1">
        <v>4</v>
      </c>
      <c r="Q4002" s="24">
        <v>6.588000000000001</v>
      </c>
      <c r="R4002" s="24">
        <v>48.311999999999998</v>
      </c>
      <c r="S4002" s="21">
        <f t="shared" si="188"/>
        <v>3.4518201284796463E-2</v>
      </c>
    </row>
    <row r="4003" spans="2:19" ht="11.4" customHeight="1" x14ac:dyDescent="0.2">
      <c r="B4003" s="24"/>
      <c r="C4003" s="14">
        <v>21249</v>
      </c>
      <c r="D4003" s="18" t="s">
        <v>4189</v>
      </c>
      <c r="E4003" s="18" t="s">
        <v>3431</v>
      </c>
      <c r="F4003" s="17">
        <v>14</v>
      </c>
      <c r="G4003" s="18" t="s">
        <v>23</v>
      </c>
      <c r="H4003" s="17">
        <v>46.7</v>
      </c>
      <c r="I4003" s="15">
        <v>54.9</v>
      </c>
      <c r="J4003" s="21">
        <f t="shared" si="186"/>
        <v>0.17558886509635965</v>
      </c>
      <c r="K4003" s="1">
        <v>2</v>
      </c>
      <c r="L4003" s="24">
        <v>5.4</v>
      </c>
      <c r="M4003" s="24">
        <v>49.41</v>
      </c>
      <c r="N4003" s="21">
        <f t="shared" si="187"/>
        <v>5.8029978586723631E-2</v>
      </c>
      <c r="P4003" s="1">
        <v>4</v>
      </c>
      <c r="Q4003" s="24">
        <v>6.588000000000001</v>
      </c>
      <c r="R4003" s="24">
        <v>48.311999999999998</v>
      </c>
      <c r="S4003" s="21">
        <f t="shared" si="188"/>
        <v>3.4518201284796463E-2</v>
      </c>
    </row>
    <row r="4004" spans="2:19" ht="11.4" customHeight="1" x14ac:dyDescent="0.2">
      <c r="B4004" s="24"/>
      <c r="C4004" s="14">
        <v>31473</v>
      </c>
      <c r="D4004" s="18" t="s">
        <v>4190</v>
      </c>
      <c r="E4004" s="18" t="s">
        <v>4172</v>
      </c>
      <c r="F4004" s="18"/>
      <c r="G4004" s="18" t="s">
        <v>902</v>
      </c>
      <c r="H4004" s="17">
        <v>203</v>
      </c>
      <c r="I4004" s="15">
        <v>227.5</v>
      </c>
      <c r="J4004" s="21">
        <f t="shared" si="186"/>
        <v>0.1206896551724138</v>
      </c>
      <c r="K4004" s="1">
        <v>1</v>
      </c>
      <c r="L4004" s="24">
        <v>22.7</v>
      </c>
      <c r="M4004" s="24">
        <v>204.75</v>
      </c>
      <c r="N4004" s="21">
        <f t="shared" si="187"/>
        <v>8.6206896551724137E-3</v>
      </c>
      <c r="P4004" s="1">
        <v>5</v>
      </c>
      <c r="Q4004" s="24">
        <v>34.125</v>
      </c>
      <c r="R4004" s="24">
        <v>193.375</v>
      </c>
      <c r="S4004" s="21">
        <f t="shared" si="188"/>
        <v>-4.7413793103448273E-2</v>
      </c>
    </row>
    <row r="4005" spans="2:19" ht="11.4" customHeight="1" x14ac:dyDescent="0.2">
      <c r="B4005" s="24"/>
      <c r="C4005" s="14">
        <v>42028</v>
      </c>
      <c r="D4005" s="18" t="s">
        <v>4191</v>
      </c>
      <c r="E4005" s="18" t="s">
        <v>4172</v>
      </c>
      <c r="F4005" s="18"/>
      <c r="G4005" s="18" t="s">
        <v>23</v>
      </c>
      <c r="H4005" s="17">
        <v>270.89999999999998</v>
      </c>
      <c r="I4005" s="15">
        <v>366</v>
      </c>
      <c r="J4005" s="21">
        <f t="shared" si="186"/>
        <v>0.35105204872646745</v>
      </c>
      <c r="K4005" s="1">
        <v>2</v>
      </c>
      <c r="L4005" s="24">
        <v>36.6</v>
      </c>
      <c r="M4005" s="24">
        <v>329.40000000000003</v>
      </c>
      <c r="N4005" s="21">
        <f t="shared" si="187"/>
        <v>0.21594684385382082</v>
      </c>
      <c r="P4005" s="1">
        <v>4</v>
      </c>
      <c r="Q4005" s="24">
        <v>43.920000000000016</v>
      </c>
      <c r="R4005" s="24">
        <v>322.08</v>
      </c>
      <c r="S4005" s="21">
        <f t="shared" si="188"/>
        <v>0.18892580287929128</v>
      </c>
    </row>
    <row r="4006" spans="2:19" ht="11.4" customHeight="1" x14ac:dyDescent="0.2">
      <c r="B4006" s="24"/>
      <c r="C4006" s="14">
        <v>5234</v>
      </c>
      <c r="D4006" s="18" t="s">
        <v>4192</v>
      </c>
      <c r="E4006" s="18" t="s">
        <v>3431</v>
      </c>
      <c r="F4006" s="17">
        <v>1</v>
      </c>
      <c r="G4006" s="18" t="s">
        <v>23</v>
      </c>
      <c r="H4006" s="17">
        <v>415.46</v>
      </c>
      <c r="I4006" s="15">
        <v>539.9</v>
      </c>
      <c r="J4006" s="21">
        <f t="shared" si="186"/>
        <v>0.29952341982380976</v>
      </c>
      <c r="K4006" s="1">
        <v>2</v>
      </c>
      <c r="L4006" s="24">
        <v>53.9</v>
      </c>
      <c r="M4006" s="24">
        <v>485.90999999999997</v>
      </c>
      <c r="N4006" s="21">
        <f t="shared" si="187"/>
        <v>0.16957107784142875</v>
      </c>
      <c r="P4006" s="1">
        <v>4</v>
      </c>
      <c r="Q4006" s="24">
        <v>64.788000000000011</v>
      </c>
      <c r="R4006" s="24">
        <v>475.11199999999997</v>
      </c>
      <c r="S4006" s="21">
        <f t="shared" si="188"/>
        <v>0.14358060944495254</v>
      </c>
    </row>
    <row r="4007" spans="2:19" ht="11.4" customHeight="1" x14ac:dyDescent="0.2">
      <c r="B4007" s="24"/>
      <c r="C4007" s="14">
        <v>5066</v>
      </c>
      <c r="D4007" s="18" t="s">
        <v>4193</v>
      </c>
      <c r="E4007" s="18" t="s">
        <v>3431</v>
      </c>
      <c r="F4007" s="17">
        <v>1</v>
      </c>
      <c r="G4007" s="18" t="s">
        <v>23</v>
      </c>
      <c r="H4007" s="17">
        <v>214.16</v>
      </c>
      <c r="I4007" s="15">
        <v>278.89999999999998</v>
      </c>
      <c r="J4007" s="21">
        <f t="shared" si="186"/>
        <v>0.30229734777736261</v>
      </c>
      <c r="K4007" s="1">
        <v>2</v>
      </c>
      <c r="L4007" s="24">
        <v>27.8</v>
      </c>
      <c r="M4007" s="24">
        <v>251.01</v>
      </c>
      <c r="N4007" s="21">
        <f t="shared" si="187"/>
        <v>0.17206761299962642</v>
      </c>
      <c r="P4007" s="1">
        <v>4</v>
      </c>
      <c r="Q4007" s="24">
        <v>33.467999999999989</v>
      </c>
      <c r="R4007" s="24">
        <v>245.43199999999999</v>
      </c>
      <c r="S4007" s="21">
        <f t="shared" si="188"/>
        <v>0.14602166604407915</v>
      </c>
    </row>
    <row r="4008" spans="2:19" ht="11.4" customHeight="1" x14ac:dyDescent="0.2">
      <c r="B4008" s="24"/>
      <c r="C4008" s="14">
        <v>32419</v>
      </c>
      <c r="D4008" s="18" t="s">
        <v>4194</v>
      </c>
      <c r="E4008" s="18" t="s">
        <v>4172</v>
      </c>
      <c r="F4008" s="18"/>
      <c r="G4008" s="18" t="s">
        <v>902</v>
      </c>
      <c r="H4008" s="17">
        <v>176.4</v>
      </c>
      <c r="I4008" s="15">
        <v>219.9</v>
      </c>
      <c r="J4008" s="21">
        <f t="shared" si="186"/>
        <v>0.24659863945578231</v>
      </c>
      <c r="K4008" s="1">
        <v>1</v>
      </c>
      <c r="L4008" s="24">
        <v>21.9</v>
      </c>
      <c r="M4008" s="24">
        <v>197.91</v>
      </c>
      <c r="N4008" s="21">
        <f t="shared" si="187"/>
        <v>0.12193877551020403</v>
      </c>
      <c r="P4008" s="1">
        <v>5</v>
      </c>
      <c r="Q4008" s="24">
        <v>32.985000000000014</v>
      </c>
      <c r="R4008" s="24">
        <v>186.91499999999999</v>
      </c>
      <c r="S4008" s="21">
        <f t="shared" si="188"/>
        <v>5.9608843537414885E-2</v>
      </c>
    </row>
    <row r="4009" spans="2:19" ht="11.4" customHeight="1" x14ac:dyDescent="0.2">
      <c r="B4009" s="24"/>
      <c r="C4009" s="14">
        <v>43564</v>
      </c>
      <c r="D4009" s="18" t="s">
        <v>4195</v>
      </c>
      <c r="E4009" s="18" t="s">
        <v>4172</v>
      </c>
      <c r="F4009" s="17">
        <v>1</v>
      </c>
      <c r="G4009" s="18" t="s">
        <v>23</v>
      </c>
      <c r="H4009" s="17">
        <v>239.22</v>
      </c>
      <c r="I4009" s="15">
        <v>299.89999999999998</v>
      </c>
      <c r="J4009" s="21">
        <f t="shared" si="186"/>
        <v>0.25365772092634387</v>
      </c>
      <c r="K4009" s="1">
        <v>2</v>
      </c>
      <c r="L4009" s="24">
        <v>29.9</v>
      </c>
      <c r="M4009" s="24">
        <v>269.90999999999997</v>
      </c>
      <c r="N4009" s="21">
        <f t="shared" si="187"/>
        <v>0.12829194883370942</v>
      </c>
      <c r="P4009" s="1">
        <v>4</v>
      </c>
      <c r="Q4009" s="24">
        <v>35.988</v>
      </c>
      <c r="R4009" s="24">
        <v>263.91199999999998</v>
      </c>
      <c r="S4009" s="21">
        <f t="shared" si="188"/>
        <v>0.10321879441518259</v>
      </c>
    </row>
    <row r="4010" spans="2:19" ht="11.4" customHeight="1" x14ac:dyDescent="0.2">
      <c r="B4010" s="24"/>
      <c r="C4010" s="14">
        <v>42030</v>
      </c>
      <c r="D4010" s="18" t="s">
        <v>4196</v>
      </c>
      <c r="E4010" s="18" t="s">
        <v>4172</v>
      </c>
      <c r="F4010" s="18"/>
      <c r="G4010" s="18" t="s">
        <v>23</v>
      </c>
      <c r="H4010" s="17">
        <v>195.3</v>
      </c>
      <c r="I4010" s="15">
        <v>266</v>
      </c>
      <c r="J4010" s="21">
        <f t="shared" si="186"/>
        <v>0.36200716845878128</v>
      </c>
      <c r="K4010" s="1">
        <v>2</v>
      </c>
      <c r="L4010" s="24">
        <v>26.6</v>
      </c>
      <c r="M4010" s="24">
        <v>239.4</v>
      </c>
      <c r="N4010" s="21">
        <f t="shared" si="187"/>
        <v>0.22580645161290319</v>
      </c>
      <c r="P4010" s="1">
        <v>4</v>
      </c>
      <c r="Q4010" s="24">
        <v>31.919999999999987</v>
      </c>
      <c r="R4010" s="24">
        <v>234.08</v>
      </c>
      <c r="S4010" s="21">
        <f t="shared" si="188"/>
        <v>0.19856630824372759</v>
      </c>
    </row>
    <row r="4011" spans="2:19" ht="11.4" customHeight="1" x14ac:dyDescent="0.2">
      <c r="B4011" s="24"/>
      <c r="C4011" s="14">
        <v>42029</v>
      </c>
      <c r="D4011" s="18" t="s">
        <v>4197</v>
      </c>
      <c r="E4011" s="18" t="s">
        <v>4172</v>
      </c>
      <c r="F4011" s="18"/>
      <c r="G4011" s="18" t="s">
        <v>23</v>
      </c>
      <c r="H4011" s="17">
        <v>302.39999999999998</v>
      </c>
      <c r="I4011" s="15">
        <v>409.9</v>
      </c>
      <c r="J4011" s="21">
        <f t="shared" si="186"/>
        <v>0.35548941798941802</v>
      </c>
      <c r="K4011" s="1">
        <v>2</v>
      </c>
      <c r="L4011" s="24">
        <v>40.9</v>
      </c>
      <c r="M4011" s="24">
        <v>368.90999999999997</v>
      </c>
      <c r="N4011" s="21">
        <f t="shared" si="187"/>
        <v>0.21994047619047619</v>
      </c>
      <c r="P4011" s="1">
        <v>4</v>
      </c>
      <c r="Q4011" s="24">
        <v>49.187999999999988</v>
      </c>
      <c r="R4011" s="24">
        <v>360.71199999999999</v>
      </c>
      <c r="S4011" s="21">
        <f t="shared" si="188"/>
        <v>0.19283068783068788</v>
      </c>
    </row>
    <row r="4012" spans="2:19" ht="11.4" customHeight="1" x14ac:dyDescent="0.2">
      <c r="B4012" s="24"/>
      <c r="C4012" s="14">
        <v>46911</v>
      </c>
      <c r="D4012" s="18" t="s">
        <v>4198</v>
      </c>
      <c r="E4012" s="18" t="s">
        <v>4172</v>
      </c>
      <c r="F4012" s="18"/>
      <c r="G4012" s="18" t="s">
        <v>23</v>
      </c>
      <c r="H4012" s="17">
        <v>415.8</v>
      </c>
      <c r="I4012" s="15">
        <v>599.9</v>
      </c>
      <c r="J4012" s="21">
        <f t="shared" si="186"/>
        <v>0.44276094276094269</v>
      </c>
      <c r="K4012" s="1">
        <v>2</v>
      </c>
      <c r="L4012" s="24">
        <v>59.9</v>
      </c>
      <c r="M4012" s="24">
        <v>539.91</v>
      </c>
      <c r="N4012" s="21">
        <f t="shared" si="187"/>
        <v>0.29848484848484835</v>
      </c>
      <c r="P4012" s="1">
        <v>4</v>
      </c>
      <c r="Q4012" s="24">
        <v>71.987999999999943</v>
      </c>
      <c r="R4012" s="24">
        <v>527.91200000000003</v>
      </c>
      <c r="S4012" s="21">
        <f t="shared" si="188"/>
        <v>0.26962962962962966</v>
      </c>
    </row>
    <row r="4013" spans="2:19" ht="11.4" customHeight="1" x14ac:dyDescent="0.2">
      <c r="B4013" s="24"/>
      <c r="C4013" s="14">
        <v>43911</v>
      </c>
      <c r="D4013" s="18" t="s">
        <v>4199</v>
      </c>
      <c r="E4013" s="18" t="s">
        <v>4172</v>
      </c>
      <c r="F4013" s="17">
        <v>1</v>
      </c>
      <c r="G4013" s="18" t="s">
        <v>23</v>
      </c>
      <c r="H4013" s="17">
        <v>318.42</v>
      </c>
      <c r="I4013" s="15">
        <v>411.5</v>
      </c>
      <c r="J4013" s="21">
        <f t="shared" si="186"/>
        <v>0.29231832171346017</v>
      </c>
      <c r="K4013" s="1">
        <v>2</v>
      </c>
      <c r="L4013" s="24">
        <v>41.1</v>
      </c>
      <c r="M4013" s="24">
        <v>370.35</v>
      </c>
      <c r="N4013" s="21">
        <f t="shared" si="187"/>
        <v>0.16308648954211422</v>
      </c>
      <c r="P4013" s="1">
        <v>4</v>
      </c>
      <c r="Q4013" s="24">
        <v>49.379999999999995</v>
      </c>
      <c r="R4013" s="24">
        <v>362.12</v>
      </c>
      <c r="S4013" s="21">
        <f t="shared" si="188"/>
        <v>0.13724012310784495</v>
      </c>
    </row>
    <row r="4014" spans="2:19" ht="11.4" customHeight="1" x14ac:dyDescent="0.2">
      <c r="B4014" s="24"/>
      <c r="C4014" s="14">
        <v>42027</v>
      </c>
      <c r="D4014" s="18" t="s">
        <v>4200</v>
      </c>
      <c r="E4014" s="18" t="s">
        <v>4172</v>
      </c>
      <c r="F4014" s="18"/>
      <c r="G4014" s="18" t="s">
        <v>23</v>
      </c>
      <c r="H4014" s="17">
        <v>321.3</v>
      </c>
      <c r="I4014" s="15">
        <v>434.5</v>
      </c>
      <c r="J4014" s="21">
        <f t="shared" si="186"/>
        <v>0.35231870525988168</v>
      </c>
      <c r="K4014" s="1">
        <v>2</v>
      </c>
      <c r="L4014" s="24">
        <v>43.4</v>
      </c>
      <c r="M4014" s="24">
        <v>391.05</v>
      </c>
      <c r="N4014" s="21">
        <f t="shared" si="187"/>
        <v>0.21708683473389356</v>
      </c>
      <c r="P4014" s="1">
        <v>4</v>
      </c>
      <c r="Q4014" s="24">
        <v>52.139999999999986</v>
      </c>
      <c r="R4014" s="24">
        <v>382.36</v>
      </c>
      <c r="S4014" s="21">
        <f t="shared" si="188"/>
        <v>0.19004046062869592</v>
      </c>
    </row>
    <row r="4015" spans="2:19" ht="11.4" customHeight="1" x14ac:dyDescent="0.2">
      <c r="B4015" s="24"/>
      <c r="C4015" s="14">
        <v>42026</v>
      </c>
      <c r="D4015" s="18" t="s">
        <v>4201</v>
      </c>
      <c r="E4015" s="18" t="s">
        <v>4172</v>
      </c>
      <c r="F4015" s="18"/>
      <c r="G4015" s="18" t="s">
        <v>23</v>
      </c>
      <c r="H4015" s="17">
        <v>529.20000000000005</v>
      </c>
      <c r="I4015" s="15">
        <v>713</v>
      </c>
      <c r="J4015" s="21">
        <f t="shared" si="186"/>
        <v>0.34731670445956148</v>
      </c>
      <c r="K4015" s="1">
        <v>2</v>
      </c>
      <c r="L4015" s="24">
        <v>71.3</v>
      </c>
      <c r="M4015" s="24">
        <v>641.70000000000005</v>
      </c>
      <c r="N4015" s="21">
        <f t="shared" si="187"/>
        <v>0.21258503401360543</v>
      </c>
      <c r="P4015" s="1">
        <v>4</v>
      </c>
      <c r="Q4015" s="24">
        <v>85.559999999999945</v>
      </c>
      <c r="R4015" s="24">
        <v>627.44000000000005</v>
      </c>
      <c r="S4015" s="21">
        <f t="shared" si="188"/>
        <v>0.1856386999244142</v>
      </c>
    </row>
    <row r="4016" spans="2:19" ht="11.4" customHeight="1" x14ac:dyDescent="0.2">
      <c r="B4016" s="24"/>
      <c r="C4016" s="14">
        <v>45194</v>
      </c>
      <c r="D4016" s="18" t="s">
        <v>4202</v>
      </c>
      <c r="E4016" s="18" t="s">
        <v>4172</v>
      </c>
      <c r="F4016" s="18"/>
      <c r="G4016" s="18" t="s">
        <v>23</v>
      </c>
      <c r="H4016" s="17">
        <v>368.82</v>
      </c>
      <c r="I4016" s="15">
        <v>479.9</v>
      </c>
      <c r="J4016" s="21">
        <f t="shared" si="186"/>
        <v>0.30117672577409033</v>
      </c>
      <c r="K4016" s="1">
        <v>2</v>
      </c>
      <c r="L4016" s="24">
        <v>47.9</v>
      </c>
      <c r="M4016" s="24">
        <v>431.90999999999997</v>
      </c>
      <c r="N4016" s="21">
        <f t="shared" si="187"/>
        <v>0.17105905319668124</v>
      </c>
      <c r="P4016" s="1">
        <v>4</v>
      </c>
      <c r="Q4016" s="24">
        <v>57.588000000000022</v>
      </c>
      <c r="R4016" s="24">
        <v>422.31199999999995</v>
      </c>
      <c r="S4016" s="21">
        <f t="shared" si="188"/>
        <v>0.1450355186811994</v>
      </c>
    </row>
    <row r="4017" spans="2:19" ht="11.4" customHeight="1" x14ac:dyDescent="0.2">
      <c r="B4017" s="24"/>
      <c r="C4017" s="14">
        <v>45026</v>
      </c>
      <c r="D4017" s="18" t="s">
        <v>4203</v>
      </c>
      <c r="E4017" s="18" t="s">
        <v>4172</v>
      </c>
      <c r="F4017" s="17">
        <v>1</v>
      </c>
      <c r="G4017" s="18" t="s">
        <v>23</v>
      </c>
      <c r="H4017" s="17">
        <v>280.32</v>
      </c>
      <c r="I4017" s="15">
        <v>377.9</v>
      </c>
      <c r="J4017" s="21">
        <f t="shared" si="186"/>
        <v>0.34810216894977164</v>
      </c>
      <c r="K4017" s="1">
        <v>2</v>
      </c>
      <c r="L4017" s="24">
        <v>37.700000000000003</v>
      </c>
      <c r="M4017" s="24">
        <v>340.11</v>
      </c>
      <c r="N4017" s="21">
        <f t="shared" si="187"/>
        <v>0.21329195205479459</v>
      </c>
      <c r="P4017" s="1">
        <v>4</v>
      </c>
      <c r="Q4017" s="24">
        <v>45.348000000000013</v>
      </c>
      <c r="R4017" s="24">
        <v>332.55199999999996</v>
      </c>
      <c r="S4017" s="21">
        <f t="shared" si="188"/>
        <v>0.18632990867579899</v>
      </c>
    </row>
    <row r="4018" spans="2:19" ht="11.4" customHeight="1" x14ac:dyDescent="0.2">
      <c r="B4018" s="24"/>
      <c r="C4018" s="14">
        <v>29688</v>
      </c>
      <c r="D4018" s="18" t="s">
        <v>4204</v>
      </c>
      <c r="E4018" s="18" t="s">
        <v>4172</v>
      </c>
      <c r="F4018" s="17">
        <v>2</v>
      </c>
      <c r="G4018" s="18" t="s">
        <v>902</v>
      </c>
      <c r="H4018" s="17">
        <v>153</v>
      </c>
      <c r="I4018" s="15">
        <v>192.5</v>
      </c>
      <c r="J4018" s="21">
        <f t="shared" si="186"/>
        <v>0.2581699346405229</v>
      </c>
      <c r="K4018" s="1">
        <v>1</v>
      </c>
      <c r="L4018" s="24">
        <v>19.2</v>
      </c>
      <c r="M4018" s="24">
        <v>173.25</v>
      </c>
      <c r="N4018" s="21">
        <f t="shared" si="187"/>
        <v>0.13235294117647059</v>
      </c>
      <c r="P4018" s="1">
        <v>5</v>
      </c>
      <c r="Q4018" s="24">
        <v>28.875</v>
      </c>
      <c r="R4018" s="24">
        <v>163.625</v>
      </c>
      <c r="S4018" s="21">
        <f t="shared" si="188"/>
        <v>6.9444444444444448E-2</v>
      </c>
    </row>
    <row r="4019" spans="2:19" ht="11.4" customHeight="1" x14ac:dyDescent="0.2">
      <c r="B4019" s="24"/>
      <c r="C4019" s="14">
        <v>43681</v>
      </c>
      <c r="D4019" s="18" t="s">
        <v>4205</v>
      </c>
      <c r="E4019" s="18" t="s">
        <v>4172</v>
      </c>
      <c r="F4019" s="18"/>
      <c r="G4019" s="18" t="s">
        <v>902</v>
      </c>
      <c r="H4019" s="17">
        <v>101.5</v>
      </c>
      <c r="I4019" s="15">
        <v>167.5</v>
      </c>
      <c r="J4019" s="21">
        <f t="shared" si="186"/>
        <v>0.65024630541871919</v>
      </c>
      <c r="K4019" s="1">
        <v>1</v>
      </c>
      <c r="L4019" s="24">
        <v>16.7</v>
      </c>
      <c r="M4019" s="24">
        <v>150.75</v>
      </c>
      <c r="N4019" s="21">
        <f t="shared" si="187"/>
        <v>0.48522167487684731</v>
      </c>
      <c r="P4019" s="1">
        <v>5</v>
      </c>
      <c r="Q4019" s="24">
        <v>25.125</v>
      </c>
      <c r="R4019" s="24">
        <v>142.375</v>
      </c>
      <c r="S4019" s="21">
        <f t="shared" si="188"/>
        <v>0.40270935960591131</v>
      </c>
    </row>
    <row r="4020" spans="2:19" ht="11.4" customHeight="1" x14ac:dyDescent="0.2">
      <c r="B4020" s="24"/>
      <c r="C4020" s="14">
        <v>46908</v>
      </c>
      <c r="D4020" s="18" t="s">
        <v>4206</v>
      </c>
      <c r="E4020" s="18" t="s">
        <v>4172</v>
      </c>
      <c r="F4020" s="18"/>
      <c r="G4020" s="18" t="s">
        <v>23</v>
      </c>
      <c r="H4020" s="18"/>
      <c r="I4020" s="15">
        <v>375.9</v>
      </c>
      <c r="J4020" s="21" t="e">
        <f t="shared" si="186"/>
        <v>#DIV/0!</v>
      </c>
      <c r="K4020" s="1">
        <v>2</v>
      </c>
      <c r="L4020" s="24">
        <v>37.5</v>
      </c>
      <c r="M4020" s="24">
        <v>338.31</v>
      </c>
      <c r="N4020" s="21" t="e">
        <f t="shared" si="187"/>
        <v>#DIV/0!</v>
      </c>
      <c r="P4020" s="1">
        <v>4</v>
      </c>
      <c r="Q4020" s="24">
        <v>45.108000000000004</v>
      </c>
      <c r="R4020" s="24">
        <v>330.79199999999997</v>
      </c>
      <c r="S4020" s="21" t="e">
        <f t="shared" si="188"/>
        <v>#DIV/0!</v>
      </c>
    </row>
    <row r="4021" spans="2:19" ht="11.4" customHeight="1" x14ac:dyDescent="0.2">
      <c r="B4021" s="24"/>
      <c r="C4021" s="14">
        <v>34756</v>
      </c>
      <c r="D4021" s="18" t="s">
        <v>4207</v>
      </c>
      <c r="E4021" s="18" t="s">
        <v>4172</v>
      </c>
      <c r="F4021" s="17">
        <v>2</v>
      </c>
      <c r="G4021" s="18" t="s">
        <v>902</v>
      </c>
      <c r="H4021" s="17">
        <v>208</v>
      </c>
      <c r="I4021" s="15">
        <v>254.5</v>
      </c>
      <c r="J4021" s="21">
        <f t="shared" si="186"/>
        <v>0.22355769230769232</v>
      </c>
      <c r="K4021" s="1">
        <v>1</v>
      </c>
      <c r="L4021" s="24">
        <v>25.4</v>
      </c>
      <c r="M4021" s="24">
        <v>229.05</v>
      </c>
      <c r="N4021" s="21">
        <f t="shared" si="187"/>
        <v>0.10120192307692313</v>
      </c>
      <c r="P4021" s="1">
        <v>5</v>
      </c>
      <c r="Q4021" s="24">
        <v>38.175000000000011</v>
      </c>
      <c r="R4021" s="24">
        <v>216.32499999999999</v>
      </c>
      <c r="S4021" s="21">
        <f t="shared" si="188"/>
        <v>4.002403846153841E-2</v>
      </c>
    </row>
    <row r="4022" spans="2:19" ht="11.4" customHeight="1" x14ac:dyDescent="0.2">
      <c r="B4022" s="24"/>
      <c r="C4022" s="14">
        <v>46906</v>
      </c>
      <c r="D4022" s="18" t="s">
        <v>4208</v>
      </c>
      <c r="E4022" s="18" t="s">
        <v>4172</v>
      </c>
      <c r="F4022" s="18"/>
      <c r="G4022" s="18" t="s">
        <v>23</v>
      </c>
      <c r="H4022" s="17">
        <v>302.39999999999998</v>
      </c>
      <c r="I4022" s="15">
        <v>409.9</v>
      </c>
      <c r="J4022" s="21">
        <f t="shared" si="186"/>
        <v>0.35548941798941802</v>
      </c>
      <c r="K4022" s="1">
        <v>2</v>
      </c>
      <c r="L4022" s="24">
        <v>40.9</v>
      </c>
      <c r="M4022" s="24">
        <v>368.90999999999997</v>
      </c>
      <c r="N4022" s="21">
        <f t="shared" si="187"/>
        <v>0.21994047619047619</v>
      </c>
      <c r="P4022" s="1">
        <v>4</v>
      </c>
      <c r="Q4022" s="24">
        <v>49.187999999999988</v>
      </c>
      <c r="R4022" s="24">
        <v>360.71199999999999</v>
      </c>
      <c r="S4022" s="21">
        <f t="shared" si="188"/>
        <v>0.19283068783068788</v>
      </c>
    </row>
    <row r="4023" spans="2:19" ht="11.4" customHeight="1" x14ac:dyDescent="0.2">
      <c r="B4023" s="24"/>
      <c r="C4023" s="14">
        <v>46905</v>
      </c>
      <c r="D4023" s="18" t="s">
        <v>4209</v>
      </c>
      <c r="E4023" s="18" t="s">
        <v>4172</v>
      </c>
      <c r="F4023" s="18"/>
      <c r="G4023" s="18" t="s">
        <v>23</v>
      </c>
      <c r="H4023" s="17">
        <v>441</v>
      </c>
      <c r="I4023" s="15">
        <v>593.5</v>
      </c>
      <c r="J4023" s="21">
        <f t="shared" si="186"/>
        <v>0.3458049886621315</v>
      </c>
      <c r="K4023" s="1">
        <v>2</v>
      </c>
      <c r="L4023" s="24">
        <v>59.3</v>
      </c>
      <c r="M4023" s="24">
        <v>534.15</v>
      </c>
      <c r="N4023" s="21">
        <f t="shared" si="187"/>
        <v>0.21122448979591832</v>
      </c>
      <c r="P4023" s="1">
        <v>4</v>
      </c>
      <c r="Q4023" s="24">
        <v>71.220000000000027</v>
      </c>
      <c r="R4023" s="24">
        <v>522.28</v>
      </c>
      <c r="S4023" s="21">
        <f t="shared" si="188"/>
        <v>0.18430839002267568</v>
      </c>
    </row>
    <row r="4024" spans="2:19" ht="11.4" customHeight="1" x14ac:dyDescent="0.2">
      <c r="B4024" s="24"/>
      <c r="C4024" s="14">
        <v>37640</v>
      </c>
      <c r="D4024" s="18" t="s">
        <v>4210</v>
      </c>
      <c r="E4024" s="18" t="s">
        <v>4172</v>
      </c>
      <c r="F4024" s="18"/>
      <c r="G4024" s="18" t="s">
        <v>23</v>
      </c>
      <c r="H4024" s="17">
        <v>261.42</v>
      </c>
      <c r="I4024" s="15">
        <v>367.9</v>
      </c>
      <c r="J4024" s="21">
        <f t="shared" si="186"/>
        <v>0.40731390100221848</v>
      </c>
      <c r="K4024" s="1">
        <v>2</v>
      </c>
      <c r="L4024" s="24">
        <v>36.700000000000003</v>
      </c>
      <c r="M4024" s="24">
        <v>331.11</v>
      </c>
      <c r="N4024" s="21">
        <f t="shared" si="187"/>
        <v>0.26658251090199675</v>
      </c>
      <c r="P4024" s="1">
        <v>4</v>
      </c>
      <c r="Q4024" s="24">
        <v>44.147999999999968</v>
      </c>
      <c r="R4024" s="24">
        <v>323.75200000000001</v>
      </c>
      <c r="S4024" s="21">
        <f t="shared" si="188"/>
        <v>0.23843623288195237</v>
      </c>
    </row>
    <row r="4025" spans="2:19" ht="11.4" customHeight="1" x14ac:dyDescent="0.2">
      <c r="B4025" s="24"/>
      <c r="C4025" s="14">
        <v>43485</v>
      </c>
      <c r="D4025" s="18" t="s">
        <v>4211</v>
      </c>
      <c r="E4025" s="18" t="s">
        <v>4172</v>
      </c>
      <c r="F4025" s="17">
        <v>6</v>
      </c>
      <c r="G4025" s="18" t="s">
        <v>23</v>
      </c>
      <c r="H4025" s="17">
        <v>247.86</v>
      </c>
      <c r="I4025" s="15">
        <v>349.9</v>
      </c>
      <c r="J4025" s="21">
        <f t="shared" si="186"/>
        <v>0.41168401516985376</v>
      </c>
      <c r="K4025" s="1">
        <v>2</v>
      </c>
      <c r="L4025" s="24">
        <v>34.9</v>
      </c>
      <c r="M4025" s="24">
        <v>314.90999999999997</v>
      </c>
      <c r="N4025" s="21">
        <f t="shared" si="187"/>
        <v>0.27051561365286836</v>
      </c>
      <c r="P4025" s="1">
        <v>4</v>
      </c>
      <c r="Q4025" s="24">
        <v>41.988</v>
      </c>
      <c r="R4025" s="24">
        <v>307.91199999999998</v>
      </c>
      <c r="S4025" s="21">
        <f t="shared" si="188"/>
        <v>0.24228193334947132</v>
      </c>
    </row>
    <row r="4026" spans="2:19" ht="11.4" customHeight="1" x14ac:dyDescent="0.2">
      <c r="B4026" s="24"/>
      <c r="C4026" s="14">
        <v>21606</v>
      </c>
      <c r="D4026" s="18" t="s">
        <v>4212</v>
      </c>
      <c r="E4026" s="18" t="s">
        <v>4172</v>
      </c>
      <c r="F4026" s="17">
        <v>1</v>
      </c>
      <c r="G4026" s="18" t="s">
        <v>23</v>
      </c>
      <c r="H4026" s="17">
        <v>130</v>
      </c>
      <c r="I4026" s="15">
        <v>209</v>
      </c>
      <c r="J4026" s="21">
        <f t="shared" si="186"/>
        <v>0.60769230769230764</v>
      </c>
      <c r="K4026" s="1">
        <v>2</v>
      </c>
      <c r="L4026" s="24">
        <v>20.9</v>
      </c>
      <c r="M4026" s="24">
        <v>188.1</v>
      </c>
      <c r="N4026" s="21">
        <f t="shared" si="187"/>
        <v>0.44692307692307687</v>
      </c>
      <c r="P4026" s="1">
        <v>4</v>
      </c>
      <c r="Q4026" s="24">
        <v>25.080000000000013</v>
      </c>
      <c r="R4026" s="24">
        <v>183.92</v>
      </c>
      <c r="S4026" s="21">
        <f t="shared" si="188"/>
        <v>0.41476923076923067</v>
      </c>
    </row>
    <row r="4027" spans="2:19" ht="11.4" customHeight="1" x14ac:dyDescent="0.2">
      <c r="B4027" s="24"/>
      <c r="C4027" s="14">
        <v>43684</v>
      </c>
      <c r="D4027" s="18" t="s">
        <v>4213</v>
      </c>
      <c r="E4027" s="18" t="s">
        <v>4172</v>
      </c>
      <c r="F4027" s="18"/>
      <c r="G4027" s="18" t="s">
        <v>902</v>
      </c>
      <c r="H4027" s="17">
        <v>98</v>
      </c>
      <c r="I4027" s="15">
        <v>189.9</v>
      </c>
      <c r="J4027" s="21">
        <f t="shared" si="186"/>
        <v>0.93775510204081636</v>
      </c>
      <c r="K4027" s="1">
        <v>1</v>
      </c>
      <c r="L4027" s="24">
        <v>18.899999999999999</v>
      </c>
      <c r="M4027" s="24">
        <v>170.91</v>
      </c>
      <c r="N4027" s="21">
        <f t="shared" si="187"/>
        <v>0.74397959183673468</v>
      </c>
      <c r="P4027" s="1">
        <v>5</v>
      </c>
      <c r="Q4027" s="24">
        <v>28.485000000000014</v>
      </c>
      <c r="R4027" s="24">
        <v>161.41499999999999</v>
      </c>
      <c r="S4027" s="21">
        <f t="shared" si="188"/>
        <v>0.64709183673469384</v>
      </c>
    </row>
    <row r="4028" spans="2:19" ht="11.4" customHeight="1" x14ac:dyDescent="0.2">
      <c r="B4028" s="24"/>
      <c r="C4028" s="14">
        <v>34755</v>
      </c>
      <c r="D4028" s="18" t="s">
        <v>4214</v>
      </c>
      <c r="E4028" s="18" t="s">
        <v>4172</v>
      </c>
      <c r="F4028" s="17">
        <v>2</v>
      </c>
      <c r="G4028" s="18" t="s">
        <v>902</v>
      </c>
      <c r="H4028" s="17">
        <v>216</v>
      </c>
      <c r="I4028" s="15">
        <v>248.9</v>
      </c>
      <c r="J4028" s="21">
        <f t="shared" si="186"/>
        <v>0.15231481481481485</v>
      </c>
      <c r="K4028" s="1">
        <v>1</v>
      </c>
      <c r="L4028" s="24">
        <v>24.8</v>
      </c>
      <c r="M4028" s="24">
        <v>224.01000000000002</v>
      </c>
      <c r="N4028" s="21">
        <f t="shared" si="187"/>
        <v>3.7083333333333419E-2</v>
      </c>
      <c r="P4028" s="1">
        <v>5</v>
      </c>
      <c r="Q4028" s="24">
        <v>37.335000000000008</v>
      </c>
      <c r="R4028" s="24">
        <v>211.565</v>
      </c>
      <c r="S4028" s="21">
        <f t="shared" si="188"/>
        <v>-2.0532407407407419E-2</v>
      </c>
    </row>
    <row r="4029" spans="2:19" ht="11.4" customHeight="1" x14ac:dyDescent="0.2">
      <c r="B4029" s="24"/>
      <c r="C4029" s="14">
        <v>31584</v>
      </c>
      <c r="D4029" s="18" t="s">
        <v>4215</v>
      </c>
      <c r="E4029" s="18" t="s">
        <v>4172</v>
      </c>
      <c r="F4029" s="18"/>
      <c r="G4029" s="18" t="s">
        <v>902</v>
      </c>
      <c r="H4029" s="17">
        <v>277</v>
      </c>
      <c r="I4029" s="15">
        <v>309.89999999999998</v>
      </c>
      <c r="J4029" s="21">
        <f t="shared" si="186"/>
        <v>0.11877256317689522</v>
      </c>
      <c r="K4029" s="1">
        <v>1</v>
      </c>
      <c r="L4029" s="24">
        <v>30.9</v>
      </c>
      <c r="M4029" s="24">
        <v>278.90999999999997</v>
      </c>
      <c r="N4029" s="21">
        <f t="shared" si="187"/>
        <v>6.895306859205661E-3</v>
      </c>
      <c r="P4029" s="1">
        <v>5</v>
      </c>
      <c r="Q4029" s="24">
        <v>46.485000000000014</v>
      </c>
      <c r="R4029" s="24">
        <v>263.41499999999996</v>
      </c>
      <c r="S4029" s="21">
        <f t="shared" si="188"/>
        <v>-4.904332129963912E-2</v>
      </c>
    </row>
    <row r="4030" spans="2:19" ht="11.4" customHeight="1" x14ac:dyDescent="0.2">
      <c r="B4030" s="24"/>
      <c r="C4030" s="14">
        <v>22259</v>
      </c>
      <c r="D4030" s="18" t="s">
        <v>4216</v>
      </c>
      <c r="E4030" s="18" t="s">
        <v>4172</v>
      </c>
      <c r="F4030" s="17">
        <v>1</v>
      </c>
      <c r="G4030" s="18" t="s">
        <v>23</v>
      </c>
      <c r="H4030" s="17">
        <v>259</v>
      </c>
      <c r="I4030" s="15">
        <v>369</v>
      </c>
      <c r="J4030" s="21">
        <f t="shared" si="186"/>
        <v>0.42471042471042469</v>
      </c>
      <c r="K4030" s="1">
        <v>2</v>
      </c>
      <c r="L4030" s="24">
        <v>36.9</v>
      </c>
      <c r="M4030" s="24">
        <v>332.1</v>
      </c>
      <c r="N4030" s="21">
        <f t="shared" si="187"/>
        <v>0.28223938223938233</v>
      </c>
      <c r="P4030" s="1">
        <v>4</v>
      </c>
      <c r="Q4030" s="24">
        <v>44.279999999999973</v>
      </c>
      <c r="R4030" s="24">
        <v>324.72000000000003</v>
      </c>
      <c r="S4030" s="21">
        <f t="shared" si="188"/>
        <v>0.25374517374517386</v>
      </c>
    </row>
    <row r="4031" spans="2:19" ht="11.4" customHeight="1" x14ac:dyDescent="0.2">
      <c r="B4031" s="24"/>
      <c r="C4031" s="14">
        <v>46907</v>
      </c>
      <c r="D4031" s="18" t="s">
        <v>4217</v>
      </c>
      <c r="E4031" s="18" t="s">
        <v>4172</v>
      </c>
      <c r="F4031" s="18"/>
      <c r="G4031" s="18" t="s">
        <v>23</v>
      </c>
      <c r="H4031" s="17">
        <v>207.9</v>
      </c>
      <c r="I4031" s="15">
        <v>279.89999999999998</v>
      </c>
      <c r="J4031" s="21">
        <f t="shared" si="186"/>
        <v>0.3463203463203462</v>
      </c>
      <c r="K4031" s="1">
        <v>2</v>
      </c>
      <c r="L4031" s="24">
        <v>27.9</v>
      </c>
      <c r="M4031" s="24">
        <v>251.91</v>
      </c>
      <c r="N4031" s="21">
        <f t="shared" si="187"/>
        <v>0.21168831168831165</v>
      </c>
      <c r="P4031" s="1">
        <v>4</v>
      </c>
      <c r="Q4031" s="24">
        <v>33.587999999999994</v>
      </c>
      <c r="R4031" s="24">
        <v>246.31199999999998</v>
      </c>
      <c r="S4031" s="21">
        <f t="shared" si="188"/>
        <v>0.18476190476190466</v>
      </c>
    </row>
    <row r="4032" spans="2:19" ht="11.4" customHeight="1" x14ac:dyDescent="0.2">
      <c r="B4032" s="24"/>
      <c r="C4032" s="14">
        <v>46910</v>
      </c>
      <c r="D4032" s="18" t="s">
        <v>4218</v>
      </c>
      <c r="E4032" s="18" t="s">
        <v>4172</v>
      </c>
      <c r="F4032" s="18"/>
      <c r="G4032" s="18" t="s">
        <v>23</v>
      </c>
      <c r="H4032" s="17">
        <v>327.60000000000002</v>
      </c>
      <c r="I4032" s="15">
        <v>443</v>
      </c>
      <c r="J4032" s="21">
        <f t="shared" si="186"/>
        <v>0.35225885225885217</v>
      </c>
      <c r="K4032" s="1">
        <v>2</v>
      </c>
      <c r="L4032" s="24">
        <v>44.3</v>
      </c>
      <c r="M4032" s="24">
        <v>398.7</v>
      </c>
      <c r="N4032" s="21">
        <f t="shared" si="187"/>
        <v>0.2170329670329669</v>
      </c>
      <c r="P4032" s="1">
        <v>4</v>
      </c>
      <c r="Q4032" s="24">
        <v>53.160000000000025</v>
      </c>
      <c r="R4032" s="24">
        <v>389.84</v>
      </c>
      <c r="S4032" s="21">
        <f t="shared" si="188"/>
        <v>0.18998778998778984</v>
      </c>
    </row>
    <row r="4033" spans="2:19" ht="11.4" customHeight="1" x14ac:dyDescent="0.2">
      <c r="B4033" s="24"/>
      <c r="C4033" s="14">
        <v>47502</v>
      </c>
      <c r="D4033" s="18" t="s">
        <v>4219</v>
      </c>
      <c r="E4033" s="18" t="s">
        <v>4172</v>
      </c>
      <c r="F4033" s="17">
        <v>1</v>
      </c>
      <c r="G4033" s="18" t="s">
        <v>23</v>
      </c>
      <c r="H4033" s="17">
        <v>205</v>
      </c>
      <c r="I4033" s="15">
        <v>329</v>
      </c>
      <c r="J4033" s="21">
        <f t="shared" si="186"/>
        <v>0.60487804878048779</v>
      </c>
      <c r="K4033" s="1">
        <v>2</v>
      </c>
      <c r="L4033" s="24">
        <v>32.9</v>
      </c>
      <c r="M4033" s="24">
        <v>296.10000000000002</v>
      </c>
      <c r="N4033" s="21">
        <f t="shared" si="187"/>
        <v>0.44439024390243914</v>
      </c>
      <c r="P4033" s="1">
        <v>4</v>
      </c>
      <c r="Q4033" s="24">
        <v>39.480000000000018</v>
      </c>
      <c r="R4033" s="24">
        <v>289.52</v>
      </c>
      <c r="S4033" s="21">
        <f t="shared" si="188"/>
        <v>0.41229268292682919</v>
      </c>
    </row>
    <row r="4034" spans="2:19" ht="11.4" customHeight="1" x14ac:dyDescent="0.2">
      <c r="B4034" s="24"/>
      <c r="C4034" s="14">
        <v>22065</v>
      </c>
      <c r="D4034" s="18" t="s">
        <v>4220</v>
      </c>
      <c r="E4034" s="18" t="s">
        <v>4172</v>
      </c>
      <c r="F4034" s="18"/>
      <c r="G4034" s="18" t="s">
        <v>23</v>
      </c>
      <c r="H4034" s="17">
        <v>205</v>
      </c>
      <c r="I4034" s="15">
        <v>329</v>
      </c>
      <c r="J4034" s="21">
        <f t="shared" si="186"/>
        <v>0.60487804878048779</v>
      </c>
      <c r="K4034" s="1">
        <v>2</v>
      </c>
      <c r="L4034" s="24">
        <v>32.9</v>
      </c>
      <c r="M4034" s="24">
        <v>296.10000000000002</v>
      </c>
      <c r="N4034" s="21">
        <f t="shared" si="187"/>
        <v>0.44439024390243914</v>
      </c>
      <c r="P4034" s="1">
        <v>4</v>
      </c>
      <c r="Q4034" s="24">
        <v>39.480000000000018</v>
      </c>
      <c r="R4034" s="24">
        <v>289.52</v>
      </c>
      <c r="S4034" s="21">
        <f t="shared" si="188"/>
        <v>0.41229268292682919</v>
      </c>
    </row>
    <row r="4035" spans="2:19" ht="11.4" customHeight="1" x14ac:dyDescent="0.2">
      <c r="B4035" s="24"/>
      <c r="C4035" s="14">
        <v>22075</v>
      </c>
      <c r="D4035" s="18" t="s">
        <v>4221</v>
      </c>
      <c r="E4035" s="18" t="s">
        <v>4172</v>
      </c>
      <c r="F4035" s="18"/>
      <c r="G4035" s="18" t="s">
        <v>23</v>
      </c>
      <c r="H4035" s="17">
        <v>210</v>
      </c>
      <c r="I4035" s="15">
        <v>309</v>
      </c>
      <c r="J4035" s="21">
        <f t="shared" ref="J4035:J4098" si="189">(I4035-H4035)/H4035</f>
        <v>0.47142857142857142</v>
      </c>
      <c r="K4035" s="1">
        <v>2</v>
      </c>
      <c r="L4035" s="24">
        <v>30.9</v>
      </c>
      <c r="M4035" s="24">
        <v>278.10000000000002</v>
      </c>
      <c r="N4035" s="21">
        <f t="shared" ref="N4035:N4098" si="190">(M4035-H4035)/H4035</f>
        <v>0.3242857142857144</v>
      </c>
      <c r="P4035" s="1">
        <v>4</v>
      </c>
      <c r="Q4035" s="24">
        <v>37.079999999999984</v>
      </c>
      <c r="R4035" s="24">
        <v>271.92</v>
      </c>
      <c r="S4035" s="21">
        <f t="shared" ref="S4035:S4098" si="191">(R4035-H4035)/H4035</f>
        <v>0.29485714285714293</v>
      </c>
    </row>
    <row r="4036" spans="2:19" ht="11.4" customHeight="1" x14ac:dyDescent="0.2">
      <c r="B4036" s="24"/>
      <c r="C4036" s="14">
        <v>20880</v>
      </c>
      <c r="D4036" s="18" t="s">
        <v>4222</v>
      </c>
      <c r="E4036" s="18" t="s">
        <v>4172</v>
      </c>
      <c r="F4036" s="18"/>
      <c r="G4036" s="18" t="s">
        <v>902</v>
      </c>
      <c r="H4036" s="17">
        <v>145</v>
      </c>
      <c r="I4036" s="15">
        <v>229</v>
      </c>
      <c r="J4036" s="21">
        <f t="shared" si="189"/>
        <v>0.57931034482758625</v>
      </c>
      <c r="K4036" s="1">
        <v>1</v>
      </c>
      <c r="L4036" s="24">
        <v>22.9</v>
      </c>
      <c r="M4036" s="24">
        <v>206.1</v>
      </c>
      <c r="N4036" s="21">
        <f t="shared" si="190"/>
        <v>0.42137931034482756</v>
      </c>
      <c r="P4036" s="1">
        <v>5</v>
      </c>
      <c r="Q4036" s="24">
        <v>34.349999999999994</v>
      </c>
      <c r="R4036" s="24">
        <v>194.65</v>
      </c>
      <c r="S4036" s="21">
        <f t="shared" si="191"/>
        <v>0.34241379310344833</v>
      </c>
    </row>
    <row r="4037" spans="2:19" ht="11.4" customHeight="1" x14ac:dyDescent="0.2">
      <c r="B4037" s="24"/>
      <c r="C4037" s="14">
        <v>22208</v>
      </c>
      <c r="D4037" s="18" t="s">
        <v>4223</v>
      </c>
      <c r="E4037" s="18" t="s">
        <v>4172</v>
      </c>
      <c r="F4037" s="18"/>
      <c r="G4037" s="18" t="s">
        <v>23</v>
      </c>
      <c r="H4037" s="17">
        <v>172.2</v>
      </c>
      <c r="I4037" s="15">
        <v>255</v>
      </c>
      <c r="J4037" s="21">
        <f t="shared" si="189"/>
        <v>0.48083623693379801</v>
      </c>
      <c r="K4037" s="1">
        <v>2</v>
      </c>
      <c r="L4037" s="24">
        <v>25.5</v>
      </c>
      <c r="M4037" s="24">
        <v>229.5</v>
      </c>
      <c r="N4037" s="21">
        <f t="shared" si="190"/>
        <v>0.33275261324041822</v>
      </c>
      <c r="P4037" s="1">
        <v>4</v>
      </c>
      <c r="Q4037" s="24">
        <v>30.599999999999994</v>
      </c>
      <c r="R4037" s="24">
        <v>224.4</v>
      </c>
      <c r="S4037" s="21">
        <f t="shared" si="191"/>
        <v>0.30313588850174228</v>
      </c>
    </row>
    <row r="4038" spans="2:19" ht="11.4" customHeight="1" x14ac:dyDescent="0.2">
      <c r="B4038" s="24"/>
      <c r="C4038" s="14">
        <v>22243</v>
      </c>
      <c r="D4038" s="18" t="s">
        <v>4224</v>
      </c>
      <c r="E4038" s="18" t="s">
        <v>4172</v>
      </c>
      <c r="F4038" s="18"/>
      <c r="G4038" s="18" t="s">
        <v>23</v>
      </c>
      <c r="H4038" s="17">
        <v>217</v>
      </c>
      <c r="I4038" s="15">
        <v>329</v>
      </c>
      <c r="J4038" s="21">
        <f t="shared" si="189"/>
        <v>0.5161290322580645</v>
      </c>
      <c r="K4038" s="1">
        <v>2</v>
      </c>
      <c r="L4038" s="24">
        <v>32.9</v>
      </c>
      <c r="M4038" s="24">
        <v>296.10000000000002</v>
      </c>
      <c r="N4038" s="21">
        <f t="shared" si="190"/>
        <v>0.36451612903225816</v>
      </c>
      <c r="P4038" s="1">
        <v>4</v>
      </c>
      <c r="Q4038" s="24">
        <v>39.480000000000018</v>
      </c>
      <c r="R4038" s="24">
        <v>289.52</v>
      </c>
      <c r="S4038" s="21">
        <f t="shared" si="191"/>
        <v>0.33419354838709669</v>
      </c>
    </row>
    <row r="4039" spans="2:19" ht="11.4" customHeight="1" x14ac:dyDescent="0.2">
      <c r="B4039" s="24"/>
      <c r="C4039" s="14">
        <v>21605</v>
      </c>
      <c r="D4039" s="18" t="s">
        <v>4225</v>
      </c>
      <c r="E4039" s="18" t="s">
        <v>4172</v>
      </c>
      <c r="F4039" s="18"/>
      <c r="G4039" s="18" t="s">
        <v>23</v>
      </c>
      <c r="H4039" s="17">
        <v>126</v>
      </c>
      <c r="I4039" s="15">
        <v>189</v>
      </c>
      <c r="J4039" s="21">
        <f t="shared" si="189"/>
        <v>0.5</v>
      </c>
      <c r="K4039" s="1">
        <v>2</v>
      </c>
      <c r="L4039" s="24">
        <v>18.899999999999999</v>
      </c>
      <c r="M4039" s="24">
        <v>170.1</v>
      </c>
      <c r="N4039" s="21">
        <f t="shared" si="190"/>
        <v>0.35</v>
      </c>
      <c r="P4039" s="1">
        <v>4</v>
      </c>
      <c r="Q4039" s="24">
        <v>22.680000000000007</v>
      </c>
      <c r="R4039" s="24">
        <v>166.32</v>
      </c>
      <c r="S4039" s="21">
        <f t="shared" si="191"/>
        <v>0.31999999999999995</v>
      </c>
    </row>
    <row r="4040" spans="2:19" ht="11.4" customHeight="1" x14ac:dyDescent="0.2">
      <c r="B4040" s="24"/>
      <c r="C4040" s="14">
        <v>22077</v>
      </c>
      <c r="D4040" s="18" t="s">
        <v>4226</v>
      </c>
      <c r="E4040" s="18" t="s">
        <v>4172</v>
      </c>
      <c r="F4040" s="18"/>
      <c r="G4040" s="18" t="s">
        <v>23</v>
      </c>
      <c r="H4040" s="17">
        <v>273</v>
      </c>
      <c r="I4040" s="15">
        <v>389</v>
      </c>
      <c r="J4040" s="21">
        <f t="shared" si="189"/>
        <v>0.4249084249084249</v>
      </c>
      <c r="K4040" s="1">
        <v>2</v>
      </c>
      <c r="L4040" s="24">
        <v>38.9</v>
      </c>
      <c r="M4040" s="24">
        <v>350.1</v>
      </c>
      <c r="N4040" s="21">
        <f t="shared" si="190"/>
        <v>0.28241758241758252</v>
      </c>
      <c r="P4040" s="1">
        <v>4</v>
      </c>
      <c r="Q4040" s="24">
        <v>46.680000000000007</v>
      </c>
      <c r="R4040" s="24">
        <v>342.32</v>
      </c>
      <c r="S4040" s="21">
        <f t="shared" si="191"/>
        <v>0.25391941391941392</v>
      </c>
    </row>
    <row r="4041" spans="2:19" ht="11.4" customHeight="1" x14ac:dyDescent="0.2">
      <c r="B4041" s="24"/>
      <c r="C4041" s="14">
        <v>22244</v>
      </c>
      <c r="D4041" s="18" t="s">
        <v>4227</v>
      </c>
      <c r="E4041" s="18" t="s">
        <v>4172</v>
      </c>
      <c r="F4041" s="18"/>
      <c r="G4041" s="18" t="s">
        <v>23</v>
      </c>
      <c r="H4041" s="17">
        <v>220</v>
      </c>
      <c r="I4041" s="15">
        <v>349</v>
      </c>
      <c r="J4041" s="21">
        <f t="shared" si="189"/>
        <v>0.58636363636363631</v>
      </c>
      <c r="K4041" s="1">
        <v>2</v>
      </c>
      <c r="L4041" s="24">
        <v>34.9</v>
      </c>
      <c r="M4041" s="24">
        <v>314.10000000000002</v>
      </c>
      <c r="N4041" s="21">
        <f t="shared" si="190"/>
        <v>0.42772727272727284</v>
      </c>
      <c r="P4041" s="1">
        <v>4</v>
      </c>
      <c r="Q4041" s="24">
        <v>41.879999999999995</v>
      </c>
      <c r="R4041" s="24">
        <v>307.12</v>
      </c>
      <c r="S4041" s="21">
        <f t="shared" si="191"/>
        <v>0.39600000000000002</v>
      </c>
    </row>
    <row r="4042" spans="2:19" ht="11.4" customHeight="1" x14ac:dyDescent="0.2">
      <c r="B4042" s="24"/>
      <c r="C4042" s="14">
        <v>21607</v>
      </c>
      <c r="D4042" s="18" t="s">
        <v>4228</v>
      </c>
      <c r="E4042" s="18" t="s">
        <v>4172</v>
      </c>
      <c r="F4042" s="18"/>
      <c r="G4042" s="18" t="s">
        <v>23</v>
      </c>
      <c r="H4042" s="17">
        <v>123.2</v>
      </c>
      <c r="I4042" s="15">
        <v>225</v>
      </c>
      <c r="J4042" s="21">
        <f t="shared" si="189"/>
        <v>0.82629870129870131</v>
      </c>
      <c r="K4042" s="1">
        <v>2</v>
      </c>
      <c r="L4042" s="24">
        <v>22.5</v>
      </c>
      <c r="M4042" s="24">
        <v>202.5</v>
      </c>
      <c r="N4042" s="21">
        <f t="shared" si="190"/>
        <v>0.64366883116883111</v>
      </c>
      <c r="P4042" s="1">
        <v>4</v>
      </c>
      <c r="Q4042" s="24">
        <v>27</v>
      </c>
      <c r="R4042" s="24">
        <v>198</v>
      </c>
      <c r="S4042" s="21">
        <f t="shared" si="191"/>
        <v>0.6071428571428571</v>
      </c>
    </row>
    <row r="4043" spans="2:19" ht="11.4" customHeight="1" x14ac:dyDescent="0.2">
      <c r="B4043" s="24"/>
      <c r="C4043" s="14">
        <v>43565</v>
      </c>
      <c r="D4043" s="18" t="s">
        <v>4229</v>
      </c>
      <c r="E4043" s="18" t="s">
        <v>4172</v>
      </c>
      <c r="F4043" s="17">
        <v>1</v>
      </c>
      <c r="G4043" s="18" t="s">
        <v>23</v>
      </c>
      <c r="H4043" s="17">
        <v>286.2</v>
      </c>
      <c r="I4043" s="15">
        <v>372</v>
      </c>
      <c r="J4043" s="21">
        <f t="shared" si="189"/>
        <v>0.29979035639413004</v>
      </c>
      <c r="K4043" s="1">
        <v>2</v>
      </c>
      <c r="L4043" s="24">
        <v>37.200000000000003</v>
      </c>
      <c r="M4043" s="24">
        <v>334.8</v>
      </c>
      <c r="N4043" s="21">
        <f t="shared" si="190"/>
        <v>0.16981132075471705</v>
      </c>
      <c r="P4043" s="1">
        <v>4</v>
      </c>
      <c r="Q4043" s="24">
        <v>44.639999999999986</v>
      </c>
      <c r="R4043" s="24">
        <v>327.36</v>
      </c>
      <c r="S4043" s="21">
        <f t="shared" si="191"/>
        <v>0.14381551362683448</v>
      </c>
    </row>
    <row r="4044" spans="2:19" ht="11.4" customHeight="1" x14ac:dyDescent="0.2">
      <c r="B4044" s="24"/>
      <c r="C4044" s="14">
        <v>34544</v>
      </c>
      <c r="D4044" s="18" t="s">
        <v>4230</v>
      </c>
      <c r="E4044" s="18" t="s">
        <v>4172</v>
      </c>
      <c r="F4044" s="18"/>
      <c r="G4044" s="18" t="s">
        <v>23</v>
      </c>
      <c r="H4044" s="17">
        <v>153</v>
      </c>
      <c r="I4044" s="15">
        <v>206.9</v>
      </c>
      <c r="J4044" s="21">
        <f t="shared" si="189"/>
        <v>0.35228758169934643</v>
      </c>
      <c r="K4044" s="1">
        <v>2</v>
      </c>
      <c r="L4044" s="24">
        <v>20.6</v>
      </c>
      <c r="M4044" s="24">
        <v>186.21</v>
      </c>
      <c r="N4044" s="21">
        <f t="shared" si="190"/>
        <v>0.2170588235294118</v>
      </c>
      <c r="P4044" s="1">
        <v>4</v>
      </c>
      <c r="Q4044" s="24">
        <v>24.828000000000003</v>
      </c>
      <c r="R4044" s="24">
        <v>182.072</v>
      </c>
      <c r="S4044" s="21">
        <f t="shared" si="191"/>
        <v>0.19001307189542485</v>
      </c>
    </row>
    <row r="4045" spans="2:19" ht="11.4" customHeight="1" x14ac:dyDescent="0.2">
      <c r="B4045" s="24"/>
      <c r="C4045" s="14">
        <v>46909</v>
      </c>
      <c r="D4045" s="18" t="s">
        <v>4231</v>
      </c>
      <c r="E4045" s="18" t="s">
        <v>4172</v>
      </c>
      <c r="F4045" s="18"/>
      <c r="G4045" s="18" t="s">
        <v>23</v>
      </c>
      <c r="H4045" s="17">
        <v>346.5</v>
      </c>
      <c r="I4045" s="15">
        <v>492.5</v>
      </c>
      <c r="J4045" s="21">
        <f t="shared" si="189"/>
        <v>0.42135642135642137</v>
      </c>
      <c r="K4045" s="1">
        <v>2</v>
      </c>
      <c r="L4045" s="24">
        <v>49.2</v>
      </c>
      <c r="M4045" s="24">
        <v>443.25</v>
      </c>
      <c r="N4045" s="21">
        <f t="shared" si="190"/>
        <v>0.2792207792207792</v>
      </c>
      <c r="P4045" s="1">
        <v>4</v>
      </c>
      <c r="Q4045" s="24">
        <v>59.100000000000023</v>
      </c>
      <c r="R4045" s="24">
        <v>433.4</v>
      </c>
      <c r="S4045" s="21">
        <f t="shared" si="191"/>
        <v>0.25079365079365074</v>
      </c>
    </row>
    <row r="4046" spans="2:19" ht="11.4" customHeight="1" x14ac:dyDescent="0.2">
      <c r="B4046" s="24"/>
      <c r="C4046" s="14">
        <v>37572</v>
      </c>
      <c r="D4046" s="18" t="s">
        <v>4232</v>
      </c>
      <c r="E4046" s="18" t="s">
        <v>4172</v>
      </c>
      <c r="F4046" s="18"/>
      <c r="G4046" s="18" t="s">
        <v>23</v>
      </c>
      <c r="H4046" s="17">
        <v>153</v>
      </c>
      <c r="I4046" s="15">
        <v>206.9</v>
      </c>
      <c r="J4046" s="21">
        <f t="shared" si="189"/>
        <v>0.35228758169934643</v>
      </c>
      <c r="K4046" s="1">
        <v>2</v>
      </c>
      <c r="L4046" s="24">
        <v>20.6</v>
      </c>
      <c r="M4046" s="24">
        <v>186.21</v>
      </c>
      <c r="N4046" s="21">
        <f t="shared" si="190"/>
        <v>0.2170588235294118</v>
      </c>
      <c r="P4046" s="1">
        <v>4</v>
      </c>
      <c r="Q4046" s="24">
        <v>24.828000000000003</v>
      </c>
      <c r="R4046" s="24">
        <v>182.072</v>
      </c>
      <c r="S4046" s="21">
        <f t="shared" si="191"/>
        <v>0.19001307189542485</v>
      </c>
    </row>
    <row r="4047" spans="2:19" ht="11.4" customHeight="1" x14ac:dyDescent="0.2">
      <c r="B4047" s="24"/>
      <c r="C4047" s="14">
        <v>34705</v>
      </c>
      <c r="D4047" s="18" t="s">
        <v>4233</v>
      </c>
      <c r="E4047" s="18" t="s">
        <v>3341</v>
      </c>
      <c r="F4047" s="18"/>
      <c r="G4047" s="18" t="s">
        <v>902</v>
      </c>
      <c r="H4047" s="17">
        <v>285</v>
      </c>
      <c r="I4047" s="15">
        <v>299.89999999999998</v>
      </c>
      <c r="J4047" s="21">
        <f t="shared" si="189"/>
        <v>5.2280701754385886E-2</v>
      </c>
      <c r="K4047" s="1">
        <v>1</v>
      </c>
      <c r="L4047" s="24">
        <v>29.9</v>
      </c>
      <c r="M4047" s="24">
        <v>269.90999999999997</v>
      </c>
      <c r="N4047" s="21">
        <f t="shared" si="190"/>
        <v>-5.2947368421052743E-2</v>
      </c>
      <c r="P4047" s="1">
        <v>5</v>
      </c>
      <c r="Q4047" s="24">
        <v>44.985000000000014</v>
      </c>
      <c r="R4047" s="24">
        <v>254.91499999999996</v>
      </c>
      <c r="S4047" s="21">
        <f t="shared" si="191"/>
        <v>-0.10556140350877206</v>
      </c>
    </row>
    <row r="4048" spans="2:19" ht="11.4" customHeight="1" x14ac:dyDescent="0.2">
      <c r="B4048" s="24"/>
      <c r="C4048" s="14">
        <v>34706</v>
      </c>
      <c r="D4048" s="18" t="s">
        <v>4234</v>
      </c>
      <c r="E4048" s="18" t="s">
        <v>3341</v>
      </c>
      <c r="F4048" s="18"/>
      <c r="G4048" s="18" t="s">
        <v>902</v>
      </c>
      <c r="H4048" s="17">
        <v>285</v>
      </c>
      <c r="I4048" s="15">
        <v>299.89999999999998</v>
      </c>
      <c r="J4048" s="21">
        <f t="shared" si="189"/>
        <v>5.2280701754385886E-2</v>
      </c>
      <c r="K4048" s="1">
        <v>2</v>
      </c>
      <c r="L4048" s="24">
        <v>29.9</v>
      </c>
      <c r="M4048" s="24">
        <v>269.90999999999997</v>
      </c>
      <c r="N4048" s="21">
        <f t="shared" si="190"/>
        <v>-5.2947368421052743E-2</v>
      </c>
      <c r="P4048" s="1">
        <v>6</v>
      </c>
      <c r="Q4048" s="24">
        <v>44.985000000000014</v>
      </c>
      <c r="R4048" s="24">
        <v>254.91499999999996</v>
      </c>
      <c r="S4048" s="21">
        <f t="shared" si="191"/>
        <v>-0.10556140350877206</v>
      </c>
    </row>
    <row r="4049" spans="2:19" ht="11.4" customHeight="1" x14ac:dyDescent="0.2">
      <c r="B4049" s="24"/>
      <c r="C4049" s="14">
        <v>14520</v>
      </c>
      <c r="D4049" s="18" t="s">
        <v>4235</v>
      </c>
      <c r="E4049" s="18" t="s">
        <v>3341</v>
      </c>
      <c r="F4049" s="17">
        <v>2</v>
      </c>
      <c r="G4049" s="18" t="s">
        <v>902</v>
      </c>
      <c r="H4049" s="17">
        <v>140.04</v>
      </c>
      <c r="I4049" s="15">
        <v>205.5</v>
      </c>
      <c r="J4049" s="21">
        <f t="shared" si="189"/>
        <v>0.46743787489288785</v>
      </c>
      <c r="K4049" s="1">
        <v>2</v>
      </c>
      <c r="L4049" s="24">
        <v>20.5</v>
      </c>
      <c r="M4049" s="24">
        <v>184.95000000000002</v>
      </c>
      <c r="N4049" s="21">
        <f t="shared" si="190"/>
        <v>0.32069408740359917</v>
      </c>
      <c r="P4049" s="1">
        <v>6</v>
      </c>
      <c r="Q4049" s="24">
        <v>30.825000000000017</v>
      </c>
      <c r="R4049" s="24">
        <v>174.67499999999998</v>
      </c>
      <c r="S4049" s="21">
        <f t="shared" si="191"/>
        <v>0.24732219365895453</v>
      </c>
    </row>
    <row r="4050" spans="2:19" ht="11.4" customHeight="1" x14ac:dyDescent="0.2">
      <c r="B4050" s="24"/>
      <c r="C4050" s="14">
        <v>34700</v>
      </c>
      <c r="D4050" s="18" t="s">
        <v>4236</v>
      </c>
      <c r="E4050" s="18" t="s">
        <v>3351</v>
      </c>
      <c r="F4050" s="17">
        <v>10</v>
      </c>
      <c r="G4050" s="18" t="s">
        <v>23</v>
      </c>
      <c r="H4050" s="17">
        <v>32.299999999999997</v>
      </c>
      <c r="I4050" s="15">
        <v>33.9</v>
      </c>
      <c r="J4050" s="21">
        <f t="shared" si="189"/>
        <v>4.953560371517033E-2</v>
      </c>
      <c r="K4050" s="1">
        <v>2</v>
      </c>
      <c r="L4050" s="24">
        <v>3.3</v>
      </c>
      <c r="M4050" s="24">
        <v>30.509999999999998</v>
      </c>
      <c r="N4050" s="21">
        <f t="shared" si="190"/>
        <v>-5.5417956656346724E-2</v>
      </c>
      <c r="P4050" s="1">
        <v>4</v>
      </c>
      <c r="Q4050" s="24">
        <v>4.0680000000000014</v>
      </c>
      <c r="R4050" s="24">
        <v>29.831999999999997</v>
      </c>
      <c r="S4050" s="21">
        <f t="shared" si="191"/>
        <v>-7.6408668730650164E-2</v>
      </c>
    </row>
    <row r="4051" spans="2:19" ht="11.4" customHeight="1" x14ac:dyDescent="0.2">
      <c r="B4051" s="24"/>
      <c r="C4051" s="14">
        <v>32835</v>
      </c>
      <c r="D4051" s="18" t="s">
        <v>4237</v>
      </c>
      <c r="E4051" s="18" t="s">
        <v>3351</v>
      </c>
      <c r="F4051" s="17">
        <v>36</v>
      </c>
      <c r="G4051" s="18" t="s">
        <v>23</v>
      </c>
      <c r="H4051" s="17">
        <v>25.5</v>
      </c>
      <c r="I4051" s="15">
        <v>29.5</v>
      </c>
      <c r="J4051" s="21">
        <f t="shared" si="189"/>
        <v>0.15686274509803921</v>
      </c>
      <c r="K4051" s="1">
        <v>2</v>
      </c>
      <c r="L4051" s="24">
        <v>2.9</v>
      </c>
      <c r="M4051" s="24">
        <v>26.55</v>
      </c>
      <c r="N4051" s="21">
        <f t="shared" si="190"/>
        <v>4.1176470588235321E-2</v>
      </c>
      <c r="P4051" s="1">
        <v>4</v>
      </c>
      <c r="Q4051" s="24">
        <v>3.5399999999999991</v>
      </c>
      <c r="R4051" s="24">
        <v>25.96</v>
      </c>
      <c r="S4051" s="21">
        <f t="shared" si="191"/>
        <v>1.8039215686274545E-2</v>
      </c>
    </row>
    <row r="4052" spans="2:19" ht="11.4" customHeight="1" x14ac:dyDescent="0.2">
      <c r="B4052" s="24"/>
      <c r="C4052" s="14">
        <v>32833</v>
      </c>
      <c r="D4052" s="18" t="s">
        <v>4238</v>
      </c>
      <c r="E4052" s="18" t="s">
        <v>3351</v>
      </c>
      <c r="F4052" s="17">
        <v>48</v>
      </c>
      <c r="G4052" s="18" t="s">
        <v>23</v>
      </c>
      <c r="H4052" s="17">
        <v>23.1</v>
      </c>
      <c r="I4052" s="15">
        <v>30.5</v>
      </c>
      <c r="J4052" s="21">
        <f t="shared" si="189"/>
        <v>0.32034632034632027</v>
      </c>
      <c r="K4052" s="1">
        <v>2</v>
      </c>
      <c r="L4052" s="24">
        <v>3</v>
      </c>
      <c r="M4052" s="24">
        <v>27.45</v>
      </c>
      <c r="N4052" s="21">
        <f t="shared" si="190"/>
        <v>0.18831168831168821</v>
      </c>
      <c r="P4052" s="1">
        <v>4</v>
      </c>
      <c r="Q4052" s="24">
        <v>3.66</v>
      </c>
      <c r="R4052" s="24">
        <v>26.84</v>
      </c>
      <c r="S4052" s="21">
        <f t="shared" si="191"/>
        <v>0.16190476190476183</v>
      </c>
    </row>
    <row r="4053" spans="2:19" ht="11.4" customHeight="1" x14ac:dyDescent="0.2">
      <c r="B4053" s="24"/>
      <c r="C4053" s="14">
        <v>34698</v>
      </c>
      <c r="D4053" s="18" t="s">
        <v>4239</v>
      </c>
      <c r="E4053" s="18" t="s">
        <v>3351</v>
      </c>
      <c r="F4053" s="17">
        <v>18</v>
      </c>
      <c r="G4053" s="18" t="s">
        <v>23</v>
      </c>
      <c r="H4053" s="17">
        <v>35.1</v>
      </c>
      <c r="I4053" s="15">
        <v>36.9</v>
      </c>
      <c r="J4053" s="21">
        <f t="shared" si="189"/>
        <v>5.1282051282051197E-2</v>
      </c>
      <c r="K4053" s="1">
        <v>2</v>
      </c>
      <c r="L4053" s="24">
        <v>3.6</v>
      </c>
      <c r="M4053" s="24">
        <v>33.21</v>
      </c>
      <c r="N4053" s="21">
        <f t="shared" si="190"/>
        <v>-5.3846153846153863E-2</v>
      </c>
      <c r="P4053" s="1">
        <v>4</v>
      </c>
      <c r="Q4053" s="24">
        <v>4.4279999999999973</v>
      </c>
      <c r="R4053" s="24">
        <v>32.472000000000001</v>
      </c>
      <c r="S4053" s="21">
        <f t="shared" si="191"/>
        <v>-7.4871794871794878E-2</v>
      </c>
    </row>
    <row r="4054" spans="2:19" ht="11.4" customHeight="1" x14ac:dyDescent="0.2">
      <c r="B4054" s="24"/>
      <c r="C4054" s="14">
        <v>18701</v>
      </c>
      <c r="D4054" s="18" t="s">
        <v>4240</v>
      </c>
      <c r="E4054" s="18" t="s">
        <v>4116</v>
      </c>
      <c r="F4054" s="18"/>
      <c r="G4054" s="18" t="s">
        <v>902</v>
      </c>
      <c r="H4054" s="17">
        <v>199</v>
      </c>
      <c r="I4054" s="15">
        <v>244.9</v>
      </c>
      <c r="J4054" s="21">
        <f t="shared" si="189"/>
        <v>0.23065326633165831</v>
      </c>
      <c r="K4054" s="1">
        <v>2</v>
      </c>
      <c r="L4054" s="24">
        <v>24.4</v>
      </c>
      <c r="M4054" s="24">
        <v>220.41</v>
      </c>
      <c r="N4054" s="21">
        <f t="shared" si="190"/>
        <v>0.10758793969849245</v>
      </c>
      <c r="P4054" s="1">
        <v>6</v>
      </c>
      <c r="Q4054" s="24">
        <v>36.735000000000014</v>
      </c>
      <c r="R4054" s="24">
        <v>208.16499999999999</v>
      </c>
      <c r="S4054" s="21">
        <f t="shared" si="191"/>
        <v>4.605527638190951E-2</v>
      </c>
    </row>
    <row r="4055" spans="2:19" ht="11.4" customHeight="1" x14ac:dyDescent="0.2">
      <c r="B4055" s="24"/>
      <c r="C4055" s="14">
        <v>32834</v>
      </c>
      <c r="D4055" s="18" t="s">
        <v>4241</v>
      </c>
      <c r="E4055" s="18" t="s">
        <v>3351</v>
      </c>
      <c r="F4055" s="17">
        <v>36</v>
      </c>
      <c r="G4055" s="18" t="s">
        <v>23</v>
      </c>
      <c r="H4055" s="17">
        <v>13.5</v>
      </c>
      <c r="I4055" s="15">
        <v>16.5</v>
      </c>
      <c r="J4055" s="21">
        <f t="shared" si="189"/>
        <v>0.22222222222222221</v>
      </c>
      <c r="K4055" s="1">
        <v>2</v>
      </c>
      <c r="L4055" s="24">
        <v>1.6</v>
      </c>
      <c r="M4055" s="24">
        <v>14.85</v>
      </c>
      <c r="N4055" s="21">
        <f t="shared" si="190"/>
        <v>9.9999999999999978E-2</v>
      </c>
      <c r="P4055" s="1">
        <v>4</v>
      </c>
      <c r="Q4055" s="24">
        <v>1.9800000000000004</v>
      </c>
      <c r="R4055" s="24">
        <v>14.52</v>
      </c>
      <c r="S4055" s="21">
        <f t="shared" si="191"/>
        <v>7.5555555555555529E-2</v>
      </c>
    </row>
    <row r="4056" spans="2:19" ht="11.4" customHeight="1" x14ac:dyDescent="0.2">
      <c r="B4056" s="24"/>
      <c r="C4056" s="14">
        <v>29969</v>
      </c>
      <c r="D4056" s="18" t="s">
        <v>4242</v>
      </c>
      <c r="E4056" s="18" t="s">
        <v>3351</v>
      </c>
      <c r="F4056" s="17">
        <v>10</v>
      </c>
      <c r="G4056" s="18" t="s">
        <v>23</v>
      </c>
      <c r="H4056" s="17">
        <v>74.3</v>
      </c>
      <c r="I4056" s="15">
        <v>106.5</v>
      </c>
      <c r="J4056" s="21">
        <f t="shared" si="189"/>
        <v>0.433378196500673</v>
      </c>
      <c r="K4056" s="1">
        <v>2</v>
      </c>
      <c r="L4056" s="24">
        <v>10.6</v>
      </c>
      <c r="M4056" s="24">
        <v>95.850000000000009</v>
      </c>
      <c r="N4056" s="21">
        <f t="shared" si="190"/>
        <v>0.2900403768506058</v>
      </c>
      <c r="P4056" s="1">
        <v>4</v>
      </c>
      <c r="Q4056" s="24">
        <v>12.780000000000001</v>
      </c>
      <c r="R4056" s="24">
        <v>93.72</v>
      </c>
      <c r="S4056" s="21">
        <f t="shared" si="191"/>
        <v>0.26137281292059222</v>
      </c>
    </row>
    <row r="4057" spans="2:19" ht="11.4" customHeight="1" x14ac:dyDescent="0.2">
      <c r="B4057" s="24"/>
      <c r="C4057" s="14">
        <v>34870</v>
      </c>
      <c r="D4057" s="18" t="s">
        <v>4243</v>
      </c>
      <c r="E4057" s="18" t="s">
        <v>4116</v>
      </c>
      <c r="F4057" s="18"/>
      <c r="G4057" s="18" t="s">
        <v>902</v>
      </c>
      <c r="H4057" s="17">
        <v>123.5</v>
      </c>
      <c r="I4057" s="15">
        <v>174.9</v>
      </c>
      <c r="J4057" s="21">
        <f t="shared" si="189"/>
        <v>0.41619433198380573</v>
      </c>
      <c r="K4057" s="1">
        <v>2</v>
      </c>
      <c r="L4057" s="24">
        <v>17.399999999999999</v>
      </c>
      <c r="M4057" s="24">
        <v>157.41</v>
      </c>
      <c r="N4057" s="21">
        <f t="shared" si="190"/>
        <v>0.27457489878542507</v>
      </c>
      <c r="P4057" s="1">
        <v>6</v>
      </c>
      <c r="Q4057" s="24">
        <v>26.235000000000014</v>
      </c>
      <c r="R4057" s="24">
        <v>148.66499999999999</v>
      </c>
      <c r="S4057" s="21">
        <f t="shared" si="191"/>
        <v>0.20376518218623477</v>
      </c>
    </row>
    <row r="4058" spans="2:19" ht="11.4" customHeight="1" x14ac:dyDescent="0.2">
      <c r="B4058" s="24"/>
      <c r="C4058" s="14">
        <v>46184</v>
      </c>
      <c r="D4058" s="18" t="s">
        <v>4244</v>
      </c>
      <c r="E4058" s="18" t="s">
        <v>4116</v>
      </c>
      <c r="F4058" s="18"/>
      <c r="G4058" s="18" t="s">
        <v>902</v>
      </c>
      <c r="H4058" s="17">
        <v>113.04</v>
      </c>
      <c r="I4058" s="15">
        <v>174.5</v>
      </c>
      <c r="J4058" s="21">
        <f t="shared" si="189"/>
        <v>0.54370134465675857</v>
      </c>
      <c r="K4058" s="1">
        <v>2</v>
      </c>
      <c r="L4058" s="24">
        <v>17.399999999999999</v>
      </c>
      <c r="M4058" s="24">
        <v>157.05000000000001</v>
      </c>
      <c r="N4058" s="21">
        <f t="shared" si="190"/>
        <v>0.3893312101910828</v>
      </c>
      <c r="P4058" s="1">
        <v>6</v>
      </c>
      <c r="Q4058" s="24">
        <v>26.175000000000011</v>
      </c>
      <c r="R4058" s="24">
        <v>148.32499999999999</v>
      </c>
      <c r="S4058" s="21">
        <f t="shared" si="191"/>
        <v>0.31214614295824472</v>
      </c>
    </row>
    <row r="4059" spans="2:19" ht="11.4" customHeight="1" x14ac:dyDescent="0.2">
      <c r="B4059" s="24"/>
      <c r="C4059" s="14">
        <v>23367</v>
      </c>
      <c r="D4059" s="18" t="s">
        <v>4245</v>
      </c>
      <c r="E4059" s="18" t="s">
        <v>3368</v>
      </c>
      <c r="F4059" s="17">
        <v>1</v>
      </c>
      <c r="G4059" s="18" t="s">
        <v>23</v>
      </c>
      <c r="H4059" s="17">
        <v>27.4</v>
      </c>
      <c r="I4059" s="15">
        <v>39.5</v>
      </c>
      <c r="J4059" s="21">
        <f t="shared" si="189"/>
        <v>0.44160583941605847</v>
      </c>
      <c r="K4059" s="1">
        <v>2</v>
      </c>
      <c r="L4059" s="24">
        <v>3.9</v>
      </c>
      <c r="M4059" s="24">
        <v>35.550000000000004</v>
      </c>
      <c r="N4059" s="21">
        <f t="shared" si="190"/>
        <v>0.29744525547445277</v>
      </c>
      <c r="P4059" s="1">
        <v>4</v>
      </c>
      <c r="Q4059" s="24">
        <v>4.740000000000002</v>
      </c>
      <c r="R4059" s="24">
        <v>34.76</v>
      </c>
      <c r="S4059" s="21">
        <f t="shared" si="191"/>
        <v>0.2686131386861314</v>
      </c>
    </row>
    <row r="4060" spans="2:19" ht="11.4" customHeight="1" x14ac:dyDescent="0.2">
      <c r="B4060" s="24"/>
      <c r="C4060" s="14">
        <v>46182</v>
      </c>
      <c r="D4060" s="18" t="s">
        <v>4246</v>
      </c>
      <c r="E4060" s="18" t="s">
        <v>4247</v>
      </c>
      <c r="F4060" s="18"/>
      <c r="G4060" s="18" t="s">
        <v>902</v>
      </c>
      <c r="H4060" s="18"/>
      <c r="I4060" s="15">
        <v>172.9</v>
      </c>
      <c r="J4060" s="21" t="e">
        <f t="shared" si="189"/>
        <v>#DIV/0!</v>
      </c>
      <c r="K4060" s="1">
        <v>2</v>
      </c>
      <c r="L4060" s="24">
        <v>17.2</v>
      </c>
      <c r="M4060" s="24">
        <v>155.61000000000001</v>
      </c>
      <c r="N4060" s="21" t="e">
        <f t="shared" si="190"/>
        <v>#DIV/0!</v>
      </c>
      <c r="P4060" s="1">
        <v>6</v>
      </c>
      <c r="Q4060" s="24">
        <v>25.935000000000002</v>
      </c>
      <c r="R4060" s="24">
        <v>146.965</v>
      </c>
      <c r="S4060" s="21" t="e">
        <f t="shared" si="191"/>
        <v>#DIV/0!</v>
      </c>
    </row>
    <row r="4061" spans="2:19" ht="11.4" customHeight="1" x14ac:dyDescent="0.2">
      <c r="B4061" s="24"/>
      <c r="C4061" s="14">
        <v>23366</v>
      </c>
      <c r="D4061" s="18" t="s">
        <v>4248</v>
      </c>
      <c r="E4061" s="18" t="s">
        <v>3368</v>
      </c>
      <c r="F4061" s="18"/>
      <c r="G4061" s="18" t="s">
        <v>23</v>
      </c>
      <c r="H4061" s="17">
        <v>30</v>
      </c>
      <c r="I4061" s="15">
        <v>43.3</v>
      </c>
      <c r="J4061" s="21">
        <f t="shared" si="189"/>
        <v>0.44333333333333325</v>
      </c>
      <c r="K4061" s="1">
        <v>2</v>
      </c>
      <c r="L4061" s="24">
        <v>4.3</v>
      </c>
      <c r="M4061" s="24">
        <v>38.97</v>
      </c>
      <c r="N4061" s="21">
        <f t="shared" si="190"/>
        <v>0.29899999999999999</v>
      </c>
      <c r="P4061" s="1">
        <v>4</v>
      </c>
      <c r="Q4061" s="24">
        <v>5.195999999999998</v>
      </c>
      <c r="R4061" s="24">
        <v>38.103999999999999</v>
      </c>
      <c r="S4061" s="21">
        <f t="shared" si="191"/>
        <v>0.27013333333333328</v>
      </c>
    </row>
    <row r="4062" spans="2:19" ht="11.4" customHeight="1" x14ac:dyDescent="0.2">
      <c r="B4062" s="24"/>
      <c r="C4062" s="14">
        <v>18864</v>
      </c>
      <c r="D4062" s="18" t="s">
        <v>4249</v>
      </c>
      <c r="E4062" s="18" t="s">
        <v>4247</v>
      </c>
      <c r="F4062" s="17">
        <v>3</v>
      </c>
      <c r="G4062" s="18" t="s">
        <v>902</v>
      </c>
      <c r="H4062" s="17">
        <v>117.3</v>
      </c>
      <c r="I4062" s="15">
        <v>198</v>
      </c>
      <c r="J4062" s="21">
        <f t="shared" si="189"/>
        <v>0.6879795396419438</v>
      </c>
      <c r="K4062" s="1">
        <v>2</v>
      </c>
      <c r="L4062" s="24">
        <v>19.8</v>
      </c>
      <c r="M4062" s="24">
        <v>178.20000000000002</v>
      </c>
      <c r="N4062" s="21">
        <f t="shared" si="190"/>
        <v>0.51918158567774952</v>
      </c>
      <c r="P4062" s="1">
        <v>6</v>
      </c>
      <c r="Q4062" s="24">
        <v>29.700000000000017</v>
      </c>
      <c r="R4062" s="24">
        <v>168.29999999999998</v>
      </c>
      <c r="S4062" s="21">
        <f t="shared" si="191"/>
        <v>0.43478260869565205</v>
      </c>
    </row>
    <row r="4063" spans="2:19" ht="11.4" customHeight="1" x14ac:dyDescent="0.2">
      <c r="B4063" s="24"/>
      <c r="C4063" s="14">
        <v>2879</v>
      </c>
      <c r="D4063" s="18" t="s">
        <v>4250</v>
      </c>
      <c r="E4063" s="18" t="s">
        <v>4247</v>
      </c>
      <c r="F4063" s="17">
        <v>3</v>
      </c>
      <c r="G4063" s="18" t="s">
        <v>902</v>
      </c>
      <c r="H4063" s="17">
        <v>90.66</v>
      </c>
      <c r="I4063" s="15">
        <v>175</v>
      </c>
      <c r="J4063" s="21">
        <f t="shared" si="189"/>
        <v>0.93028899183763514</v>
      </c>
      <c r="K4063" s="1">
        <v>2</v>
      </c>
      <c r="L4063" s="24">
        <v>17.5</v>
      </c>
      <c r="M4063" s="24">
        <v>157.5</v>
      </c>
      <c r="N4063" s="21">
        <f t="shared" si="190"/>
        <v>0.73726009265387171</v>
      </c>
      <c r="P4063" s="1">
        <v>6</v>
      </c>
      <c r="Q4063" s="24">
        <v>26.25</v>
      </c>
      <c r="R4063" s="24">
        <v>148.75</v>
      </c>
      <c r="S4063" s="21">
        <f t="shared" si="191"/>
        <v>0.64074564306198989</v>
      </c>
    </row>
    <row r="4064" spans="2:19" ht="11.4" customHeight="1" x14ac:dyDescent="0.2">
      <c r="B4064" s="24"/>
      <c r="C4064" s="14">
        <v>30463</v>
      </c>
      <c r="D4064" s="18" t="s">
        <v>4251</v>
      </c>
      <c r="E4064" s="18" t="s">
        <v>4247</v>
      </c>
      <c r="F4064" s="17">
        <v>2</v>
      </c>
      <c r="G4064" s="18" t="s">
        <v>902</v>
      </c>
      <c r="H4064" s="17">
        <v>116.2</v>
      </c>
      <c r="I4064" s="15">
        <v>179.9</v>
      </c>
      <c r="J4064" s="21">
        <f t="shared" si="189"/>
        <v>0.54819277108433739</v>
      </c>
      <c r="K4064" s="1">
        <v>2</v>
      </c>
      <c r="L4064" s="24">
        <v>17.899999999999999</v>
      </c>
      <c r="M4064" s="24">
        <v>161.91</v>
      </c>
      <c r="N4064" s="21">
        <f t="shared" si="190"/>
        <v>0.39337349397590354</v>
      </c>
      <c r="P4064" s="1">
        <v>6</v>
      </c>
      <c r="Q4064" s="24">
        <v>26.985000000000014</v>
      </c>
      <c r="R4064" s="24">
        <v>152.91499999999999</v>
      </c>
      <c r="S4064" s="21">
        <f t="shared" si="191"/>
        <v>0.31596385542168665</v>
      </c>
    </row>
    <row r="4065" spans="2:19" ht="11.4" customHeight="1" x14ac:dyDescent="0.2">
      <c r="B4065" s="24"/>
      <c r="C4065" s="14">
        <v>2833</v>
      </c>
      <c r="D4065" s="18" t="s">
        <v>4252</v>
      </c>
      <c r="E4065" s="18" t="s">
        <v>3368</v>
      </c>
      <c r="F4065" s="17">
        <v>20</v>
      </c>
      <c r="G4065" s="18" t="s">
        <v>23</v>
      </c>
      <c r="H4065" s="17">
        <v>46.9</v>
      </c>
      <c r="I4065" s="15">
        <v>58</v>
      </c>
      <c r="J4065" s="21">
        <f t="shared" si="189"/>
        <v>0.23667377398720685</v>
      </c>
      <c r="K4065" s="1">
        <v>2</v>
      </c>
      <c r="L4065" s="24">
        <v>5.8</v>
      </c>
      <c r="M4065" s="24">
        <v>52.2</v>
      </c>
      <c r="N4065" s="21">
        <f t="shared" si="190"/>
        <v>0.11300639658848624</v>
      </c>
      <c r="P4065" s="1">
        <v>4</v>
      </c>
      <c r="Q4065" s="24">
        <v>6.9600000000000009</v>
      </c>
      <c r="R4065" s="24">
        <v>51.04</v>
      </c>
      <c r="S4065" s="21">
        <f t="shared" si="191"/>
        <v>8.827292110874202E-2</v>
      </c>
    </row>
    <row r="4066" spans="2:19" ht="11.4" customHeight="1" x14ac:dyDescent="0.2">
      <c r="B4066" s="24"/>
      <c r="C4066" s="14">
        <v>46324</v>
      </c>
      <c r="D4066" s="18" t="s">
        <v>4253</v>
      </c>
      <c r="E4066" s="18" t="s">
        <v>3447</v>
      </c>
      <c r="F4066" s="17">
        <v>360</v>
      </c>
      <c r="G4066" s="18" t="s">
        <v>23</v>
      </c>
      <c r="H4066" s="17">
        <v>10</v>
      </c>
      <c r="I4066" s="15">
        <v>17</v>
      </c>
      <c r="J4066" s="21">
        <f t="shared" si="189"/>
        <v>0.7</v>
      </c>
      <c r="K4066" s="1">
        <v>2</v>
      </c>
      <c r="L4066" s="24">
        <v>1.7</v>
      </c>
      <c r="M4066" s="24">
        <v>15.3</v>
      </c>
      <c r="N4066" s="21">
        <f t="shared" si="190"/>
        <v>0.53</v>
      </c>
      <c r="P4066" s="1">
        <v>4</v>
      </c>
      <c r="Q4066" s="24">
        <v>2.0399999999999991</v>
      </c>
      <c r="R4066" s="24">
        <v>14.96</v>
      </c>
      <c r="S4066" s="21">
        <f t="shared" si="191"/>
        <v>0.49600000000000011</v>
      </c>
    </row>
    <row r="4067" spans="2:19" ht="11.4" customHeight="1" x14ac:dyDescent="0.2">
      <c r="B4067" s="24"/>
      <c r="C4067" s="14">
        <v>37928</v>
      </c>
      <c r="D4067" s="18" t="s">
        <v>4254</v>
      </c>
      <c r="E4067" s="18" t="s">
        <v>3324</v>
      </c>
      <c r="F4067" s="17">
        <v>24</v>
      </c>
      <c r="G4067" s="18" t="s">
        <v>23</v>
      </c>
      <c r="H4067" s="17">
        <v>9.1999999999999993</v>
      </c>
      <c r="I4067" s="15">
        <v>13.5</v>
      </c>
      <c r="J4067" s="21">
        <f t="shared" si="189"/>
        <v>0.46739130434782622</v>
      </c>
      <c r="K4067" s="1">
        <v>2</v>
      </c>
      <c r="L4067" s="24">
        <v>1.3</v>
      </c>
      <c r="M4067" s="24">
        <v>12.15</v>
      </c>
      <c r="N4067" s="21">
        <f t="shared" si="190"/>
        <v>0.32065217391304363</v>
      </c>
      <c r="P4067" s="1">
        <v>4</v>
      </c>
      <c r="Q4067" s="24">
        <v>1.6199999999999992</v>
      </c>
      <c r="R4067" s="24">
        <v>11.88</v>
      </c>
      <c r="S4067" s="21">
        <f t="shared" si="191"/>
        <v>0.29130434782608716</v>
      </c>
    </row>
    <row r="4068" spans="2:19" ht="11.4" customHeight="1" x14ac:dyDescent="0.2">
      <c r="B4068" s="24"/>
      <c r="C4068" s="14">
        <v>37929</v>
      </c>
      <c r="D4068" s="18" t="s">
        <v>4255</v>
      </c>
      <c r="E4068" s="18" t="s">
        <v>3324</v>
      </c>
      <c r="F4068" s="17">
        <v>24</v>
      </c>
      <c r="G4068" s="18" t="s">
        <v>23</v>
      </c>
      <c r="H4068" s="17">
        <v>8.3000000000000007</v>
      </c>
      <c r="I4068" s="15">
        <v>11.9</v>
      </c>
      <c r="J4068" s="21">
        <f t="shared" si="189"/>
        <v>0.43373493975903604</v>
      </c>
      <c r="K4068" s="1">
        <v>2</v>
      </c>
      <c r="L4068" s="24">
        <v>1.1000000000000001</v>
      </c>
      <c r="M4068" s="24">
        <v>10.71</v>
      </c>
      <c r="N4068" s="21">
        <f t="shared" si="190"/>
        <v>0.2903614457831325</v>
      </c>
      <c r="P4068" s="1">
        <v>4</v>
      </c>
      <c r="Q4068" s="24">
        <v>1.4280000000000008</v>
      </c>
      <c r="R4068" s="24">
        <v>10.472</v>
      </c>
      <c r="S4068" s="21">
        <f t="shared" si="191"/>
        <v>0.26168674698795164</v>
      </c>
    </row>
    <row r="4069" spans="2:19" ht="11.4" customHeight="1" x14ac:dyDescent="0.2">
      <c r="B4069" s="24"/>
      <c r="C4069" s="14">
        <v>42873</v>
      </c>
      <c r="D4069" s="18" t="s">
        <v>4256</v>
      </c>
      <c r="E4069" s="18" t="s">
        <v>3371</v>
      </c>
      <c r="F4069" s="17">
        <v>2</v>
      </c>
      <c r="G4069" s="18" t="s">
        <v>902</v>
      </c>
      <c r="H4069" s="17">
        <v>401.42</v>
      </c>
      <c r="I4069" s="15">
        <v>539.9</v>
      </c>
      <c r="J4069" s="21">
        <f t="shared" si="189"/>
        <v>0.34497533755169141</v>
      </c>
      <c r="K4069" s="1">
        <v>2</v>
      </c>
      <c r="L4069" s="24">
        <v>53.9</v>
      </c>
      <c r="M4069" s="24">
        <v>485.90999999999997</v>
      </c>
      <c r="N4069" s="21">
        <f t="shared" si="190"/>
        <v>0.21047780379652223</v>
      </c>
      <c r="P4069" s="1">
        <v>6</v>
      </c>
      <c r="Q4069" s="24">
        <v>80.985000000000014</v>
      </c>
      <c r="R4069" s="24">
        <v>458.91499999999996</v>
      </c>
      <c r="S4069" s="21">
        <f t="shared" si="191"/>
        <v>0.14322903691893762</v>
      </c>
    </row>
    <row r="4070" spans="2:19" ht="11.4" customHeight="1" x14ac:dyDescent="0.2">
      <c r="B4070" s="24"/>
      <c r="C4070" s="14">
        <v>47042</v>
      </c>
      <c r="D4070" s="18" t="s">
        <v>4257</v>
      </c>
      <c r="E4070" s="18" t="s">
        <v>3447</v>
      </c>
      <c r="F4070" s="18"/>
      <c r="G4070" s="18" t="s">
        <v>23</v>
      </c>
      <c r="H4070" s="17">
        <v>42</v>
      </c>
      <c r="I4070" s="15">
        <v>71.5</v>
      </c>
      <c r="J4070" s="21">
        <f t="shared" si="189"/>
        <v>0.70238095238095233</v>
      </c>
      <c r="K4070" s="1">
        <v>2</v>
      </c>
      <c r="L4070" s="24">
        <v>7.1</v>
      </c>
      <c r="M4070" s="24">
        <v>64.350000000000009</v>
      </c>
      <c r="N4070" s="21">
        <f t="shared" si="190"/>
        <v>0.53214285714285736</v>
      </c>
      <c r="P4070" s="1">
        <v>4</v>
      </c>
      <c r="Q4070" s="24">
        <v>8.5799999999999983</v>
      </c>
      <c r="R4070" s="24">
        <v>62.92</v>
      </c>
      <c r="S4070" s="21">
        <f t="shared" si="191"/>
        <v>0.49809523809523815</v>
      </c>
    </row>
    <row r="4071" spans="2:19" ht="11.4" customHeight="1" x14ac:dyDescent="0.2">
      <c r="B4071" s="24"/>
      <c r="C4071" s="14">
        <v>47032</v>
      </c>
      <c r="D4071" s="18" t="s">
        <v>4258</v>
      </c>
      <c r="E4071" s="18" t="s">
        <v>3447</v>
      </c>
      <c r="F4071" s="18"/>
      <c r="G4071" s="18" t="s">
        <v>23</v>
      </c>
      <c r="H4071" s="17">
        <v>48</v>
      </c>
      <c r="I4071" s="15">
        <v>81.5</v>
      </c>
      <c r="J4071" s="21">
        <f t="shared" si="189"/>
        <v>0.69791666666666663</v>
      </c>
      <c r="K4071" s="1">
        <v>2</v>
      </c>
      <c r="L4071" s="24">
        <v>8.1</v>
      </c>
      <c r="M4071" s="24">
        <v>73.350000000000009</v>
      </c>
      <c r="N4071" s="21">
        <f t="shared" si="190"/>
        <v>0.52812500000000018</v>
      </c>
      <c r="P4071" s="1">
        <v>4</v>
      </c>
      <c r="Q4071" s="24">
        <v>9.7800000000000011</v>
      </c>
      <c r="R4071" s="24">
        <v>71.72</v>
      </c>
      <c r="S4071" s="21">
        <f t="shared" si="191"/>
        <v>0.49416666666666664</v>
      </c>
    </row>
    <row r="4072" spans="2:19" ht="11.4" customHeight="1" x14ac:dyDescent="0.2">
      <c r="B4072" s="24"/>
      <c r="C4072" s="14">
        <v>47050</v>
      </c>
      <c r="D4072" s="18" t="s">
        <v>4259</v>
      </c>
      <c r="E4072" s="18" t="s">
        <v>3447</v>
      </c>
      <c r="F4072" s="18"/>
      <c r="G4072" s="18" t="s">
        <v>23</v>
      </c>
      <c r="H4072" s="17">
        <v>68</v>
      </c>
      <c r="I4072" s="15">
        <v>115.5</v>
      </c>
      <c r="J4072" s="21">
        <f t="shared" si="189"/>
        <v>0.69852941176470584</v>
      </c>
      <c r="K4072" s="1">
        <v>2</v>
      </c>
      <c r="L4072" s="24">
        <v>11.5</v>
      </c>
      <c r="M4072" s="24">
        <v>103.95</v>
      </c>
      <c r="N4072" s="21">
        <f t="shared" si="190"/>
        <v>0.5286764705882353</v>
      </c>
      <c r="P4072" s="1">
        <v>4</v>
      </c>
      <c r="Q4072" s="24">
        <v>13.86</v>
      </c>
      <c r="R4072" s="24">
        <v>101.64</v>
      </c>
      <c r="S4072" s="21">
        <f t="shared" si="191"/>
        <v>0.49470588235294116</v>
      </c>
    </row>
    <row r="4073" spans="2:19" ht="11.4" customHeight="1" x14ac:dyDescent="0.2">
      <c r="B4073" s="24"/>
      <c r="C4073" s="14">
        <v>46325</v>
      </c>
      <c r="D4073" s="18" t="s">
        <v>4260</v>
      </c>
      <c r="E4073" s="18" t="s">
        <v>3447</v>
      </c>
      <c r="F4073" s="17">
        <v>144</v>
      </c>
      <c r="G4073" s="18" t="s">
        <v>23</v>
      </c>
      <c r="H4073" s="17">
        <v>79</v>
      </c>
      <c r="I4073" s="15">
        <v>129.9</v>
      </c>
      <c r="J4073" s="21">
        <f t="shared" si="189"/>
        <v>0.64430379746835453</v>
      </c>
      <c r="K4073" s="1">
        <v>2</v>
      </c>
      <c r="L4073" s="24">
        <v>12.9</v>
      </c>
      <c r="M4073" s="24">
        <v>116.91000000000001</v>
      </c>
      <c r="N4073" s="21">
        <f t="shared" si="190"/>
        <v>0.47987341772151915</v>
      </c>
      <c r="P4073" s="1">
        <v>4</v>
      </c>
      <c r="Q4073" s="24">
        <v>15.587999999999994</v>
      </c>
      <c r="R4073" s="24">
        <v>114.31200000000001</v>
      </c>
      <c r="S4073" s="21">
        <f t="shared" si="191"/>
        <v>0.44698734177215205</v>
      </c>
    </row>
    <row r="4074" spans="2:19" ht="11.4" customHeight="1" x14ac:dyDescent="0.2">
      <c r="B4074" s="24"/>
      <c r="C4074" s="14">
        <v>46323</v>
      </c>
      <c r="D4074" s="18" t="s">
        <v>4261</v>
      </c>
      <c r="E4074" s="18" t="s">
        <v>3447</v>
      </c>
      <c r="F4074" s="17">
        <v>144</v>
      </c>
      <c r="G4074" s="18" t="s">
        <v>23</v>
      </c>
      <c r="H4074" s="17">
        <v>79</v>
      </c>
      <c r="I4074" s="15">
        <v>129.9</v>
      </c>
      <c r="J4074" s="21">
        <f t="shared" si="189"/>
        <v>0.64430379746835453</v>
      </c>
      <c r="K4074" s="1">
        <v>2</v>
      </c>
      <c r="L4074" s="24">
        <v>12.9</v>
      </c>
      <c r="M4074" s="24">
        <v>116.91000000000001</v>
      </c>
      <c r="N4074" s="21">
        <f t="shared" si="190"/>
        <v>0.47987341772151915</v>
      </c>
      <c r="P4074" s="1">
        <v>4</v>
      </c>
      <c r="Q4074" s="24">
        <v>15.587999999999994</v>
      </c>
      <c r="R4074" s="24">
        <v>114.31200000000001</v>
      </c>
      <c r="S4074" s="21">
        <f t="shared" si="191"/>
        <v>0.44698734177215205</v>
      </c>
    </row>
    <row r="4075" spans="2:19" ht="11.4" customHeight="1" x14ac:dyDescent="0.2">
      <c r="B4075" s="24"/>
      <c r="C4075" s="14">
        <v>46968</v>
      </c>
      <c r="D4075" s="18" t="s">
        <v>4262</v>
      </c>
      <c r="E4075" s="18" t="s">
        <v>4263</v>
      </c>
      <c r="F4075" s="17">
        <v>1</v>
      </c>
      <c r="G4075" s="18" t="s">
        <v>902</v>
      </c>
      <c r="H4075" s="17">
        <v>131.26</v>
      </c>
      <c r="I4075" s="15">
        <v>176.9</v>
      </c>
      <c r="J4075" s="21">
        <f t="shared" si="189"/>
        <v>0.34770684138351377</v>
      </c>
      <c r="K4075" s="1">
        <v>2</v>
      </c>
      <c r="L4075" s="24">
        <v>17.600000000000001</v>
      </c>
      <c r="M4075" s="24">
        <v>159.21</v>
      </c>
      <c r="N4075" s="21">
        <f t="shared" si="190"/>
        <v>0.21293615724516241</v>
      </c>
      <c r="P4075" s="1">
        <v>6</v>
      </c>
      <c r="Q4075" s="24">
        <v>26.534999999999997</v>
      </c>
      <c r="R4075" s="24">
        <v>150.36500000000001</v>
      </c>
      <c r="S4075" s="21">
        <f t="shared" si="191"/>
        <v>0.14555081517598675</v>
      </c>
    </row>
    <row r="4076" spans="2:19" ht="11.4" customHeight="1" x14ac:dyDescent="0.2">
      <c r="B4076" s="24"/>
      <c r="C4076" s="14">
        <v>37486</v>
      </c>
      <c r="D4076" s="18" t="s">
        <v>4264</v>
      </c>
      <c r="E4076" s="18" t="s">
        <v>4265</v>
      </c>
      <c r="F4076" s="17">
        <v>3</v>
      </c>
      <c r="G4076" s="18" t="s">
        <v>902</v>
      </c>
      <c r="H4076" s="17">
        <v>332.16</v>
      </c>
      <c r="I4076" s="15">
        <v>484.9</v>
      </c>
      <c r="J4076" s="21">
        <f t="shared" si="189"/>
        <v>0.45983863198458558</v>
      </c>
      <c r="K4076" s="1">
        <v>2</v>
      </c>
      <c r="L4076" s="24">
        <v>48.4</v>
      </c>
      <c r="M4076" s="24">
        <v>436.40999999999997</v>
      </c>
      <c r="N4076" s="21">
        <f t="shared" si="190"/>
        <v>0.31385476878612695</v>
      </c>
      <c r="P4076" s="1">
        <v>6</v>
      </c>
      <c r="Q4076" s="24">
        <v>72.735000000000014</v>
      </c>
      <c r="R4076" s="24">
        <v>412.16499999999996</v>
      </c>
      <c r="S4076" s="21">
        <f t="shared" si="191"/>
        <v>0.24086283718689769</v>
      </c>
    </row>
    <row r="4077" spans="2:19" ht="11.4" customHeight="1" x14ac:dyDescent="0.2">
      <c r="B4077" s="24"/>
      <c r="C4077" s="14">
        <v>42565</v>
      </c>
      <c r="D4077" s="18" t="s">
        <v>4266</v>
      </c>
      <c r="E4077" s="18" t="s">
        <v>3375</v>
      </c>
      <c r="F4077" s="17">
        <v>10</v>
      </c>
      <c r="G4077" s="18" t="s">
        <v>23</v>
      </c>
      <c r="H4077" s="17">
        <v>134.13</v>
      </c>
      <c r="I4077" s="15">
        <v>174.9</v>
      </c>
      <c r="J4077" s="21">
        <f t="shared" si="189"/>
        <v>0.30395884589577282</v>
      </c>
      <c r="K4077" s="1">
        <v>2</v>
      </c>
      <c r="L4077" s="24">
        <v>17.399999999999999</v>
      </c>
      <c r="M4077" s="24">
        <v>157.41</v>
      </c>
      <c r="N4077" s="21">
        <f t="shared" si="190"/>
        <v>0.1735629613061955</v>
      </c>
      <c r="P4077" s="1">
        <v>4</v>
      </c>
      <c r="Q4077" s="24">
        <v>20.988</v>
      </c>
      <c r="R4077" s="24">
        <v>153.91200000000001</v>
      </c>
      <c r="S4077" s="21">
        <f t="shared" si="191"/>
        <v>0.14748378438828011</v>
      </c>
    </row>
    <row r="4078" spans="2:19" ht="11.4" customHeight="1" x14ac:dyDescent="0.2">
      <c r="B4078" s="24"/>
      <c r="C4078" s="14">
        <v>37482</v>
      </c>
      <c r="D4078" s="18" t="s">
        <v>4267</v>
      </c>
      <c r="E4078" s="18" t="s">
        <v>3375</v>
      </c>
      <c r="F4078" s="17">
        <v>6</v>
      </c>
      <c r="G4078" s="18" t="s">
        <v>23</v>
      </c>
      <c r="H4078" s="17">
        <v>221.45</v>
      </c>
      <c r="I4078" s="15">
        <v>287.89999999999998</v>
      </c>
      <c r="J4078" s="21">
        <f t="shared" si="189"/>
        <v>0.30006773538044701</v>
      </c>
      <c r="K4078" s="1">
        <v>2</v>
      </c>
      <c r="L4078" s="24">
        <v>28.7</v>
      </c>
      <c r="M4078" s="24">
        <v>259.11</v>
      </c>
      <c r="N4078" s="21">
        <f t="shared" si="190"/>
        <v>0.17006096184240246</v>
      </c>
      <c r="P4078" s="1">
        <v>4</v>
      </c>
      <c r="Q4078" s="24">
        <v>34.548000000000002</v>
      </c>
      <c r="R4078" s="24">
        <v>253.35199999999998</v>
      </c>
      <c r="S4078" s="21">
        <f t="shared" si="191"/>
        <v>0.14405960713479335</v>
      </c>
    </row>
    <row r="4079" spans="2:19" ht="11.4" customHeight="1" x14ac:dyDescent="0.2">
      <c r="B4079" s="24"/>
      <c r="C4079" s="14">
        <v>37485</v>
      </c>
      <c r="D4079" s="18" t="s">
        <v>4268</v>
      </c>
      <c r="E4079" s="18" t="s">
        <v>3375</v>
      </c>
      <c r="F4079" s="17">
        <v>4</v>
      </c>
      <c r="G4079" s="18" t="s">
        <v>23</v>
      </c>
      <c r="H4079" s="17">
        <v>325.5</v>
      </c>
      <c r="I4079" s="15">
        <v>394.9</v>
      </c>
      <c r="J4079" s="21">
        <f t="shared" si="189"/>
        <v>0.21321044546850992</v>
      </c>
      <c r="K4079" s="1">
        <v>2</v>
      </c>
      <c r="L4079" s="24">
        <v>39.4</v>
      </c>
      <c r="M4079" s="24">
        <v>355.40999999999997</v>
      </c>
      <c r="N4079" s="21">
        <f t="shared" si="190"/>
        <v>9.1889400921658884E-2</v>
      </c>
      <c r="P4079" s="1">
        <v>4</v>
      </c>
      <c r="Q4079" s="24">
        <v>47.387999999999977</v>
      </c>
      <c r="R4079" s="24">
        <v>347.512</v>
      </c>
      <c r="S4079" s="21">
        <f t="shared" si="191"/>
        <v>6.7625192012288782E-2</v>
      </c>
    </row>
    <row r="4080" spans="2:19" ht="11.4" customHeight="1" x14ac:dyDescent="0.2">
      <c r="B4080" s="24"/>
      <c r="C4080" s="14">
        <v>37488</v>
      </c>
      <c r="D4080" s="18" t="s">
        <v>4269</v>
      </c>
      <c r="E4080" s="18" t="s">
        <v>3375</v>
      </c>
      <c r="F4080" s="17">
        <v>2</v>
      </c>
      <c r="G4080" s="18" t="s">
        <v>23</v>
      </c>
      <c r="H4080" s="17">
        <v>364.62</v>
      </c>
      <c r="I4080" s="15">
        <v>449.9</v>
      </c>
      <c r="J4080" s="21">
        <f t="shared" si="189"/>
        <v>0.23388733475947554</v>
      </c>
      <c r="K4080" s="1">
        <v>2</v>
      </c>
      <c r="L4080" s="24">
        <v>44.9</v>
      </c>
      <c r="M4080" s="24">
        <v>404.90999999999997</v>
      </c>
      <c r="N4080" s="21">
        <f t="shared" si="190"/>
        <v>0.11049860128352795</v>
      </c>
      <c r="P4080" s="1">
        <v>4</v>
      </c>
      <c r="Q4080" s="24">
        <v>53.988</v>
      </c>
      <c r="R4080" s="24">
        <v>395.91199999999998</v>
      </c>
      <c r="S4080" s="21">
        <f t="shared" si="191"/>
        <v>8.5820854588338463E-2</v>
      </c>
    </row>
    <row r="4081" spans="2:19" ht="11.4" customHeight="1" x14ac:dyDescent="0.2">
      <c r="B4081" s="24"/>
      <c r="C4081" s="14">
        <v>47372</v>
      </c>
      <c r="D4081" s="18" t="s">
        <v>4270</v>
      </c>
      <c r="E4081" s="18" t="s">
        <v>3375</v>
      </c>
      <c r="F4081" s="17">
        <v>8</v>
      </c>
      <c r="G4081" s="18" t="s">
        <v>23</v>
      </c>
      <c r="H4081" s="17">
        <v>486.96</v>
      </c>
      <c r="I4081" s="15">
        <v>635</v>
      </c>
      <c r="J4081" s="21">
        <f t="shared" si="189"/>
        <v>0.30400854279612294</v>
      </c>
      <c r="K4081" s="1">
        <v>2</v>
      </c>
      <c r="L4081" s="24">
        <v>63.5</v>
      </c>
      <c r="M4081" s="24">
        <v>571.5</v>
      </c>
      <c r="N4081" s="21">
        <f t="shared" si="190"/>
        <v>0.17360768851651065</v>
      </c>
      <c r="P4081" s="1">
        <v>4</v>
      </c>
      <c r="Q4081" s="24">
        <v>76.200000000000045</v>
      </c>
      <c r="R4081" s="24">
        <v>558.79999999999995</v>
      </c>
      <c r="S4081" s="21">
        <f t="shared" si="191"/>
        <v>0.14752751766058808</v>
      </c>
    </row>
    <row r="4082" spans="2:19" ht="11.4" customHeight="1" x14ac:dyDescent="0.2">
      <c r="B4082" s="24"/>
      <c r="C4082" s="14">
        <v>47814</v>
      </c>
      <c r="D4082" s="18" t="s">
        <v>4271</v>
      </c>
      <c r="E4082" s="18" t="s">
        <v>3375</v>
      </c>
      <c r="F4082" s="18"/>
      <c r="G4082" s="18" t="s">
        <v>23</v>
      </c>
      <c r="H4082" s="18"/>
      <c r="I4082" s="15">
        <v>229.9</v>
      </c>
      <c r="J4082" s="21" t="e">
        <f t="shared" si="189"/>
        <v>#DIV/0!</v>
      </c>
      <c r="K4082" s="1">
        <v>2</v>
      </c>
      <c r="L4082" s="24">
        <v>22.9</v>
      </c>
      <c r="M4082" s="24">
        <v>206.91</v>
      </c>
      <c r="N4082" s="21" t="e">
        <f t="shared" si="190"/>
        <v>#DIV/0!</v>
      </c>
      <c r="P4082" s="1">
        <v>4</v>
      </c>
      <c r="Q4082" s="24">
        <v>27.587999999999994</v>
      </c>
      <c r="R4082" s="24">
        <v>202.31200000000001</v>
      </c>
      <c r="S4082" s="21" t="e">
        <f t="shared" si="191"/>
        <v>#DIV/0!</v>
      </c>
    </row>
    <row r="4083" spans="2:19" ht="11.4" customHeight="1" x14ac:dyDescent="0.2">
      <c r="B4083" s="24"/>
      <c r="C4083" s="14">
        <v>43252</v>
      </c>
      <c r="D4083" s="18" t="s">
        <v>4272</v>
      </c>
      <c r="E4083" s="18" t="s">
        <v>3375</v>
      </c>
      <c r="F4083" s="17">
        <v>20</v>
      </c>
      <c r="G4083" s="18" t="s">
        <v>23</v>
      </c>
      <c r="H4083" s="18"/>
      <c r="I4083" s="15">
        <v>307.89999999999998</v>
      </c>
      <c r="J4083" s="21" t="e">
        <f t="shared" si="189"/>
        <v>#DIV/0!</v>
      </c>
      <c r="K4083" s="1">
        <v>2</v>
      </c>
      <c r="L4083" s="24">
        <v>30.7</v>
      </c>
      <c r="M4083" s="24">
        <v>277.11</v>
      </c>
      <c r="N4083" s="21" t="e">
        <f t="shared" si="190"/>
        <v>#DIV/0!</v>
      </c>
      <c r="P4083" s="1">
        <v>4</v>
      </c>
      <c r="Q4083" s="24">
        <v>36.947999999999979</v>
      </c>
      <c r="R4083" s="24">
        <v>270.952</v>
      </c>
      <c r="S4083" s="21" t="e">
        <f t="shared" si="191"/>
        <v>#DIV/0!</v>
      </c>
    </row>
    <row r="4084" spans="2:19" ht="11.4" customHeight="1" x14ac:dyDescent="0.2">
      <c r="B4084" s="24"/>
      <c r="C4084" s="14">
        <v>48158</v>
      </c>
      <c r="D4084" s="18" t="s">
        <v>4273</v>
      </c>
      <c r="E4084" s="18" t="s">
        <v>3375</v>
      </c>
      <c r="F4084" s="17">
        <v>8</v>
      </c>
      <c r="G4084" s="18" t="s">
        <v>23</v>
      </c>
      <c r="H4084" s="18"/>
      <c r="I4084" s="15">
        <v>162.5</v>
      </c>
      <c r="J4084" s="21" t="e">
        <f t="shared" si="189"/>
        <v>#DIV/0!</v>
      </c>
      <c r="K4084" s="1">
        <v>2</v>
      </c>
      <c r="L4084" s="24">
        <v>16.2</v>
      </c>
      <c r="M4084" s="24">
        <v>146.25</v>
      </c>
      <c r="N4084" s="21" t="e">
        <f t="shared" si="190"/>
        <v>#DIV/0!</v>
      </c>
      <c r="P4084" s="1">
        <v>4</v>
      </c>
      <c r="Q4084" s="24">
        <v>19.5</v>
      </c>
      <c r="R4084" s="24">
        <v>143</v>
      </c>
      <c r="S4084" s="21" t="e">
        <f t="shared" si="191"/>
        <v>#DIV/0!</v>
      </c>
    </row>
    <row r="4085" spans="2:19" ht="11.4" customHeight="1" x14ac:dyDescent="0.2">
      <c r="B4085" s="24"/>
      <c r="C4085" s="14">
        <v>42818</v>
      </c>
      <c r="D4085" s="18" t="s">
        <v>4274</v>
      </c>
      <c r="E4085" s="18" t="s">
        <v>3375</v>
      </c>
      <c r="F4085" s="17">
        <v>1</v>
      </c>
      <c r="G4085" s="18" t="s">
        <v>23</v>
      </c>
      <c r="H4085" s="17">
        <v>111.66</v>
      </c>
      <c r="I4085" s="15">
        <v>149.9</v>
      </c>
      <c r="J4085" s="21">
        <f t="shared" si="189"/>
        <v>0.34246820705713782</v>
      </c>
      <c r="K4085" s="1">
        <v>2</v>
      </c>
      <c r="L4085" s="24">
        <v>14.9</v>
      </c>
      <c r="M4085" s="24">
        <v>134.91</v>
      </c>
      <c r="N4085" s="21">
        <f t="shared" si="190"/>
        <v>0.20822138635142398</v>
      </c>
      <c r="P4085" s="1">
        <v>4</v>
      </c>
      <c r="Q4085" s="24">
        <v>17.988</v>
      </c>
      <c r="R4085" s="24">
        <v>131.91200000000001</v>
      </c>
      <c r="S4085" s="21">
        <f t="shared" si="191"/>
        <v>0.18137202221028131</v>
      </c>
    </row>
    <row r="4086" spans="2:19" ht="11.4" customHeight="1" x14ac:dyDescent="0.2">
      <c r="B4086" s="24"/>
      <c r="C4086" s="14">
        <v>42879</v>
      </c>
      <c r="D4086" s="18" t="s">
        <v>4275</v>
      </c>
      <c r="E4086" s="18" t="s">
        <v>3375</v>
      </c>
      <c r="F4086" s="18"/>
      <c r="G4086" s="18" t="s">
        <v>23</v>
      </c>
      <c r="H4086" s="17">
        <v>111.91</v>
      </c>
      <c r="I4086" s="15">
        <v>161.9</v>
      </c>
      <c r="J4086" s="21">
        <f t="shared" si="189"/>
        <v>0.44669823965686722</v>
      </c>
      <c r="K4086" s="1">
        <v>2</v>
      </c>
      <c r="L4086" s="24">
        <v>16.100000000000001</v>
      </c>
      <c r="M4086" s="24">
        <v>145.71</v>
      </c>
      <c r="N4086" s="21">
        <f t="shared" si="190"/>
        <v>0.3020284156911805</v>
      </c>
      <c r="P4086" s="1">
        <v>4</v>
      </c>
      <c r="Q4086" s="24">
        <v>19.427999999999997</v>
      </c>
      <c r="R4086" s="24">
        <v>142.47200000000001</v>
      </c>
      <c r="S4086" s="21">
        <f t="shared" si="191"/>
        <v>0.27309445089804318</v>
      </c>
    </row>
    <row r="4087" spans="2:19" ht="11.4" customHeight="1" x14ac:dyDescent="0.2">
      <c r="B4087" s="24"/>
      <c r="C4087" s="14">
        <v>48092</v>
      </c>
      <c r="D4087" s="18" t="s">
        <v>4276</v>
      </c>
      <c r="E4087" s="18" t="s">
        <v>3375</v>
      </c>
      <c r="F4087" s="17">
        <v>8</v>
      </c>
      <c r="G4087" s="18" t="s">
        <v>23</v>
      </c>
      <c r="H4087" s="18"/>
      <c r="I4087" s="15">
        <v>232.5</v>
      </c>
      <c r="J4087" s="21" t="e">
        <f t="shared" si="189"/>
        <v>#DIV/0!</v>
      </c>
      <c r="K4087" s="1">
        <v>2</v>
      </c>
      <c r="L4087" s="24">
        <v>23.2</v>
      </c>
      <c r="M4087" s="24">
        <v>209.25</v>
      </c>
      <c r="N4087" s="21" t="e">
        <f t="shared" si="190"/>
        <v>#DIV/0!</v>
      </c>
      <c r="P4087" s="1">
        <v>4</v>
      </c>
      <c r="Q4087" s="24">
        <v>27.900000000000006</v>
      </c>
      <c r="R4087" s="24">
        <v>204.6</v>
      </c>
      <c r="S4087" s="21" t="e">
        <f t="shared" si="191"/>
        <v>#DIV/0!</v>
      </c>
    </row>
    <row r="4088" spans="2:19" ht="11.4" customHeight="1" x14ac:dyDescent="0.2">
      <c r="B4088" s="24"/>
      <c r="C4088" s="14">
        <v>48090</v>
      </c>
      <c r="D4088" s="18" t="s">
        <v>4277</v>
      </c>
      <c r="E4088" s="18" t="s">
        <v>3375</v>
      </c>
      <c r="F4088" s="17">
        <v>14</v>
      </c>
      <c r="G4088" s="18" t="s">
        <v>23</v>
      </c>
      <c r="H4088" s="18"/>
      <c r="I4088" s="15">
        <v>145.5</v>
      </c>
      <c r="J4088" s="21" t="e">
        <f t="shared" si="189"/>
        <v>#DIV/0!</v>
      </c>
      <c r="K4088" s="1">
        <v>2</v>
      </c>
      <c r="L4088" s="24">
        <v>14.5</v>
      </c>
      <c r="M4088" s="24">
        <v>130.95000000000002</v>
      </c>
      <c r="N4088" s="21" t="e">
        <f t="shared" si="190"/>
        <v>#DIV/0!</v>
      </c>
      <c r="P4088" s="1">
        <v>4</v>
      </c>
      <c r="Q4088" s="24">
        <v>17.460000000000008</v>
      </c>
      <c r="R4088" s="24">
        <v>128.04</v>
      </c>
      <c r="S4088" s="21" t="e">
        <f t="shared" si="191"/>
        <v>#DIV/0!</v>
      </c>
    </row>
    <row r="4089" spans="2:19" ht="11.4" customHeight="1" x14ac:dyDescent="0.2">
      <c r="B4089" s="24"/>
      <c r="C4089" s="14">
        <v>45399</v>
      </c>
      <c r="D4089" s="18" t="s">
        <v>4278</v>
      </c>
      <c r="E4089" s="18" t="s">
        <v>4279</v>
      </c>
      <c r="F4089" s="18"/>
      <c r="G4089" s="18" t="s">
        <v>902</v>
      </c>
      <c r="H4089" s="18"/>
      <c r="I4089" s="15">
        <v>246</v>
      </c>
      <c r="J4089" s="21" t="e">
        <f t="shared" si="189"/>
        <v>#DIV/0!</v>
      </c>
      <c r="K4089" s="1">
        <v>2</v>
      </c>
      <c r="L4089" s="24">
        <v>24.6</v>
      </c>
      <c r="M4089" s="24">
        <v>221.4</v>
      </c>
      <c r="N4089" s="21" t="e">
        <f t="shared" si="190"/>
        <v>#DIV/0!</v>
      </c>
      <c r="P4089" s="1">
        <v>6</v>
      </c>
      <c r="Q4089" s="24">
        <v>36.900000000000006</v>
      </c>
      <c r="R4089" s="24">
        <v>209.1</v>
      </c>
      <c r="S4089" s="21" t="e">
        <f t="shared" si="191"/>
        <v>#DIV/0!</v>
      </c>
    </row>
    <row r="4090" spans="2:19" ht="11.4" customHeight="1" x14ac:dyDescent="0.2">
      <c r="B4090" s="24"/>
      <c r="C4090" s="14">
        <v>12450</v>
      </c>
      <c r="D4090" s="18" t="s">
        <v>4280</v>
      </c>
      <c r="E4090" s="18" t="s">
        <v>3371</v>
      </c>
      <c r="F4090" s="17">
        <v>1</v>
      </c>
      <c r="G4090" s="18" t="s">
        <v>902</v>
      </c>
      <c r="H4090" s="17">
        <v>200.9</v>
      </c>
      <c r="I4090" s="15">
        <v>204.9</v>
      </c>
      <c r="J4090" s="21">
        <f t="shared" si="189"/>
        <v>1.9910403185664508E-2</v>
      </c>
      <c r="K4090" s="1">
        <v>2</v>
      </c>
      <c r="L4090" s="24">
        <v>20.399999999999999</v>
      </c>
      <c r="M4090" s="24">
        <v>184.41</v>
      </c>
      <c r="N4090" s="21">
        <f t="shared" si="190"/>
        <v>-8.2080637132901979E-2</v>
      </c>
      <c r="P4090" s="1">
        <v>6</v>
      </c>
      <c r="Q4090" s="24">
        <v>30.735000000000014</v>
      </c>
      <c r="R4090" s="24">
        <v>174.16499999999999</v>
      </c>
      <c r="S4090" s="21">
        <f t="shared" si="191"/>
        <v>-0.13307615729218522</v>
      </c>
    </row>
    <row r="4091" spans="2:19" ht="11.4" customHeight="1" x14ac:dyDescent="0.2">
      <c r="B4091" s="24"/>
      <c r="C4091" s="14">
        <v>47040</v>
      </c>
      <c r="D4091" s="18" t="s">
        <v>4281</v>
      </c>
      <c r="E4091" s="18" t="s">
        <v>3447</v>
      </c>
      <c r="F4091" s="18"/>
      <c r="G4091" s="18" t="s">
        <v>23</v>
      </c>
      <c r="H4091" s="17">
        <v>7.5</v>
      </c>
      <c r="I4091" s="15">
        <v>12.9</v>
      </c>
      <c r="J4091" s="21">
        <f t="shared" si="189"/>
        <v>0.72000000000000008</v>
      </c>
      <c r="K4091" s="1">
        <v>2</v>
      </c>
      <c r="L4091" s="24">
        <v>1.2</v>
      </c>
      <c r="M4091" s="24">
        <v>11.610000000000001</v>
      </c>
      <c r="N4091" s="21">
        <f t="shared" si="190"/>
        <v>0.54800000000000015</v>
      </c>
      <c r="P4091" s="1">
        <v>4</v>
      </c>
      <c r="Q4091" s="24">
        <v>1.548</v>
      </c>
      <c r="R4091" s="24">
        <v>11.352</v>
      </c>
      <c r="S4091" s="21">
        <f t="shared" si="191"/>
        <v>0.51360000000000006</v>
      </c>
    </row>
    <row r="4092" spans="2:19" ht="11.4" customHeight="1" x14ac:dyDescent="0.2">
      <c r="B4092" s="24"/>
      <c r="C4092" s="14">
        <v>47054</v>
      </c>
      <c r="D4092" s="18" t="s">
        <v>4282</v>
      </c>
      <c r="E4092" s="18" t="s">
        <v>3447</v>
      </c>
      <c r="F4092" s="18"/>
      <c r="G4092" s="18" t="s">
        <v>23</v>
      </c>
      <c r="H4092" s="17">
        <v>32</v>
      </c>
      <c r="I4092" s="15">
        <v>54.5</v>
      </c>
      <c r="J4092" s="21">
        <f t="shared" si="189"/>
        <v>0.703125</v>
      </c>
      <c r="K4092" s="1">
        <v>2</v>
      </c>
      <c r="L4092" s="24">
        <v>5.4</v>
      </c>
      <c r="M4092" s="24">
        <v>49.050000000000004</v>
      </c>
      <c r="N4092" s="21">
        <f t="shared" si="190"/>
        <v>0.53281250000000013</v>
      </c>
      <c r="P4092" s="1">
        <v>4</v>
      </c>
      <c r="Q4092" s="24">
        <v>6.5399999999999991</v>
      </c>
      <c r="R4092" s="24">
        <v>47.96</v>
      </c>
      <c r="S4092" s="21">
        <f t="shared" si="191"/>
        <v>0.49875000000000003</v>
      </c>
    </row>
    <row r="4093" spans="2:19" ht="11.4" customHeight="1" x14ac:dyDescent="0.2">
      <c r="B4093" s="24"/>
      <c r="C4093" s="14">
        <v>47048</v>
      </c>
      <c r="D4093" s="18" t="s">
        <v>4283</v>
      </c>
      <c r="E4093" s="18" t="s">
        <v>3447</v>
      </c>
      <c r="F4093" s="18"/>
      <c r="G4093" s="18" t="s">
        <v>23</v>
      </c>
      <c r="H4093" s="17">
        <v>52</v>
      </c>
      <c r="I4093" s="15">
        <v>88.5</v>
      </c>
      <c r="J4093" s="21">
        <f t="shared" si="189"/>
        <v>0.70192307692307687</v>
      </c>
      <c r="K4093" s="1">
        <v>2</v>
      </c>
      <c r="L4093" s="24">
        <v>8.8000000000000007</v>
      </c>
      <c r="M4093" s="24">
        <v>79.650000000000006</v>
      </c>
      <c r="N4093" s="21">
        <f t="shared" si="190"/>
        <v>0.53173076923076934</v>
      </c>
      <c r="P4093" s="1">
        <v>4</v>
      </c>
      <c r="Q4093" s="24">
        <v>10.620000000000005</v>
      </c>
      <c r="R4093" s="24">
        <v>77.88</v>
      </c>
      <c r="S4093" s="21">
        <f t="shared" si="191"/>
        <v>0.4976923076923076</v>
      </c>
    </row>
    <row r="4094" spans="2:19" ht="11.4" customHeight="1" x14ac:dyDescent="0.2">
      <c r="B4094" s="24"/>
      <c r="C4094" s="14">
        <v>47033</v>
      </c>
      <c r="D4094" s="18" t="s">
        <v>4284</v>
      </c>
      <c r="E4094" s="18" t="s">
        <v>3447</v>
      </c>
      <c r="F4094" s="18"/>
      <c r="G4094" s="18" t="s">
        <v>23</v>
      </c>
      <c r="H4094" s="17">
        <v>38</v>
      </c>
      <c r="I4094" s="15">
        <v>64.5</v>
      </c>
      <c r="J4094" s="21">
        <f t="shared" si="189"/>
        <v>0.69736842105263153</v>
      </c>
      <c r="K4094" s="1">
        <v>2</v>
      </c>
      <c r="L4094" s="24">
        <v>6.4</v>
      </c>
      <c r="M4094" s="24">
        <v>58.050000000000004</v>
      </c>
      <c r="N4094" s="21">
        <f t="shared" si="190"/>
        <v>0.52763157894736856</v>
      </c>
      <c r="P4094" s="1">
        <v>4</v>
      </c>
      <c r="Q4094" s="24">
        <v>7.740000000000002</v>
      </c>
      <c r="R4094" s="24">
        <v>56.76</v>
      </c>
      <c r="S4094" s="21">
        <f t="shared" si="191"/>
        <v>0.49368421052631573</v>
      </c>
    </row>
    <row r="4095" spans="2:19" ht="11.4" customHeight="1" x14ac:dyDescent="0.2">
      <c r="B4095" s="24"/>
      <c r="C4095" s="14">
        <v>47035</v>
      </c>
      <c r="D4095" s="18" t="s">
        <v>4285</v>
      </c>
      <c r="E4095" s="18" t="s">
        <v>3447</v>
      </c>
      <c r="F4095" s="18"/>
      <c r="G4095" s="18" t="s">
        <v>23</v>
      </c>
      <c r="H4095" s="17">
        <v>47</v>
      </c>
      <c r="I4095" s="15">
        <v>79.900000000000006</v>
      </c>
      <c r="J4095" s="21">
        <f t="shared" si="189"/>
        <v>0.70000000000000007</v>
      </c>
      <c r="K4095" s="1">
        <v>2</v>
      </c>
      <c r="L4095" s="24">
        <v>7.9</v>
      </c>
      <c r="M4095" s="24">
        <v>71.910000000000011</v>
      </c>
      <c r="N4095" s="21">
        <f t="shared" si="190"/>
        <v>0.53000000000000025</v>
      </c>
      <c r="P4095" s="1">
        <v>4</v>
      </c>
      <c r="Q4095" s="24">
        <v>9.5879999999999939</v>
      </c>
      <c r="R4095" s="24">
        <v>70.312000000000012</v>
      </c>
      <c r="S4095" s="21">
        <f t="shared" si="191"/>
        <v>0.49600000000000027</v>
      </c>
    </row>
    <row r="4096" spans="2:19" ht="11.4" customHeight="1" x14ac:dyDescent="0.2">
      <c r="B4096" s="24"/>
      <c r="C4096" s="14">
        <v>47053</v>
      </c>
      <c r="D4096" s="18" t="s">
        <v>4286</v>
      </c>
      <c r="E4096" s="18" t="s">
        <v>3447</v>
      </c>
      <c r="F4096" s="18"/>
      <c r="G4096" s="18" t="s">
        <v>23</v>
      </c>
      <c r="H4096" s="17">
        <v>6</v>
      </c>
      <c r="I4096" s="15">
        <v>10.5</v>
      </c>
      <c r="J4096" s="21">
        <f t="shared" si="189"/>
        <v>0.75</v>
      </c>
      <c r="K4096" s="1">
        <v>2</v>
      </c>
      <c r="L4096" s="24">
        <v>1</v>
      </c>
      <c r="M4096" s="24">
        <v>9.4500000000000011</v>
      </c>
      <c r="N4096" s="21">
        <f t="shared" si="190"/>
        <v>0.57500000000000018</v>
      </c>
      <c r="P4096" s="1">
        <v>4</v>
      </c>
      <c r="Q4096" s="24">
        <v>1.2599999999999998</v>
      </c>
      <c r="R4096" s="24">
        <v>9.24</v>
      </c>
      <c r="S4096" s="21">
        <f t="shared" si="191"/>
        <v>0.54</v>
      </c>
    </row>
    <row r="4097" spans="2:19" ht="11.4" customHeight="1" x14ac:dyDescent="0.2">
      <c r="B4097" s="24"/>
      <c r="C4097" s="14">
        <v>43558</v>
      </c>
      <c r="D4097" s="18" t="s">
        <v>4287</v>
      </c>
      <c r="E4097" s="18" t="s">
        <v>3551</v>
      </c>
      <c r="F4097" s="17">
        <v>30</v>
      </c>
      <c r="G4097" s="18" t="s">
        <v>23</v>
      </c>
      <c r="H4097" s="17">
        <v>14.64</v>
      </c>
      <c r="I4097" s="15">
        <v>20.9</v>
      </c>
      <c r="J4097" s="21">
        <f t="shared" si="189"/>
        <v>0.42759562841530041</v>
      </c>
      <c r="K4097" s="1">
        <v>2</v>
      </c>
      <c r="L4097" s="24">
        <v>2</v>
      </c>
      <c r="M4097" s="24">
        <v>18.809999999999999</v>
      </c>
      <c r="N4097" s="21">
        <f t="shared" si="190"/>
        <v>0.28483606557377034</v>
      </c>
      <c r="P4097" s="1">
        <v>4</v>
      </c>
      <c r="Q4097" s="24">
        <v>2.5079999999999991</v>
      </c>
      <c r="R4097" s="24">
        <v>18.391999999999999</v>
      </c>
      <c r="S4097" s="21">
        <f t="shared" si="191"/>
        <v>0.25628415300546442</v>
      </c>
    </row>
    <row r="4098" spans="2:19" ht="11.4" customHeight="1" x14ac:dyDescent="0.2">
      <c r="B4098" s="24"/>
      <c r="C4098" s="14">
        <v>43573</v>
      </c>
      <c r="D4098" s="18" t="s">
        <v>4288</v>
      </c>
      <c r="E4098" s="18" t="s">
        <v>3551</v>
      </c>
      <c r="F4098" s="17">
        <v>30</v>
      </c>
      <c r="G4098" s="18" t="s">
        <v>23</v>
      </c>
      <c r="H4098" s="17">
        <v>14.64</v>
      </c>
      <c r="I4098" s="15">
        <v>20.9</v>
      </c>
      <c r="J4098" s="21">
        <f t="shared" si="189"/>
        <v>0.42759562841530041</v>
      </c>
      <c r="K4098" s="1">
        <v>2</v>
      </c>
      <c r="L4098" s="24">
        <v>2</v>
      </c>
      <c r="M4098" s="24">
        <v>18.809999999999999</v>
      </c>
      <c r="N4098" s="21">
        <f t="shared" si="190"/>
        <v>0.28483606557377034</v>
      </c>
      <c r="P4098" s="1">
        <v>4</v>
      </c>
      <c r="Q4098" s="24">
        <v>2.5079999999999991</v>
      </c>
      <c r="R4098" s="24">
        <v>18.391999999999999</v>
      </c>
      <c r="S4098" s="21">
        <f t="shared" si="191"/>
        <v>0.25628415300546442</v>
      </c>
    </row>
    <row r="4099" spans="2:19" ht="11.4" customHeight="1" x14ac:dyDescent="0.2">
      <c r="B4099" s="24"/>
      <c r="C4099" s="14">
        <v>43572</v>
      </c>
      <c r="D4099" s="18" t="s">
        <v>4289</v>
      </c>
      <c r="E4099" s="18" t="s">
        <v>3551</v>
      </c>
      <c r="F4099" s="17">
        <v>30</v>
      </c>
      <c r="G4099" s="18" t="s">
        <v>23</v>
      </c>
      <c r="H4099" s="17">
        <v>14.64</v>
      </c>
      <c r="I4099" s="15">
        <v>20.9</v>
      </c>
      <c r="J4099" s="21">
        <f t="shared" ref="J4099:J4162" si="192">(I4099-H4099)/H4099</f>
        <v>0.42759562841530041</v>
      </c>
      <c r="K4099" s="1">
        <v>2</v>
      </c>
      <c r="L4099" s="24">
        <v>2</v>
      </c>
      <c r="M4099" s="24">
        <v>18.809999999999999</v>
      </c>
      <c r="N4099" s="21">
        <f t="shared" ref="N4099:N4162" si="193">(M4099-H4099)/H4099</f>
        <v>0.28483606557377034</v>
      </c>
      <c r="P4099" s="1">
        <v>4</v>
      </c>
      <c r="Q4099" s="24">
        <v>2.5079999999999991</v>
      </c>
      <c r="R4099" s="24">
        <v>18.391999999999999</v>
      </c>
      <c r="S4099" s="21">
        <f t="shared" ref="S4099:S4162" si="194">(R4099-H4099)/H4099</f>
        <v>0.25628415300546442</v>
      </c>
    </row>
    <row r="4100" spans="2:19" ht="11.4" customHeight="1" x14ac:dyDescent="0.2">
      <c r="B4100" s="24"/>
      <c r="C4100" s="14">
        <v>43570</v>
      </c>
      <c r="D4100" s="18" t="s">
        <v>4290</v>
      </c>
      <c r="E4100" s="18" t="s">
        <v>3551</v>
      </c>
      <c r="F4100" s="17">
        <v>30</v>
      </c>
      <c r="G4100" s="18" t="s">
        <v>23</v>
      </c>
      <c r="H4100" s="17">
        <v>14.64</v>
      </c>
      <c r="I4100" s="15">
        <v>20.9</v>
      </c>
      <c r="J4100" s="21">
        <f t="shared" si="192"/>
        <v>0.42759562841530041</v>
      </c>
      <c r="K4100" s="1">
        <v>2</v>
      </c>
      <c r="L4100" s="24">
        <v>2</v>
      </c>
      <c r="M4100" s="24">
        <v>18.809999999999999</v>
      </c>
      <c r="N4100" s="21">
        <f t="shared" si="193"/>
        <v>0.28483606557377034</v>
      </c>
      <c r="P4100" s="1">
        <v>4</v>
      </c>
      <c r="Q4100" s="24">
        <v>2.5079999999999991</v>
      </c>
      <c r="R4100" s="24">
        <v>18.391999999999999</v>
      </c>
      <c r="S4100" s="21">
        <f t="shared" si="194"/>
        <v>0.25628415300546442</v>
      </c>
    </row>
    <row r="4101" spans="2:19" ht="11.4" customHeight="1" x14ac:dyDescent="0.2">
      <c r="B4101" s="24"/>
      <c r="C4101" s="14">
        <v>47043</v>
      </c>
      <c r="D4101" s="18" t="s">
        <v>4291</v>
      </c>
      <c r="E4101" s="18" t="s">
        <v>3447</v>
      </c>
      <c r="F4101" s="18"/>
      <c r="G4101" s="18" t="s">
        <v>23</v>
      </c>
      <c r="H4101" s="17">
        <v>38</v>
      </c>
      <c r="I4101" s="15">
        <v>64.5</v>
      </c>
      <c r="J4101" s="21">
        <f t="shared" si="192"/>
        <v>0.69736842105263153</v>
      </c>
      <c r="K4101" s="1">
        <v>2</v>
      </c>
      <c r="L4101" s="24">
        <v>6.4</v>
      </c>
      <c r="M4101" s="24">
        <v>58.050000000000004</v>
      </c>
      <c r="N4101" s="21">
        <f t="shared" si="193"/>
        <v>0.52763157894736856</v>
      </c>
      <c r="P4101" s="1">
        <v>4</v>
      </c>
      <c r="Q4101" s="24">
        <v>7.740000000000002</v>
      </c>
      <c r="R4101" s="24">
        <v>56.76</v>
      </c>
      <c r="S4101" s="21">
        <f t="shared" si="194"/>
        <v>0.49368421052631573</v>
      </c>
    </row>
    <row r="4102" spans="2:19" ht="11.4" customHeight="1" x14ac:dyDescent="0.2">
      <c r="B4102" s="24"/>
      <c r="C4102" s="14">
        <v>43682</v>
      </c>
      <c r="D4102" s="18" t="s">
        <v>4292</v>
      </c>
      <c r="E4102" s="18" t="s">
        <v>3447</v>
      </c>
      <c r="F4102" s="17">
        <v>12</v>
      </c>
      <c r="G4102" s="18" t="s">
        <v>23</v>
      </c>
      <c r="H4102" s="17">
        <v>41</v>
      </c>
      <c r="I4102" s="15">
        <v>84.5</v>
      </c>
      <c r="J4102" s="21">
        <f t="shared" si="192"/>
        <v>1.0609756097560976</v>
      </c>
      <c r="K4102" s="1">
        <v>2</v>
      </c>
      <c r="L4102" s="24">
        <v>8.4</v>
      </c>
      <c r="M4102" s="24">
        <v>76.05</v>
      </c>
      <c r="N4102" s="21">
        <f t="shared" si="193"/>
        <v>0.85487804878048779</v>
      </c>
      <c r="P4102" s="1">
        <v>4</v>
      </c>
      <c r="Q4102" s="24">
        <v>10.14</v>
      </c>
      <c r="R4102" s="24">
        <v>74.36</v>
      </c>
      <c r="S4102" s="21">
        <f t="shared" si="194"/>
        <v>0.8136585365853658</v>
      </c>
    </row>
    <row r="4103" spans="2:19" ht="11.4" customHeight="1" x14ac:dyDescent="0.2">
      <c r="B4103" s="24"/>
      <c r="C4103" s="14">
        <v>47047</v>
      </c>
      <c r="D4103" s="18" t="s">
        <v>4293</v>
      </c>
      <c r="E4103" s="18" t="s">
        <v>3447</v>
      </c>
      <c r="F4103" s="17">
        <v>12</v>
      </c>
      <c r="G4103" s="18" t="s">
        <v>23</v>
      </c>
      <c r="H4103" s="17">
        <v>37</v>
      </c>
      <c r="I4103" s="15">
        <v>64.5</v>
      </c>
      <c r="J4103" s="21">
        <f t="shared" si="192"/>
        <v>0.7432432432432432</v>
      </c>
      <c r="K4103" s="1">
        <v>2</v>
      </c>
      <c r="L4103" s="24">
        <v>6.4</v>
      </c>
      <c r="M4103" s="24">
        <v>58.050000000000004</v>
      </c>
      <c r="N4103" s="21">
        <f t="shared" si="193"/>
        <v>0.56891891891891899</v>
      </c>
      <c r="P4103" s="1">
        <v>4</v>
      </c>
      <c r="Q4103" s="24">
        <v>7.740000000000002</v>
      </c>
      <c r="R4103" s="24">
        <v>56.76</v>
      </c>
      <c r="S4103" s="21">
        <f t="shared" si="194"/>
        <v>0.53405405405405404</v>
      </c>
    </row>
    <row r="4104" spans="2:19" ht="11.4" customHeight="1" x14ac:dyDescent="0.2">
      <c r="B4104" s="24"/>
      <c r="C4104" s="14">
        <v>47045</v>
      </c>
      <c r="D4104" s="18" t="s">
        <v>4294</v>
      </c>
      <c r="E4104" s="18" t="s">
        <v>3447</v>
      </c>
      <c r="F4104" s="18"/>
      <c r="G4104" s="18" t="s">
        <v>23</v>
      </c>
      <c r="H4104" s="17">
        <v>21</v>
      </c>
      <c r="I4104" s="15">
        <v>35.9</v>
      </c>
      <c r="J4104" s="21">
        <f t="shared" si="192"/>
        <v>0.70952380952380945</v>
      </c>
      <c r="K4104" s="1">
        <v>2</v>
      </c>
      <c r="L4104" s="24">
        <v>3.5</v>
      </c>
      <c r="M4104" s="24">
        <v>32.31</v>
      </c>
      <c r="N4104" s="21">
        <f t="shared" si="193"/>
        <v>0.5385714285714287</v>
      </c>
      <c r="P4104" s="1">
        <v>4</v>
      </c>
      <c r="Q4104" s="24">
        <v>4.3079999999999998</v>
      </c>
      <c r="R4104" s="24">
        <v>31.591999999999999</v>
      </c>
      <c r="S4104" s="21">
        <f t="shared" si="194"/>
        <v>0.50438095238095237</v>
      </c>
    </row>
    <row r="4105" spans="2:19" ht="11.4" customHeight="1" x14ac:dyDescent="0.2">
      <c r="B4105" s="24"/>
      <c r="C4105" s="14">
        <v>47044</v>
      </c>
      <c r="D4105" s="18" t="s">
        <v>4295</v>
      </c>
      <c r="E4105" s="18" t="s">
        <v>3447</v>
      </c>
      <c r="F4105" s="18"/>
      <c r="G4105" s="18" t="s">
        <v>23</v>
      </c>
      <c r="H4105" s="17">
        <v>42</v>
      </c>
      <c r="I4105" s="15">
        <v>71.900000000000006</v>
      </c>
      <c r="J4105" s="21">
        <f t="shared" si="192"/>
        <v>0.71190476190476204</v>
      </c>
      <c r="K4105" s="1">
        <v>2</v>
      </c>
      <c r="L4105" s="24">
        <v>7.1</v>
      </c>
      <c r="M4105" s="24">
        <v>64.710000000000008</v>
      </c>
      <c r="N4105" s="21">
        <f t="shared" si="193"/>
        <v>0.54071428571428592</v>
      </c>
      <c r="P4105" s="1">
        <v>4</v>
      </c>
      <c r="Q4105" s="24">
        <v>8.6280000000000001</v>
      </c>
      <c r="R4105" s="24">
        <v>63.272000000000006</v>
      </c>
      <c r="S4105" s="21">
        <f t="shared" si="194"/>
        <v>0.50647619047619064</v>
      </c>
    </row>
    <row r="4106" spans="2:19" ht="11.4" customHeight="1" x14ac:dyDescent="0.2">
      <c r="B4106" s="24"/>
      <c r="C4106" s="14">
        <v>42450</v>
      </c>
      <c r="D4106" s="18" t="s">
        <v>4296</v>
      </c>
      <c r="E4106" s="18" t="s">
        <v>3371</v>
      </c>
      <c r="F4106" s="18"/>
      <c r="G4106" s="18" t="s">
        <v>902</v>
      </c>
      <c r="H4106" s="17">
        <v>190</v>
      </c>
      <c r="I4106" s="15">
        <v>294.89999999999998</v>
      </c>
      <c r="J4106" s="21">
        <f t="shared" si="192"/>
        <v>0.55210526315789465</v>
      </c>
      <c r="K4106" s="1">
        <v>2</v>
      </c>
      <c r="L4106" s="24">
        <v>29.4</v>
      </c>
      <c r="M4106" s="24">
        <v>265.40999999999997</v>
      </c>
      <c r="N4106" s="21">
        <f t="shared" si="193"/>
        <v>0.39689473684210508</v>
      </c>
      <c r="P4106" s="1">
        <v>6</v>
      </c>
      <c r="Q4106" s="24">
        <v>44.235000000000014</v>
      </c>
      <c r="R4106" s="24">
        <v>250.66499999999996</v>
      </c>
      <c r="S4106" s="21">
        <f t="shared" si="194"/>
        <v>0.31928947368421035</v>
      </c>
    </row>
    <row r="4107" spans="2:19" ht="11.4" customHeight="1" x14ac:dyDescent="0.2">
      <c r="B4107" s="24"/>
      <c r="C4107" s="14">
        <v>8812</v>
      </c>
      <c r="D4107" s="18" t="s">
        <v>4297</v>
      </c>
      <c r="E4107" s="18" t="s">
        <v>3371</v>
      </c>
      <c r="F4107" s="18"/>
      <c r="G4107" s="18" t="s">
        <v>902</v>
      </c>
      <c r="H4107" s="17">
        <v>299.89999999999998</v>
      </c>
      <c r="I4107" s="15">
        <v>299.89999999999998</v>
      </c>
      <c r="J4107" s="21">
        <f t="shared" si="192"/>
        <v>0</v>
      </c>
      <c r="K4107" s="1">
        <v>2</v>
      </c>
      <c r="L4107" s="24">
        <v>29.9</v>
      </c>
      <c r="M4107" s="24">
        <v>269.90999999999997</v>
      </c>
      <c r="N4107" s="21">
        <f t="shared" si="193"/>
        <v>-0.10000000000000003</v>
      </c>
      <c r="P4107" s="1">
        <v>6</v>
      </c>
      <c r="Q4107" s="24">
        <v>44.985000000000014</v>
      </c>
      <c r="R4107" s="24">
        <v>254.91499999999996</v>
      </c>
      <c r="S4107" s="21">
        <f t="shared" si="194"/>
        <v>-0.15000000000000005</v>
      </c>
    </row>
    <row r="4108" spans="2:19" ht="11.4" customHeight="1" x14ac:dyDescent="0.2">
      <c r="B4108" s="24"/>
      <c r="C4108" s="14">
        <v>48093</v>
      </c>
      <c r="D4108" s="18" t="s">
        <v>4298</v>
      </c>
      <c r="E4108" s="18" t="s">
        <v>3375</v>
      </c>
      <c r="F4108" s="17">
        <v>12</v>
      </c>
      <c r="G4108" s="18" t="s">
        <v>23</v>
      </c>
      <c r="H4108" s="18"/>
      <c r="I4108" s="15">
        <v>68.5</v>
      </c>
      <c r="J4108" s="21" t="e">
        <f t="shared" si="192"/>
        <v>#DIV/0!</v>
      </c>
      <c r="K4108" s="1">
        <v>2</v>
      </c>
      <c r="L4108" s="24">
        <v>6.8</v>
      </c>
      <c r="M4108" s="24">
        <v>61.65</v>
      </c>
      <c r="N4108" s="21" t="e">
        <f t="shared" si="193"/>
        <v>#DIV/0!</v>
      </c>
      <c r="P4108" s="1">
        <v>4</v>
      </c>
      <c r="Q4108" s="24">
        <v>8.2199999999999989</v>
      </c>
      <c r="R4108" s="24">
        <v>60.28</v>
      </c>
      <c r="S4108" s="21" t="e">
        <f t="shared" si="194"/>
        <v>#DIV/0!</v>
      </c>
    </row>
    <row r="4109" spans="2:19" ht="11.4" customHeight="1" x14ac:dyDescent="0.2">
      <c r="B4109" s="24"/>
      <c r="C4109" s="14">
        <v>42661</v>
      </c>
      <c r="D4109" s="18" t="s">
        <v>4299</v>
      </c>
      <c r="E4109" s="18" t="s">
        <v>3371</v>
      </c>
      <c r="F4109" s="17">
        <v>2</v>
      </c>
      <c r="G4109" s="18" t="s">
        <v>902</v>
      </c>
      <c r="H4109" s="17">
        <v>114.5</v>
      </c>
      <c r="I4109" s="15">
        <v>164.9</v>
      </c>
      <c r="J4109" s="21">
        <f t="shared" si="192"/>
        <v>0.44017467248908304</v>
      </c>
      <c r="K4109" s="1">
        <v>2</v>
      </c>
      <c r="L4109" s="24">
        <v>16.399999999999999</v>
      </c>
      <c r="M4109" s="24">
        <v>148.41</v>
      </c>
      <c r="N4109" s="21">
        <f t="shared" si="193"/>
        <v>0.29615720524017464</v>
      </c>
      <c r="P4109" s="1">
        <v>6</v>
      </c>
      <c r="Q4109" s="24">
        <v>24.735000000000014</v>
      </c>
      <c r="R4109" s="24">
        <v>140.16499999999999</v>
      </c>
      <c r="S4109" s="21">
        <f t="shared" si="194"/>
        <v>0.22414847161572046</v>
      </c>
    </row>
    <row r="4110" spans="2:19" ht="11.4" customHeight="1" x14ac:dyDescent="0.2">
      <c r="B4110" s="24"/>
      <c r="C4110" s="14">
        <v>38704</v>
      </c>
      <c r="D4110" s="18" t="s">
        <v>4300</v>
      </c>
      <c r="E4110" s="18" t="s">
        <v>3554</v>
      </c>
      <c r="F4110" s="17">
        <v>22</v>
      </c>
      <c r="G4110" s="18" t="s">
        <v>23</v>
      </c>
      <c r="H4110" s="17">
        <v>32.1</v>
      </c>
      <c r="I4110" s="15">
        <v>34.5</v>
      </c>
      <c r="J4110" s="21">
        <f t="shared" si="192"/>
        <v>7.4766355140186869E-2</v>
      </c>
      <c r="K4110" s="1">
        <v>2</v>
      </c>
      <c r="L4110" s="24">
        <v>3.4</v>
      </c>
      <c r="M4110" s="24">
        <v>31.05</v>
      </c>
      <c r="N4110" s="21">
        <f t="shared" si="193"/>
        <v>-3.2710280373831793E-2</v>
      </c>
      <c r="P4110" s="1">
        <v>4</v>
      </c>
      <c r="Q4110" s="24">
        <v>4.1400000000000006</v>
      </c>
      <c r="R4110" s="24">
        <v>30.36</v>
      </c>
      <c r="S4110" s="21">
        <f t="shared" si="194"/>
        <v>-5.4205607476635574E-2</v>
      </c>
    </row>
    <row r="4111" spans="2:19" ht="11.4" customHeight="1" x14ac:dyDescent="0.2">
      <c r="B4111" s="24"/>
      <c r="C4111" s="14">
        <v>42765</v>
      </c>
      <c r="D4111" s="18" t="s">
        <v>4301</v>
      </c>
      <c r="E4111" s="18" t="s">
        <v>3375</v>
      </c>
      <c r="F4111" s="18"/>
      <c r="G4111" s="18" t="s">
        <v>23</v>
      </c>
      <c r="H4111" s="17">
        <v>171.26</v>
      </c>
      <c r="I4111" s="15">
        <v>209.9</v>
      </c>
      <c r="J4111" s="21">
        <f t="shared" si="192"/>
        <v>0.22562186149713895</v>
      </c>
      <c r="K4111" s="1">
        <v>2</v>
      </c>
      <c r="L4111" s="24">
        <v>20.9</v>
      </c>
      <c r="M4111" s="24">
        <v>188.91</v>
      </c>
      <c r="N4111" s="21">
        <f t="shared" si="193"/>
        <v>0.10305967534742501</v>
      </c>
      <c r="P4111" s="1">
        <v>4</v>
      </c>
      <c r="Q4111" s="24">
        <v>25.187999999999988</v>
      </c>
      <c r="R4111" s="24">
        <v>184.71200000000002</v>
      </c>
      <c r="S4111" s="21">
        <f t="shared" si="194"/>
        <v>7.8547238117482349E-2</v>
      </c>
    </row>
    <row r="4112" spans="2:19" ht="11.4" customHeight="1" x14ac:dyDescent="0.2">
      <c r="B4112" s="24"/>
      <c r="C4112" s="14">
        <v>33547</v>
      </c>
      <c r="D4112" s="18" t="s">
        <v>4302</v>
      </c>
      <c r="E4112" s="18" t="s">
        <v>3371</v>
      </c>
      <c r="F4112" s="18"/>
      <c r="G4112" s="18" t="s">
        <v>902</v>
      </c>
      <c r="H4112" s="17">
        <v>164.9</v>
      </c>
      <c r="I4112" s="15">
        <v>164.9</v>
      </c>
      <c r="J4112" s="21">
        <f t="shared" si="192"/>
        <v>0</v>
      </c>
      <c r="K4112" s="1">
        <v>2</v>
      </c>
      <c r="L4112" s="24">
        <v>16.399999999999999</v>
      </c>
      <c r="M4112" s="24">
        <v>148.41</v>
      </c>
      <c r="N4112" s="21">
        <f t="shared" si="193"/>
        <v>-0.10000000000000005</v>
      </c>
      <c r="P4112" s="1">
        <v>6</v>
      </c>
      <c r="Q4112" s="24">
        <v>24.735000000000014</v>
      </c>
      <c r="R4112" s="24">
        <v>140.16499999999999</v>
      </c>
      <c r="S4112" s="21">
        <f t="shared" si="194"/>
        <v>-0.15000000000000008</v>
      </c>
    </row>
    <row r="4113" spans="2:19" ht="11.4" customHeight="1" x14ac:dyDescent="0.2">
      <c r="B4113" s="24"/>
      <c r="C4113" s="14">
        <v>47646</v>
      </c>
      <c r="D4113" s="18" t="s">
        <v>4303</v>
      </c>
      <c r="E4113" s="18" t="s">
        <v>3371</v>
      </c>
      <c r="F4113" s="17">
        <v>2</v>
      </c>
      <c r="G4113" s="18" t="s">
        <v>902</v>
      </c>
      <c r="H4113" s="17">
        <v>282</v>
      </c>
      <c r="I4113" s="15">
        <v>352.5</v>
      </c>
      <c r="J4113" s="21">
        <f t="shared" si="192"/>
        <v>0.25</v>
      </c>
      <c r="K4113" s="1">
        <v>2</v>
      </c>
      <c r="L4113" s="24">
        <v>35.200000000000003</v>
      </c>
      <c r="M4113" s="24">
        <v>317.25</v>
      </c>
      <c r="N4113" s="21">
        <f t="shared" si="193"/>
        <v>0.125</v>
      </c>
      <c r="P4113" s="1">
        <v>6</v>
      </c>
      <c r="Q4113" s="24">
        <v>52.875</v>
      </c>
      <c r="R4113" s="24">
        <v>299.625</v>
      </c>
      <c r="S4113" s="21">
        <f t="shared" si="194"/>
        <v>6.25E-2</v>
      </c>
    </row>
    <row r="4114" spans="2:19" ht="11.4" customHeight="1" x14ac:dyDescent="0.2">
      <c r="B4114" s="24"/>
      <c r="C4114" s="14">
        <v>7974</v>
      </c>
      <c r="D4114" s="18" t="s">
        <v>4304</v>
      </c>
      <c r="E4114" s="18" t="s">
        <v>4118</v>
      </c>
      <c r="F4114" s="17">
        <v>1</v>
      </c>
      <c r="G4114" s="18" t="s">
        <v>23</v>
      </c>
      <c r="H4114" s="17">
        <v>27.9</v>
      </c>
      <c r="I4114" s="15">
        <v>32.9</v>
      </c>
      <c r="J4114" s="21">
        <f t="shared" si="192"/>
        <v>0.17921146953405018</v>
      </c>
      <c r="K4114" s="1">
        <v>2</v>
      </c>
      <c r="L4114" s="24">
        <v>3.2</v>
      </c>
      <c r="M4114" s="24">
        <v>29.61</v>
      </c>
      <c r="N4114" s="21">
        <f t="shared" si="193"/>
        <v>6.1290322580645193E-2</v>
      </c>
      <c r="P4114" s="1">
        <v>4</v>
      </c>
      <c r="Q4114" s="24">
        <v>3.9480000000000004</v>
      </c>
      <c r="R4114" s="24">
        <v>28.951999999999998</v>
      </c>
      <c r="S4114" s="21">
        <f t="shared" si="194"/>
        <v>3.7706093189964145E-2</v>
      </c>
    </row>
    <row r="4115" spans="2:19" ht="11.4" customHeight="1" x14ac:dyDescent="0.2">
      <c r="B4115" s="24"/>
      <c r="C4115" s="14">
        <v>6024</v>
      </c>
      <c r="D4115" s="18" t="s">
        <v>4305</v>
      </c>
      <c r="E4115" s="18" t="s">
        <v>3375</v>
      </c>
      <c r="F4115" s="17">
        <v>10</v>
      </c>
      <c r="G4115" s="18" t="s">
        <v>23</v>
      </c>
      <c r="H4115" s="17">
        <v>90.12</v>
      </c>
      <c r="I4115" s="15">
        <v>118.5</v>
      </c>
      <c r="J4115" s="21">
        <f t="shared" si="192"/>
        <v>0.31491344873501992</v>
      </c>
      <c r="K4115" s="1">
        <v>2</v>
      </c>
      <c r="L4115" s="24">
        <v>11.8</v>
      </c>
      <c r="M4115" s="24">
        <v>106.65</v>
      </c>
      <c r="N4115" s="21">
        <f t="shared" si="193"/>
        <v>0.18342210386151797</v>
      </c>
      <c r="P4115" s="1">
        <v>4</v>
      </c>
      <c r="Q4115" s="24">
        <v>14.219999999999999</v>
      </c>
      <c r="R4115" s="24">
        <v>104.28</v>
      </c>
      <c r="S4115" s="21">
        <f t="shared" si="194"/>
        <v>0.15712383488681753</v>
      </c>
    </row>
    <row r="4116" spans="2:19" ht="11.4" customHeight="1" x14ac:dyDescent="0.2">
      <c r="B4116" s="24"/>
      <c r="C4116" s="14">
        <v>3187</v>
      </c>
      <c r="D4116" s="18" t="s">
        <v>4306</v>
      </c>
      <c r="E4116" s="18" t="s">
        <v>3375</v>
      </c>
      <c r="F4116" s="17">
        <v>18</v>
      </c>
      <c r="G4116" s="18" t="s">
        <v>23</v>
      </c>
      <c r="H4116" s="17">
        <v>107.8</v>
      </c>
      <c r="I4116" s="15">
        <v>129.9</v>
      </c>
      <c r="J4116" s="21">
        <f t="shared" si="192"/>
        <v>0.20500927643784794</v>
      </c>
      <c r="K4116" s="1">
        <v>2</v>
      </c>
      <c r="L4116" s="24">
        <v>12.9</v>
      </c>
      <c r="M4116" s="24">
        <v>116.91000000000001</v>
      </c>
      <c r="N4116" s="21">
        <f t="shared" si="193"/>
        <v>8.4508348794063215E-2</v>
      </c>
      <c r="P4116" s="1">
        <v>4</v>
      </c>
      <c r="Q4116" s="24">
        <v>15.587999999999994</v>
      </c>
      <c r="R4116" s="24">
        <v>114.31200000000001</v>
      </c>
      <c r="S4116" s="21">
        <f t="shared" si="194"/>
        <v>6.0408163265306257E-2</v>
      </c>
    </row>
    <row r="4117" spans="2:19" ht="11.4" customHeight="1" x14ac:dyDescent="0.2">
      <c r="B4117" s="24"/>
      <c r="C4117" s="14">
        <v>10557</v>
      </c>
      <c r="D4117" s="18" t="s">
        <v>4307</v>
      </c>
      <c r="E4117" s="18" t="s">
        <v>3375</v>
      </c>
      <c r="F4117" s="17">
        <v>9</v>
      </c>
      <c r="G4117" s="18" t="s">
        <v>23</v>
      </c>
      <c r="H4117" s="17">
        <v>198.5</v>
      </c>
      <c r="I4117" s="15">
        <v>239.9</v>
      </c>
      <c r="J4117" s="21">
        <f t="shared" si="192"/>
        <v>0.20856423173803529</v>
      </c>
      <c r="K4117" s="1">
        <v>2</v>
      </c>
      <c r="L4117" s="24">
        <v>23.9</v>
      </c>
      <c r="M4117" s="24">
        <v>215.91</v>
      </c>
      <c r="N4117" s="21">
        <f t="shared" si="193"/>
        <v>8.7707808564231715E-2</v>
      </c>
      <c r="P4117" s="1">
        <v>4</v>
      </c>
      <c r="Q4117" s="24">
        <v>28.788000000000011</v>
      </c>
      <c r="R4117" s="24">
        <v>211.11199999999999</v>
      </c>
      <c r="S4117" s="21">
        <f t="shared" si="194"/>
        <v>6.3536523929471012E-2</v>
      </c>
    </row>
    <row r="4118" spans="2:19" ht="11.4" customHeight="1" x14ac:dyDescent="0.2">
      <c r="B4118" s="24"/>
      <c r="C4118" s="14">
        <v>7152</v>
      </c>
      <c r="D4118" s="18" t="s">
        <v>4308</v>
      </c>
      <c r="E4118" s="18" t="s">
        <v>3375</v>
      </c>
      <c r="F4118" s="17">
        <v>14</v>
      </c>
      <c r="G4118" s="18" t="s">
        <v>23</v>
      </c>
      <c r="H4118" s="17">
        <v>98.7</v>
      </c>
      <c r="I4118" s="15">
        <v>112.3</v>
      </c>
      <c r="J4118" s="21">
        <f t="shared" si="192"/>
        <v>0.13779128672745689</v>
      </c>
      <c r="K4118" s="1">
        <v>2</v>
      </c>
      <c r="L4118" s="24">
        <v>11.2</v>
      </c>
      <c r="M4118" s="24">
        <v>101.07</v>
      </c>
      <c r="N4118" s="21">
        <f t="shared" si="193"/>
        <v>2.4012158054711148E-2</v>
      </c>
      <c r="P4118" s="1">
        <v>4</v>
      </c>
      <c r="Q4118" s="24">
        <v>13.475999999999999</v>
      </c>
      <c r="R4118" s="24">
        <v>98.823999999999998</v>
      </c>
      <c r="S4118" s="21">
        <f t="shared" si="194"/>
        <v>1.256332320162059E-3</v>
      </c>
    </row>
    <row r="4119" spans="2:19" ht="11.4" customHeight="1" x14ac:dyDescent="0.2">
      <c r="B4119" s="24"/>
      <c r="C4119" s="14">
        <v>2896</v>
      </c>
      <c r="D4119" s="18" t="s">
        <v>4309</v>
      </c>
      <c r="E4119" s="18" t="s">
        <v>3375</v>
      </c>
      <c r="F4119" s="17">
        <v>6</v>
      </c>
      <c r="G4119" s="18" t="s">
        <v>23</v>
      </c>
      <c r="H4119" s="17">
        <v>151.97</v>
      </c>
      <c r="I4119" s="15">
        <v>204.9</v>
      </c>
      <c r="J4119" s="21">
        <f t="shared" si="192"/>
        <v>0.34829242613673755</v>
      </c>
      <c r="K4119" s="1">
        <v>2</v>
      </c>
      <c r="L4119" s="24">
        <v>20.399999999999999</v>
      </c>
      <c r="M4119" s="24">
        <v>184.41</v>
      </c>
      <c r="N4119" s="21">
        <f t="shared" si="193"/>
        <v>0.21346318352306376</v>
      </c>
      <c r="P4119" s="1">
        <v>4</v>
      </c>
      <c r="Q4119" s="24">
        <v>24.587999999999994</v>
      </c>
      <c r="R4119" s="24">
        <v>180.31200000000001</v>
      </c>
      <c r="S4119" s="21">
        <f t="shared" si="194"/>
        <v>0.18649733500032911</v>
      </c>
    </row>
    <row r="4120" spans="2:19" ht="11.4" customHeight="1" x14ac:dyDescent="0.2">
      <c r="B4120" s="24"/>
      <c r="C4120" s="14">
        <v>2897</v>
      </c>
      <c r="D4120" s="18" t="s">
        <v>4310</v>
      </c>
      <c r="E4120" s="18" t="s">
        <v>3371</v>
      </c>
      <c r="F4120" s="18"/>
      <c r="G4120" s="18" t="s">
        <v>902</v>
      </c>
      <c r="H4120" s="17">
        <v>355.4</v>
      </c>
      <c r="I4120" s="15">
        <v>622.9</v>
      </c>
      <c r="J4120" s="21">
        <f t="shared" si="192"/>
        <v>0.75267304445694994</v>
      </c>
      <c r="K4120" s="1">
        <v>2</v>
      </c>
      <c r="L4120" s="24">
        <v>62.2</v>
      </c>
      <c r="M4120" s="24">
        <v>560.61</v>
      </c>
      <c r="N4120" s="21">
        <f t="shared" si="193"/>
        <v>0.57740574001125511</v>
      </c>
      <c r="P4120" s="1">
        <v>6</v>
      </c>
      <c r="Q4120" s="24">
        <v>93.435000000000059</v>
      </c>
      <c r="R4120" s="24">
        <v>529.46499999999992</v>
      </c>
      <c r="S4120" s="21">
        <f t="shared" si="194"/>
        <v>0.48977208778840731</v>
      </c>
    </row>
    <row r="4121" spans="2:19" ht="11.4" customHeight="1" x14ac:dyDescent="0.2">
      <c r="B4121" s="24"/>
      <c r="C4121" s="14">
        <v>7036</v>
      </c>
      <c r="D4121" s="18" t="s">
        <v>4311</v>
      </c>
      <c r="E4121" s="18" t="s">
        <v>4263</v>
      </c>
      <c r="F4121" s="18"/>
      <c r="G4121" s="18" t="s">
        <v>902</v>
      </c>
      <c r="H4121" s="17">
        <v>245</v>
      </c>
      <c r="I4121" s="15">
        <v>323</v>
      </c>
      <c r="J4121" s="21">
        <f t="shared" si="192"/>
        <v>0.3183673469387755</v>
      </c>
      <c r="K4121" s="1">
        <v>2</v>
      </c>
      <c r="L4121" s="24">
        <v>32.299999999999997</v>
      </c>
      <c r="M4121" s="24">
        <v>290.7</v>
      </c>
      <c r="N4121" s="21">
        <f t="shared" si="193"/>
        <v>0.18653061224489792</v>
      </c>
      <c r="P4121" s="1">
        <v>6</v>
      </c>
      <c r="Q4121" s="24">
        <v>48.449999999999989</v>
      </c>
      <c r="R4121" s="24">
        <v>274.55</v>
      </c>
      <c r="S4121" s="21">
        <f t="shared" si="194"/>
        <v>0.12061224489795923</v>
      </c>
    </row>
    <row r="4122" spans="2:19" ht="11.4" customHeight="1" x14ac:dyDescent="0.2">
      <c r="B4122" s="24"/>
      <c r="C4122" s="14">
        <v>39122</v>
      </c>
      <c r="D4122" s="18" t="s">
        <v>4312</v>
      </c>
      <c r="E4122" s="18" t="s">
        <v>3371</v>
      </c>
      <c r="F4122" s="17">
        <v>3</v>
      </c>
      <c r="G4122" s="18" t="s">
        <v>902</v>
      </c>
      <c r="H4122" s="17">
        <v>155</v>
      </c>
      <c r="I4122" s="15">
        <v>209.9</v>
      </c>
      <c r="J4122" s="21">
        <f t="shared" si="192"/>
        <v>0.35419354838709682</v>
      </c>
      <c r="K4122" s="1">
        <v>2</v>
      </c>
      <c r="L4122" s="24">
        <v>20.9</v>
      </c>
      <c r="M4122" s="24">
        <v>188.91</v>
      </c>
      <c r="N4122" s="21">
        <f t="shared" si="193"/>
        <v>0.21877419354838706</v>
      </c>
      <c r="P4122" s="1">
        <v>6</v>
      </c>
      <c r="Q4122" s="24">
        <v>31.485000000000014</v>
      </c>
      <c r="R4122" s="24">
        <v>178.41499999999999</v>
      </c>
      <c r="S4122" s="21">
        <f t="shared" si="194"/>
        <v>0.15106451612903221</v>
      </c>
    </row>
    <row r="4123" spans="2:19" ht="11.4" customHeight="1" x14ac:dyDescent="0.2">
      <c r="B4123" s="24"/>
      <c r="C4123" s="14">
        <v>39123</v>
      </c>
      <c r="D4123" s="18" t="s">
        <v>4313</v>
      </c>
      <c r="E4123" s="18" t="s">
        <v>3371</v>
      </c>
      <c r="F4123" s="17">
        <v>3</v>
      </c>
      <c r="G4123" s="18" t="s">
        <v>902</v>
      </c>
      <c r="H4123" s="17">
        <v>185</v>
      </c>
      <c r="I4123" s="15">
        <v>209.9</v>
      </c>
      <c r="J4123" s="21">
        <f t="shared" si="192"/>
        <v>0.13459459459459464</v>
      </c>
      <c r="K4123" s="1">
        <v>2</v>
      </c>
      <c r="L4123" s="24">
        <v>20.9</v>
      </c>
      <c r="M4123" s="24">
        <v>188.91</v>
      </c>
      <c r="N4123" s="21">
        <f t="shared" si="193"/>
        <v>2.1135135135135118E-2</v>
      </c>
      <c r="P4123" s="1">
        <v>6</v>
      </c>
      <c r="Q4123" s="24">
        <v>31.485000000000014</v>
      </c>
      <c r="R4123" s="24">
        <v>178.41499999999999</v>
      </c>
      <c r="S4123" s="21">
        <f t="shared" si="194"/>
        <v>-3.5594594594594638E-2</v>
      </c>
    </row>
    <row r="4124" spans="2:19" ht="11.4" customHeight="1" x14ac:dyDescent="0.2">
      <c r="B4124" s="24"/>
      <c r="C4124" s="14">
        <v>46239</v>
      </c>
      <c r="D4124" s="18" t="s">
        <v>4314</v>
      </c>
      <c r="E4124" s="18" t="s">
        <v>3371</v>
      </c>
      <c r="F4124" s="17">
        <v>2</v>
      </c>
      <c r="G4124" s="18" t="s">
        <v>902</v>
      </c>
      <c r="H4124" s="17">
        <v>114.5</v>
      </c>
      <c r="I4124" s="15">
        <v>179.9</v>
      </c>
      <c r="J4124" s="21">
        <f t="shared" si="192"/>
        <v>0.57117903930131009</v>
      </c>
      <c r="K4124" s="1">
        <v>2</v>
      </c>
      <c r="L4124" s="24">
        <v>17.899999999999999</v>
      </c>
      <c r="M4124" s="24">
        <v>161.91</v>
      </c>
      <c r="N4124" s="21">
        <f t="shared" si="193"/>
        <v>0.414061135371179</v>
      </c>
      <c r="P4124" s="1">
        <v>6</v>
      </c>
      <c r="Q4124" s="24">
        <v>26.985000000000014</v>
      </c>
      <c r="R4124" s="24">
        <v>152.91499999999999</v>
      </c>
      <c r="S4124" s="21">
        <f t="shared" si="194"/>
        <v>0.33550218340611349</v>
      </c>
    </row>
    <row r="4125" spans="2:19" ht="11.4" customHeight="1" x14ac:dyDescent="0.2">
      <c r="B4125" s="24"/>
      <c r="C4125" s="14">
        <v>41901</v>
      </c>
      <c r="D4125" s="18" t="s">
        <v>4315</v>
      </c>
      <c r="E4125" s="18" t="s">
        <v>3371</v>
      </c>
      <c r="F4125" s="17">
        <v>2</v>
      </c>
      <c r="G4125" s="18" t="s">
        <v>902</v>
      </c>
      <c r="H4125" s="17">
        <v>225</v>
      </c>
      <c r="I4125" s="15">
        <v>314.89999999999998</v>
      </c>
      <c r="J4125" s="21">
        <f t="shared" si="192"/>
        <v>0.39955555555555544</v>
      </c>
      <c r="K4125" s="1">
        <v>2</v>
      </c>
      <c r="L4125" s="24">
        <v>31.4</v>
      </c>
      <c r="M4125" s="24">
        <v>283.40999999999997</v>
      </c>
      <c r="N4125" s="21">
        <f t="shared" si="193"/>
        <v>0.25959999999999983</v>
      </c>
      <c r="P4125" s="1">
        <v>6</v>
      </c>
      <c r="Q4125" s="24">
        <v>47.235000000000014</v>
      </c>
      <c r="R4125" s="24">
        <v>267.66499999999996</v>
      </c>
      <c r="S4125" s="21">
        <f t="shared" si="194"/>
        <v>0.18962222222222205</v>
      </c>
    </row>
    <row r="4126" spans="2:19" ht="11.4" customHeight="1" x14ac:dyDescent="0.2">
      <c r="B4126" s="24"/>
      <c r="C4126" s="14">
        <v>34000</v>
      </c>
      <c r="D4126" s="18" t="s">
        <v>4316</v>
      </c>
      <c r="E4126" s="18" t="s">
        <v>3371</v>
      </c>
      <c r="F4126" s="17">
        <v>2.5</v>
      </c>
      <c r="G4126" s="18" t="s">
        <v>902</v>
      </c>
      <c r="H4126" s="17">
        <v>395.9</v>
      </c>
      <c r="I4126" s="15">
        <v>554.5</v>
      </c>
      <c r="J4126" s="21">
        <f t="shared" si="192"/>
        <v>0.4006062136903259</v>
      </c>
      <c r="K4126" s="1">
        <v>2</v>
      </c>
      <c r="L4126" s="24">
        <v>55.4</v>
      </c>
      <c r="M4126" s="24">
        <v>499.05</v>
      </c>
      <c r="N4126" s="21">
        <f t="shared" si="193"/>
        <v>0.26054559232129337</v>
      </c>
      <c r="P4126" s="1">
        <v>6</v>
      </c>
      <c r="Q4126" s="24">
        <v>83.175000000000011</v>
      </c>
      <c r="R4126" s="24">
        <v>471.32499999999999</v>
      </c>
      <c r="S4126" s="21">
        <f t="shared" si="194"/>
        <v>0.190515281636777</v>
      </c>
    </row>
    <row r="4127" spans="2:19" ht="11.4" customHeight="1" x14ac:dyDescent="0.2">
      <c r="B4127" s="24"/>
      <c r="C4127" s="14">
        <v>45800</v>
      </c>
      <c r="D4127" s="18" t="s">
        <v>4317</v>
      </c>
      <c r="E4127" s="18" t="s">
        <v>3375</v>
      </c>
      <c r="F4127" s="17">
        <v>9</v>
      </c>
      <c r="G4127" s="18" t="s">
        <v>23</v>
      </c>
      <c r="H4127" s="18"/>
      <c r="I4127" s="15">
        <v>151.69999999999999</v>
      </c>
      <c r="J4127" s="21" t="e">
        <f t="shared" si="192"/>
        <v>#DIV/0!</v>
      </c>
      <c r="K4127" s="1">
        <v>2</v>
      </c>
      <c r="L4127" s="24">
        <v>15.1</v>
      </c>
      <c r="M4127" s="24">
        <v>136.53</v>
      </c>
      <c r="N4127" s="21" t="e">
        <f t="shared" si="193"/>
        <v>#DIV/0!</v>
      </c>
      <c r="P4127" s="1">
        <v>4</v>
      </c>
      <c r="Q4127" s="24">
        <v>18.204000000000008</v>
      </c>
      <c r="R4127" s="24">
        <v>133.49599999999998</v>
      </c>
      <c r="S4127" s="21" t="e">
        <f t="shared" si="194"/>
        <v>#DIV/0!</v>
      </c>
    </row>
    <row r="4128" spans="2:19" ht="11.4" customHeight="1" x14ac:dyDescent="0.2">
      <c r="B4128" s="24"/>
      <c r="C4128" s="14">
        <v>6221</v>
      </c>
      <c r="D4128" s="18" t="s">
        <v>4318</v>
      </c>
      <c r="E4128" s="18" t="s">
        <v>3371</v>
      </c>
      <c r="F4128" s="18"/>
      <c r="G4128" s="18" t="s">
        <v>902</v>
      </c>
      <c r="H4128" s="17">
        <v>143.9</v>
      </c>
      <c r="I4128" s="15">
        <v>163.9</v>
      </c>
      <c r="J4128" s="21">
        <f t="shared" si="192"/>
        <v>0.13898540653231412</v>
      </c>
      <c r="K4128" s="1">
        <v>2</v>
      </c>
      <c r="L4128" s="24">
        <v>16.3</v>
      </c>
      <c r="M4128" s="24">
        <v>147.51000000000002</v>
      </c>
      <c r="N4128" s="21">
        <f t="shared" si="193"/>
        <v>2.5086865879082789E-2</v>
      </c>
      <c r="P4128" s="1">
        <v>6</v>
      </c>
      <c r="Q4128" s="24">
        <v>24.585000000000008</v>
      </c>
      <c r="R4128" s="24">
        <v>139.315</v>
      </c>
      <c r="S4128" s="21">
        <f t="shared" si="194"/>
        <v>-3.1862404447533063E-2</v>
      </c>
    </row>
    <row r="4129" spans="2:19" ht="11.4" customHeight="1" x14ac:dyDescent="0.2">
      <c r="B4129" s="24"/>
      <c r="C4129" s="14">
        <v>10561</v>
      </c>
      <c r="D4129" s="18" t="s">
        <v>4319</v>
      </c>
      <c r="E4129" s="18" t="s">
        <v>3371</v>
      </c>
      <c r="F4129" s="17">
        <v>2</v>
      </c>
      <c r="G4129" s="18" t="s">
        <v>902</v>
      </c>
      <c r="H4129" s="17">
        <v>205.79</v>
      </c>
      <c r="I4129" s="15">
        <v>266.89999999999998</v>
      </c>
      <c r="J4129" s="21">
        <f t="shared" si="192"/>
        <v>0.29695320472326153</v>
      </c>
      <c r="K4129" s="1">
        <v>2</v>
      </c>
      <c r="L4129" s="24">
        <v>26.6</v>
      </c>
      <c r="M4129" s="24">
        <v>240.20999999999998</v>
      </c>
      <c r="N4129" s="21">
        <f t="shared" si="193"/>
        <v>0.16725788425093538</v>
      </c>
      <c r="P4129" s="1">
        <v>6</v>
      </c>
      <c r="Q4129" s="24">
        <v>40.034999999999997</v>
      </c>
      <c r="R4129" s="24">
        <v>226.86499999999998</v>
      </c>
      <c r="S4129" s="21">
        <f t="shared" si="194"/>
        <v>0.10241022401477229</v>
      </c>
    </row>
    <row r="4130" spans="2:19" ht="11.4" customHeight="1" x14ac:dyDescent="0.2">
      <c r="B4130" s="24"/>
      <c r="C4130" s="14">
        <v>33546</v>
      </c>
      <c r="D4130" s="18" t="s">
        <v>4320</v>
      </c>
      <c r="E4130" s="18" t="s">
        <v>3371</v>
      </c>
      <c r="F4130" s="18"/>
      <c r="G4130" s="18" t="s">
        <v>902</v>
      </c>
      <c r="H4130" s="17">
        <v>267.60000000000002</v>
      </c>
      <c r="I4130" s="15">
        <v>256</v>
      </c>
      <c r="J4130" s="21">
        <f t="shared" si="192"/>
        <v>-4.334828101644253E-2</v>
      </c>
      <c r="K4130" s="1">
        <v>2</v>
      </c>
      <c r="L4130" s="24">
        <v>25.6</v>
      </c>
      <c r="M4130" s="24">
        <v>230.4</v>
      </c>
      <c r="N4130" s="21">
        <f t="shared" si="193"/>
        <v>-0.13901345291479825</v>
      </c>
      <c r="P4130" s="1">
        <v>6</v>
      </c>
      <c r="Q4130" s="24">
        <v>38.400000000000006</v>
      </c>
      <c r="R4130" s="24">
        <v>217.6</v>
      </c>
      <c r="S4130" s="21">
        <f t="shared" si="194"/>
        <v>-0.18684603886397616</v>
      </c>
    </row>
    <row r="4131" spans="2:19" ht="11.4" customHeight="1" x14ac:dyDescent="0.2">
      <c r="B4131" s="24"/>
      <c r="C4131" s="14">
        <v>36447</v>
      </c>
      <c r="D4131" s="18" t="s">
        <v>4321</v>
      </c>
      <c r="E4131" s="18" t="s">
        <v>3371</v>
      </c>
      <c r="F4131" s="18"/>
      <c r="G4131" s="18" t="s">
        <v>902</v>
      </c>
      <c r="H4131" s="17">
        <v>162.4</v>
      </c>
      <c r="I4131" s="15">
        <v>196.9</v>
      </c>
      <c r="J4131" s="21">
        <f t="shared" si="192"/>
        <v>0.2124384236453202</v>
      </c>
      <c r="K4131" s="1">
        <v>2</v>
      </c>
      <c r="L4131" s="24">
        <v>19.600000000000001</v>
      </c>
      <c r="M4131" s="24">
        <v>177.21</v>
      </c>
      <c r="N4131" s="21">
        <f t="shared" si="193"/>
        <v>9.1194581280788195E-2</v>
      </c>
      <c r="P4131" s="1">
        <v>6</v>
      </c>
      <c r="Q4131" s="24">
        <v>29.534999999999997</v>
      </c>
      <c r="R4131" s="24">
        <v>167.36500000000001</v>
      </c>
      <c r="S4131" s="21">
        <f t="shared" si="194"/>
        <v>3.0572660098522188E-2</v>
      </c>
    </row>
    <row r="4132" spans="2:19" ht="11.4" customHeight="1" x14ac:dyDescent="0.2">
      <c r="B4132" s="24"/>
      <c r="C4132" s="14">
        <v>11244</v>
      </c>
      <c r="D4132" s="18" t="s">
        <v>4322</v>
      </c>
      <c r="E4132" s="18" t="s">
        <v>3324</v>
      </c>
      <c r="F4132" s="17">
        <v>24</v>
      </c>
      <c r="G4132" s="18" t="s">
        <v>23</v>
      </c>
      <c r="H4132" s="17">
        <v>6.65</v>
      </c>
      <c r="I4132" s="15">
        <v>10.5</v>
      </c>
      <c r="J4132" s="21">
        <f t="shared" si="192"/>
        <v>0.57894736842105254</v>
      </c>
      <c r="K4132" s="1">
        <v>2</v>
      </c>
      <c r="L4132" s="24">
        <v>1</v>
      </c>
      <c r="M4132" s="24">
        <v>9.4500000000000011</v>
      </c>
      <c r="N4132" s="21">
        <f t="shared" si="193"/>
        <v>0.42105263157894746</v>
      </c>
      <c r="P4132" s="1">
        <v>4</v>
      </c>
      <c r="Q4132" s="24">
        <v>1.2599999999999998</v>
      </c>
      <c r="R4132" s="24">
        <v>9.24</v>
      </c>
      <c r="S4132" s="21">
        <f t="shared" si="194"/>
        <v>0.38947368421052625</v>
      </c>
    </row>
    <row r="4133" spans="2:19" ht="11.4" customHeight="1" x14ac:dyDescent="0.2">
      <c r="B4133" s="24"/>
      <c r="C4133" s="14">
        <v>11243</v>
      </c>
      <c r="D4133" s="18" t="s">
        <v>4323</v>
      </c>
      <c r="E4133" s="18" t="s">
        <v>3324</v>
      </c>
      <c r="F4133" s="17">
        <v>24</v>
      </c>
      <c r="G4133" s="18" t="s">
        <v>23</v>
      </c>
      <c r="H4133" s="17">
        <v>7.4</v>
      </c>
      <c r="I4133" s="15">
        <v>9.5</v>
      </c>
      <c r="J4133" s="21">
        <f t="shared" si="192"/>
        <v>0.28378378378378372</v>
      </c>
      <c r="K4133" s="1">
        <v>2</v>
      </c>
      <c r="L4133" s="24">
        <v>0.9</v>
      </c>
      <c r="M4133" s="24">
        <v>8.5500000000000007</v>
      </c>
      <c r="N4133" s="21">
        <f t="shared" si="193"/>
        <v>0.15540540540540546</v>
      </c>
      <c r="P4133" s="1">
        <v>4</v>
      </c>
      <c r="Q4133" s="24">
        <v>1.1400000000000006</v>
      </c>
      <c r="R4133" s="24">
        <v>8.36</v>
      </c>
      <c r="S4133" s="21">
        <f t="shared" si="194"/>
        <v>0.1297297297297296</v>
      </c>
    </row>
    <row r="4134" spans="2:19" ht="11.4" customHeight="1" x14ac:dyDescent="0.2">
      <c r="B4134" s="24"/>
      <c r="C4134" s="14">
        <v>33330</v>
      </c>
      <c r="D4134" s="18" t="s">
        <v>4324</v>
      </c>
      <c r="E4134" s="18" t="s">
        <v>3371</v>
      </c>
      <c r="F4134" s="18"/>
      <c r="G4134" s="18" t="s">
        <v>902</v>
      </c>
      <c r="H4134" s="17">
        <v>320.27999999999997</v>
      </c>
      <c r="I4134" s="15">
        <v>319.89999999999998</v>
      </c>
      <c r="J4134" s="21">
        <f t="shared" si="192"/>
        <v>-1.1864618458848366E-3</v>
      </c>
      <c r="K4134" s="1">
        <v>2</v>
      </c>
      <c r="L4134" s="24">
        <v>31.9</v>
      </c>
      <c r="M4134" s="24">
        <v>287.90999999999997</v>
      </c>
      <c r="N4134" s="21">
        <f t="shared" si="193"/>
        <v>-0.10106781566129638</v>
      </c>
      <c r="P4134" s="1">
        <v>6</v>
      </c>
      <c r="Q4134" s="24">
        <v>47.985000000000014</v>
      </c>
      <c r="R4134" s="24">
        <v>271.91499999999996</v>
      </c>
      <c r="S4134" s="21">
        <f t="shared" si="194"/>
        <v>-0.15100849256900217</v>
      </c>
    </row>
    <row r="4135" spans="2:19" ht="11.4" customHeight="1" x14ac:dyDescent="0.2">
      <c r="B4135" s="24"/>
      <c r="C4135" s="14">
        <v>46966</v>
      </c>
      <c r="D4135" s="18" t="s">
        <v>4325</v>
      </c>
      <c r="E4135" s="18" t="s">
        <v>3371</v>
      </c>
      <c r="F4135" s="17">
        <v>1</v>
      </c>
      <c r="G4135" s="18" t="s">
        <v>902</v>
      </c>
      <c r="H4135" s="17">
        <v>177.98</v>
      </c>
      <c r="I4135" s="15">
        <v>272.5</v>
      </c>
      <c r="J4135" s="21">
        <f t="shared" si="192"/>
        <v>0.5310709068434657</v>
      </c>
      <c r="K4135" s="1">
        <v>2</v>
      </c>
      <c r="L4135" s="24">
        <v>27.2</v>
      </c>
      <c r="M4135" s="24">
        <v>245.25</v>
      </c>
      <c r="N4135" s="21">
        <f t="shared" si="193"/>
        <v>0.37796381615911906</v>
      </c>
      <c r="P4135" s="1">
        <v>6</v>
      </c>
      <c r="Q4135" s="24">
        <v>40.875</v>
      </c>
      <c r="R4135" s="24">
        <v>231.625</v>
      </c>
      <c r="S4135" s="21">
        <f t="shared" si="194"/>
        <v>0.30141027081694582</v>
      </c>
    </row>
    <row r="4136" spans="2:19" ht="11.4" customHeight="1" x14ac:dyDescent="0.2">
      <c r="B4136" s="24"/>
      <c r="C4136" s="14">
        <v>19911</v>
      </c>
      <c r="D4136" s="18" t="s">
        <v>4326</v>
      </c>
      <c r="E4136" s="18" t="s">
        <v>3371</v>
      </c>
      <c r="F4136" s="18"/>
      <c r="G4136" s="18" t="s">
        <v>902</v>
      </c>
      <c r="H4136" s="17">
        <v>179.55</v>
      </c>
      <c r="I4136" s="15">
        <v>243.9</v>
      </c>
      <c r="J4136" s="21">
        <f t="shared" si="192"/>
        <v>0.35839598997493727</v>
      </c>
      <c r="K4136" s="1">
        <v>2</v>
      </c>
      <c r="L4136" s="24">
        <v>24.3</v>
      </c>
      <c r="M4136" s="24">
        <v>219.51000000000002</v>
      </c>
      <c r="N4136" s="21">
        <f t="shared" si="193"/>
        <v>0.22255639097744365</v>
      </c>
      <c r="P4136" s="1">
        <v>6</v>
      </c>
      <c r="Q4136" s="24">
        <v>36.585000000000008</v>
      </c>
      <c r="R4136" s="24">
        <v>207.315</v>
      </c>
      <c r="S4136" s="21">
        <f t="shared" si="194"/>
        <v>0.15463659147869666</v>
      </c>
    </row>
    <row r="4137" spans="2:19" ht="11.4" customHeight="1" x14ac:dyDescent="0.2">
      <c r="B4137" s="24"/>
      <c r="C4137" s="14">
        <v>2900</v>
      </c>
      <c r="D4137" s="18" t="s">
        <v>4327</v>
      </c>
      <c r="E4137" s="18" t="s">
        <v>3371</v>
      </c>
      <c r="F4137" s="17">
        <v>4</v>
      </c>
      <c r="G4137" s="18" t="s">
        <v>902</v>
      </c>
      <c r="H4137" s="17">
        <v>162.5</v>
      </c>
      <c r="I4137" s="15">
        <v>176.9</v>
      </c>
      <c r="J4137" s="21">
        <f t="shared" si="192"/>
        <v>8.8615384615384651E-2</v>
      </c>
      <c r="K4137" s="1">
        <v>2</v>
      </c>
      <c r="L4137" s="24">
        <v>17.600000000000001</v>
      </c>
      <c r="M4137" s="24">
        <v>159.21</v>
      </c>
      <c r="N4137" s="21">
        <f t="shared" si="193"/>
        <v>-2.0246153846153796E-2</v>
      </c>
      <c r="P4137" s="1">
        <v>6</v>
      </c>
      <c r="Q4137" s="24">
        <v>26.534999999999997</v>
      </c>
      <c r="R4137" s="24">
        <v>150.36500000000001</v>
      </c>
      <c r="S4137" s="21">
        <f t="shared" si="194"/>
        <v>-7.4676923076923016E-2</v>
      </c>
    </row>
    <row r="4138" spans="2:19" ht="11.4" customHeight="1" x14ac:dyDescent="0.2">
      <c r="B4138" s="24"/>
      <c r="C4138" s="14">
        <v>2898</v>
      </c>
      <c r="D4138" s="18" t="s">
        <v>4328</v>
      </c>
      <c r="E4138" s="18" t="s">
        <v>3371</v>
      </c>
      <c r="F4138" s="17">
        <v>4</v>
      </c>
      <c r="G4138" s="18" t="s">
        <v>902</v>
      </c>
      <c r="H4138" s="17">
        <v>141.5</v>
      </c>
      <c r="I4138" s="15">
        <v>173</v>
      </c>
      <c r="J4138" s="21">
        <f t="shared" si="192"/>
        <v>0.22261484098939929</v>
      </c>
      <c r="K4138" s="1">
        <v>2</v>
      </c>
      <c r="L4138" s="24">
        <v>17.3</v>
      </c>
      <c r="M4138" s="24">
        <v>155.70000000000002</v>
      </c>
      <c r="N4138" s="21">
        <f t="shared" si="193"/>
        <v>0.10035335689045949</v>
      </c>
      <c r="P4138" s="1">
        <v>6</v>
      </c>
      <c r="Q4138" s="24">
        <v>25.950000000000017</v>
      </c>
      <c r="R4138" s="24">
        <v>147.04999999999998</v>
      </c>
      <c r="S4138" s="21">
        <f t="shared" si="194"/>
        <v>3.9222614840989281E-2</v>
      </c>
    </row>
    <row r="4139" spans="2:19" ht="11.4" customHeight="1" x14ac:dyDescent="0.2">
      <c r="B4139" s="24"/>
      <c r="C4139" s="14">
        <v>7048</v>
      </c>
      <c r="D4139" s="18" t="s">
        <v>4329</v>
      </c>
      <c r="E4139" s="18" t="s">
        <v>3371</v>
      </c>
      <c r="F4139" s="18"/>
      <c r="G4139" s="18" t="s">
        <v>902</v>
      </c>
      <c r="H4139" s="17">
        <v>213.29</v>
      </c>
      <c r="I4139" s="15">
        <v>276.89999999999998</v>
      </c>
      <c r="J4139" s="21">
        <f t="shared" si="192"/>
        <v>0.29823245346711047</v>
      </c>
      <c r="K4139" s="1">
        <v>2</v>
      </c>
      <c r="L4139" s="24">
        <v>27.6</v>
      </c>
      <c r="M4139" s="24">
        <v>249.20999999999998</v>
      </c>
      <c r="N4139" s="21">
        <f t="shared" si="193"/>
        <v>0.16840920812039942</v>
      </c>
      <c r="P4139" s="1">
        <v>6</v>
      </c>
      <c r="Q4139" s="24">
        <v>41.534999999999997</v>
      </c>
      <c r="R4139" s="24">
        <v>235.36499999999998</v>
      </c>
      <c r="S4139" s="21">
        <f t="shared" si="194"/>
        <v>0.10349758544704388</v>
      </c>
    </row>
    <row r="4140" spans="2:19" ht="11.4" customHeight="1" x14ac:dyDescent="0.2">
      <c r="B4140" s="24"/>
      <c r="C4140" s="14">
        <v>37469</v>
      </c>
      <c r="D4140" s="18" t="s">
        <v>4330</v>
      </c>
      <c r="E4140" s="18" t="s">
        <v>3371</v>
      </c>
      <c r="F4140" s="18"/>
      <c r="G4140" s="18" t="s">
        <v>902</v>
      </c>
      <c r="H4140" s="17">
        <v>368.4</v>
      </c>
      <c r="I4140" s="15">
        <v>396.9</v>
      </c>
      <c r="J4140" s="21">
        <f t="shared" si="192"/>
        <v>7.7361563517915316E-2</v>
      </c>
      <c r="K4140" s="1">
        <v>2</v>
      </c>
      <c r="L4140" s="24">
        <v>39.6</v>
      </c>
      <c r="M4140" s="24">
        <v>357.21</v>
      </c>
      <c r="N4140" s="21">
        <f t="shared" si="193"/>
        <v>-3.0374592833876217E-2</v>
      </c>
      <c r="P4140" s="1">
        <v>6</v>
      </c>
      <c r="Q4140" s="24">
        <v>59.535000000000025</v>
      </c>
      <c r="R4140" s="24">
        <v>337.36499999999995</v>
      </c>
      <c r="S4140" s="21">
        <f t="shared" si="194"/>
        <v>-8.4242671009772063E-2</v>
      </c>
    </row>
    <row r="4141" spans="2:19" ht="11.4" customHeight="1" x14ac:dyDescent="0.2">
      <c r="B4141" s="24"/>
      <c r="C4141" s="14">
        <v>47027</v>
      </c>
      <c r="D4141" s="18" t="s">
        <v>4331</v>
      </c>
      <c r="E4141" s="18" t="s">
        <v>3447</v>
      </c>
      <c r="F4141" s="18"/>
      <c r="G4141" s="18" t="s">
        <v>23</v>
      </c>
      <c r="H4141" s="17">
        <v>62.1</v>
      </c>
      <c r="I4141" s="15">
        <v>99.9</v>
      </c>
      <c r="J4141" s="21">
        <f t="shared" si="192"/>
        <v>0.60869565217391308</v>
      </c>
      <c r="K4141" s="1">
        <v>2</v>
      </c>
      <c r="L4141" s="24">
        <v>9.9</v>
      </c>
      <c r="M4141" s="24">
        <v>89.910000000000011</v>
      </c>
      <c r="N4141" s="21">
        <f t="shared" si="193"/>
        <v>0.44782608695652187</v>
      </c>
      <c r="P4141" s="1">
        <v>4</v>
      </c>
      <c r="Q4141" s="24">
        <v>11.988</v>
      </c>
      <c r="R4141" s="24">
        <v>87.912000000000006</v>
      </c>
      <c r="S4141" s="21">
        <f t="shared" si="194"/>
        <v>0.41565217391304354</v>
      </c>
    </row>
    <row r="4142" spans="2:19" ht="11.4" customHeight="1" x14ac:dyDescent="0.2">
      <c r="B4142" s="24"/>
      <c r="C4142" s="14">
        <v>39697</v>
      </c>
      <c r="D4142" s="18" t="s">
        <v>4332</v>
      </c>
      <c r="E4142" s="18" t="s">
        <v>3375</v>
      </c>
      <c r="F4142" s="18"/>
      <c r="G4142" s="18" t="s">
        <v>23</v>
      </c>
      <c r="H4142" s="17">
        <v>117.48</v>
      </c>
      <c r="I4142" s="15">
        <v>154.9</v>
      </c>
      <c r="J4142" s="21">
        <f t="shared" si="192"/>
        <v>0.31852230166836909</v>
      </c>
      <c r="K4142" s="1">
        <v>2</v>
      </c>
      <c r="L4142" s="24">
        <v>15.4</v>
      </c>
      <c r="M4142" s="24">
        <v>139.41</v>
      </c>
      <c r="N4142" s="21">
        <f t="shared" si="193"/>
        <v>0.18667007150153211</v>
      </c>
      <c r="P4142" s="1">
        <v>4</v>
      </c>
      <c r="Q4142" s="24">
        <v>18.587999999999994</v>
      </c>
      <c r="R4142" s="24">
        <v>136.31200000000001</v>
      </c>
      <c r="S4142" s="21">
        <f t="shared" si="194"/>
        <v>0.16029962546816487</v>
      </c>
    </row>
    <row r="4143" spans="2:19" ht="11.4" customHeight="1" x14ac:dyDescent="0.2">
      <c r="B4143" s="24"/>
      <c r="C4143" s="14">
        <v>7981</v>
      </c>
      <c r="D4143" s="18" t="s">
        <v>4333</v>
      </c>
      <c r="E4143" s="18" t="s">
        <v>4118</v>
      </c>
      <c r="F4143" s="17">
        <v>1</v>
      </c>
      <c r="G4143" s="18" t="s">
        <v>23</v>
      </c>
      <c r="H4143" s="17">
        <v>24.81</v>
      </c>
      <c r="I4143" s="15">
        <v>32.9</v>
      </c>
      <c r="J4143" s="21">
        <f t="shared" si="192"/>
        <v>0.32607819427650142</v>
      </c>
      <c r="K4143" s="1">
        <v>2</v>
      </c>
      <c r="L4143" s="24">
        <v>3.2</v>
      </c>
      <c r="M4143" s="24">
        <v>29.61</v>
      </c>
      <c r="N4143" s="21">
        <f t="shared" si="193"/>
        <v>0.1934703748488513</v>
      </c>
      <c r="P4143" s="1">
        <v>4</v>
      </c>
      <c r="Q4143" s="24">
        <v>3.9480000000000004</v>
      </c>
      <c r="R4143" s="24">
        <v>28.951999999999998</v>
      </c>
      <c r="S4143" s="21">
        <f t="shared" si="194"/>
        <v>0.16694881096332123</v>
      </c>
    </row>
    <row r="4144" spans="2:19" ht="11.4" customHeight="1" x14ac:dyDescent="0.2">
      <c r="B4144" s="24"/>
      <c r="C4144" s="14">
        <v>17040</v>
      </c>
      <c r="D4144" s="18" t="s">
        <v>4334</v>
      </c>
      <c r="E4144" s="18" t="s">
        <v>3371</v>
      </c>
      <c r="F4144" s="17">
        <v>7</v>
      </c>
      <c r="G4144" s="18" t="s">
        <v>902</v>
      </c>
      <c r="H4144" s="17">
        <v>158.9</v>
      </c>
      <c r="I4144" s="15">
        <v>189.9</v>
      </c>
      <c r="J4144" s="21">
        <f t="shared" si="192"/>
        <v>0.19509125235997482</v>
      </c>
      <c r="K4144" s="1">
        <v>2</v>
      </c>
      <c r="L4144" s="24">
        <v>18.899999999999999</v>
      </c>
      <c r="M4144" s="24">
        <v>170.91</v>
      </c>
      <c r="N4144" s="21">
        <f t="shared" si="193"/>
        <v>7.5582127123977286E-2</v>
      </c>
      <c r="P4144" s="1">
        <v>6</v>
      </c>
      <c r="Q4144" s="24">
        <v>28.485000000000014</v>
      </c>
      <c r="R4144" s="24">
        <v>161.41499999999999</v>
      </c>
      <c r="S4144" s="21">
        <f t="shared" si="194"/>
        <v>1.5827564505978515E-2</v>
      </c>
    </row>
    <row r="4145" spans="2:19" ht="11.4" customHeight="1" x14ac:dyDescent="0.2">
      <c r="B4145" s="24"/>
      <c r="C4145" s="14">
        <v>15982</v>
      </c>
      <c r="D4145" s="18" t="s">
        <v>4335</v>
      </c>
      <c r="E4145" s="18" t="s">
        <v>3375</v>
      </c>
      <c r="F4145" s="18"/>
      <c r="G4145" s="18" t="s">
        <v>23</v>
      </c>
      <c r="H4145" s="17">
        <v>254.45</v>
      </c>
      <c r="I4145" s="15">
        <v>345.9</v>
      </c>
      <c r="J4145" s="21">
        <f t="shared" si="192"/>
        <v>0.35940263313028098</v>
      </c>
      <c r="K4145" s="1">
        <v>2</v>
      </c>
      <c r="L4145" s="24">
        <v>34.5</v>
      </c>
      <c r="M4145" s="24">
        <v>311.31</v>
      </c>
      <c r="N4145" s="21">
        <f t="shared" si="193"/>
        <v>0.22346236981725295</v>
      </c>
      <c r="P4145" s="1">
        <v>4</v>
      </c>
      <c r="Q4145" s="24">
        <v>41.507999999999981</v>
      </c>
      <c r="R4145" s="24">
        <v>304.392</v>
      </c>
      <c r="S4145" s="21">
        <f t="shared" si="194"/>
        <v>0.19627431715464733</v>
      </c>
    </row>
    <row r="4146" spans="2:19" ht="11.4" customHeight="1" x14ac:dyDescent="0.2">
      <c r="B4146" s="24"/>
      <c r="C4146" s="14">
        <v>33665</v>
      </c>
      <c r="D4146" s="18" t="s">
        <v>4336</v>
      </c>
      <c r="E4146" s="18" t="s">
        <v>3554</v>
      </c>
      <c r="F4146" s="17">
        <v>22</v>
      </c>
      <c r="G4146" s="18" t="s">
        <v>23</v>
      </c>
      <c r="H4146" s="17">
        <v>33.5</v>
      </c>
      <c r="I4146" s="15">
        <v>34.5</v>
      </c>
      <c r="J4146" s="21">
        <f t="shared" si="192"/>
        <v>2.9850746268656716E-2</v>
      </c>
      <c r="K4146" s="1">
        <v>2</v>
      </c>
      <c r="L4146" s="24">
        <v>3.4</v>
      </c>
      <c r="M4146" s="24">
        <v>31.05</v>
      </c>
      <c r="N4146" s="21">
        <f t="shared" si="193"/>
        <v>-7.3134328358208933E-2</v>
      </c>
      <c r="P4146" s="1">
        <v>4</v>
      </c>
      <c r="Q4146" s="24">
        <v>4.1400000000000006</v>
      </c>
      <c r="R4146" s="24">
        <v>30.36</v>
      </c>
      <c r="S4146" s="21">
        <f t="shared" si="194"/>
        <v>-9.3731343283582111E-2</v>
      </c>
    </row>
    <row r="4147" spans="2:19" ht="11.4" customHeight="1" x14ac:dyDescent="0.2">
      <c r="B4147" s="24"/>
      <c r="C4147" s="14">
        <v>41063</v>
      </c>
      <c r="D4147" s="18" t="s">
        <v>4337</v>
      </c>
      <c r="E4147" s="18" t="s">
        <v>3554</v>
      </c>
      <c r="F4147" s="17">
        <v>22</v>
      </c>
      <c r="G4147" s="18" t="s">
        <v>23</v>
      </c>
      <c r="H4147" s="17">
        <v>15.92</v>
      </c>
      <c r="I4147" s="15">
        <v>34.5</v>
      </c>
      <c r="J4147" s="21">
        <f t="shared" si="192"/>
        <v>1.1670854271356783</v>
      </c>
      <c r="K4147" s="1">
        <v>2</v>
      </c>
      <c r="L4147" s="24">
        <v>3.4</v>
      </c>
      <c r="M4147" s="24">
        <v>31.05</v>
      </c>
      <c r="N4147" s="21">
        <f t="shared" si="193"/>
        <v>0.95037688442211066</v>
      </c>
      <c r="P4147" s="1">
        <v>4</v>
      </c>
      <c r="Q4147" s="24">
        <v>4.1400000000000006</v>
      </c>
      <c r="R4147" s="24">
        <v>30.36</v>
      </c>
      <c r="S4147" s="21">
        <f t="shared" si="194"/>
        <v>0.90703517587939697</v>
      </c>
    </row>
    <row r="4148" spans="2:19" ht="11.4" customHeight="1" x14ac:dyDescent="0.2">
      <c r="B4148" s="24"/>
      <c r="C4148" s="14">
        <v>34770</v>
      </c>
      <c r="D4148" s="18" t="s">
        <v>4338</v>
      </c>
      <c r="E4148" s="18" t="s">
        <v>3554</v>
      </c>
      <c r="F4148" s="17">
        <v>12</v>
      </c>
      <c r="G4148" s="18" t="s">
        <v>23</v>
      </c>
      <c r="H4148" s="17">
        <v>53.1</v>
      </c>
      <c r="I4148" s="15">
        <v>56.9</v>
      </c>
      <c r="J4148" s="21">
        <f t="shared" si="192"/>
        <v>7.1563088512240997E-2</v>
      </c>
      <c r="K4148" s="1">
        <v>2</v>
      </c>
      <c r="L4148" s="24">
        <v>5.6</v>
      </c>
      <c r="M4148" s="24">
        <v>51.21</v>
      </c>
      <c r="N4148" s="21">
        <f t="shared" si="193"/>
        <v>-3.5593220338983059E-2</v>
      </c>
      <c r="P4148" s="1">
        <v>4</v>
      </c>
      <c r="Q4148" s="24">
        <v>6.828000000000003</v>
      </c>
      <c r="R4148" s="24">
        <v>50.071999999999996</v>
      </c>
      <c r="S4148" s="21">
        <f t="shared" si="194"/>
        <v>-5.7024482109227982E-2</v>
      </c>
    </row>
    <row r="4149" spans="2:19" ht="11.4" customHeight="1" x14ac:dyDescent="0.2">
      <c r="B4149" s="24"/>
      <c r="C4149" s="14">
        <v>34625</v>
      </c>
      <c r="D4149" s="18" t="s">
        <v>4339</v>
      </c>
      <c r="E4149" s="18" t="s">
        <v>3554</v>
      </c>
      <c r="F4149" s="17">
        <v>22</v>
      </c>
      <c r="G4149" s="18" t="s">
        <v>23</v>
      </c>
      <c r="H4149" s="17">
        <v>33.5</v>
      </c>
      <c r="I4149" s="15">
        <v>34.5</v>
      </c>
      <c r="J4149" s="21">
        <f t="shared" si="192"/>
        <v>2.9850746268656716E-2</v>
      </c>
      <c r="K4149" s="1">
        <v>2</v>
      </c>
      <c r="L4149" s="24">
        <v>3.4</v>
      </c>
      <c r="M4149" s="24">
        <v>31.05</v>
      </c>
      <c r="N4149" s="21">
        <f t="shared" si="193"/>
        <v>-7.3134328358208933E-2</v>
      </c>
      <c r="P4149" s="1">
        <v>4</v>
      </c>
      <c r="Q4149" s="24">
        <v>4.1400000000000006</v>
      </c>
      <c r="R4149" s="24">
        <v>30.36</v>
      </c>
      <c r="S4149" s="21">
        <f t="shared" si="194"/>
        <v>-9.3731343283582111E-2</v>
      </c>
    </row>
    <row r="4150" spans="2:19" ht="11.4" customHeight="1" x14ac:dyDescent="0.2">
      <c r="B4150" s="24"/>
      <c r="C4150" s="14">
        <v>46985</v>
      </c>
      <c r="D4150" s="18" t="s">
        <v>4340</v>
      </c>
      <c r="E4150" s="18" t="s">
        <v>3371</v>
      </c>
      <c r="F4150" s="18"/>
      <c r="G4150" s="18" t="s">
        <v>902</v>
      </c>
      <c r="H4150" s="17">
        <v>152.58000000000001</v>
      </c>
      <c r="I4150" s="15">
        <v>219.9</v>
      </c>
      <c r="J4150" s="21">
        <f t="shared" si="192"/>
        <v>0.441211167911915</v>
      </c>
      <c r="K4150" s="1">
        <v>2</v>
      </c>
      <c r="L4150" s="24">
        <v>21.9</v>
      </c>
      <c r="M4150" s="24">
        <v>197.91</v>
      </c>
      <c r="N4150" s="21">
        <f t="shared" si="193"/>
        <v>0.29709005112072345</v>
      </c>
      <c r="P4150" s="1">
        <v>6</v>
      </c>
      <c r="Q4150" s="24">
        <v>32.985000000000014</v>
      </c>
      <c r="R4150" s="24">
        <v>186.91499999999999</v>
      </c>
      <c r="S4150" s="21">
        <f t="shared" si="194"/>
        <v>0.22502949272512765</v>
      </c>
    </row>
    <row r="4151" spans="2:19" ht="11.4" customHeight="1" x14ac:dyDescent="0.2">
      <c r="B4151" s="24"/>
      <c r="C4151" s="14">
        <v>46958</v>
      </c>
      <c r="D4151" s="18" t="s">
        <v>4341</v>
      </c>
      <c r="E4151" s="18" t="s">
        <v>3371</v>
      </c>
      <c r="F4151" s="18"/>
      <c r="G4151" s="18" t="s">
        <v>902</v>
      </c>
      <c r="H4151" s="17">
        <v>160.19</v>
      </c>
      <c r="I4151" s="15">
        <v>267.5</v>
      </c>
      <c r="J4151" s="21">
        <f t="shared" si="192"/>
        <v>0.66989200324614517</v>
      </c>
      <c r="K4151" s="1">
        <v>2</v>
      </c>
      <c r="L4151" s="24">
        <v>26.7</v>
      </c>
      <c r="M4151" s="24">
        <v>240.75</v>
      </c>
      <c r="N4151" s="21">
        <f t="shared" si="193"/>
        <v>0.50290280292153067</v>
      </c>
      <c r="P4151" s="1">
        <v>6</v>
      </c>
      <c r="Q4151" s="24">
        <v>40.125</v>
      </c>
      <c r="R4151" s="24">
        <v>227.375</v>
      </c>
      <c r="S4151" s="21">
        <f t="shared" si="194"/>
        <v>0.41940820275922347</v>
      </c>
    </row>
    <row r="4152" spans="2:19" ht="11.4" customHeight="1" x14ac:dyDescent="0.2">
      <c r="B4152" s="24"/>
      <c r="C4152" s="14">
        <v>2800</v>
      </c>
      <c r="D4152" s="18" t="s">
        <v>4342</v>
      </c>
      <c r="E4152" s="18" t="s">
        <v>4263</v>
      </c>
      <c r="F4152" s="17">
        <v>10</v>
      </c>
      <c r="G4152" s="18" t="s">
        <v>902</v>
      </c>
      <c r="H4152" s="17">
        <v>129.5</v>
      </c>
      <c r="I4152" s="15">
        <v>139.9</v>
      </c>
      <c r="J4152" s="21">
        <f t="shared" si="192"/>
        <v>8.0308880308880351E-2</v>
      </c>
      <c r="K4152" s="1">
        <v>2</v>
      </c>
      <c r="L4152" s="24">
        <v>13.9</v>
      </c>
      <c r="M4152" s="24">
        <v>125.91000000000001</v>
      </c>
      <c r="N4152" s="21">
        <f t="shared" si="193"/>
        <v>-2.7722007722007638E-2</v>
      </c>
      <c r="P4152" s="1">
        <v>6</v>
      </c>
      <c r="Q4152" s="24">
        <v>20.984999999999999</v>
      </c>
      <c r="R4152" s="24">
        <v>118.91500000000001</v>
      </c>
      <c r="S4152" s="21">
        <f t="shared" si="194"/>
        <v>-8.1737451737451686E-2</v>
      </c>
    </row>
    <row r="4153" spans="2:19" ht="11.4" customHeight="1" x14ac:dyDescent="0.2">
      <c r="B4153" s="24"/>
      <c r="C4153" s="14">
        <v>30495</v>
      </c>
      <c r="D4153" s="18" t="s">
        <v>4343</v>
      </c>
      <c r="E4153" s="18" t="s">
        <v>3554</v>
      </c>
      <c r="F4153" s="17">
        <v>22</v>
      </c>
      <c r="G4153" s="18" t="s">
        <v>23</v>
      </c>
      <c r="H4153" s="17">
        <v>33.5</v>
      </c>
      <c r="I4153" s="15">
        <v>34.5</v>
      </c>
      <c r="J4153" s="21">
        <f t="shared" si="192"/>
        <v>2.9850746268656716E-2</v>
      </c>
      <c r="K4153" s="1">
        <v>2</v>
      </c>
      <c r="L4153" s="24">
        <v>3.4</v>
      </c>
      <c r="M4153" s="24">
        <v>31.05</v>
      </c>
      <c r="N4153" s="21">
        <f t="shared" si="193"/>
        <v>-7.3134328358208933E-2</v>
      </c>
      <c r="P4153" s="1">
        <v>4</v>
      </c>
      <c r="Q4153" s="24">
        <v>4.1400000000000006</v>
      </c>
      <c r="R4153" s="24">
        <v>30.36</v>
      </c>
      <c r="S4153" s="21">
        <f t="shared" si="194"/>
        <v>-9.3731343283582111E-2</v>
      </c>
    </row>
    <row r="4154" spans="2:19" ht="11.4" customHeight="1" x14ac:dyDescent="0.2">
      <c r="B4154" s="24"/>
      <c r="C4154" s="14">
        <v>33667</v>
      </c>
      <c r="D4154" s="18" t="s">
        <v>4344</v>
      </c>
      <c r="E4154" s="18" t="s">
        <v>3554</v>
      </c>
      <c r="F4154" s="17">
        <v>22</v>
      </c>
      <c r="G4154" s="18" t="s">
        <v>23</v>
      </c>
      <c r="H4154" s="17">
        <v>33.5</v>
      </c>
      <c r="I4154" s="15">
        <v>34.5</v>
      </c>
      <c r="J4154" s="21">
        <f t="shared" si="192"/>
        <v>2.9850746268656716E-2</v>
      </c>
      <c r="K4154" s="1">
        <v>2</v>
      </c>
      <c r="L4154" s="24">
        <v>3.4</v>
      </c>
      <c r="M4154" s="24">
        <v>31.05</v>
      </c>
      <c r="N4154" s="21">
        <f t="shared" si="193"/>
        <v>-7.3134328358208933E-2</v>
      </c>
      <c r="P4154" s="1">
        <v>4</v>
      </c>
      <c r="Q4154" s="24">
        <v>4.1400000000000006</v>
      </c>
      <c r="R4154" s="24">
        <v>30.36</v>
      </c>
      <c r="S4154" s="21">
        <f t="shared" si="194"/>
        <v>-9.3731343283582111E-2</v>
      </c>
    </row>
    <row r="4155" spans="2:19" ht="11.4" customHeight="1" x14ac:dyDescent="0.2">
      <c r="B4155" s="24"/>
      <c r="C4155" s="14">
        <v>34895</v>
      </c>
      <c r="D4155" s="18" t="s">
        <v>4345</v>
      </c>
      <c r="E4155" s="18" t="s">
        <v>3554</v>
      </c>
      <c r="F4155" s="17">
        <v>32</v>
      </c>
      <c r="G4155" s="18" t="s">
        <v>23</v>
      </c>
      <c r="H4155" s="17">
        <v>29.6</v>
      </c>
      <c r="I4155" s="15">
        <v>32.700000000000003</v>
      </c>
      <c r="J4155" s="21">
        <f t="shared" si="192"/>
        <v>0.10472972972972977</v>
      </c>
      <c r="K4155" s="1">
        <v>2</v>
      </c>
      <c r="L4155" s="24">
        <v>3.2</v>
      </c>
      <c r="M4155" s="24">
        <v>29.430000000000003</v>
      </c>
      <c r="N4155" s="21">
        <f t="shared" si="193"/>
        <v>-5.7432432432431802E-3</v>
      </c>
      <c r="P4155" s="1">
        <v>4</v>
      </c>
      <c r="Q4155" s="24">
        <v>3.9239999999999995</v>
      </c>
      <c r="R4155" s="24">
        <v>28.776000000000003</v>
      </c>
      <c r="S4155" s="21">
        <f t="shared" si="194"/>
        <v>-2.7837837837837772E-2</v>
      </c>
    </row>
    <row r="4156" spans="2:19" ht="11.4" customHeight="1" x14ac:dyDescent="0.2">
      <c r="B4156" s="24"/>
      <c r="C4156" s="14">
        <v>34889</v>
      </c>
      <c r="D4156" s="18" t="s">
        <v>4346</v>
      </c>
      <c r="E4156" s="18" t="s">
        <v>3554</v>
      </c>
      <c r="F4156" s="17">
        <v>14</v>
      </c>
      <c r="G4156" s="18" t="s">
        <v>23</v>
      </c>
      <c r="H4156" s="17">
        <v>46.3</v>
      </c>
      <c r="I4156" s="15">
        <v>51.5</v>
      </c>
      <c r="J4156" s="21">
        <f t="shared" si="192"/>
        <v>0.11231101511879056</v>
      </c>
      <c r="K4156" s="1">
        <v>2</v>
      </c>
      <c r="L4156" s="24">
        <v>5.0999999999999996</v>
      </c>
      <c r="M4156" s="24">
        <v>46.35</v>
      </c>
      <c r="N4156" s="21">
        <f t="shared" si="193"/>
        <v>1.0799136069115393E-3</v>
      </c>
      <c r="P4156" s="1">
        <v>4</v>
      </c>
      <c r="Q4156" s="24">
        <v>6.18</v>
      </c>
      <c r="R4156" s="24">
        <v>45.32</v>
      </c>
      <c r="S4156" s="21">
        <f t="shared" si="194"/>
        <v>-2.1166306695464297E-2</v>
      </c>
    </row>
    <row r="4157" spans="2:19" ht="11.4" customHeight="1" x14ac:dyDescent="0.2">
      <c r="B4157" s="24"/>
      <c r="C4157" s="14">
        <v>33666</v>
      </c>
      <c r="D4157" s="18" t="s">
        <v>4347</v>
      </c>
      <c r="E4157" s="18" t="s">
        <v>3554</v>
      </c>
      <c r="F4157" s="17">
        <v>22</v>
      </c>
      <c r="G4157" s="18" t="s">
        <v>23</v>
      </c>
      <c r="H4157" s="17">
        <v>33.5</v>
      </c>
      <c r="I4157" s="15">
        <v>34.5</v>
      </c>
      <c r="J4157" s="21">
        <f t="shared" si="192"/>
        <v>2.9850746268656716E-2</v>
      </c>
      <c r="K4157" s="1">
        <v>2</v>
      </c>
      <c r="L4157" s="24">
        <v>3.4</v>
      </c>
      <c r="M4157" s="24">
        <v>31.05</v>
      </c>
      <c r="N4157" s="21">
        <f t="shared" si="193"/>
        <v>-7.3134328358208933E-2</v>
      </c>
      <c r="P4157" s="1">
        <v>4</v>
      </c>
      <c r="Q4157" s="24">
        <v>4.1400000000000006</v>
      </c>
      <c r="R4157" s="24">
        <v>30.36</v>
      </c>
      <c r="S4157" s="21">
        <f t="shared" si="194"/>
        <v>-9.3731343283582111E-2</v>
      </c>
    </row>
    <row r="4158" spans="2:19" ht="11.4" customHeight="1" x14ac:dyDescent="0.2">
      <c r="B4158" s="24"/>
      <c r="C4158" s="14">
        <v>34883</v>
      </c>
      <c r="D4158" s="18" t="s">
        <v>4348</v>
      </c>
      <c r="E4158" s="18" t="s">
        <v>3554</v>
      </c>
      <c r="F4158" s="17">
        <v>22</v>
      </c>
      <c r="G4158" s="18" t="s">
        <v>23</v>
      </c>
      <c r="H4158" s="17">
        <v>44.2</v>
      </c>
      <c r="I4158" s="15">
        <v>53</v>
      </c>
      <c r="J4158" s="21">
        <f t="shared" si="192"/>
        <v>0.19909502262443432</v>
      </c>
      <c r="K4158" s="1">
        <v>2</v>
      </c>
      <c r="L4158" s="24">
        <v>5.3</v>
      </c>
      <c r="M4158" s="24">
        <v>47.7</v>
      </c>
      <c r="N4158" s="21">
        <f t="shared" si="193"/>
        <v>7.9185520361990946E-2</v>
      </c>
      <c r="P4158" s="1">
        <v>4</v>
      </c>
      <c r="Q4158" s="24">
        <v>6.3599999999999994</v>
      </c>
      <c r="R4158" s="24">
        <v>46.64</v>
      </c>
      <c r="S4158" s="21">
        <f t="shared" si="194"/>
        <v>5.5203619909502205E-2</v>
      </c>
    </row>
    <row r="4159" spans="2:19" ht="11.4" customHeight="1" x14ac:dyDescent="0.2">
      <c r="B4159" s="24"/>
      <c r="C4159" s="14">
        <v>34878</v>
      </c>
      <c r="D4159" s="18" t="s">
        <v>4349</v>
      </c>
      <c r="E4159" s="18" t="s">
        <v>3554</v>
      </c>
      <c r="F4159" s="17">
        <v>12</v>
      </c>
      <c r="G4159" s="18" t="s">
        <v>23</v>
      </c>
      <c r="H4159" s="17">
        <v>42.5</v>
      </c>
      <c r="I4159" s="15">
        <v>53</v>
      </c>
      <c r="J4159" s="21">
        <f t="shared" si="192"/>
        <v>0.24705882352941178</v>
      </c>
      <c r="K4159" s="1">
        <v>2</v>
      </c>
      <c r="L4159" s="24">
        <v>5.3</v>
      </c>
      <c r="M4159" s="24">
        <v>47.7</v>
      </c>
      <c r="N4159" s="21">
        <f t="shared" si="193"/>
        <v>0.12235294117647065</v>
      </c>
      <c r="P4159" s="1">
        <v>4</v>
      </c>
      <c r="Q4159" s="24">
        <v>6.3599999999999994</v>
      </c>
      <c r="R4159" s="24">
        <v>46.64</v>
      </c>
      <c r="S4159" s="21">
        <f t="shared" si="194"/>
        <v>9.7411764705882364E-2</v>
      </c>
    </row>
    <row r="4160" spans="2:19" ht="11.4" customHeight="1" x14ac:dyDescent="0.2">
      <c r="B4160" s="24"/>
      <c r="C4160" s="14">
        <v>35010</v>
      </c>
      <c r="D4160" s="18" t="s">
        <v>4350</v>
      </c>
      <c r="E4160" s="18" t="s">
        <v>3554</v>
      </c>
      <c r="F4160" s="17">
        <v>14</v>
      </c>
      <c r="G4160" s="18" t="s">
        <v>23</v>
      </c>
      <c r="H4160" s="17">
        <v>46.3</v>
      </c>
      <c r="I4160" s="15">
        <v>51.5</v>
      </c>
      <c r="J4160" s="21">
        <f t="shared" si="192"/>
        <v>0.11231101511879056</v>
      </c>
      <c r="K4160" s="1">
        <v>2</v>
      </c>
      <c r="L4160" s="24">
        <v>5.0999999999999996</v>
      </c>
      <c r="M4160" s="24">
        <v>46.35</v>
      </c>
      <c r="N4160" s="21">
        <f t="shared" si="193"/>
        <v>1.0799136069115393E-3</v>
      </c>
      <c r="P4160" s="1">
        <v>4</v>
      </c>
      <c r="Q4160" s="24">
        <v>6.18</v>
      </c>
      <c r="R4160" s="24">
        <v>45.32</v>
      </c>
      <c r="S4160" s="21">
        <f t="shared" si="194"/>
        <v>-2.1166306695464297E-2</v>
      </c>
    </row>
    <row r="4161" spans="2:19" ht="11.4" customHeight="1" x14ac:dyDescent="0.2">
      <c r="B4161" s="24"/>
      <c r="C4161" s="14">
        <v>30497</v>
      </c>
      <c r="D4161" s="18" t="s">
        <v>4351</v>
      </c>
      <c r="E4161" s="18" t="s">
        <v>3554</v>
      </c>
      <c r="F4161" s="17">
        <v>22</v>
      </c>
      <c r="G4161" s="18" t="s">
        <v>23</v>
      </c>
      <c r="H4161" s="17">
        <v>33.5</v>
      </c>
      <c r="I4161" s="15">
        <v>34.5</v>
      </c>
      <c r="J4161" s="21">
        <f t="shared" si="192"/>
        <v>2.9850746268656716E-2</v>
      </c>
      <c r="K4161" s="1">
        <v>2</v>
      </c>
      <c r="L4161" s="24">
        <v>3.4</v>
      </c>
      <c r="M4161" s="24">
        <v>31.05</v>
      </c>
      <c r="N4161" s="21">
        <f t="shared" si="193"/>
        <v>-7.3134328358208933E-2</v>
      </c>
      <c r="P4161" s="1">
        <v>4</v>
      </c>
      <c r="Q4161" s="24">
        <v>4.1400000000000006</v>
      </c>
      <c r="R4161" s="24">
        <v>30.36</v>
      </c>
      <c r="S4161" s="21">
        <f t="shared" si="194"/>
        <v>-9.3731343283582111E-2</v>
      </c>
    </row>
    <row r="4162" spans="2:19" ht="11.4" customHeight="1" x14ac:dyDescent="0.2">
      <c r="B4162" s="24"/>
      <c r="C4162" s="14">
        <v>37796</v>
      </c>
      <c r="D4162" s="18" t="s">
        <v>4352</v>
      </c>
      <c r="E4162" s="18" t="s">
        <v>3554</v>
      </c>
      <c r="F4162" s="17">
        <v>22</v>
      </c>
      <c r="G4162" s="18" t="s">
        <v>23</v>
      </c>
      <c r="H4162" s="17">
        <v>18.899999999999999</v>
      </c>
      <c r="I4162" s="15">
        <v>19.899999999999999</v>
      </c>
      <c r="J4162" s="21">
        <f t="shared" si="192"/>
        <v>5.2910052910052914E-2</v>
      </c>
      <c r="K4162" s="1">
        <v>2</v>
      </c>
      <c r="L4162" s="24">
        <v>1.9</v>
      </c>
      <c r="M4162" s="24">
        <v>17.91</v>
      </c>
      <c r="N4162" s="21">
        <f t="shared" si="193"/>
        <v>-5.2380952380952299E-2</v>
      </c>
      <c r="P4162" s="1">
        <v>4</v>
      </c>
      <c r="Q4162" s="24">
        <v>2.3879999999999981</v>
      </c>
      <c r="R4162" s="24">
        <v>17.512</v>
      </c>
      <c r="S4162" s="21">
        <f t="shared" si="194"/>
        <v>-7.3439153439153346E-2</v>
      </c>
    </row>
    <row r="4163" spans="2:19" ht="11.4" customHeight="1" x14ac:dyDescent="0.2">
      <c r="B4163" s="24"/>
      <c r="C4163" s="14">
        <v>8018</v>
      </c>
      <c r="D4163" s="18" t="s">
        <v>4353</v>
      </c>
      <c r="E4163" s="18" t="s">
        <v>4118</v>
      </c>
      <c r="F4163" s="18"/>
      <c r="G4163" s="18" t="s">
        <v>23</v>
      </c>
      <c r="H4163" s="17">
        <v>24.8</v>
      </c>
      <c r="I4163" s="15">
        <v>32.9</v>
      </c>
      <c r="J4163" s="21">
        <f t="shared" ref="J4163:J4226" si="195">(I4163-H4163)/H4163</f>
        <v>0.32661290322580638</v>
      </c>
      <c r="K4163" s="1">
        <v>2</v>
      </c>
      <c r="L4163" s="24">
        <v>3.2</v>
      </c>
      <c r="M4163" s="24">
        <v>29.61</v>
      </c>
      <c r="N4163" s="21">
        <f t="shared" ref="N4163:N4226" si="196">(M4163-H4163)/H4163</f>
        <v>0.19395161290322574</v>
      </c>
      <c r="P4163" s="1">
        <v>4</v>
      </c>
      <c r="Q4163" s="24">
        <v>3.9480000000000004</v>
      </c>
      <c r="R4163" s="24">
        <v>28.951999999999998</v>
      </c>
      <c r="S4163" s="21">
        <f t="shared" ref="S4163:S4226" si="197">(R4163-H4163)/H4163</f>
        <v>0.16741935483870957</v>
      </c>
    </row>
    <row r="4164" spans="2:19" ht="11.4" customHeight="1" x14ac:dyDescent="0.2">
      <c r="B4164" s="24"/>
      <c r="C4164" s="14">
        <v>33669</v>
      </c>
      <c r="D4164" s="18" t="s">
        <v>4354</v>
      </c>
      <c r="E4164" s="18" t="s">
        <v>3554</v>
      </c>
      <c r="F4164" s="17">
        <v>22</v>
      </c>
      <c r="G4164" s="18" t="s">
        <v>23</v>
      </c>
      <c r="H4164" s="17">
        <v>33.5</v>
      </c>
      <c r="I4164" s="15">
        <v>34.5</v>
      </c>
      <c r="J4164" s="21">
        <f t="shared" si="195"/>
        <v>2.9850746268656716E-2</v>
      </c>
      <c r="K4164" s="1">
        <v>2</v>
      </c>
      <c r="L4164" s="24">
        <v>3.4</v>
      </c>
      <c r="M4164" s="24">
        <v>31.05</v>
      </c>
      <c r="N4164" s="21">
        <f t="shared" si="196"/>
        <v>-7.3134328358208933E-2</v>
      </c>
      <c r="P4164" s="1">
        <v>4</v>
      </c>
      <c r="Q4164" s="24">
        <v>4.1400000000000006</v>
      </c>
      <c r="R4164" s="24">
        <v>30.36</v>
      </c>
      <c r="S4164" s="21">
        <f t="shared" si="197"/>
        <v>-9.3731343283582111E-2</v>
      </c>
    </row>
    <row r="4165" spans="2:19" ht="11.4" customHeight="1" x14ac:dyDescent="0.2">
      <c r="B4165" s="24"/>
      <c r="C4165" s="14">
        <v>35007</v>
      </c>
      <c r="D4165" s="18" t="s">
        <v>4355</v>
      </c>
      <c r="E4165" s="18" t="s">
        <v>3554</v>
      </c>
      <c r="F4165" s="17">
        <v>12</v>
      </c>
      <c r="G4165" s="18" t="s">
        <v>23</v>
      </c>
      <c r="H4165" s="17">
        <v>46.6</v>
      </c>
      <c r="I4165" s="15">
        <v>51.5</v>
      </c>
      <c r="J4165" s="21">
        <f t="shared" si="195"/>
        <v>0.10515021459227464</v>
      </c>
      <c r="K4165" s="1">
        <v>2</v>
      </c>
      <c r="L4165" s="24">
        <v>5.0999999999999996</v>
      </c>
      <c r="M4165" s="24">
        <v>46.35</v>
      </c>
      <c r="N4165" s="21">
        <f t="shared" si="196"/>
        <v>-5.3648068669527897E-3</v>
      </c>
      <c r="P4165" s="1">
        <v>4</v>
      </c>
      <c r="Q4165" s="24">
        <v>6.18</v>
      </c>
      <c r="R4165" s="24">
        <v>45.32</v>
      </c>
      <c r="S4165" s="21">
        <f t="shared" si="197"/>
        <v>-2.7467811158798306E-2</v>
      </c>
    </row>
    <row r="4166" spans="2:19" ht="11.4" customHeight="1" x14ac:dyDescent="0.2">
      <c r="B4166" s="24"/>
      <c r="C4166" s="14">
        <v>34877</v>
      </c>
      <c r="D4166" s="18" t="s">
        <v>4356</v>
      </c>
      <c r="E4166" s="18" t="s">
        <v>3554</v>
      </c>
      <c r="F4166" s="17">
        <v>24</v>
      </c>
      <c r="G4166" s="18" t="s">
        <v>23</v>
      </c>
      <c r="H4166" s="17">
        <v>44.2</v>
      </c>
      <c r="I4166" s="15">
        <v>53</v>
      </c>
      <c r="J4166" s="21">
        <f t="shared" si="195"/>
        <v>0.19909502262443432</v>
      </c>
      <c r="K4166" s="1">
        <v>2</v>
      </c>
      <c r="L4166" s="24">
        <v>5.3</v>
      </c>
      <c r="M4166" s="24">
        <v>47.7</v>
      </c>
      <c r="N4166" s="21">
        <f t="shared" si="196"/>
        <v>7.9185520361990946E-2</v>
      </c>
      <c r="P4166" s="1">
        <v>4</v>
      </c>
      <c r="Q4166" s="24">
        <v>6.3599999999999994</v>
      </c>
      <c r="R4166" s="24">
        <v>46.64</v>
      </c>
      <c r="S4166" s="21">
        <f t="shared" si="197"/>
        <v>5.5203619909502205E-2</v>
      </c>
    </row>
    <row r="4167" spans="2:19" ht="11.4" customHeight="1" x14ac:dyDescent="0.2">
      <c r="B4167" s="24"/>
      <c r="C4167" s="14">
        <v>43198</v>
      </c>
      <c r="D4167" s="18" t="s">
        <v>4357</v>
      </c>
      <c r="E4167" s="18" t="s">
        <v>3554</v>
      </c>
      <c r="F4167" s="17">
        <v>22</v>
      </c>
      <c r="G4167" s="18" t="s">
        <v>23</v>
      </c>
      <c r="H4167" s="17">
        <v>25.75</v>
      </c>
      <c r="I4167" s="15">
        <v>34.5</v>
      </c>
      <c r="J4167" s="21">
        <f t="shared" si="195"/>
        <v>0.33980582524271846</v>
      </c>
      <c r="K4167" s="1">
        <v>2</v>
      </c>
      <c r="L4167" s="24">
        <v>3.4</v>
      </c>
      <c r="M4167" s="24">
        <v>31.05</v>
      </c>
      <c r="N4167" s="21">
        <f t="shared" si="196"/>
        <v>0.20582524271844663</v>
      </c>
      <c r="P4167" s="1">
        <v>4</v>
      </c>
      <c r="Q4167" s="24">
        <v>4.1400000000000006</v>
      </c>
      <c r="R4167" s="24">
        <v>30.36</v>
      </c>
      <c r="S4167" s="21">
        <f t="shared" si="197"/>
        <v>0.17902912621359221</v>
      </c>
    </row>
    <row r="4168" spans="2:19" ht="11.4" customHeight="1" x14ac:dyDescent="0.2">
      <c r="B4168" s="24"/>
      <c r="C4168" s="14">
        <v>41061</v>
      </c>
      <c r="D4168" s="18" t="s">
        <v>4358</v>
      </c>
      <c r="E4168" s="18" t="s">
        <v>3554</v>
      </c>
      <c r="F4168" s="17">
        <v>40</v>
      </c>
      <c r="G4168" s="18" t="s">
        <v>23</v>
      </c>
      <c r="H4168" s="17">
        <v>25.75</v>
      </c>
      <c r="I4168" s="15">
        <v>34.5</v>
      </c>
      <c r="J4168" s="21">
        <f t="shared" si="195"/>
        <v>0.33980582524271846</v>
      </c>
      <c r="K4168" s="1">
        <v>2</v>
      </c>
      <c r="L4168" s="24">
        <v>3.4</v>
      </c>
      <c r="M4168" s="24">
        <v>31.05</v>
      </c>
      <c r="N4168" s="21">
        <f t="shared" si="196"/>
        <v>0.20582524271844663</v>
      </c>
      <c r="P4168" s="1">
        <v>4</v>
      </c>
      <c r="Q4168" s="24">
        <v>4.1400000000000006</v>
      </c>
      <c r="R4168" s="24">
        <v>30.36</v>
      </c>
      <c r="S4168" s="21">
        <f t="shared" si="197"/>
        <v>0.17902912621359221</v>
      </c>
    </row>
    <row r="4169" spans="2:19" ht="11.4" customHeight="1" x14ac:dyDescent="0.2">
      <c r="B4169" s="24"/>
      <c r="C4169" s="14">
        <v>34881</v>
      </c>
      <c r="D4169" s="18" t="s">
        <v>4359</v>
      </c>
      <c r="E4169" s="18" t="s">
        <v>3554</v>
      </c>
      <c r="F4169" s="17">
        <v>12</v>
      </c>
      <c r="G4169" s="18" t="s">
        <v>23</v>
      </c>
      <c r="H4169" s="17">
        <v>42.5</v>
      </c>
      <c r="I4169" s="15">
        <v>53</v>
      </c>
      <c r="J4169" s="21">
        <f t="shared" si="195"/>
        <v>0.24705882352941178</v>
      </c>
      <c r="K4169" s="1">
        <v>2</v>
      </c>
      <c r="L4169" s="24">
        <v>5.3</v>
      </c>
      <c r="M4169" s="24">
        <v>47.7</v>
      </c>
      <c r="N4169" s="21">
        <f t="shared" si="196"/>
        <v>0.12235294117647065</v>
      </c>
      <c r="P4169" s="1">
        <v>4</v>
      </c>
      <c r="Q4169" s="24">
        <v>6.3599999999999994</v>
      </c>
      <c r="R4169" s="24">
        <v>46.64</v>
      </c>
      <c r="S4169" s="21">
        <f t="shared" si="197"/>
        <v>9.7411764705882364E-2</v>
      </c>
    </row>
    <row r="4170" spans="2:19" ht="11.4" customHeight="1" x14ac:dyDescent="0.2">
      <c r="B4170" s="24"/>
      <c r="C4170" s="14">
        <v>41060</v>
      </c>
      <c r="D4170" s="18" t="s">
        <v>4360</v>
      </c>
      <c r="E4170" s="18" t="s">
        <v>3554</v>
      </c>
      <c r="F4170" s="17">
        <v>40</v>
      </c>
      <c r="G4170" s="18" t="s">
        <v>23</v>
      </c>
      <c r="H4170" s="17">
        <v>25.75</v>
      </c>
      <c r="I4170" s="15">
        <v>34.5</v>
      </c>
      <c r="J4170" s="21">
        <f t="shared" si="195"/>
        <v>0.33980582524271846</v>
      </c>
      <c r="K4170" s="1">
        <v>2</v>
      </c>
      <c r="L4170" s="24">
        <v>3.4</v>
      </c>
      <c r="M4170" s="24">
        <v>31.05</v>
      </c>
      <c r="N4170" s="21">
        <f t="shared" si="196"/>
        <v>0.20582524271844663</v>
      </c>
      <c r="P4170" s="1">
        <v>4</v>
      </c>
      <c r="Q4170" s="24">
        <v>4.1400000000000006</v>
      </c>
      <c r="R4170" s="24">
        <v>30.36</v>
      </c>
      <c r="S4170" s="21">
        <f t="shared" si="197"/>
        <v>0.17902912621359221</v>
      </c>
    </row>
    <row r="4171" spans="2:19" ht="11.4" customHeight="1" x14ac:dyDescent="0.2">
      <c r="B4171" s="24"/>
      <c r="C4171" s="14">
        <v>33668</v>
      </c>
      <c r="D4171" s="18" t="s">
        <v>4361</v>
      </c>
      <c r="E4171" s="18" t="s">
        <v>3554</v>
      </c>
      <c r="F4171" s="17">
        <v>22</v>
      </c>
      <c r="G4171" s="18" t="s">
        <v>23</v>
      </c>
      <c r="H4171" s="17">
        <v>33.5</v>
      </c>
      <c r="I4171" s="15">
        <v>34.5</v>
      </c>
      <c r="J4171" s="21">
        <f t="shared" si="195"/>
        <v>2.9850746268656716E-2</v>
      </c>
      <c r="K4171" s="1">
        <v>2</v>
      </c>
      <c r="L4171" s="24">
        <v>3.4</v>
      </c>
      <c r="M4171" s="24">
        <v>31.05</v>
      </c>
      <c r="N4171" s="21">
        <f t="shared" si="196"/>
        <v>-7.3134328358208933E-2</v>
      </c>
      <c r="P4171" s="1">
        <v>4</v>
      </c>
      <c r="Q4171" s="24">
        <v>4.1400000000000006</v>
      </c>
      <c r="R4171" s="24">
        <v>30.36</v>
      </c>
      <c r="S4171" s="21">
        <f t="shared" si="197"/>
        <v>-9.3731343283582111E-2</v>
      </c>
    </row>
    <row r="4172" spans="2:19" ht="11.4" customHeight="1" x14ac:dyDescent="0.2">
      <c r="B4172" s="24"/>
      <c r="C4172" s="14">
        <v>34624</v>
      </c>
      <c r="D4172" s="18" t="s">
        <v>4362</v>
      </c>
      <c r="E4172" s="18" t="s">
        <v>3554</v>
      </c>
      <c r="F4172" s="17">
        <v>22</v>
      </c>
      <c r="G4172" s="18" t="s">
        <v>23</v>
      </c>
      <c r="H4172" s="17">
        <v>33.5</v>
      </c>
      <c r="I4172" s="15">
        <v>34.5</v>
      </c>
      <c r="J4172" s="21">
        <f t="shared" si="195"/>
        <v>2.9850746268656716E-2</v>
      </c>
      <c r="K4172" s="1">
        <v>2</v>
      </c>
      <c r="L4172" s="24">
        <v>3.4</v>
      </c>
      <c r="M4172" s="24">
        <v>31.05</v>
      </c>
      <c r="N4172" s="21">
        <f t="shared" si="196"/>
        <v>-7.3134328358208933E-2</v>
      </c>
      <c r="P4172" s="1">
        <v>4</v>
      </c>
      <c r="Q4172" s="24">
        <v>4.1400000000000006</v>
      </c>
      <c r="R4172" s="24">
        <v>30.36</v>
      </c>
      <c r="S4172" s="21">
        <f t="shared" si="197"/>
        <v>-9.3731343283582111E-2</v>
      </c>
    </row>
    <row r="4173" spans="2:19" ht="11.4" customHeight="1" x14ac:dyDescent="0.2">
      <c r="B4173" s="24"/>
      <c r="C4173" s="14">
        <v>34894</v>
      </c>
      <c r="D4173" s="18" t="s">
        <v>4363</v>
      </c>
      <c r="E4173" s="18" t="s">
        <v>3554</v>
      </c>
      <c r="F4173" s="17">
        <v>32</v>
      </c>
      <c r="G4173" s="18" t="s">
        <v>23</v>
      </c>
      <c r="H4173" s="17">
        <v>29.6</v>
      </c>
      <c r="I4173" s="15">
        <v>32.700000000000003</v>
      </c>
      <c r="J4173" s="21">
        <f t="shared" si="195"/>
        <v>0.10472972972972977</v>
      </c>
      <c r="K4173" s="1">
        <v>2</v>
      </c>
      <c r="L4173" s="24">
        <v>3.2</v>
      </c>
      <c r="M4173" s="24">
        <v>29.430000000000003</v>
      </c>
      <c r="N4173" s="21">
        <f t="shared" si="196"/>
        <v>-5.7432432432431802E-3</v>
      </c>
      <c r="P4173" s="1">
        <v>4</v>
      </c>
      <c r="Q4173" s="24">
        <v>3.9239999999999995</v>
      </c>
      <c r="R4173" s="24">
        <v>28.776000000000003</v>
      </c>
      <c r="S4173" s="21">
        <f t="shared" si="197"/>
        <v>-2.7837837837837772E-2</v>
      </c>
    </row>
    <row r="4174" spans="2:19" ht="11.4" customHeight="1" x14ac:dyDescent="0.2">
      <c r="B4174" s="24"/>
      <c r="C4174" s="14">
        <v>30496</v>
      </c>
      <c r="D4174" s="18" t="s">
        <v>4364</v>
      </c>
      <c r="E4174" s="18" t="s">
        <v>3554</v>
      </c>
      <c r="F4174" s="17">
        <v>22</v>
      </c>
      <c r="G4174" s="18" t="s">
        <v>23</v>
      </c>
      <c r="H4174" s="17">
        <v>32.4</v>
      </c>
      <c r="I4174" s="15">
        <v>34.5</v>
      </c>
      <c r="J4174" s="21">
        <f t="shared" si="195"/>
        <v>6.4814814814814867E-2</v>
      </c>
      <c r="K4174" s="1">
        <v>2</v>
      </c>
      <c r="L4174" s="24">
        <v>3.4</v>
      </c>
      <c r="M4174" s="24">
        <v>31.05</v>
      </c>
      <c r="N4174" s="21">
        <f t="shared" si="196"/>
        <v>-4.1666666666666602E-2</v>
      </c>
      <c r="P4174" s="1">
        <v>4</v>
      </c>
      <c r="Q4174" s="24">
        <v>4.1400000000000006</v>
      </c>
      <c r="R4174" s="24">
        <v>30.36</v>
      </c>
      <c r="S4174" s="21">
        <f t="shared" si="197"/>
        <v>-6.2962962962962943E-2</v>
      </c>
    </row>
    <row r="4175" spans="2:19" ht="11.4" customHeight="1" x14ac:dyDescent="0.2">
      <c r="B4175" s="24"/>
      <c r="C4175" s="14">
        <v>37795</v>
      </c>
      <c r="D4175" s="18" t="s">
        <v>4365</v>
      </c>
      <c r="E4175" s="18" t="s">
        <v>3554</v>
      </c>
      <c r="F4175" s="17">
        <v>22</v>
      </c>
      <c r="G4175" s="18" t="s">
        <v>23</v>
      </c>
      <c r="H4175" s="17">
        <v>18.899999999999999</v>
      </c>
      <c r="I4175" s="15">
        <v>19.899999999999999</v>
      </c>
      <c r="J4175" s="21">
        <f t="shared" si="195"/>
        <v>5.2910052910052914E-2</v>
      </c>
      <c r="K4175" s="1">
        <v>2</v>
      </c>
      <c r="L4175" s="24">
        <v>1.9</v>
      </c>
      <c r="M4175" s="24">
        <v>17.91</v>
      </c>
      <c r="N4175" s="21">
        <f t="shared" si="196"/>
        <v>-5.2380952380952299E-2</v>
      </c>
      <c r="P4175" s="1">
        <v>4</v>
      </c>
      <c r="Q4175" s="24">
        <v>2.3879999999999981</v>
      </c>
      <c r="R4175" s="24">
        <v>17.512</v>
      </c>
      <c r="S4175" s="21">
        <f t="shared" si="197"/>
        <v>-7.3439153439153346E-2</v>
      </c>
    </row>
    <row r="4176" spans="2:19" ht="11.4" customHeight="1" x14ac:dyDescent="0.2">
      <c r="B4176" s="24"/>
      <c r="C4176" s="14">
        <v>41062</v>
      </c>
      <c r="D4176" s="18" t="s">
        <v>4366</v>
      </c>
      <c r="E4176" s="18" t="s">
        <v>3554</v>
      </c>
      <c r="F4176" s="17">
        <v>22</v>
      </c>
      <c r="G4176" s="18" t="s">
        <v>23</v>
      </c>
      <c r="H4176" s="17">
        <v>25.75</v>
      </c>
      <c r="I4176" s="15">
        <v>34.5</v>
      </c>
      <c r="J4176" s="21">
        <f t="shared" si="195"/>
        <v>0.33980582524271846</v>
      </c>
      <c r="K4176" s="1">
        <v>2</v>
      </c>
      <c r="L4176" s="24">
        <v>3.4</v>
      </c>
      <c r="M4176" s="24">
        <v>31.05</v>
      </c>
      <c r="N4176" s="21">
        <f t="shared" si="196"/>
        <v>0.20582524271844663</v>
      </c>
      <c r="P4176" s="1">
        <v>4</v>
      </c>
      <c r="Q4176" s="24">
        <v>4.1400000000000006</v>
      </c>
      <c r="R4176" s="24">
        <v>30.36</v>
      </c>
      <c r="S4176" s="21">
        <f t="shared" si="197"/>
        <v>0.17902912621359221</v>
      </c>
    </row>
    <row r="4177" spans="2:19" ht="11.4" customHeight="1" x14ac:dyDescent="0.2">
      <c r="B4177" s="24"/>
      <c r="C4177" s="14">
        <v>34771</v>
      </c>
      <c r="D4177" s="18" t="s">
        <v>4367</v>
      </c>
      <c r="E4177" s="18" t="s">
        <v>3554</v>
      </c>
      <c r="F4177" s="17">
        <v>12</v>
      </c>
      <c r="G4177" s="18" t="s">
        <v>23</v>
      </c>
      <c r="H4177" s="17">
        <v>53.1</v>
      </c>
      <c r="I4177" s="15">
        <v>56.9</v>
      </c>
      <c r="J4177" s="21">
        <f t="shared" si="195"/>
        <v>7.1563088512240997E-2</v>
      </c>
      <c r="K4177" s="1">
        <v>2</v>
      </c>
      <c r="L4177" s="24">
        <v>5.6</v>
      </c>
      <c r="M4177" s="24">
        <v>51.21</v>
      </c>
      <c r="N4177" s="21">
        <f t="shared" si="196"/>
        <v>-3.5593220338983059E-2</v>
      </c>
      <c r="P4177" s="1">
        <v>4</v>
      </c>
      <c r="Q4177" s="24">
        <v>6.828000000000003</v>
      </c>
      <c r="R4177" s="24">
        <v>50.071999999999996</v>
      </c>
      <c r="S4177" s="21">
        <f t="shared" si="197"/>
        <v>-5.7024482109227982E-2</v>
      </c>
    </row>
    <row r="4178" spans="2:19" ht="11.4" customHeight="1" x14ac:dyDescent="0.2">
      <c r="B4178" s="24"/>
      <c r="C4178" s="14">
        <v>5067</v>
      </c>
      <c r="D4178" s="18" t="s">
        <v>4368</v>
      </c>
      <c r="E4178" s="18" t="s">
        <v>3375</v>
      </c>
      <c r="F4178" s="18"/>
      <c r="G4178" s="18" t="s">
        <v>23</v>
      </c>
      <c r="H4178" s="17">
        <v>287.08</v>
      </c>
      <c r="I4178" s="15">
        <v>416.5</v>
      </c>
      <c r="J4178" s="21">
        <f t="shared" si="195"/>
        <v>0.45081510380381784</v>
      </c>
      <c r="K4178" s="1">
        <v>2</v>
      </c>
      <c r="L4178" s="24">
        <v>41.6</v>
      </c>
      <c r="M4178" s="24">
        <v>374.85</v>
      </c>
      <c r="N4178" s="21">
        <f t="shared" si="196"/>
        <v>0.30573359342343615</v>
      </c>
      <c r="P4178" s="1">
        <v>4</v>
      </c>
      <c r="Q4178" s="24">
        <v>49.980000000000018</v>
      </c>
      <c r="R4178" s="24">
        <v>366.52</v>
      </c>
      <c r="S4178" s="21">
        <f t="shared" si="197"/>
        <v>0.27671729134735962</v>
      </c>
    </row>
    <row r="4179" spans="2:19" ht="11.4" customHeight="1" x14ac:dyDescent="0.2">
      <c r="B4179" s="24"/>
      <c r="C4179" s="14">
        <v>24115</v>
      </c>
      <c r="D4179" s="18" t="s">
        <v>4369</v>
      </c>
      <c r="E4179" s="18" t="s">
        <v>3447</v>
      </c>
      <c r="F4179" s="17">
        <v>20</v>
      </c>
      <c r="G4179" s="18" t="s">
        <v>23</v>
      </c>
      <c r="H4179" s="17">
        <v>29.3</v>
      </c>
      <c r="I4179" s="15">
        <v>32.9</v>
      </c>
      <c r="J4179" s="21">
        <f t="shared" si="195"/>
        <v>0.12286689419795215</v>
      </c>
      <c r="K4179" s="1">
        <v>2</v>
      </c>
      <c r="L4179" s="24">
        <v>3.2</v>
      </c>
      <c r="M4179" s="24">
        <v>29.61</v>
      </c>
      <c r="N4179" s="21">
        <f t="shared" si="196"/>
        <v>1.0580204778156953E-2</v>
      </c>
      <c r="P4179" s="1">
        <v>4</v>
      </c>
      <c r="Q4179" s="24">
        <v>3.9480000000000004</v>
      </c>
      <c r="R4179" s="24">
        <v>28.951999999999998</v>
      </c>
      <c r="S4179" s="21">
        <f t="shared" si="197"/>
        <v>-1.1877133105802134E-2</v>
      </c>
    </row>
    <row r="4180" spans="2:19" ht="11.4" customHeight="1" x14ac:dyDescent="0.2">
      <c r="B4180" s="24"/>
      <c r="C4180" s="14">
        <v>30789</v>
      </c>
      <c r="D4180" s="18" t="s">
        <v>4370</v>
      </c>
      <c r="E4180" s="18" t="s">
        <v>4263</v>
      </c>
      <c r="F4180" s="17">
        <v>7</v>
      </c>
      <c r="G4180" s="18" t="s">
        <v>902</v>
      </c>
      <c r="H4180" s="17">
        <v>151.4</v>
      </c>
      <c r="I4180" s="15">
        <v>158.9</v>
      </c>
      <c r="J4180" s="21">
        <f t="shared" si="195"/>
        <v>4.9537648612945837E-2</v>
      </c>
      <c r="K4180" s="1">
        <v>2</v>
      </c>
      <c r="L4180" s="24">
        <v>15.8</v>
      </c>
      <c r="M4180" s="24">
        <v>143.01000000000002</v>
      </c>
      <c r="N4180" s="21">
        <f t="shared" si="196"/>
        <v>-5.5416116248348656E-2</v>
      </c>
      <c r="P4180" s="1">
        <v>6</v>
      </c>
      <c r="Q4180" s="24">
        <v>23.835000000000008</v>
      </c>
      <c r="R4180" s="24">
        <v>135.065</v>
      </c>
      <c r="S4180" s="21">
        <f t="shared" si="197"/>
        <v>-0.10789299867899609</v>
      </c>
    </row>
    <row r="4181" spans="2:19" ht="11.4" customHeight="1" x14ac:dyDescent="0.2">
      <c r="B4181" s="24"/>
      <c r="C4181" s="14">
        <v>41859</v>
      </c>
      <c r="D4181" s="18" t="s">
        <v>4371</v>
      </c>
      <c r="E4181" s="18" t="s">
        <v>3598</v>
      </c>
      <c r="F4181" s="17">
        <v>180</v>
      </c>
      <c r="G4181" s="18" t="s">
        <v>23</v>
      </c>
      <c r="H4181" s="17">
        <v>22.38</v>
      </c>
      <c r="I4181" s="15">
        <v>30.5</v>
      </c>
      <c r="J4181" s="21">
        <f t="shared" si="195"/>
        <v>0.3628239499553173</v>
      </c>
      <c r="K4181" s="1">
        <v>2</v>
      </c>
      <c r="L4181" s="24">
        <v>3</v>
      </c>
      <c r="M4181" s="24">
        <v>27.45</v>
      </c>
      <c r="N4181" s="21">
        <f t="shared" si="196"/>
        <v>0.22654155495978553</v>
      </c>
      <c r="P4181" s="1">
        <v>4</v>
      </c>
      <c r="Q4181" s="24">
        <v>3.66</v>
      </c>
      <c r="R4181" s="24">
        <v>26.84</v>
      </c>
      <c r="S4181" s="21">
        <f t="shared" si="197"/>
        <v>0.19928507596067924</v>
      </c>
    </row>
    <row r="4182" spans="2:19" ht="11.4" customHeight="1" x14ac:dyDescent="0.2">
      <c r="B4182" s="24"/>
      <c r="C4182" s="14">
        <v>44093</v>
      </c>
      <c r="D4182" s="18" t="s">
        <v>4372</v>
      </c>
      <c r="E4182" s="18" t="s">
        <v>4263</v>
      </c>
      <c r="F4182" s="17">
        <v>8</v>
      </c>
      <c r="G4182" s="18" t="s">
        <v>902</v>
      </c>
      <c r="H4182" s="17">
        <v>213.84</v>
      </c>
      <c r="I4182" s="15">
        <v>333.5</v>
      </c>
      <c r="J4182" s="21">
        <f t="shared" si="195"/>
        <v>0.55957725402169844</v>
      </c>
      <c r="K4182" s="1">
        <v>2</v>
      </c>
      <c r="L4182" s="24">
        <v>33.299999999999997</v>
      </c>
      <c r="M4182" s="24">
        <v>300.15000000000003</v>
      </c>
      <c r="N4182" s="21">
        <f t="shared" si="196"/>
        <v>0.40361952861952877</v>
      </c>
      <c r="P4182" s="1">
        <v>6</v>
      </c>
      <c r="Q4182" s="24">
        <v>50.025000000000034</v>
      </c>
      <c r="R4182" s="24">
        <v>283.47499999999997</v>
      </c>
      <c r="S4182" s="21">
        <f t="shared" si="197"/>
        <v>0.32564066591844354</v>
      </c>
    </row>
    <row r="4183" spans="2:19" ht="11.4" customHeight="1" x14ac:dyDescent="0.2">
      <c r="B4183" s="24"/>
      <c r="C4183" s="14">
        <v>44097</v>
      </c>
      <c r="D4183" s="18" t="s">
        <v>4373</v>
      </c>
      <c r="E4183" s="18" t="s">
        <v>4263</v>
      </c>
      <c r="F4183" s="17">
        <v>8</v>
      </c>
      <c r="G4183" s="18" t="s">
        <v>902</v>
      </c>
      <c r="H4183" s="17">
        <v>304.38</v>
      </c>
      <c r="I4183" s="15">
        <v>456.5</v>
      </c>
      <c r="J4183" s="21">
        <f t="shared" si="195"/>
        <v>0.49977002431171563</v>
      </c>
      <c r="K4183" s="1">
        <v>2</v>
      </c>
      <c r="L4183" s="24">
        <v>45.6</v>
      </c>
      <c r="M4183" s="24">
        <v>410.85</v>
      </c>
      <c r="N4183" s="21">
        <f t="shared" si="196"/>
        <v>0.34979302188054417</v>
      </c>
      <c r="P4183" s="1">
        <v>6</v>
      </c>
      <c r="Q4183" s="24">
        <v>68.475000000000023</v>
      </c>
      <c r="R4183" s="24">
        <v>388.02499999999998</v>
      </c>
      <c r="S4183" s="21">
        <f t="shared" si="197"/>
        <v>0.2748045206649582</v>
      </c>
    </row>
    <row r="4184" spans="2:19" ht="11.4" customHeight="1" x14ac:dyDescent="0.2">
      <c r="B4184" s="24"/>
      <c r="C4184" s="14">
        <v>30499</v>
      </c>
      <c r="D4184" s="18" t="s">
        <v>4374</v>
      </c>
      <c r="E4184" s="18" t="s">
        <v>3371</v>
      </c>
      <c r="F4184" s="17">
        <v>1</v>
      </c>
      <c r="G4184" s="18" t="s">
        <v>902</v>
      </c>
      <c r="H4184" s="17">
        <v>191.5</v>
      </c>
      <c r="I4184" s="15">
        <v>242.5</v>
      </c>
      <c r="J4184" s="21">
        <f t="shared" si="195"/>
        <v>0.26631853785900783</v>
      </c>
      <c r="K4184" s="1">
        <v>2</v>
      </c>
      <c r="L4184" s="24">
        <v>24.2</v>
      </c>
      <c r="M4184" s="24">
        <v>218.25</v>
      </c>
      <c r="N4184" s="21">
        <f t="shared" si="196"/>
        <v>0.13968668407310705</v>
      </c>
      <c r="P4184" s="1">
        <v>6</v>
      </c>
      <c r="Q4184" s="24">
        <v>36.375</v>
      </c>
      <c r="R4184" s="24">
        <v>206.125</v>
      </c>
      <c r="S4184" s="21">
        <f t="shared" si="197"/>
        <v>7.6370757180156665E-2</v>
      </c>
    </row>
    <row r="4185" spans="2:19" ht="11.4" customHeight="1" x14ac:dyDescent="0.2">
      <c r="B4185" s="24"/>
      <c r="C4185" s="14">
        <v>39120</v>
      </c>
      <c r="D4185" s="18" t="s">
        <v>4375</v>
      </c>
      <c r="E4185" s="18" t="s">
        <v>3371</v>
      </c>
      <c r="F4185" s="17">
        <v>3</v>
      </c>
      <c r="G4185" s="18" t="s">
        <v>902</v>
      </c>
      <c r="H4185" s="17">
        <v>147</v>
      </c>
      <c r="I4185" s="15">
        <v>213.9</v>
      </c>
      <c r="J4185" s="21">
        <f t="shared" si="195"/>
        <v>0.45510204081632655</v>
      </c>
      <c r="K4185" s="1">
        <v>2</v>
      </c>
      <c r="L4185" s="24">
        <v>21.3</v>
      </c>
      <c r="M4185" s="24">
        <v>192.51000000000002</v>
      </c>
      <c r="N4185" s="21">
        <f t="shared" si="196"/>
        <v>0.30959183673469398</v>
      </c>
      <c r="P4185" s="1">
        <v>6</v>
      </c>
      <c r="Q4185" s="24">
        <v>32.085000000000008</v>
      </c>
      <c r="R4185" s="24">
        <v>181.815</v>
      </c>
      <c r="S4185" s="21">
        <f t="shared" si="197"/>
        <v>0.23683673469387753</v>
      </c>
    </row>
    <row r="4186" spans="2:19" ht="11.4" customHeight="1" x14ac:dyDescent="0.2">
      <c r="B4186" s="24"/>
      <c r="C4186" s="14">
        <v>2893</v>
      </c>
      <c r="D4186" s="18" t="s">
        <v>4376</v>
      </c>
      <c r="E4186" s="18" t="s">
        <v>3371</v>
      </c>
      <c r="F4186" s="18"/>
      <c r="G4186" s="18" t="s">
        <v>902</v>
      </c>
      <c r="H4186" s="17">
        <v>129.69999999999999</v>
      </c>
      <c r="I4186" s="15">
        <v>155.6</v>
      </c>
      <c r="J4186" s="21">
        <f t="shared" si="195"/>
        <v>0.19969159599074793</v>
      </c>
      <c r="K4186" s="1">
        <v>2</v>
      </c>
      <c r="L4186" s="24">
        <v>15.5</v>
      </c>
      <c r="M4186" s="24">
        <v>140.04</v>
      </c>
      <c r="N4186" s="21">
        <f t="shared" si="196"/>
        <v>7.9722436391673118E-2</v>
      </c>
      <c r="P4186" s="1">
        <v>6</v>
      </c>
      <c r="Q4186" s="24">
        <v>23.340000000000003</v>
      </c>
      <c r="R4186" s="24">
        <v>132.26</v>
      </c>
      <c r="S4186" s="21">
        <f t="shared" si="197"/>
        <v>1.9737856592135717E-2</v>
      </c>
    </row>
    <row r="4187" spans="2:19" ht="11.4" customHeight="1" x14ac:dyDescent="0.2">
      <c r="B4187" s="24"/>
      <c r="C4187" s="14">
        <v>37282</v>
      </c>
      <c r="D4187" s="18" t="s">
        <v>4377</v>
      </c>
      <c r="E4187" s="18" t="s">
        <v>4263</v>
      </c>
      <c r="F4187" s="17">
        <v>10</v>
      </c>
      <c r="G4187" s="18" t="s">
        <v>902</v>
      </c>
      <c r="H4187" s="17">
        <v>177.98</v>
      </c>
      <c r="I4187" s="15">
        <v>230.9</v>
      </c>
      <c r="J4187" s="21">
        <f t="shared" si="195"/>
        <v>0.29733677941341735</v>
      </c>
      <c r="K4187" s="1">
        <v>2</v>
      </c>
      <c r="L4187" s="24">
        <v>23</v>
      </c>
      <c r="M4187" s="24">
        <v>207.81</v>
      </c>
      <c r="N4187" s="21">
        <f t="shared" si="196"/>
        <v>0.16760310147207561</v>
      </c>
      <c r="P4187" s="1">
        <v>6</v>
      </c>
      <c r="Q4187" s="24">
        <v>34.635000000000019</v>
      </c>
      <c r="R4187" s="24">
        <v>196.26499999999999</v>
      </c>
      <c r="S4187" s="21">
        <f t="shared" si="197"/>
        <v>0.10273626250140463</v>
      </c>
    </row>
    <row r="4188" spans="2:19" ht="11.4" customHeight="1" x14ac:dyDescent="0.2">
      <c r="B4188" s="24"/>
      <c r="C4188" s="14">
        <v>8437</v>
      </c>
      <c r="D4188" s="18" t="s">
        <v>4378</v>
      </c>
      <c r="E4188" s="18" t="s">
        <v>3371</v>
      </c>
      <c r="F4188" s="17">
        <v>2.2000000000000002</v>
      </c>
      <c r="G4188" s="18" t="s">
        <v>902</v>
      </c>
      <c r="H4188" s="17">
        <v>305</v>
      </c>
      <c r="I4188" s="15">
        <v>409.9</v>
      </c>
      <c r="J4188" s="21">
        <f t="shared" si="195"/>
        <v>0.34393442622950809</v>
      </c>
      <c r="K4188" s="1">
        <v>2</v>
      </c>
      <c r="L4188" s="24">
        <v>40.9</v>
      </c>
      <c r="M4188" s="24">
        <v>368.90999999999997</v>
      </c>
      <c r="N4188" s="21">
        <f t="shared" si="196"/>
        <v>0.20954098360655726</v>
      </c>
      <c r="P4188" s="1">
        <v>6</v>
      </c>
      <c r="Q4188" s="24">
        <v>61.485000000000014</v>
      </c>
      <c r="R4188" s="24">
        <v>348.41499999999996</v>
      </c>
      <c r="S4188" s="21">
        <f t="shared" si="197"/>
        <v>0.14234426229508185</v>
      </c>
    </row>
    <row r="4189" spans="2:19" ht="11.4" customHeight="1" x14ac:dyDescent="0.2">
      <c r="B4189" s="24"/>
      <c r="C4189" s="14">
        <v>10741</v>
      </c>
      <c r="D4189" s="18" t="s">
        <v>4379</v>
      </c>
      <c r="E4189" s="18" t="s">
        <v>3375</v>
      </c>
      <c r="F4189" s="17">
        <v>10</v>
      </c>
      <c r="G4189" s="18" t="s">
        <v>23</v>
      </c>
      <c r="H4189" s="17">
        <v>107.5</v>
      </c>
      <c r="I4189" s="15">
        <v>141.5</v>
      </c>
      <c r="J4189" s="21">
        <f t="shared" si="195"/>
        <v>0.31627906976744186</v>
      </c>
      <c r="K4189" s="1">
        <v>2</v>
      </c>
      <c r="L4189" s="24">
        <v>14.1</v>
      </c>
      <c r="M4189" s="24">
        <v>127.35000000000001</v>
      </c>
      <c r="N4189" s="21">
        <f t="shared" si="196"/>
        <v>0.18465116279069776</v>
      </c>
      <c r="P4189" s="1">
        <v>4</v>
      </c>
      <c r="Q4189" s="24">
        <v>16.980000000000004</v>
      </c>
      <c r="R4189" s="24">
        <v>124.52</v>
      </c>
      <c r="S4189" s="21">
        <f t="shared" si="197"/>
        <v>0.1583255813953488</v>
      </c>
    </row>
    <row r="4190" spans="2:19" ht="11.4" customHeight="1" x14ac:dyDescent="0.2">
      <c r="B4190" s="24"/>
      <c r="C4190" s="14">
        <v>8407</v>
      </c>
      <c r="D4190" s="18" t="s">
        <v>4380</v>
      </c>
      <c r="E4190" s="18" t="s">
        <v>3371</v>
      </c>
      <c r="F4190" s="17">
        <v>2.2000000000000002</v>
      </c>
      <c r="G4190" s="18" t="s">
        <v>902</v>
      </c>
      <c r="H4190" s="17">
        <v>305</v>
      </c>
      <c r="I4190" s="15">
        <v>409.9</v>
      </c>
      <c r="J4190" s="21">
        <f t="shared" si="195"/>
        <v>0.34393442622950809</v>
      </c>
      <c r="K4190" s="1">
        <v>2</v>
      </c>
      <c r="L4190" s="24">
        <v>40.9</v>
      </c>
      <c r="M4190" s="24">
        <v>368.90999999999997</v>
      </c>
      <c r="N4190" s="21">
        <f t="shared" si="196"/>
        <v>0.20954098360655726</v>
      </c>
      <c r="P4190" s="1">
        <v>6</v>
      </c>
      <c r="Q4190" s="24">
        <v>61.485000000000014</v>
      </c>
      <c r="R4190" s="24">
        <v>348.41499999999996</v>
      </c>
      <c r="S4190" s="21">
        <f t="shared" si="197"/>
        <v>0.14234426229508185</v>
      </c>
    </row>
    <row r="4191" spans="2:19" ht="11.4" customHeight="1" x14ac:dyDescent="0.2">
      <c r="B4191" s="24"/>
      <c r="C4191" s="14">
        <v>41535</v>
      </c>
      <c r="D4191" s="18" t="s">
        <v>4381</v>
      </c>
      <c r="E4191" s="18" t="s">
        <v>3375</v>
      </c>
      <c r="F4191" s="18"/>
      <c r="G4191" s="18" t="s">
        <v>23</v>
      </c>
      <c r="H4191" s="17">
        <v>177.18</v>
      </c>
      <c r="I4191" s="15">
        <v>249.9</v>
      </c>
      <c r="J4191" s="21">
        <f t="shared" si="195"/>
        <v>0.41043007111412122</v>
      </c>
      <c r="K4191" s="1">
        <v>2</v>
      </c>
      <c r="L4191" s="24">
        <v>24.9</v>
      </c>
      <c r="M4191" s="24">
        <v>224.91</v>
      </c>
      <c r="N4191" s="21">
        <f t="shared" si="196"/>
        <v>0.26938706400270906</v>
      </c>
      <c r="P4191" s="1">
        <v>4</v>
      </c>
      <c r="Q4191" s="24">
        <v>29.988</v>
      </c>
      <c r="R4191" s="24">
        <v>219.91200000000001</v>
      </c>
      <c r="S4191" s="21">
        <f t="shared" si="197"/>
        <v>0.24117846258042666</v>
      </c>
    </row>
    <row r="4192" spans="2:19" ht="11.4" customHeight="1" x14ac:dyDescent="0.2">
      <c r="B4192" s="24"/>
      <c r="C4192" s="14">
        <v>41536</v>
      </c>
      <c r="D4192" s="18" t="s">
        <v>4382</v>
      </c>
      <c r="E4192" s="18" t="s">
        <v>3375</v>
      </c>
      <c r="F4192" s="18"/>
      <c r="G4192" s="18" t="s">
        <v>23</v>
      </c>
      <c r="H4192" s="17">
        <v>284.45999999999998</v>
      </c>
      <c r="I4192" s="15">
        <v>419.9</v>
      </c>
      <c r="J4192" s="21">
        <f t="shared" si="195"/>
        <v>0.47613021162905156</v>
      </c>
      <c r="K4192" s="1">
        <v>2</v>
      </c>
      <c r="L4192" s="24">
        <v>41.9</v>
      </c>
      <c r="M4192" s="24">
        <v>377.90999999999997</v>
      </c>
      <c r="N4192" s="21">
        <f t="shared" si="196"/>
        <v>0.32851719046614636</v>
      </c>
      <c r="P4192" s="1">
        <v>4</v>
      </c>
      <c r="Q4192" s="24">
        <v>50.387999999999977</v>
      </c>
      <c r="R4192" s="24">
        <v>369.512</v>
      </c>
      <c r="S4192" s="21">
        <f t="shared" si="197"/>
        <v>0.29899458623356545</v>
      </c>
    </row>
    <row r="4193" spans="2:19" ht="11.4" customHeight="1" x14ac:dyDescent="0.2">
      <c r="B4193" s="24"/>
      <c r="C4193" s="14">
        <v>45797</v>
      </c>
      <c r="D4193" s="18" t="s">
        <v>4383</v>
      </c>
      <c r="E4193" s="18" t="s">
        <v>3375</v>
      </c>
      <c r="F4193" s="17">
        <v>9</v>
      </c>
      <c r="G4193" s="18" t="s">
        <v>23</v>
      </c>
      <c r="H4193" s="18"/>
      <c r="I4193" s="15">
        <v>188.2</v>
      </c>
      <c r="J4193" s="21" t="e">
        <f t="shared" si="195"/>
        <v>#DIV/0!</v>
      </c>
      <c r="K4193" s="1">
        <v>2</v>
      </c>
      <c r="L4193" s="24">
        <v>18.8</v>
      </c>
      <c r="M4193" s="24">
        <v>169.38</v>
      </c>
      <c r="N4193" s="21" t="e">
        <f t="shared" si="196"/>
        <v>#DIV/0!</v>
      </c>
      <c r="P4193" s="1">
        <v>4</v>
      </c>
      <c r="Q4193" s="24">
        <v>22.584000000000003</v>
      </c>
      <c r="R4193" s="24">
        <v>165.61599999999999</v>
      </c>
      <c r="S4193" s="21" t="e">
        <f t="shared" si="197"/>
        <v>#DIV/0!</v>
      </c>
    </row>
    <row r="4194" spans="2:19" ht="11.4" customHeight="1" x14ac:dyDescent="0.2">
      <c r="B4194" s="24"/>
      <c r="C4194" s="14">
        <v>7045</v>
      </c>
      <c r="D4194" s="18" t="s">
        <v>4384</v>
      </c>
      <c r="E4194" s="18" t="s">
        <v>3371</v>
      </c>
      <c r="F4194" s="18"/>
      <c r="G4194" s="18" t="s">
        <v>902</v>
      </c>
      <c r="H4194" s="17">
        <v>237.9</v>
      </c>
      <c r="I4194" s="15">
        <v>269.89999999999998</v>
      </c>
      <c r="J4194" s="21">
        <f t="shared" si="195"/>
        <v>0.13451029844472456</v>
      </c>
      <c r="K4194" s="1">
        <v>2</v>
      </c>
      <c r="L4194" s="24">
        <v>26.9</v>
      </c>
      <c r="M4194" s="24">
        <v>242.91</v>
      </c>
      <c r="N4194" s="21">
        <f t="shared" si="196"/>
        <v>2.1059268600252166E-2</v>
      </c>
      <c r="P4194" s="1">
        <v>6</v>
      </c>
      <c r="Q4194" s="24">
        <v>40.485000000000014</v>
      </c>
      <c r="R4194" s="24">
        <v>229.41499999999996</v>
      </c>
      <c r="S4194" s="21">
        <f t="shared" si="197"/>
        <v>-3.5666246321984202E-2</v>
      </c>
    </row>
    <row r="4195" spans="2:19" ht="11.4" customHeight="1" x14ac:dyDescent="0.2">
      <c r="B4195" s="24"/>
      <c r="C4195" s="14">
        <v>43872</v>
      </c>
      <c r="D4195" s="18" t="s">
        <v>4385</v>
      </c>
      <c r="E4195" s="18" t="s">
        <v>3375</v>
      </c>
      <c r="F4195" s="17">
        <v>8</v>
      </c>
      <c r="G4195" s="18" t="s">
        <v>23</v>
      </c>
      <c r="H4195" s="18"/>
      <c r="I4195" s="15">
        <v>434.9</v>
      </c>
      <c r="J4195" s="21" t="e">
        <f t="shared" si="195"/>
        <v>#DIV/0!</v>
      </c>
      <c r="K4195" s="1">
        <v>2</v>
      </c>
      <c r="L4195" s="24">
        <v>43.4</v>
      </c>
      <c r="M4195" s="24">
        <v>391.40999999999997</v>
      </c>
      <c r="N4195" s="21" t="e">
        <f t="shared" si="196"/>
        <v>#DIV/0!</v>
      </c>
      <c r="P4195" s="1">
        <v>4</v>
      </c>
      <c r="Q4195" s="24">
        <v>52.187999999999988</v>
      </c>
      <c r="R4195" s="24">
        <v>382.71199999999999</v>
      </c>
      <c r="S4195" s="21" t="e">
        <f t="shared" si="197"/>
        <v>#DIV/0!</v>
      </c>
    </row>
    <row r="4196" spans="2:19" ht="11.4" customHeight="1" x14ac:dyDescent="0.2">
      <c r="B4196" s="24"/>
      <c r="C4196" s="14">
        <v>47643</v>
      </c>
      <c r="D4196" s="18" t="s">
        <v>4386</v>
      </c>
      <c r="E4196" s="18" t="s">
        <v>3371</v>
      </c>
      <c r="F4196" s="17">
        <v>2</v>
      </c>
      <c r="G4196" s="18" t="s">
        <v>902</v>
      </c>
      <c r="H4196" s="18"/>
      <c r="I4196" s="15">
        <v>399.9</v>
      </c>
      <c r="J4196" s="21" t="e">
        <f t="shared" si="195"/>
        <v>#DIV/0!</v>
      </c>
      <c r="K4196" s="1">
        <v>2</v>
      </c>
      <c r="L4196" s="24">
        <v>39.9</v>
      </c>
      <c r="M4196" s="24">
        <v>359.90999999999997</v>
      </c>
      <c r="N4196" s="21" t="e">
        <f t="shared" si="196"/>
        <v>#DIV/0!</v>
      </c>
      <c r="P4196" s="1">
        <v>6</v>
      </c>
      <c r="Q4196" s="24">
        <v>59.985000000000014</v>
      </c>
      <c r="R4196" s="24">
        <v>339.91499999999996</v>
      </c>
      <c r="S4196" s="21" t="e">
        <f t="shared" si="197"/>
        <v>#DIV/0!</v>
      </c>
    </row>
    <row r="4197" spans="2:19" ht="11.4" customHeight="1" x14ac:dyDescent="0.2">
      <c r="B4197" s="24"/>
      <c r="C4197" s="14">
        <v>46961</v>
      </c>
      <c r="D4197" s="18" t="s">
        <v>4387</v>
      </c>
      <c r="E4197" s="18" t="s">
        <v>3371</v>
      </c>
      <c r="F4197" s="18"/>
      <c r="G4197" s="18" t="s">
        <v>902</v>
      </c>
      <c r="H4197" s="17">
        <v>273.77999999999997</v>
      </c>
      <c r="I4197" s="15">
        <v>397.9</v>
      </c>
      <c r="J4197" s="21">
        <f t="shared" si="195"/>
        <v>0.45335670976696624</v>
      </c>
      <c r="K4197" s="1">
        <v>2</v>
      </c>
      <c r="L4197" s="24">
        <v>39.700000000000003</v>
      </c>
      <c r="M4197" s="24">
        <v>358.11</v>
      </c>
      <c r="N4197" s="21">
        <f t="shared" si="196"/>
        <v>0.30802103879026976</v>
      </c>
      <c r="P4197" s="1">
        <v>6</v>
      </c>
      <c r="Q4197" s="24">
        <v>59.685000000000002</v>
      </c>
      <c r="R4197" s="24">
        <v>338.21499999999997</v>
      </c>
      <c r="S4197" s="21">
        <f t="shared" si="197"/>
        <v>0.23535320330192128</v>
      </c>
    </row>
    <row r="4198" spans="2:19" ht="11.4" customHeight="1" x14ac:dyDescent="0.2">
      <c r="B4198" s="24"/>
      <c r="C4198" s="14">
        <v>35356</v>
      </c>
      <c r="D4198" s="18" t="s">
        <v>4388</v>
      </c>
      <c r="E4198" s="18" t="s">
        <v>3551</v>
      </c>
      <c r="F4198" s="17">
        <v>24</v>
      </c>
      <c r="G4198" s="18" t="s">
        <v>23</v>
      </c>
      <c r="H4198" s="17">
        <v>36.6</v>
      </c>
      <c r="I4198" s="15">
        <v>37.5</v>
      </c>
      <c r="J4198" s="21">
        <f t="shared" si="195"/>
        <v>2.4590163934426191E-2</v>
      </c>
      <c r="K4198" s="1">
        <v>2</v>
      </c>
      <c r="L4198" s="24">
        <v>3.7</v>
      </c>
      <c r="M4198" s="24">
        <v>33.75</v>
      </c>
      <c r="N4198" s="21">
        <f t="shared" si="196"/>
        <v>-7.7868852459016424E-2</v>
      </c>
      <c r="P4198" s="1">
        <v>4</v>
      </c>
      <c r="Q4198" s="24">
        <v>4.5</v>
      </c>
      <c r="R4198" s="24">
        <v>33</v>
      </c>
      <c r="S4198" s="21">
        <f t="shared" si="197"/>
        <v>-9.8360655737704958E-2</v>
      </c>
    </row>
    <row r="4199" spans="2:19" ht="11.4" customHeight="1" x14ac:dyDescent="0.2">
      <c r="B4199" s="24"/>
      <c r="C4199" s="14">
        <v>35358</v>
      </c>
      <c r="D4199" s="18" t="s">
        <v>4389</v>
      </c>
      <c r="E4199" s="18" t="s">
        <v>3551</v>
      </c>
      <c r="F4199" s="17">
        <v>30</v>
      </c>
      <c r="G4199" s="18" t="s">
        <v>23</v>
      </c>
      <c r="H4199" s="17">
        <v>17.600000000000001</v>
      </c>
      <c r="I4199" s="15">
        <v>17.899999999999999</v>
      </c>
      <c r="J4199" s="21">
        <f t="shared" si="195"/>
        <v>1.7045454545454381E-2</v>
      </c>
      <c r="K4199" s="1">
        <v>2</v>
      </c>
      <c r="L4199" s="24">
        <v>1.7</v>
      </c>
      <c r="M4199" s="24">
        <v>16.11</v>
      </c>
      <c r="N4199" s="21">
        <f t="shared" si="196"/>
        <v>-8.4659090909091017E-2</v>
      </c>
      <c r="P4199" s="1">
        <v>4</v>
      </c>
      <c r="Q4199" s="24">
        <v>2.1479999999999997</v>
      </c>
      <c r="R4199" s="24">
        <v>15.751999999999999</v>
      </c>
      <c r="S4199" s="21">
        <f t="shared" si="197"/>
        <v>-0.10500000000000013</v>
      </c>
    </row>
    <row r="4200" spans="2:19" ht="11.4" customHeight="1" x14ac:dyDescent="0.2">
      <c r="B4200" s="24"/>
      <c r="C4200" s="14">
        <v>43873</v>
      </c>
      <c r="D4200" s="18" t="s">
        <v>4390</v>
      </c>
      <c r="E4200" s="18" t="s">
        <v>3375</v>
      </c>
      <c r="F4200" s="17">
        <v>8</v>
      </c>
      <c r="G4200" s="18" t="s">
        <v>23</v>
      </c>
      <c r="H4200" s="17">
        <v>345.36</v>
      </c>
      <c r="I4200" s="15">
        <v>434.9</v>
      </c>
      <c r="J4200" s="21">
        <f t="shared" si="195"/>
        <v>0.2592656937688208</v>
      </c>
      <c r="K4200" s="1">
        <v>2</v>
      </c>
      <c r="L4200" s="24">
        <v>43.4</v>
      </c>
      <c r="M4200" s="24">
        <v>391.40999999999997</v>
      </c>
      <c r="N4200" s="21">
        <f t="shared" si="196"/>
        <v>0.13333912439193871</v>
      </c>
      <c r="P4200" s="1">
        <v>4</v>
      </c>
      <c r="Q4200" s="24">
        <v>52.187999999999988</v>
      </c>
      <c r="R4200" s="24">
        <v>382.71199999999999</v>
      </c>
      <c r="S4200" s="21">
        <f t="shared" si="197"/>
        <v>0.10815381051656235</v>
      </c>
    </row>
    <row r="4201" spans="2:19" ht="11.4" customHeight="1" x14ac:dyDescent="0.2">
      <c r="B4201" s="24"/>
      <c r="C4201" s="14">
        <v>24156</v>
      </c>
      <c r="D4201" s="18" t="s">
        <v>4391</v>
      </c>
      <c r="E4201" s="18" t="s">
        <v>3371</v>
      </c>
      <c r="F4201" s="17">
        <v>2.2000000000000002</v>
      </c>
      <c r="G4201" s="18" t="s">
        <v>902</v>
      </c>
      <c r="H4201" s="17">
        <v>305</v>
      </c>
      <c r="I4201" s="15">
        <v>409.9</v>
      </c>
      <c r="J4201" s="21">
        <f t="shared" si="195"/>
        <v>0.34393442622950809</v>
      </c>
      <c r="K4201" s="1">
        <v>2</v>
      </c>
      <c r="L4201" s="24">
        <v>40.9</v>
      </c>
      <c r="M4201" s="24">
        <v>368.90999999999997</v>
      </c>
      <c r="N4201" s="21">
        <f t="shared" si="196"/>
        <v>0.20954098360655726</v>
      </c>
      <c r="P4201" s="1">
        <v>6</v>
      </c>
      <c r="Q4201" s="24">
        <v>61.485000000000014</v>
      </c>
      <c r="R4201" s="24">
        <v>348.41499999999996</v>
      </c>
      <c r="S4201" s="21">
        <f t="shared" si="197"/>
        <v>0.14234426229508185</v>
      </c>
    </row>
    <row r="4202" spans="2:19" ht="11.4" customHeight="1" x14ac:dyDescent="0.2">
      <c r="B4202" s="24"/>
      <c r="C4202" s="14">
        <v>38710</v>
      </c>
      <c r="D4202" s="18" t="s">
        <v>4392</v>
      </c>
      <c r="E4202" s="18" t="s">
        <v>3371</v>
      </c>
      <c r="F4202" s="18"/>
      <c r="G4202" s="18" t="s">
        <v>902</v>
      </c>
      <c r="H4202" s="17">
        <v>210.4</v>
      </c>
      <c r="I4202" s="15">
        <v>245.5</v>
      </c>
      <c r="J4202" s="21">
        <f t="shared" si="195"/>
        <v>0.16682509505703419</v>
      </c>
      <c r="K4202" s="1">
        <v>2</v>
      </c>
      <c r="L4202" s="24">
        <v>24.5</v>
      </c>
      <c r="M4202" s="24">
        <v>220.95000000000002</v>
      </c>
      <c r="N4202" s="21">
        <f t="shared" si="196"/>
        <v>5.0142585551330852E-2</v>
      </c>
      <c r="P4202" s="1">
        <v>6</v>
      </c>
      <c r="Q4202" s="24">
        <v>36.825000000000017</v>
      </c>
      <c r="R4202" s="24">
        <v>208.67499999999998</v>
      </c>
      <c r="S4202" s="21">
        <f t="shared" si="197"/>
        <v>-8.1986692015210208E-3</v>
      </c>
    </row>
    <row r="4203" spans="2:19" ht="11.4" customHeight="1" x14ac:dyDescent="0.2">
      <c r="B4203" s="24"/>
      <c r="C4203" s="14">
        <v>33663</v>
      </c>
      <c r="D4203" s="18" t="s">
        <v>4393</v>
      </c>
      <c r="E4203" s="18" t="s">
        <v>3371</v>
      </c>
      <c r="F4203" s="18"/>
      <c r="G4203" s="18" t="s">
        <v>902</v>
      </c>
      <c r="H4203" s="17">
        <v>237.9</v>
      </c>
      <c r="I4203" s="15">
        <v>269.89999999999998</v>
      </c>
      <c r="J4203" s="21">
        <f t="shared" si="195"/>
        <v>0.13451029844472456</v>
      </c>
      <c r="K4203" s="1">
        <v>2</v>
      </c>
      <c r="L4203" s="24">
        <v>26.9</v>
      </c>
      <c r="M4203" s="24">
        <v>242.91</v>
      </c>
      <c r="N4203" s="21">
        <f t="shared" si="196"/>
        <v>2.1059268600252166E-2</v>
      </c>
      <c r="P4203" s="1">
        <v>6</v>
      </c>
      <c r="Q4203" s="24">
        <v>40.485000000000014</v>
      </c>
      <c r="R4203" s="24">
        <v>229.41499999999996</v>
      </c>
      <c r="S4203" s="21">
        <f t="shared" si="197"/>
        <v>-3.5666246321984202E-2</v>
      </c>
    </row>
    <row r="4204" spans="2:19" ht="11.4" customHeight="1" x14ac:dyDescent="0.2">
      <c r="B4204" s="24"/>
      <c r="C4204" s="14">
        <v>42858</v>
      </c>
      <c r="D4204" s="18" t="s">
        <v>4394</v>
      </c>
      <c r="E4204" s="18" t="s">
        <v>3371</v>
      </c>
      <c r="F4204" s="18"/>
      <c r="G4204" s="18" t="s">
        <v>902</v>
      </c>
      <c r="H4204" s="17">
        <v>167.75</v>
      </c>
      <c r="I4204" s="15">
        <v>244.9</v>
      </c>
      <c r="J4204" s="21">
        <f t="shared" si="195"/>
        <v>0.45991058122205669</v>
      </c>
      <c r="K4204" s="1">
        <v>2</v>
      </c>
      <c r="L4204" s="24">
        <v>24.4</v>
      </c>
      <c r="M4204" s="24">
        <v>220.41</v>
      </c>
      <c r="N4204" s="21">
        <f t="shared" si="196"/>
        <v>0.31391952309985094</v>
      </c>
      <c r="P4204" s="1">
        <v>6</v>
      </c>
      <c r="Q4204" s="24">
        <v>36.735000000000014</v>
      </c>
      <c r="R4204" s="24">
        <v>208.16499999999999</v>
      </c>
      <c r="S4204" s="21">
        <f t="shared" si="197"/>
        <v>0.24092399403874809</v>
      </c>
    </row>
    <row r="4205" spans="2:19" ht="11.4" customHeight="1" x14ac:dyDescent="0.2">
      <c r="B4205" s="24"/>
      <c r="C4205" s="14">
        <v>42561</v>
      </c>
      <c r="D4205" s="18" t="s">
        <v>4395</v>
      </c>
      <c r="E4205" s="18" t="s">
        <v>4118</v>
      </c>
      <c r="F4205" s="17">
        <v>1</v>
      </c>
      <c r="G4205" s="18" t="s">
        <v>23</v>
      </c>
      <c r="H4205" s="17">
        <v>19.239999999999998</v>
      </c>
      <c r="I4205" s="15">
        <v>25.5</v>
      </c>
      <c r="J4205" s="21">
        <f t="shared" si="195"/>
        <v>0.32536382536382547</v>
      </c>
      <c r="K4205" s="1">
        <v>2</v>
      </c>
      <c r="L4205" s="24">
        <v>2.5</v>
      </c>
      <c r="M4205" s="24">
        <v>22.95</v>
      </c>
      <c r="N4205" s="21">
        <f t="shared" si="196"/>
        <v>0.19282744282744288</v>
      </c>
      <c r="P4205" s="1">
        <v>4</v>
      </c>
      <c r="Q4205" s="24">
        <v>3.0599999999999987</v>
      </c>
      <c r="R4205" s="24">
        <v>22.44</v>
      </c>
      <c r="S4205" s="21">
        <f t="shared" si="197"/>
        <v>0.16632016632016647</v>
      </c>
    </row>
    <row r="4206" spans="2:19" ht="11.4" customHeight="1" x14ac:dyDescent="0.2">
      <c r="B4206" s="24"/>
      <c r="C4206" s="14">
        <v>42562</v>
      </c>
      <c r="D4206" s="18" t="s">
        <v>4396</v>
      </c>
      <c r="E4206" s="18" t="s">
        <v>4118</v>
      </c>
      <c r="F4206" s="17">
        <v>1</v>
      </c>
      <c r="G4206" s="18" t="s">
        <v>23</v>
      </c>
      <c r="H4206" s="17">
        <v>19.239999999999998</v>
      </c>
      <c r="I4206" s="15">
        <v>25.5</v>
      </c>
      <c r="J4206" s="21">
        <f t="shared" si="195"/>
        <v>0.32536382536382547</v>
      </c>
      <c r="K4206" s="1">
        <v>2</v>
      </c>
      <c r="L4206" s="24">
        <v>2.5</v>
      </c>
      <c r="M4206" s="24">
        <v>22.95</v>
      </c>
      <c r="N4206" s="21">
        <f t="shared" si="196"/>
        <v>0.19282744282744288</v>
      </c>
      <c r="P4206" s="1">
        <v>4</v>
      </c>
      <c r="Q4206" s="24">
        <v>3.0599999999999987</v>
      </c>
      <c r="R4206" s="24">
        <v>22.44</v>
      </c>
      <c r="S4206" s="21">
        <f t="shared" si="197"/>
        <v>0.16632016632016647</v>
      </c>
    </row>
    <row r="4207" spans="2:19" ht="11.4" customHeight="1" x14ac:dyDescent="0.2">
      <c r="B4207" s="24"/>
      <c r="C4207" s="14">
        <v>42563</v>
      </c>
      <c r="D4207" s="18" t="s">
        <v>4397</v>
      </c>
      <c r="E4207" s="18" t="s">
        <v>4118</v>
      </c>
      <c r="F4207" s="17">
        <v>1</v>
      </c>
      <c r="G4207" s="18" t="s">
        <v>23</v>
      </c>
      <c r="H4207" s="17">
        <v>19.239999999999998</v>
      </c>
      <c r="I4207" s="15">
        <v>25.5</v>
      </c>
      <c r="J4207" s="21">
        <f t="shared" si="195"/>
        <v>0.32536382536382547</v>
      </c>
      <c r="K4207" s="1">
        <v>2</v>
      </c>
      <c r="L4207" s="24">
        <v>2.5</v>
      </c>
      <c r="M4207" s="24">
        <v>22.95</v>
      </c>
      <c r="N4207" s="21">
        <f t="shared" si="196"/>
        <v>0.19282744282744288</v>
      </c>
      <c r="P4207" s="1">
        <v>4</v>
      </c>
      <c r="Q4207" s="24">
        <v>3.0599999999999987</v>
      </c>
      <c r="R4207" s="24">
        <v>22.44</v>
      </c>
      <c r="S4207" s="21">
        <f t="shared" si="197"/>
        <v>0.16632016632016647</v>
      </c>
    </row>
    <row r="4208" spans="2:19" ht="11.4" customHeight="1" x14ac:dyDescent="0.2">
      <c r="B4208" s="24"/>
      <c r="C4208" s="14">
        <v>36448</v>
      </c>
      <c r="D4208" s="18" t="s">
        <v>4398</v>
      </c>
      <c r="E4208" s="18" t="s">
        <v>3371</v>
      </c>
      <c r="F4208" s="17">
        <v>4</v>
      </c>
      <c r="G4208" s="18" t="s">
        <v>902</v>
      </c>
      <c r="H4208" s="17">
        <v>178.5</v>
      </c>
      <c r="I4208" s="15">
        <v>199.9</v>
      </c>
      <c r="J4208" s="21">
        <f t="shared" si="195"/>
        <v>0.11988795518207286</v>
      </c>
      <c r="K4208" s="1">
        <v>2</v>
      </c>
      <c r="L4208" s="24">
        <v>19.899999999999999</v>
      </c>
      <c r="M4208" s="24">
        <v>179.91</v>
      </c>
      <c r="N4208" s="21">
        <f t="shared" si="196"/>
        <v>7.8991596638655279E-3</v>
      </c>
      <c r="P4208" s="1">
        <v>6</v>
      </c>
      <c r="Q4208" s="24">
        <v>29.985000000000014</v>
      </c>
      <c r="R4208" s="24">
        <v>169.91499999999999</v>
      </c>
      <c r="S4208" s="21">
        <f t="shared" si="197"/>
        <v>-4.8095238095238142E-2</v>
      </c>
    </row>
    <row r="4209" spans="2:19" ht="11.4" customHeight="1" x14ac:dyDescent="0.2">
      <c r="B4209" s="24"/>
      <c r="C4209" s="14">
        <v>45394</v>
      </c>
      <c r="D4209" s="18" t="s">
        <v>4399</v>
      </c>
      <c r="E4209" s="18" t="s">
        <v>3371</v>
      </c>
      <c r="F4209" s="18"/>
      <c r="G4209" s="18" t="s">
        <v>902</v>
      </c>
      <c r="H4209" s="18"/>
      <c r="I4209" s="15">
        <v>223</v>
      </c>
      <c r="J4209" s="21" t="e">
        <f t="shared" si="195"/>
        <v>#DIV/0!</v>
      </c>
      <c r="K4209" s="1">
        <v>2</v>
      </c>
      <c r="L4209" s="24">
        <v>22.3</v>
      </c>
      <c r="M4209" s="24">
        <v>200.70000000000002</v>
      </c>
      <c r="N4209" s="21" t="e">
        <f t="shared" si="196"/>
        <v>#DIV/0!</v>
      </c>
      <c r="P4209" s="1">
        <v>6</v>
      </c>
      <c r="Q4209" s="24">
        <v>33.450000000000017</v>
      </c>
      <c r="R4209" s="24">
        <v>189.54999999999998</v>
      </c>
      <c r="S4209" s="21" t="e">
        <f t="shared" si="197"/>
        <v>#DIV/0!</v>
      </c>
    </row>
    <row r="4210" spans="2:19" ht="11.4" customHeight="1" x14ac:dyDescent="0.2">
      <c r="B4210" s="24"/>
      <c r="C4210" s="14">
        <v>42564</v>
      </c>
      <c r="D4210" s="18" t="s">
        <v>4400</v>
      </c>
      <c r="E4210" s="18" t="s">
        <v>4118</v>
      </c>
      <c r="F4210" s="17">
        <v>1</v>
      </c>
      <c r="G4210" s="18" t="s">
        <v>23</v>
      </c>
      <c r="H4210" s="17">
        <v>24.81</v>
      </c>
      <c r="I4210" s="15">
        <v>32.9</v>
      </c>
      <c r="J4210" s="21">
        <f t="shared" si="195"/>
        <v>0.32607819427650142</v>
      </c>
      <c r="K4210" s="1">
        <v>2</v>
      </c>
      <c r="L4210" s="24">
        <v>3.2</v>
      </c>
      <c r="M4210" s="24">
        <v>29.61</v>
      </c>
      <c r="N4210" s="21">
        <f t="shared" si="196"/>
        <v>0.1934703748488513</v>
      </c>
      <c r="P4210" s="1">
        <v>4</v>
      </c>
      <c r="Q4210" s="24">
        <v>3.9480000000000004</v>
      </c>
      <c r="R4210" s="24">
        <v>28.951999999999998</v>
      </c>
      <c r="S4210" s="21">
        <f t="shared" si="197"/>
        <v>0.16694881096332123</v>
      </c>
    </row>
    <row r="4211" spans="2:19" ht="11.4" customHeight="1" x14ac:dyDescent="0.2">
      <c r="B4211" s="24"/>
      <c r="C4211" s="14">
        <v>40937</v>
      </c>
      <c r="D4211" s="18" t="s">
        <v>4401</v>
      </c>
      <c r="E4211" s="18" t="s">
        <v>4265</v>
      </c>
      <c r="F4211" s="18"/>
      <c r="G4211" s="18" t="s">
        <v>902</v>
      </c>
      <c r="H4211" s="17">
        <v>107.5</v>
      </c>
      <c r="I4211" s="15">
        <v>139.9</v>
      </c>
      <c r="J4211" s="21">
        <f t="shared" si="195"/>
        <v>0.30139534883720936</v>
      </c>
      <c r="K4211" s="1">
        <v>2</v>
      </c>
      <c r="L4211" s="24">
        <v>13.9</v>
      </c>
      <c r="M4211" s="24">
        <v>125.91000000000001</v>
      </c>
      <c r="N4211" s="21">
        <f t="shared" si="196"/>
        <v>0.17125581395348846</v>
      </c>
      <c r="P4211" s="1">
        <v>6</v>
      </c>
      <c r="Q4211" s="24">
        <v>20.984999999999999</v>
      </c>
      <c r="R4211" s="24">
        <v>118.91500000000001</v>
      </c>
      <c r="S4211" s="21">
        <f t="shared" si="197"/>
        <v>0.10618604651162797</v>
      </c>
    </row>
    <row r="4212" spans="2:19" ht="11.4" customHeight="1" x14ac:dyDescent="0.2">
      <c r="B4212" s="24"/>
      <c r="C4212" s="14">
        <v>7111</v>
      </c>
      <c r="D4212" s="18" t="s">
        <v>4402</v>
      </c>
      <c r="E4212" s="18" t="s">
        <v>4265</v>
      </c>
      <c r="F4212" s="17">
        <v>7</v>
      </c>
      <c r="G4212" s="18" t="s">
        <v>902</v>
      </c>
      <c r="H4212" s="17">
        <v>117.9</v>
      </c>
      <c r="I4212" s="15">
        <v>129.9</v>
      </c>
      <c r="J4212" s="21">
        <f t="shared" si="195"/>
        <v>0.10178117048346055</v>
      </c>
      <c r="K4212" s="1">
        <v>2</v>
      </c>
      <c r="L4212" s="24">
        <v>12.9</v>
      </c>
      <c r="M4212" s="24">
        <v>116.91000000000001</v>
      </c>
      <c r="N4212" s="21">
        <f t="shared" si="196"/>
        <v>-8.3969465648854515E-3</v>
      </c>
      <c r="P4212" s="1">
        <v>6</v>
      </c>
      <c r="Q4212" s="24">
        <v>19.484999999999999</v>
      </c>
      <c r="R4212" s="24">
        <v>110.41500000000001</v>
      </c>
      <c r="S4212" s="21">
        <f t="shared" si="197"/>
        <v>-6.3486005089058523E-2</v>
      </c>
    </row>
    <row r="4213" spans="2:19" ht="11.4" customHeight="1" x14ac:dyDescent="0.2">
      <c r="B4213" s="24"/>
      <c r="C4213" s="14">
        <v>38708</v>
      </c>
      <c r="D4213" s="18" t="s">
        <v>4403</v>
      </c>
      <c r="E4213" s="18" t="s">
        <v>4265</v>
      </c>
      <c r="F4213" s="17">
        <v>7</v>
      </c>
      <c r="G4213" s="18" t="s">
        <v>902</v>
      </c>
      <c r="H4213" s="17">
        <v>136.4</v>
      </c>
      <c r="I4213" s="15">
        <v>154.9</v>
      </c>
      <c r="J4213" s="21">
        <f t="shared" si="195"/>
        <v>0.13563049853372433</v>
      </c>
      <c r="K4213" s="1">
        <v>2</v>
      </c>
      <c r="L4213" s="24">
        <v>15.4</v>
      </c>
      <c r="M4213" s="24">
        <v>139.41</v>
      </c>
      <c r="N4213" s="21">
        <f t="shared" si="196"/>
        <v>2.2067448680351837E-2</v>
      </c>
      <c r="P4213" s="1">
        <v>6</v>
      </c>
      <c r="Q4213" s="24">
        <v>23.235000000000014</v>
      </c>
      <c r="R4213" s="24">
        <v>131.66499999999999</v>
      </c>
      <c r="S4213" s="21">
        <f t="shared" si="197"/>
        <v>-3.4714076246334408E-2</v>
      </c>
    </row>
    <row r="4214" spans="2:19" ht="11.4" customHeight="1" x14ac:dyDescent="0.2">
      <c r="B4214" s="24"/>
      <c r="C4214" s="14">
        <v>7640</v>
      </c>
      <c r="D4214" s="18" t="s">
        <v>4404</v>
      </c>
      <c r="E4214" s="18" t="s">
        <v>4265</v>
      </c>
      <c r="F4214" s="17">
        <v>8</v>
      </c>
      <c r="G4214" s="18" t="s">
        <v>902</v>
      </c>
      <c r="H4214" s="17">
        <v>117.9</v>
      </c>
      <c r="I4214" s="15">
        <v>129.9</v>
      </c>
      <c r="J4214" s="21">
        <f t="shared" si="195"/>
        <v>0.10178117048346055</v>
      </c>
      <c r="K4214" s="1">
        <v>2</v>
      </c>
      <c r="L4214" s="24">
        <v>12.9</v>
      </c>
      <c r="M4214" s="24">
        <v>116.91000000000001</v>
      </c>
      <c r="N4214" s="21">
        <f t="shared" si="196"/>
        <v>-8.3969465648854515E-3</v>
      </c>
      <c r="P4214" s="1">
        <v>6</v>
      </c>
      <c r="Q4214" s="24">
        <v>19.484999999999999</v>
      </c>
      <c r="R4214" s="24">
        <v>110.41500000000001</v>
      </c>
      <c r="S4214" s="21">
        <f t="shared" si="197"/>
        <v>-6.3486005089058523E-2</v>
      </c>
    </row>
    <row r="4215" spans="2:19" ht="11.4" customHeight="1" x14ac:dyDescent="0.2">
      <c r="B4215" s="24"/>
      <c r="C4215" s="14">
        <v>2817</v>
      </c>
      <c r="D4215" s="18" t="s">
        <v>4405</v>
      </c>
      <c r="E4215" s="18" t="s">
        <v>4265</v>
      </c>
      <c r="F4215" s="17">
        <v>8</v>
      </c>
      <c r="G4215" s="18" t="s">
        <v>902</v>
      </c>
      <c r="H4215" s="17">
        <v>129.1</v>
      </c>
      <c r="I4215" s="15">
        <v>139.9</v>
      </c>
      <c r="J4215" s="21">
        <f t="shared" si="195"/>
        <v>8.3656080557707291E-2</v>
      </c>
      <c r="K4215" s="1">
        <v>2</v>
      </c>
      <c r="L4215" s="24">
        <v>13.9</v>
      </c>
      <c r="M4215" s="24">
        <v>125.91000000000001</v>
      </c>
      <c r="N4215" s="21">
        <f t="shared" si="196"/>
        <v>-2.4709527498063391E-2</v>
      </c>
      <c r="P4215" s="1">
        <v>6</v>
      </c>
      <c r="Q4215" s="24">
        <v>20.984999999999999</v>
      </c>
      <c r="R4215" s="24">
        <v>118.91500000000001</v>
      </c>
      <c r="S4215" s="21">
        <f t="shared" si="197"/>
        <v>-7.8892331525948795E-2</v>
      </c>
    </row>
    <row r="4216" spans="2:19" ht="11.4" customHeight="1" x14ac:dyDescent="0.2">
      <c r="B4216" s="24"/>
      <c r="C4216" s="14">
        <v>34044</v>
      </c>
      <c r="D4216" s="18" t="s">
        <v>4406</v>
      </c>
      <c r="E4216" s="18" t="s">
        <v>4265</v>
      </c>
      <c r="F4216" s="17">
        <v>1</v>
      </c>
      <c r="G4216" s="18" t="s">
        <v>902</v>
      </c>
      <c r="H4216" s="17">
        <v>136.4</v>
      </c>
      <c r="I4216" s="15">
        <v>154.9</v>
      </c>
      <c r="J4216" s="21">
        <f t="shared" si="195"/>
        <v>0.13563049853372433</v>
      </c>
      <c r="K4216" s="1">
        <v>2</v>
      </c>
      <c r="L4216" s="24">
        <v>15.4</v>
      </c>
      <c r="M4216" s="24">
        <v>139.41</v>
      </c>
      <c r="N4216" s="21">
        <f t="shared" si="196"/>
        <v>2.2067448680351837E-2</v>
      </c>
      <c r="P4216" s="1">
        <v>6</v>
      </c>
      <c r="Q4216" s="24">
        <v>23.235000000000014</v>
      </c>
      <c r="R4216" s="24">
        <v>131.66499999999999</v>
      </c>
      <c r="S4216" s="21">
        <f t="shared" si="197"/>
        <v>-3.4714076246334408E-2</v>
      </c>
    </row>
    <row r="4217" spans="2:19" ht="11.4" customHeight="1" x14ac:dyDescent="0.2">
      <c r="B4217" s="24"/>
      <c r="C4217" s="14">
        <v>12182</v>
      </c>
      <c r="D4217" s="18" t="s">
        <v>4407</v>
      </c>
      <c r="E4217" s="18" t="s">
        <v>4265</v>
      </c>
      <c r="F4217" s="18"/>
      <c r="G4217" s="18" t="s">
        <v>902</v>
      </c>
      <c r="H4217" s="17">
        <v>125.9</v>
      </c>
      <c r="I4217" s="15">
        <v>142.6</v>
      </c>
      <c r="J4217" s="21">
        <f t="shared" si="195"/>
        <v>0.13264495631453524</v>
      </c>
      <c r="K4217" s="1">
        <v>2</v>
      </c>
      <c r="L4217" s="24">
        <v>14.2</v>
      </c>
      <c r="M4217" s="24">
        <v>128.34</v>
      </c>
      <c r="N4217" s="21">
        <f t="shared" si="196"/>
        <v>1.9380460683081791E-2</v>
      </c>
      <c r="P4217" s="1">
        <v>6</v>
      </c>
      <c r="Q4217" s="24">
        <v>21.39</v>
      </c>
      <c r="R4217" s="24">
        <v>121.21</v>
      </c>
      <c r="S4217" s="21">
        <f t="shared" si="197"/>
        <v>-3.7251787132645049E-2</v>
      </c>
    </row>
    <row r="4218" spans="2:19" ht="11.4" customHeight="1" x14ac:dyDescent="0.2">
      <c r="B4218" s="24"/>
      <c r="C4218" s="14">
        <v>17162</v>
      </c>
      <c r="D4218" s="18" t="s">
        <v>4408</v>
      </c>
      <c r="E4218" s="18" t="s">
        <v>4265</v>
      </c>
      <c r="F4218" s="17">
        <v>1</v>
      </c>
      <c r="G4218" s="18" t="s">
        <v>902</v>
      </c>
      <c r="H4218" s="17">
        <v>151.4</v>
      </c>
      <c r="I4218" s="15">
        <v>169.9</v>
      </c>
      <c r="J4218" s="21">
        <f t="shared" si="195"/>
        <v>0.12219286657859973</v>
      </c>
      <c r="K4218" s="1">
        <v>2</v>
      </c>
      <c r="L4218" s="24">
        <v>16.899999999999999</v>
      </c>
      <c r="M4218" s="24">
        <v>152.91</v>
      </c>
      <c r="N4218" s="21">
        <f t="shared" si="196"/>
        <v>9.9735799207397013E-3</v>
      </c>
      <c r="P4218" s="1">
        <v>6</v>
      </c>
      <c r="Q4218" s="24">
        <v>25.485000000000014</v>
      </c>
      <c r="R4218" s="24">
        <v>144.41499999999999</v>
      </c>
      <c r="S4218" s="21">
        <f t="shared" si="197"/>
        <v>-4.6136063408190313E-2</v>
      </c>
    </row>
    <row r="4219" spans="2:19" ht="11.4" customHeight="1" x14ac:dyDescent="0.2">
      <c r="B4219" s="24"/>
      <c r="C4219" s="14">
        <v>12193</v>
      </c>
      <c r="D4219" s="18" t="s">
        <v>4409</v>
      </c>
      <c r="E4219" s="18" t="s">
        <v>4265</v>
      </c>
      <c r="F4219" s="17">
        <v>8</v>
      </c>
      <c r="G4219" s="18" t="s">
        <v>902</v>
      </c>
      <c r="H4219" s="17">
        <v>136.4</v>
      </c>
      <c r="I4219" s="15">
        <v>154.9</v>
      </c>
      <c r="J4219" s="21">
        <f t="shared" si="195"/>
        <v>0.13563049853372433</v>
      </c>
      <c r="K4219" s="1">
        <v>2</v>
      </c>
      <c r="L4219" s="24">
        <v>15.4</v>
      </c>
      <c r="M4219" s="24">
        <v>139.41</v>
      </c>
      <c r="N4219" s="21">
        <f t="shared" si="196"/>
        <v>2.2067448680351837E-2</v>
      </c>
      <c r="P4219" s="1">
        <v>6</v>
      </c>
      <c r="Q4219" s="24">
        <v>23.235000000000014</v>
      </c>
      <c r="R4219" s="24">
        <v>131.66499999999999</v>
      </c>
      <c r="S4219" s="21">
        <f t="shared" si="197"/>
        <v>-3.4714076246334408E-2</v>
      </c>
    </row>
    <row r="4220" spans="2:19" ht="11.4" customHeight="1" x14ac:dyDescent="0.2">
      <c r="B4220" s="24"/>
      <c r="C4220" s="14">
        <v>46965</v>
      </c>
      <c r="D4220" s="18" t="s">
        <v>4410</v>
      </c>
      <c r="E4220" s="18" t="s">
        <v>4265</v>
      </c>
      <c r="F4220" s="17">
        <v>4</v>
      </c>
      <c r="G4220" s="18" t="s">
        <v>902</v>
      </c>
      <c r="H4220" s="17">
        <v>93.13</v>
      </c>
      <c r="I4220" s="15">
        <v>139.9</v>
      </c>
      <c r="J4220" s="21">
        <f t="shared" si="195"/>
        <v>0.50220122409535073</v>
      </c>
      <c r="K4220" s="1">
        <v>2</v>
      </c>
      <c r="L4220" s="24">
        <v>13.9</v>
      </c>
      <c r="M4220" s="24">
        <v>125.91000000000001</v>
      </c>
      <c r="N4220" s="21">
        <f t="shared" si="196"/>
        <v>0.3519811016858157</v>
      </c>
      <c r="P4220" s="1">
        <v>6</v>
      </c>
      <c r="Q4220" s="24">
        <v>20.984999999999999</v>
      </c>
      <c r="R4220" s="24">
        <v>118.91500000000001</v>
      </c>
      <c r="S4220" s="21">
        <f t="shared" si="197"/>
        <v>0.2768710404810481</v>
      </c>
    </row>
    <row r="4221" spans="2:19" ht="11.4" customHeight="1" x14ac:dyDescent="0.2">
      <c r="B4221" s="24"/>
      <c r="C4221" s="14">
        <v>37978</v>
      </c>
      <c r="D4221" s="18" t="s">
        <v>4411</v>
      </c>
      <c r="E4221" s="18" t="s">
        <v>4265</v>
      </c>
      <c r="F4221" s="18"/>
      <c r="G4221" s="18" t="s">
        <v>902</v>
      </c>
      <c r="H4221" s="17">
        <v>129.1</v>
      </c>
      <c r="I4221" s="15">
        <v>139.9</v>
      </c>
      <c r="J4221" s="21">
        <f t="shared" si="195"/>
        <v>8.3656080557707291E-2</v>
      </c>
      <c r="K4221" s="1">
        <v>2</v>
      </c>
      <c r="L4221" s="24">
        <v>13.9</v>
      </c>
      <c r="M4221" s="24">
        <v>125.91000000000001</v>
      </c>
      <c r="N4221" s="21">
        <f t="shared" si="196"/>
        <v>-2.4709527498063391E-2</v>
      </c>
      <c r="P4221" s="1">
        <v>6</v>
      </c>
      <c r="Q4221" s="24">
        <v>20.984999999999999</v>
      </c>
      <c r="R4221" s="24">
        <v>118.91500000000001</v>
      </c>
      <c r="S4221" s="21">
        <f t="shared" si="197"/>
        <v>-7.8892331525948795E-2</v>
      </c>
    </row>
    <row r="4222" spans="2:19" ht="11.4" customHeight="1" x14ac:dyDescent="0.2">
      <c r="B4222" s="24"/>
      <c r="C4222" s="14">
        <v>34486</v>
      </c>
      <c r="D4222" s="18" t="s">
        <v>4412</v>
      </c>
      <c r="E4222" s="18" t="s">
        <v>4265</v>
      </c>
      <c r="F4222" s="17">
        <v>1</v>
      </c>
      <c r="G4222" s="18" t="s">
        <v>902</v>
      </c>
      <c r="H4222" s="17">
        <v>129.1</v>
      </c>
      <c r="I4222" s="15">
        <v>139.9</v>
      </c>
      <c r="J4222" s="21">
        <f t="shared" si="195"/>
        <v>8.3656080557707291E-2</v>
      </c>
      <c r="K4222" s="1">
        <v>2</v>
      </c>
      <c r="L4222" s="24">
        <v>13.9</v>
      </c>
      <c r="M4222" s="24">
        <v>125.91000000000001</v>
      </c>
      <c r="N4222" s="21">
        <f t="shared" si="196"/>
        <v>-2.4709527498063391E-2</v>
      </c>
      <c r="P4222" s="1">
        <v>6</v>
      </c>
      <c r="Q4222" s="24">
        <v>20.984999999999999</v>
      </c>
      <c r="R4222" s="24">
        <v>118.91500000000001</v>
      </c>
      <c r="S4222" s="21">
        <f t="shared" si="197"/>
        <v>-7.8892331525948795E-2</v>
      </c>
    </row>
    <row r="4223" spans="2:19" ht="11.4" customHeight="1" x14ac:dyDescent="0.2">
      <c r="B4223" s="24"/>
      <c r="C4223" s="14">
        <v>37977</v>
      </c>
      <c r="D4223" s="18" t="s">
        <v>4413</v>
      </c>
      <c r="E4223" s="18" t="s">
        <v>4265</v>
      </c>
      <c r="F4223" s="18"/>
      <c r="G4223" s="18" t="s">
        <v>902</v>
      </c>
      <c r="H4223" s="17">
        <v>129.1</v>
      </c>
      <c r="I4223" s="15">
        <v>139.9</v>
      </c>
      <c r="J4223" s="21">
        <f t="shared" si="195"/>
        <v>8.3656080557707291E-2</v>
      </c>
      <c r="K4223" s="1">
        <v>2</v>
      </c>
      <c r="L4223" s="24">
        <v>13.9</v>
      </c>
      <c r="M4223" s="24">
        <v>125.91000000000001</v>
      </c>
      <c r="N4223" s="21">
        <f t="shared" si="196"/>
        <v>-2.4709527498063391E-2</v>
      </c>
      <c r="P4223" s="1">
        <v>6</v>
      </c>
      <c r="Q4223" s="24">
        <v>20.984999999999999</v>
      </c>
      <c r="R4223" s="24">
        <v>118.91500000000001</v>
      </c>
      <c r="S4223" s="21">
        <f t="shared" si="197"/>
        <v>-7.8892331525948795E-2</v>
      </c>
    </row>
    <row r="4224" spans="2:19" ht="11.4" customHeight="1" x14ac:dyDescent="0.2">
      <c r="B4224" s="24"/>
      <c r="C4224" s="14">
        <v>2809</v>
      </c>
      <c r="D4224" s="18" t="s">
        <v>4414</v>
      </c>
      <c r="E4224" s="18" t="s">
        <v>4265</v>
      </c>
      <c r="F4224" s="17">
        <v>7</v>
      </c>
      <c r="G4224" s="18" t="s">
        <v>902</v>
      </c>
      <c r="H4224" s="17">
        <v>150.5</v>
      </c>
      <c r="I4224" s="15">
        <v>169.9</v>
      </c>
      <c r="J4224" s="21">
        <f t="shared" si="195"/>
        <v>0.12890365448504987</v>
      </c>
      <c r="K4224" s="1">
        <v>2</v>
      </c>
      <c r="L4224" s="24">
        <v>16.899999999999999</v>
      </c>
      <c r="M4224" s="24">
        <v>152.91</v>
      </c>
      <c r="N4224" s="21">
        <f t="shared" si="196"/>
        <v>1.6013289036544826E-2</v>
      </c>
      <c r="P4224" s="1">
        <v>6</v>
      </c>
      <c r="Q4224" s="24">
        <v>25.485000000000014</v>
      </c>
      <c r="R4224" s="24">
        <v>144.41499999999999</v>
      </c>
      <c r="S4224" s="21">
        <f t="shared" si="197"/>
        <v>-4.0431893687707693E-2</v>
      </c>
    </row>
    <row r="4225" spans="2:19" ht="11.4" customHeight="1" x14ac:dyDescent="0.2">
      <c r="B4225" s="24"/>
      <c r="C4225" s="14">
        <v>2810</v>
      </c>
      <c r="D4225" s="18" t="s">
        <v>4415</v>
      </c>
      <c r="E4225" s="18" t="s">
        <v>4265</v>
      </c>
      <c r="F4225" s="18"/>
      <c r="G4225" s="18" t="s">
        <v>902</v>
      </c>
      <c r="H4225" s="17">
        <v>150.5</v>
      </c>
      <c r="I4225" s="15">
        <v>169.9</v>
      </c>
      <c r="J4225" s="21">
        <f t="shared" si="195"/>
        <v>0.12890365448504987</v>
      </c>
      <c r="K4225" s="1">
        <v>2</v>
      </c>
      <c r="L4225" s="24">
        <v>16.899999999999999</v>
      </c>
      <c r="M4225" s="24">
        <v>152.91</v>
      </c>
      <c r="N4225" s="21">
        <f t="shared" si="196"/>
        <v>1.6013289036544826E-2</v>
      </c>
      <c r="P4225" s="1">
        <v>6</v>
      </c>
      <c r="Q4225" s="24">
        <v>25.485000000000014</v>
      </c>
      <c r="R4225" s="24">
        <v>144.41499999999999</v>
      </c>
      <c r="S4225" s="21">
        <f t="shared" si="197"/>
        <v>-4.0431893687707693E-2</v>
      </c>
    </row>
    <row r="4226" spans="2:19" ht="11.4" customHeight="1" x14ac:dyDescent="0.2">
      <c r="B4226" s="24"/>
      <c r="C4226" s="14">
        <v>25432</v>
      </c>
      <c r="D4226" s="18" t="s">
        <v>4416</v>
      </c>
      <c r="E4226" s="18" t="s">
        <v>4265</v>
      </c>
      <c r="F4226" s="17">
        <v>1</v>
      </c>
      <c r="G4226" s="18" t="s">
        <v>902</v>
      </c>
      <c r="H4226" s="17">
        <v>150.6</v>
      </c>
      <c r="I4226" s="15">
        <v>165.9</v>
      </c>
      <c r="J4226" s="21">
        <f t="shared" si="195"/>
        <v>0.10159362549800804</v>
      </c>
      <c r="K4226" s="1">
        <v>2</v>
      </c>
      <c r="L4226" s="24">
        <v>16.5</v>
      </c>
      <c r="M4226" s="24">
        <v>149.31</v>
      </c>
      <c r="N4226" s="21">
        <f t="shared" si="196"/>
        <v>-8.565737051792777E-3</v>
      </c>
      <c r="P4226" s="1">
        <v>6</v>
      </c>
      <c r="Q4226" s="24">
        <v>24.884999999999991</v>
      </c>
      <c r="R4226" s="24">
        <v>141.01500000000001</v>
      </c>
      <c r="S4226" s="21">
        <f t="shared" si="197"/>
        <v>-6.3645418326693098E-2</v>
      </c>
    </row>
    <row r="4227" spans="2:19" ht="11.4" customHeight="1" x14ac:dyDescent="0.2">
      <c r="B4227" s="24"/>
      <c r="C4227" s="14">
        <v>2815</v>
      </c>
      <c r="D4227" s="18" t="s">
        <v>4417</v>
      </c>
      <c r="E4227" s="18" t="s">
        <v>4265</v>
      </c>
      <c r="F4227" s="17">
        <v>7</v>
      </c>
      <c r="G4227" s="18" t="s">
        <v>902</v>
      </c>
      <c r="H4227" s="17">
        <v>117.9</v>
      </c>
      <c r="I4227" s="15">
        <v>129.9</v>
      </c>
      <c r="J4227" s="21">
        <f t="shared" ref="J4227:J4290" si="198">(I4227-H4227)/H4227</f>
        <v>0.10178117048346055</v>
      </c>
      <c r="K4227" s="1">
        <v>2</v>
      </c>
      <c r="L4227" s="24">
        <v>12.9</v>
      </c>
      <c r="M4227" s="24">
        <v>116.91000000000001</v>
      </c>
      <c r="N4227" s="21">
        <f t="shared" ref="N4227:N4290" si="199">(M4227-H4227)/H4227</f>
        <v>-8.3969465648854515E-3</v>
      </c>
      <c r="P4227" s="1">
        <v>6</v>
      </c>
      <c r="Q4227" s="24">
        <v>19.484999999999999</v>
      </c>
      <c r="R4227" s="24">
        <v>110.41500000000001</v>
      </c>
      <c r="S4227" s="21">
        <f t="shared" ref="S4227:S4290" si="200">(R4227-H4227)/H4227</f>
        <v>-6.3486005089058523E-2</v>
      </c>
    </row>
    <row r="4228" spans="2:19" ht="11.4" customHeight="1" x14ac:dyDescent="0.2">
      <c r="B4228" s="24"/>
      <c r="C4228" s="14">
        <v>38709</v>
      </c>
      <c r="D4228" s="18" t="s">
        <v>4418</v>
      </c>
      <c r="E4228" s="18" t="s">
        <v>4265</v>
      </c>
      <c r="F4228" s="17">
        <v>7</v>
      </c>
      <c r="G4228" s="18" t="s">
        <v>902</v>
      </c>
      <c r="H4228" s="17">
        <v>136.4</v>
      </c>
      <c r="I4228" s="15">
        <v>154.9</v>
      </c>
      <c r="J4228" s="21">
        <f t="shared" si="198"/>
        <v>0.13563049853372433</v>
      </c>
      <c r="K4228" s="1">
        <v>2</v>
      </c>
      <c r="L4228" s="24">
        <v>15.4</v>
      </c>
      <c r="M4228" s="24">
        <v>139.41</v>
      </c>
      <c r="N4228" s="21">
        <f t="shared" si="199"/>
        <v>2.2067448680351837E-2</v>
      </c>
      <c r="P4228" s="1">
        <v>6</v>
      </c>
      <c r="Q4228" s="24">
        <v>23.235000000000014</v>
      </c>
      <c r="R4228" s="24">
        <v>131.66499999999999</v>
      </c>
      <c r="S4228" s="21">
        <f t="shared" si="200"/>
        <v>-3.4714076246334408E-2</v>
      </c>
    </row>
    <row r="4229" spans="2:19" ht="11.4" customHeight="1" x14ac:dyDescent="0.2">
      <c r="B4229" s="24"/>
      <c r="C4229" s="14">
        <v>2796</v>
      </c>
      <c r="D4229" s="18" t="s">
        <v>4419</v>
      </c>
      <c r="E4229" s="18" t="s">
        <v>4265</v>
      </c>
      <c r="F4229" s="17">
        <v>8</v>
      </c>
      <c r="G4229" s="18" t="s">
        <v>902</v>
      </c>
      <c r="H4229" s="17">
        <v>117.9</v>
      </c>
      <c r="I4229" s="15">
        <v>129.9</v>
      </c>
      <c r="J4229" s="21">
        <f t="shared" si="198"/>
        <v>0.10178117048346055</v>
      </c>
      <c r="K4229" s="1">
        <v>2</v>
      </c>
      <c r="L4229" s="24">
        <v>12.9</v>
      </c>
      <c r="M4229" s="24">
        <v>116.91000000000001</v>
      </c>
      <c r="N4229" s="21">
        <f t="shared" si="199"/>
        <v>-8.3969465648854515E-3</v>
      </c>
      <c r="P4229" s="1">
        <v>6</v>
      </c>
      <c r="Q4229" s="24">
        <v>19.484999999999999</v>
      </c>
      <c r="R4229" s="24">
        <v>110.41500000000001</v>
      </c>
      <c r="S4229" s="21">
        <f t="shared" si="200"/>
        <v>-6.3486005089058523E-2</v>
      </c>
    </row>
    <row r="4230" spans="2:19" ht="11.4" customHeight="1" x14ac:dyDescent="0.2">
      <c r="B4230" s="24"/>
      <c r="C4230" s="14">
        <v>5060</v>
      </c>
      <c r="D4230" s="18" t="s">
        <v>4420</v>
      </c>
      <c r="E4230" s="18" t="s">
        <v>4265</v>
      </c>
      <c r="F4230" s="17">
        <v>8</v>
      </c>
      <c r="G4230" s="18" t="s">
        <v>902</v>
      </c>
      <c r="H4230" s="17">
        <v>117.9</v>
      </c>
      <c r="I4230" s="15">
        <v>129.9</v>
      </c>
      <c r="J4230" s="21">
        <f t="shared" si="198"/>
        <v>0.10178117048346055</v>
      </c>
      <c r="K4230" s="1">
        <v>2</v>
      </c>
      <c r="L4230" s="24">
        <v>12.9</v>
      </c>
      <c r="M4230" s="24">
        <v>116.91000000000001</v>
      </c>
      <c r="N4230" s="21">
        <f t="shared" si="199"/>
        <v>-8.3969465648854515E-3</v>
      </c>
      <c r="P4230" s="1">
        <v>6</v>
      </c>
      <c r="Q4230" s="24">
        <v>19.484999999999999</v>
      </c>
      <c r="R4230" s="24">
        <v>110.41500000000001</v>
      </c>
      <c r="S4230" s="21">
        <f t="shared" si="200"/>
        <v>-6.3486005089058523E-2</v>
      </c>
    </row>
    <row r="4231" spans="2:19" ht="11.4" customHeight="1" x14ac:dyDescent="0.2">
      <c r="B4231" s="24"/>
      <c r="C4231" s="14">
        <v>38707</v>
      </c>
      <c r="D4231" s="18" t="s">
        <v>4421</v>
      </c>
      <c r="E4231" s="18" t="s">
        <v>3554</v>
      </c>
      <c r="F4231" s="17">
        <v>40</v>
      </c>
      <c r="G4231" s="18" t="s">
        <v>23</v>
      </c>
      <c r="H4231" s="17">
        <v>32.1</v>
      </c>
      <c r="I4231" s="15">
        <v>34.5</v>
      </c>
      <c r="J4231" s="21">
        <f t="shared" si="198"/>
        <v>7.4766355140186869E-2</v>
      </c>
      <c r="K4231" s="1">
        <v>2</v>
      </c>
      <c r="L4231" s="24">
        <v>3.4</v>
      </c>
      <c r="M4231" s="24">
        <v>31.05</v>
      </c>
      <c r="N4231" s="21">
        <f t="shared" si="199"/>
        <v>-3.2710280373831793E-2</v>
      </c>
      <c r="P4231" s="1">
        <v>4</v>
      </c>
      <c r="Q4231" s="24">
        <v>4.1400000000000006</v>
      </c>
      <c r="R4231" s="24">
        <v>30.36</v>
      </c>
      <c r="S4231" s="21">
        <f t="shared" si="200"/>
        <v>-5.4205607476635574E-2</v>
      </c>
    </row>
    <row r="4232" spans="2:19" ht="11.4" customHeight="1" x14ac:dyDescent="0.2">
      <c r="B4232" s="24"/>
      <c r="C4232" s="14">
        <v>42857</v>
      </c>
      <c r="D4232" s="18" t="s">
        <v>4422</v>
      </c>
      <c r="E4232" s="18" t="s">
        <v>3371</v>
      </c>
      <c r="F4232" s="18"/>
      <c r="G4232" s="18" t="s">
        <v>902</v>
      </c>
      <c r="H4232" s="17">
        <v>141.72999999999999</v>
      </c>
      <c r="I4232" s="15">
        <v>244.9</v>
      </c>
      <c r="J4232" s="21">
        <f t="shared" si="198"/>
        <v>0.72793339448246686</v>
      </c>
      <c r="K4232" s="1">
        <v>2</v>
      </c>
      <c r="L4232" s="24">
        <v>24.4</v>
      </c>
      <c r="M4232" s="24">
        <v>220.41</v>
      </c>
      <c r="N4232" s="21">
        <f t="shared" si="199"/>
        <v>0.55514005503422004</v>
      </c>
      <c r="P4232" s="1">
        <v>6</v>
      </c>
      <c r="Q4232" s="24">
        <v>36.735000000000014</v>
      </c>
      <c r="R4232" s="24">
        <v>208.16499999999999</v>
      </c>
      <c r="S4232" s="21">
        <f t="shared" si="200"/>
        <v>0.46874338531009674</v>
      </c>
    </row>
    <row r="4233" spans="2:19" ht="11.4" customHeight="1" x14ac:dyDescent="0.2">
      <c r="B4233" s="24"/>
      <c r="C4233" s="14">
        <v>47026</v>
      </c>
      <c r="D4233" s="18" t="s">
        <v>4423</v>
      </c>
      <c r="E4233" s="18" t="s">
        <v>3447</v>
      </c>
      <c r="F4233" s="18"/>
      <c r="G4233" s="18" t="s">
        <v>23</v>
      </c>
      <c r="H4233" s="17">
        <v>64.260000000000005</v>
      </c>
      <c r="I4233" s="15">
        <v>94.5</v>
      </c>
      <c r="J4233" s="21">
        <f t="shared" si="198"/>
        <v>0.47058823529411753</v>
      </c>
      <c r="K4233" s="1">
        <v>2</v>
      </c>
      <c r="L4233" s="24">
        <v>9.4</v>
      </c>
      <c r="M4233" s="24">
        <v>85.05</v>
      </c>
      <c r="N4233" s="21">
        <f t="shared" si="199"/>
        <v>0.32352941176470573</v>
      </c>
      <c r="P4233" s="1">
        <v>4</v>
      </c>
      <c r="Q4233" s="24">
        <v>11.340000000000003</v>
      </c>
      <c r="R4233" s="24">
        <v>83.16</v>
      </c>
      <c r="S4233" s="21">
        <f t="shared" si="200"/>
        <v>0.29411764705882337</v>
      </c>
    </row>
    <row r="4234" spans="2:19" ht="11.4" customHeight="1" x14ac:dyDescent="0.2">
      <c r="B4234" s="24"/>
      <c r="C4234" s="14">
        <v>7065</v>
      </c>
      <c r="D4234" s="18" t="s">
        <v>4424</v>
      </c>
      <c r="E4234" s="18" t="s">
        <v>3375</v>
      </c>
      <c r="F4234" s="17">
        <v>4</v>
      </c>
      <c r="G4234" s="18" t="s">
        <v>23</v>
      </c>
      <c r="H4234" s="17">
        <v>274.42</v>
      </c>
      <c r="I4234" s="15">
        <v>360.9</v>
      </c>
      <c r="J4234" s="21">
        <f t="shared" si="198"/>
        <v>0.31513738065738633</v>
      </c>
      <c r="K4234" s="1">
        <v>2</v>
      </c>
      <c r="L4234" s="24">
        <v>36</v>
      </c>
      <c r="M4234" s="24">
        <v>324.81</v>
      </c>
      <c r="N4234" s="21">
        <f t="shared" si="199"/>
        <v>0.18362364259164779</v>
      </c>
      <c r="P4234" s="1">
        <v>4</v>
      </c>
      <c r="Q4234" s="24">
        <v>43.307999999999993</v>
      </c>
      <c r="R4234" s="24">
        <v>317.59199999999998</v>
      </c>
      <c r="S4234" s="21">
        <f t="shared" si="200"/>
        <v>0.15732089497849999</v>
      </c>
    </row>
    <row r="4235" spans="2:19" ht="11.4" customHeight="1" x14ac:dyDescent="0.2">
      <c r="B4235" s="24"/>
      <c r="C4235" s="14">
        <v>14734</v>
      </c>
      <c r="D4235" s="18" t="s">
        <v>4425</v>
      </c>
      <c r="E4235" s="18" t="s">
        <v>3375</v>
      </c>
      <c r="F4235" s="17">
        <v>8</v>
      </c>
      <c r="G4235" s="18" t="s">
        <v>23</v>
      </c>
      <c r="H4235" s="17">
        <v>397.6</v>
      </c>
      <c r="I4235" s="15">
        <v>523</v>
      </c>
      <c r="J4235" s="21">
        <f t="shared" si="198"/>
        <v>0.31539235412474842</v>
      </c>
      <c r="K4235" s="1">
        <v>2</v>
      </c>
      <c r="L4235" s="24">
        <v>52.3</v>
      </c>
      <c r="M4235" s="24">
        <v>470.7</v>
      </c>
      <c r="N4235" s="21">
        <f t="shared" si="199"/>
        <v>0.18385311871227356</v>
      </c>
      <c r="P4235" s="1">
        <v>4</v>
      </c>
      <c r="Q4235" s="24">
        <v>62.759999999999991</v>
      </c>
      <c r="R4235" s="24">
        <v>460.24</v>
      </c>
      <c r="S4235" s="21">
        <f t="shared" si="200"/>
        <v>0.15754527162977863</v>
      </c>
    </row>
    <row r="4236" spans="2:19" ht="11.4" customHeight="1" x14ac:dyDescent="0.2">
      <c r="B4236" s="24"/>
      <c r="C4236" s="14">
        <v>21251</v>
      </c>
      <c r="D4236" s="18" t="s">
        <v>4426</v>
      </c>
      <c r="E4236" s="18" t="s">
        <v>3371</v>
      </c>
      <c r="F4236" s="17">
        <v>5</v>
      </c>
      <c r="G4236" s="18" t="s">
        <v>902</v>
      </c>
      <c r="H4236" s="17">
        <v>303.5</v>
      </c>
      <c r="I4236" s="15">
        <v>364.9</v>
      </c>
      <c r="J4236" s="21">
        <f t="shared" si="198"/>
        <v>0.20230642504118609</v>
      </c>
      <c r="K4236" s="1">
        <v>2</v>
      </c>
      <c r="L4236" s="24">
        <v>36.4</v>
      </c>
      <c r="M4236" s="24">
        <v>328.40999999999997</v>
      </c>
      <c r="N4236" s="21">
        <f t="shared" si="199"/>
        <v>8.2075782537067446E-2</v>
      </c>
      <c r="P4236" s="1">
        <v>6</v>
      </c>
      <c r="Q4236" s="24">
        <v>54.735000000000014</v>
      </c>
      <c r="R4236" s="24">
        <v>310.16499999999996</v>
      </c>
      <c r="S4236" s="21">
        <f t="shared" si="200"/>
        <v>2.1960461285008118E-2</v>
      </c>
    </row>
    <row r="4237" spans="2:19" ht="11.4" customHeight="1" x14ac:dyDescent="0.2">
      <c r="B4237" s="24"/>
      <c r="C4237" s="14">
        <v>15975</v>
      </c>
      <c r="D4237" s="18" t="s">
        <v>4427</v>
      </c>
      <c r="E4237" s="18" t="s">
        <v>3375</v>
      </c>
      <c r="F4237" s="17">
        <v>8</v>
      </c>
      <c r="G4237" s="18" t="s">
        <v>23</v>
      </c>
      <c r="H4237" s="17">
        <v>361.98</v>
      </c>
      <c r="I4237" s="15">
        <v>444.9</v>
      </c>
      <c r="J4237" s="21">
        <f t="shared" si="198"/>
        <v>0.22907342947124137</v>
      </c>
      <c r="K4237" s="1">
        <v>2</v>
      </c>
      <c r="L4237" s="24">
        <v>44.4</v>
      </c>
      <c r="M4237" s="24">
        <v>400.40999999999997</v>
      </c>
      <c r="N4237" s="21">
        <f t="shared" si="199"/>
        <v>0.10616608652411721</v>
      </c>
      <c r="P4237" s="1">
        <v>4</v>
      </c>
      <c r="Q4237" s="24">
        <v>53.387999999999977</v>
      </c>
      <c r="R4237" s="24">
        <v>391.512</v>
      </c>
      <c r="S4237" s="21">
        <f t="shared" si="200"/>
        <v>8.1584617934692474E-2</v>
      </c>
    </row>
    <row r="4238" spans="2:19" ht="11.4" customHeight="1" x14ac:dyDescent="0.2">
      <c r="B4238" s="24"/>
      <c r="C4238" s="14">
        <v>11229</v>
      </c>
      <c r="D4238" s="18" t="s">
        <v>4428</v>
      </c>
      <c r="E4238" s="18" t="s">
        <v>3375</v>
      </c>
      <c r="F4238" s="17">
        <v>8</v>
      </c>
      <c r="G4238" s="18" t="s">
        <v>23</v>
      </c>
      <c r="H4238" s="17">
        <v>136.19999999999999</v>
      </c>
      <c r="I4238" s="15">
        <v>178.9</v>
      </c>
      <c r="J4238" s="21">
        <f t="shared" si="198"/>
        <v>0.31350954478707799</v>
      </c>
      <c r="K4238" s="1">
        <v>2</v>
      </c>
      <c r="L4238" s="24">
        <v>17.8</v>
      </c>
      <c r="M4238" s="24">
        <v>161.01000000000002</v>
      </c>
      <c r="N4238" s="21">
        <f t="shared" si="199"/>
        <v>0.18215859030837028</v>
      </c>
      <c r="P4238" s="1">
        <v>4</v>
      </c>
      <c r="Q4238" s="24">
        <v>21.467999999999989</v>
      </c>
      <c r="R4238" s="24">
        <v>157.43200000000002</v>
      </c>
      <c r="S4238" s="21">
        <f t="shared" si="200"/>
        <v>0.15588839941262869</v>
      </c>
    </row>
    <row r="4239" spans="2:19" ht="11.4" customHeight="1" x14ac:dyDescent="0.2">
      <c r="B4239" s="24"/>
      <c r="C4239" s="14">
        <v>31905</v>
      </c>
      <c r="D4239" s="18" t="s">
        <v>4429</v>
      </c>
      <c r="E4239" s="18" t="s">
        <v>3453</v>
      </c>
      <c r="F4239" s="17">
        <v>9</v>
      </c>
      <c r="G4239" s="18" t="s">
        <v>23</v>
      </c>
      <c r="H4239" s="17">
        <v>78.2</v>
      </c>
      <c r="I4239" s="15">
        <v>89.5</v>
      </c>
      <c r="J4239" s="21">
        <f t="shared" si="198"/>
        <v>0.14450127877237848</v>
      </c>
      <c r="K4239" s="1">
        <v>2</v>
      </c>
      <c r="L4239" s="24">
        <v>8.9</v>
      </c>
      <c r="M4239" s="24">
        <v>80.55</v>
      </c>
      <c r="N4239" s="21">
        <f t="shared" si="199"/>
        <v>3.0051150895140592E-2</v>
      </c>
      <c r="P4239" s="1">
        <v>4</v>
      </c>
      <c r="Q4239" s="24">
        <v>10.739999999999995</v>
      </c>
      <c r="R4239" s="24">
        <v>78.760000000000005</v>
      </c>
      <c r="S4239" s="21">
        <f t="shared" si="200"/>
        <v>7.1611253196931235E-3</v>
      </c>
    </row>
    <row r="4240" spans="2:19" ht="11.4" customHeight="1" x14ac:dyDescent="0.2">
      <c r="B4240" s="24"/>
      <c r="C4240" s="14">
        <v>25319</v>
      </c>
      <c r="D4240" s="18" t="s">
        <v>4430</v>
      </c>
      <c r="E4240" s="18" t="s">
        <v>3375</v>
      </c>
      <c r="F4240" s="18"/>
      <c r="G4240" s="18" t="s">
        <v>23</v>
      </c>
      <c r="H4240" s="17">
        <v>674.16</v>
      </c>
      <c r="I4240" s="15">
        <v>875</v>
      </c>
      <c r="J4240" s="21">
        <f t="shared" si="198"/>
        <v>0.29791147502076665</v>
      </c>
      <c r="K4240" s="1">
        <v>2</v>
      </c>
      <c r="L4240" s="24">
        <v>87.5</v>
      </c>
      <c r="M4240" s="24">
        <v>787.5</v>
      </c>
      <c r="N4240" s="21">
        <f t="shared" si="199"/>
        <v>0.16812032751868999</v>
      </c>
      <c r="P4240" s="1">
        <v>4</v>
      </c>
      <c r="Q4240" s="24">
        <v>105</v>
      </c>
      <c r="R4240" s="24">
        <v>770</v>
      </c>
      <c r="S4240" s="21">
        <f t="shared" si="200"/>
        <v>0.14216209801827465</v>
      </c>
    </row>
    <row r="4241" spans="2:19" ht="11.4" customHeight="1" x14ac:dyDescent="0.2">
      <c r="B4241" s="24"/>
      <c r="C4241" s="14">
        <v>35113</v>
      </c>
      <c r="D4241" s="18" t="s">
        <v>4431</v>
      </c>
      <c r="E4241" s="18" t="s">
        <v>3371</v>
      </c>
      <c r="F4241" s="17">
        <v>1.5</v>
      </c>
      <c r="G4241" s="18" t="s">
        <v>902</v>
      </c>
      <c r="H4241" s="17">
        <v>189</v>
      </c>
      <c r="I4241" s="15">
        <v>279</v>
      </c>
      <c r="J4241" s="21">
        <f t="shared" si="198"/>
        <v>0.47619047619047616</v>
      </c>
      <c r="K4241" s="1">
        <v>2</v>
      </c>
      <c r="L4241" s="24">
        <v>27.9</v>
      </c>
      <c r="M4241" s="24">
        <v>251.1</v>
      </c>
      <c r="N4241" s="21">
        <f t="shared" si="199"/>
        <v>0.32857142857142851</v>
      </c>
      <c r="P4241" s="1">
        <v>6</v>
      </c>
      <c r="Q4241" s="24">
        <v>41.849999999999994</v>
      </c>
      <c r="R4241" s="24">
        <v>237.15</v>
      </c>
      <c r="S4241" s="21">
        <f t="shared" si="200"/>
        <v>0.2547619047619048</v>
      </c>
    </row>
    <row r="4242" spans="2:19" ht="11.4" customHeight="1" x14ac:dyDescent="0.2">
      <c r="B4242" s="24"/>
      <c r="C4242" s="14">
        <v>45401</v>
      </c>
      <c r="D4242" s="18" t="s">
        <v>4432</v>
      </c>
      <c r="E4242" s="18" t="s">
        <v>3371</v>
      </c>
      <c r="F4242" s="18"/>
      <c r="G4242" s="18" t="s">
        <v>902</v>
      </c>
      <c r="H4242" s="18"/>
      <c r="I4242" s="15">
        <v>276</v>
      </c>
      <c r="J4242" s="21" t="e">
        <f t="shared" si="198"/>
        <v>#DIV/0!</v>
      </c>
      <c r="K4242" s="1">
        <v>2</v>
      </c>
      <c r="L4242" s="24">
        <v>27.6</v>
      </c>
      <c r="M4242" s="24">
        <v>248.4</v>
      </c>
      <c r="N4242" s="21" t="e">
        <f t="shared" si="199"/>
        <v>#DIV/0!</v>
      </c>
      <c r="P4242" s="1">
        <v>6</v>
      </c>
      <c r="Q4242" s="24">
        <v>41.400000000000006</v>
      </c>
      <c r="R4242" s="24">
        <v>234.6</v>
      </c>
      <c r="S4242" s="21" t="e">
        <f t="shared" si="200"/>
        <v>#DIV/0!</v>
      </c>
    </row>
    <row r="4243" spans="2:19" ht="11.4" customHeight="1" x14ac:dyDescent="0.2">
      <c r="B4243" s="24"/>
      <c r="C4243" s="14">
        <v>45400</v>
      </c>
      <c r="D4243" s="18" t="s">
        <v>4433</v>
      </c>
      <c r="E4243" s="18" t="s">
        <v>3371</v>
      </c>
      <c r="F4243" s="18"/>
      <c r="G4243" s="18" t="s">
        <v>902</v>
      </c>
      <c r="H4243" s="18"/>
      <c r="I4243" s="15">
        <v>276</v>
      </c>
      <c r="J4243" s="21" t="e">
        <f t="shared" si="198"/>
        <v>#DIV/0!</v>
      </c>
      <c r="K4243" s="1">
        <v>2</v>
      </c>
      <c r="L4243" s="24">
        <v>27.6</v>
      </c>
      <c r="M4243" s="24">
        <v>248.4</v>
      </c>
      <c r="N4243" s="21" t="e">
        <f t="shared" si="199"/>
        <v>#DIV/0!</v>
      </c>
      <c r="P4243" s="1">
        <v>6</v>
      </c>
      <c r="Q4243" s="24">
        <v>41.400000000000006</v>
      </c>
      <c r="R4243" s="24">
        <v>234.6</v>
      </c>
      <c r="S4243" s="21" t="e">
        <f t="shared" si="200"/>
        <v>#DIV/0!</v>
      </c>
    </row>
    <row r="4244" spans="2:19" ht="11.4" customHeight="1" x14ac:dyDescent="0.2">
      <c r="B4244" s="24"/>
      <c r="C4244" s="14">
        <v>8017</v>
      </c>
      <c r="D4244" s="18" t="s">
        <v>4434</v>
      </c>
      <c r="E4244" s="18" t="s">
        <v>4118</v>
      </c>
      <c r="F4244" s="17">
        <v>1</v>
      </c>
      <c r="G4244" s="18" t="s">
        <v>23</v>
      </c>
      <c r="H4244" s="17">
        <v>32.26</v>
      </c>
      <c r="I4244" s="15">
        <v>42.9</v>
      </c>
      <c r="J4244" s="21">
        <f t="shared" si="198"/>
        <v>0.3298202107873528</v>
      </c>
      <c r="K4244" s="1">
        <v>2</v>
      </c>
      <c r="L4244" s="24">
        <v>4.2</v>
      </c>
      <c r="M4244" s="24">
        <v>38.61</v>
      </c>
      <c r="N4244" s="21">
        <f t="shared" si="199"/>
        <v>0.19683818970861755</v>
      </c>
      <c r="P4244" s="1">
        <v>4</v>
      </c>
      <c r="Q4244" s="24">
        <v>5.1479999999999961</v>
      </c>
      <c r="R4244" s="24">
        <v>37.752000000000002</v>
      </c>
      <c r="S4244" s="21">
        <f t="shared" si="200"/>
        <v>0.17024178549287058</v>
      </c>
    </row>
    <row r="4245" spans="2:19" ht="11.4" customHeight="1" x14ac:dyDescent="0.2">
      <c r="B4245" s="24"/>
      <c r="C4245" s="14">
        <v>47644</v>
      </c>
      <c r="D4245" s="18" t="s">
        <v>4435</v>
      </c>
      <c r="E4245" s="18" t="s">
        <v>3371</v>
      </c>
      <c r="F4245" s="17">
        <v>2</v>
      </c>
      <c r="G4245" s="18" t="s">
        <v>902</v>
      </c>
      <c r="H4245" s="18"/>
      <c r="I4245" s="15">
        <v>352.5</v>
      </c>
      <c r="J4245" s="21" t="e">
        <f t="shared" si="198"/>
        <v>#DIV/0!</v>
      </c>
      <c r="K4245" s="1">
        <v>2</v>
      </c>
      <c r="L4245" s="24">
        <v>35.200000000000003</v>
      </c>
      <c r="M4245" s="24">
        <v>317.25</v>
      </c>
      <c r="N4245" s="21" t="e">
        <f t="shared" si="199"/>
        <v>#DIV/0!</v>
      </c>
      <c r="P4245" s="1">
        <v>6</v>
      </c>
      <c r="Q4245" s="24">
        <v>52.875</v>
      </c>
      <c r="R4245" s="24">
        <v>299.625</v>
      </c>
      <c r="S4245" s="21" t="e">
        <f t="shared" si="200"/>
        <v>#DIV/0!</v>
      </c>
    </row>
    <row r="4246" spans="2:19" ht="11.4" customHeight="1" x14ac:dyDescent="0.2">
      <c r="B4246" s="24"/>
      <c r="C4246" s="14">
        <v>47647</v>
      </c>
      <c r="D4246" s="18" t="s">
        <v>4436</v>
      </c>
      <c r="E4246" s="18" t="s">
        <v>3371</v>
      </c>
      <c r="F4246" s="17">
        <v>2</v>
      </c>
      <c r="G4246" s="18" t="s">
        <v>902</v>
      </c>
      <c r="H4246" s="18"/>
      <c r="I4246" s="15">
        <v>352.5</v>
      </c>
      <c r="J4246" s="21" t="e">
        <f t="shared" si="198"/>
        <v>#DIV/0!</v>
      </c>
      <c r="K4246" s="1">
        <v>2</v>
      </c>
      <c r="L4246" s="24">
        <v>35.200000000000003</v>
      </c>
      <c r="M4246" s="24">
        <v>317.25</v>
      </c>
      <c r="N4246" s="21" t="e">
        <f t="shared" si="199"/>
        <v>#DIV/0!</v>
      </c>
      <c r="P4246" s="1">
        <v>6</v>
      </c>
      <c r="Q4246" s="24">
        <v>52.875</v>
      </c>
      <c r="R4246" s="24">
        <v>299.625</v>
      </c>
      <c r="S4246" s="21" t="e">
        <f t="shared" si="200"/>
        <v>#DIV/0!</v>
      </c>
    </row>
    <row r="4247" spans="2:19" ht="11.4" customHeight="1" x14ac:dyDescent="0.2">
      <c r="B4247" s="24"/>
      <c r="C4247" s="14">
        <v>42449</v>
      </c>
      <c r="D4247" s="18" t="s">
        <v>4437</v>
      </c>
      <c r="E4247" s="18" t="s">
        <v>3371</v>
      </c>
      <c r="F4247" s="18"/>
      <c r="G4247" s="18" t="s">
        <v>902</v>
      </c>
      <c r="H4247" s="17">
        <v>200</v>
      </c>
      <c r="I4247" s="15">
        <v>294.89999999999998</v>
      </c>
      <c r="J4247" s="21">
        <f t="shared" si="198"/>
        <v>0.47449999999999987</v>
      </c>
      <c r="K4247" s="1">
        <v>2</v>
      </c>
      <c r="L4247" s="24">
        <v>29.4</v>
      </c>
      <c r="M4247" s="24">
        <v>265.40999999999997</v>
      </c>
      <c r="N4247" s="21">
        <f t="shared" si="199"/>
        <v>0.32704999999999984</v>
      </c>
      <c r="P4247" s="1">
        <v>6</v>
      </c>
      <c r="Q4247" s="24">
        <v>44.235000000000014</v>
      </c>
      <c r="R4247" s="24">
        <v>250.66499999999996</v>
      </c>
      <c r="S4247" s="21">
        <f t="shared" si="200"/>
        <v>0.2533249999999998</v>
      </c>
    </row>
    <row r="4248" spans="2:19" ht="11.4" customHeight="1" x14ac:dyDescent="0.2">
      <c r="B4248" s="24"/>
      <c r="C4248" s="14">
        <v>24143</v>
      </c>
      <c r="D4248" s="18" t="s">
        <v>4438</v>
      </c>
      <c r="E4248" s="18" t="s">
        <v>3375</v>
      </c>
      <c r="F4248" s="17">
        <v>10</v>
      </c>
      <c r="G4248" s="18" t="s">
        <v>23</v>
      </c>
      <c r="H4248" s="17">
        <v>90.1</v>
      </c>
      <c r="I4248" s="15">
        <v>189</v>
      </c>
      <c r="J4248" s="21">
        <f t="shared" si="198"/>
        <v>1.0976692563817982</v>
      </c>
      <c r="K4248" s="1">
        <v>2</v>
      </c>
      <c r="L4248" s="24">
        <v>18.899999999999999</v>
      </c>
      <c r="M4248" s="24">
        <v>170.1</v>
      </c>
      <c r="N4248" s="21">
        <f t="shared" si="199"/>
        <v>0.88790233074361824</v>
      </c>
      <c r="P4248" s="1">
        <v>4</v>
      </c>
      <c r="Q4248" s="24">
        <v>22.680000000000007</v>
      </c>
      <c r="R4248" s="24">
        <v>166.32</v>
      </c>
      <c r="S4248" s="21">
        <f t="shared" si="200"/>
        <v>0.84594894561598233</v>
      </c>
    </row>
    <row r="4249" spans="2:19" ht="11.4" customHeight="1" x14ac:dyDescent="0.2">
      <c r="B4249" s="24"/>
      <c r="C4249" s="14">
        <v>42856</v>
      </c>
      <c r="D4249" s="18" t="s">
        <v>4439</v>
      </c>
      <c r="E4249" s="18" t="s">
        <v>3371</v>
      </c>
      <c r="F4249" s="18"/>
      <c r="G4249" s="18" t="s">
        <v>902</v>
      </c>
      <c r="H4249" s="17">
        <v>164.16</v>
      </c>
      <c r="I4249" s="15">
        <v>244.9</v>
      </c>
      <c r="J4249" s="21">
        <f t="shared" si="198"/>
        <v>0.49183723196881096</v>
      </c>
      <c r="K4249" s="1">
        <v>2</v>
      </c>
      <c r="L4249" s="24">
        <v>24.4</v>
      </c>
      <c r="M4249" s="24">
        <v>220.41</v>
      </c>
      <c r="N4249" s="21">
        <f t="shared" si="199"/>
        <v>0.34265350877192985</v>
      </c>
      <c r="P4249" s="1">
        <v>6</v>
      </c>
      <c r="Q4249" s="24">
        <v>36.735000000000014</v>
      </c>
      <c r="R4249" s="24">
        <v>208.16499999999999</v>
      </c>
      <c r="S4249" s="21">
        <f t="shared" si="200"/>
        <v>0.26806164717348924</v>
      </c>
    </row>
    <row r="4250" spans="2:19" ht="11.4" customHeight="1" x14ac:dyDescent="0.2">
      <c r="B4250" s="24"/>
      <c r="C4250" s="14">
        <v>45681</v>
      </c>
      <c r="D4250" s="18" t="s">
        <v>4440</v>
      </c>
      <c r="E4250" s="18" t="s">
        <v>3375</v>
      </c>
      <c r="F4250" s="17">
        <v>16</v>
      </c>
      <c r="G4250" s="18" t="s">
        <v>23</v>
      </c>
      <c r="H4250" s="17">
        <v>185.6</v>
      </c>
      <c r="I4250" s="15">
        <v>296.89999999999998</v>
      </c>
      <c r="J4250" s="21">
        <f t="shared" si="198"/>
        <v>0.59967672413793094</v>
      </c>
      <c r="K4250" s="1">
        <v>2</v>
      </c>
      <c r="L4250" s="24">
        <v>29.6</v>
      </c>
      <c r="M4250" s="24">
        <v>267.20999999999998</v>
      </c>
      <c r="N4250" s="21">
        <f t="shared" si="199"/>
        <v>0.43970905172413788</v>
      </c>
      <c r="P4250" s="1">
        <v>4</v>
      </c>
      <c r="Q4250" s="24">
        <v>35.627999999999986</v>
      </c>
      <c r="R4250" s="24">
        <v>261.27199999999999</v>
      </c>
      <c r="S4250" s="21">
        <f t="shared" si="200"/>
        <v>0.40771551724137933</v>
      </c>
    </row>
    <row r="4251" spans="2:19" ht="11.4" customHeight="1" x14ac:dyDescent="0.2">
      <c r="B4251" s="24"/>
      <c r="C4251" s="14">
        <v>35558</v>
      </c>
      <c r="D4251" s="18" t="s">
        <v>4441</v>
      </c>
      <c r="E4251" s="18" t="s">
        <v>3453</v>
      </c>
      <c r="F4251" s="17">
        <v>9</v>
      </c>
      <c r="G4251" s="18" t="s">
        <v>23</v>
      </c>
      <c r="H4251" s="17">
        <v>81.099999999999994</v>
      </c>
      <c r="I4251" s="15">
        <v>89.5</v>
      </c>
      <c r="J4251" s="21">
        <f t="shared" si="198"/>
        <v>0.1035758323057954</v>
      </c>
      <c r="K4251" s="1">
        <v>2</v>
      </c>
      <c r="L4251" s="24">
        <v>8.9</v>
      </c>
      <c r="M4251" s="24">
        <v>80.55</v>
      </c>
      <c r="N4251" s="21">
        <f t="shared" si="199"/>
        <v>-6.7817509247841828E-3</v>
      </c>
      <c r="P4251" s="1">
        <v>4</v>
      </c>
      <c r="Q4251" s="24">
        <v>10.739999999999995</v>
      </c>
      <c r="R4251" s="24">
        <v>78.760000000000005</v>
      </c>
      <c r="S4251" s="21">
        <f t="shared" si="200"/>
        <v>-2.8853267570899992E-2</v>
      </c>
    </row>
    <row r="4252" spans="2:19" ht="11.4" customHeight="1" x14ac:dyDescent="0.2">
      <c r="B4252" s="24"/>
      <c r="C4252" s="14">
        <v>35115</v>
      </c>
      <c r="D4252" s="18" t="s">
        <v>4442</v>
      </c>
      <c r="E4252" s="18" t="s">
        <v>3375</v>
      </c>
      <c r="F4252" s="17">
        <v>24</v>
      </c>
      <c r="G4252" s="18" t="s">
        <v>23</v>
      </c>
      <c r="H4252" s="17">
        <v>85.08</v>
      </c>
      <c r="I4252" s="15">
        <v>114.5</v>
      </c>
      <c r="J4252" s="21">
        <f t="shared" si="198"/>
        <v>0.34579219558063001</v>
      </c>
      <c r="K4252" s="1">
        <v>2</v>
      </c>
      <c r="L4252" s="24">
        <v>11.4</v>
      </c>
      <c r="M4252" s="24">
        <v>103.05</v>
      </c>
      <c r="N4252" s="21">
        <f t="shared" si="199"/>
        <v>0.21121297602256697</v>
      </c>
      <c r="P4252" s="1">
        <v>4</v>
      </c>
      <c r="Q4252" s="24">
        <v>13.739999999999995</v>
      </c>
      <c r="R4252" s="24">
        <v>100.76</v>
      </c>
      <c r="S4252" s="21">
        <f t="shared" si="200"/>
        <v>0.18429713211095447</v>
      </c>
    </row>
    <row r="4253" spans="2:19" ht="11.4" customHeight="1" x14ac:dyDescent="0.2">
      <c r="B4253" s="24"/>
      <c r="C4253" s="14">
        <v>34010</v>
      </c>
      <c r="D4253" s="18" t="s">
        <v>4443</v>
      </c>
      <c r="E4253" s="18" t="s">
        <v>3375</v>
      </c>
      <c r="F4253" s="17">
        <v>24</v>
      </c>
      <c r="G4253" s="18" t="s">
        <v>23</v>
      </c>
      <c r="H4253" s="17">
        <v>85.08</v>
      </c>
      <c r="I4253" s="15">
        <v>114.5</v>
      </c>
      <c r="J4253" s="21">
        <f t="shared" si="198"/>
        <v>0.34579219558063001</v>
      </c>
      <c r="K4253" s="1">
        <v>2</v>
      </c>
      <c r="L4253" s="24">
        <v>11.4</v>
      </c>
      <c r="M4253" s="24">
        <v>103.05</v>
      </c>
      <c r="N4253" s="21">
        <f t="shared" si="199"/>
        <v>0.21121297602256697</v>
      </c>
      <c r="P4253" s="1">
        <v>4</v>
      </c>
      <c r="Q4253" s="24">
        <v>13.739999999999995</v>
      </c>
      <c r="R4253" s="24">
        <v>100.76</v>
      </c>
      <c r="S4253" s="21">
        <f t="shared" si="200"/>
        <v>0.18429713211095447</v>
      </c>
    </row>
    <row r="4254" spans="2:19" ht="11.4" customHeight="1" x14ac:dyDescent="0.2">
      <c r="B4254" s="24"/>
      <c r="C4254" s="14">
        <v>16776</v>
      </c>
      <c r="D4254" s="18" t="s">
        <v>4444</v>
      </c>
      <c r="E4254" s="18" t="s">
        <v>3554</v>
      </c>
      <c r="F4254" s="17">
        <v>60</v>
      </c>
      <c r="G4254" s="18" t="s">
        <v>23</v>
      </c>
      <c r="H4254" s="17">
        <v>8.5</v>
      </c>
      <c r="I4254" s="15">
        <v>10.9</v>
      </c>
      <c r="J4254" s="21">
        <f t="shared" si="198"/>
        <v>0.28235294117647064</v>
      </c>
      <c r="K4254" s="1">
        <v>2</v>
      </c>
      <c r="L4254" s="24">
        <v>1</v>
      </c>
      <c r="M4254" s="24">
        <v>9.81</v>
      </c>
      <c r="N4254" s="21">
        <f t="shared" si="199"/>
        <v>0.15411764705882358</v>
      </c>
      <c r="P4254" s="1">
        <v>4</v>
      </c>
      <c r="Q4254" s="24">
        <v>1.3079999999999998</v>
      </c>
      <c r="R4254" s="24">
        <v>9.5920000000000005</v>
      </c>
      <c r="S4254" s="21">
        <f t="shared" si="200"/>
        <v>0.12847058823529417</v>
      </c>
    </row>
    <row r="4255" spans="2:19" ht="11.4" customHeight="1" x14ac:dyDescent="0.2">
      <c r="B4255" s="24"/>
      <c r="C4255" s="14">
        <v>34015</v>
      </c>
      <c r="D4255" s="18" t="s">
        <v>4445</v>
      </c>
      <c r="E4255" s="18" t="s">
        <v>3554</v>
      </c>
      <c r="F4255" s="17">
        <v>60</v>
      </c>
      <c r="G4255" s="18" t="s">
        <v>23</v>
      </c>
      <c r="H4255" s="17">
        <v>28.3</v>
      </c>
      <c r="I4255" s="15">
        <v>31.9</v>
      </c>
      <c r="J4255" s="21">
        <f t="shared" si="198"/>
        <v>0.12720848056537096</v>
      </c>
      <c r="K4255" s="1">
        <v>2</v>
      </c>
      <c r="L4255" s="24">
        <v>3.1</v>
      </c>
      <c r="M4255" s="24">
        <v>28.71</v>
      </c>
      <c r="N4255" s="21">
        <f t="shared" si="199"/>
        <v>1.4487632508833927E-2</v>
      </c>
      <c r="P4255" s="1">
        <v>4</v>
      </c>
      <c r="Q4255" s="24">
        <v>3.8279999999999994</v>
      </c>
      <c r="R4255" s="24">
        <v>28.071999999999999</v>
      </c>
      <c r="S4255" s="21">
        <f t="shared" si="200"/>
        <v>-8.056537102473553E-3</v>
      </c>
    </row>
    <row r="4256" spans="2:19" ht="11.4" customHeight="1" x14ac:dyDescent="0.2">
      <c r="B4256" s="24"/>
      <c r="C4256" s="14">
        <v>34009</v>
      </c>
      <c r="D4256" s="18" t="s">
        <v>4446</v>
      </c>
      <c r="E4256" s="18" t="s">
        <v>3375</v>
      </c>
      <c r="F4256" s="17">
        <v>24</v>
      </c>
      <c r="G4256" s="18" t="s">
        <v>23</v>
      </c>
      <c r="H4256" s="17">
        <v>85.08</v>
      </c>
      <c r="I4256" s="15">
        <v>114.5</v>
      </c>
      <c r="J4256" s="21">
        <f t="shared" si="198"/>
        <v>0.34579219558063001</v>
      </c>
      <c r="K4256" s="1">
        <v>2</v>
      </c>
      <c r="L4256" s="24">
        <v>11.4</v>
      </c>
      <c r="M4256" s="24">
        <v>103.05</v>
      </c>
      <c r="N4256" s="21">
        <f t="shared" si="199"/>
        <v>0.21121297602256697</v>
      </c>
      <c r="P4256" s="1">
        <v>4</v>
      </c>
      <c r="Q4256" s="24">
        <v>13.739999999999995</v>
      </c>
      <c r="R4256" s="24">
        <v>100.76</v>
      </c>
      <c r="S4256" s="21">
        <f t="shared" si="200"/>
        <v>0.18429713211095447</v>
      </c>
    </row>
    <row r="4257" spans="2:19" ht="11.4" customHeight="1" x14ac:dyDescent="0.2">
      <c r="B4257" s="24"/>
      <c r="C4257" s="14">
        <v>28584</v>
      </c>
      <c r="D4257" s="18" t="s">
        <v>4447</v>
      </c>
      <c r="E4257" s="18" t="s">
        <v>3324</v>
      </c>
      <c r="F4257" s="18"/>
      <c r="G4257" s="18" t="s">
        <v>23</v>
      </c>
      <c r="H4257" s="17">
        <v>9.6999999999999993</v>
      </c>
      <c r="I4257" s="15">
        <v>13.5</v>
      </c>
      <c r="J4257" s="21">
        <f t="shared" si="198"/>
        <v>0.39175257731958774</v>
      </c>
      <c r="K4257" s="1">
        <v>2</v>
      </c>
      <c r="L4257" s="24">
        <v>1.3</v>
      </c>
      <c r="M4257" s="24">
        <v>12.15</v>
      </c>
      <c r="N4257" s="21">
        <f t="shared" si="199"/>
        <v>0.25257731958762897</v>
      </c>
      <c r="P4257" s="1">
        <v>4</v>
      </c>
      <c r="Q4257" s="24">
        <v>1.6199999999999992</v>
      </c>
      <c r="R4257" s="24">
        <v>11.88</v>
      </c>
      <c r="S4257" s="21">
        <f t="shared" si="200"/>
        <v>0.22474226804123729</v>
      </c>
    </row>
    <row r="4258" spans="2:19" ht="11.4" customHeight="1" x14ac:dyDescent="0.2">
      <c r="B4258" s="24"/>
      <c r="C4258" s="14">
        <v>42859</v>
      </c>
      <c r="D4258" s="18" t="s">
        <v>4448</v>
      </c>
      <c r="E4258" s="18" t="s">
        <v>4263</v>
      </c>
      <c r="F4258" s="18"/>
      <c r="G4258" s="18" t="s">
        <v>902</v>
      </c>
      <c r="H4258" s="18"/>
      <c r="I4258" s="15">
        <v>204.9</v>
      </c>
      <c r="J4258" s="21" t="e">
        <f t="shared" si="198"/>
        <v>#DIV/0!</v>
      </c>
      <c r="K4258" s="1">
        <v>2</v>
      </c>
      <c r="L4258" s="24">
        <v>20.399999999999999</v>
      </c>
      <c r="M4258" s="24">
        <v>184.41</v>
      </c>
      <c r="N4258" s="21" t="e">
        <f t="shared" si="199"/>
        <v>#DIV/0!</v>
      </c>
      <c r="P4258" s="1">
        <v>6</v>
      </c>
      <c r="Q4258" s="24">
        <v>30.735000000000014</v>
      </c>
      <c r="R4258" s="24">
        <v>174.16499999999999</v>
      </c>
      <c r="S4258" s="21" t="e">
        <f t="shared" si="200"/>
        <v>#DIV/0!</v>
      </c>
    </row>
    <row r="4259" spans="2:19" ht="11.4" customHeight="1" x14ac:dyDescent="0.2">
      <c r="B4259" s="24"/>
      <c r="C4259" s="14">
        <v>42872</v>
      </c>
      <c r="D4259" s="18" t="s">
        <v>4449</v>
      </c>
      <c r="E4259" s="18" t="s">
        <v>3371</v>
      </c>
      <c r="F4259" s="17">
        <v>2</v>
      </c>
      <c r="G4259" s="18" t="s">
        <v>902</v>
      </c>
      <c r="H4259" s="17">
        <v>431.25</v>
      </c>
      <c r="I4259" s="15">
        <v>579.9</v>
      </c>
      <c r="J4259" s="21">
        <f t="shared" si="198"/>
        <v>0.34469565217391301</v>
      </c>
      <c r="K4259" s="1">
        <v>2</v>
      </c>
      <c r="L4259" s="24">
        <v>57.9</v>
      </c>
      <c r="M4259" s="24">
        <v>521.91</v>
      </c>
      <c r="N4259" s="21">
        <f t="shared" si="199"/>
        <v>0.21022608695652167</v>
      </c>
      <c r="P4259" s="1">
        <v>6</v>
      </c>
      <c r="Q4259" s="24">
        <v>86.985000000000014</v>
      </c>
      <c r="R4259" s="24">
        <v>492.91499999999996</v>
      </c>
      <c r="S4259" s="21">
        <f t="shared" si="200"/>
        <v>0.142991304347826</v>
      </c>
    </row>
    <row r="4260" spans="2:19" ht="11.4" customHeight="1" x14ac:dyDescent="0.2">
      <c r="B4260" s="24"/>
      <c r="C4260" s="14">
        <v>43330</v>
      </c>
      <c r="D4260" s="18" t="s">
        <v>4450</v>
      </c>
      <c r="E4260" s="18" t="s">
        <v>3375</v>
      </c>
      <c r="F4260" s="17">
        <v>3</v>
      </c>
      <c r="G4260" s="18" t="s">
        <v>23</v>
      </c>
      <c r="H4260" s="17">
        <v>378.26</v>
      </c>
      <c r="I4260" s="15">
        <v>472.9</v>
      </c>
      <c r="J4260" s="21">
        <f t="shared" si="198"/>
        <v>0.25019827631787656</v>
      </c>
      <c r="K4260" s="1">
        <v>2</v>
      </c>
      <c r="L4260" s="24">
        <v>47.2</v>
      </c>
      <c r="M4260" s="24">
        <v>425.61</v>
      </c>
      <c r="N4260" s="21">
        <f t="shared" si="199"/>
        <v>0.12517844868608899</v>
      </c>
      <c r="P4260" s="1">
        <v>4</v>
      </c>
      <c r="Q4260" s="24">
        <v>56.74799999999999</v>
      </c>
      <c r="R4260" s="24">
        <v>416.15199999999999</v>
      </c>
      <c r="S4260" s="21">
        <f t="shared" si="200"/>
        <v>0.10017448315973139</v>
      </c>
    </row>
    <row r="4261" spans="2:19" ht="11.4" customHeight="1" x14ac:dyDescent="0.2">
      <c r="B4261" s="24"/>
      <c r="C4261" s="14">
        <v>41256</v>
      </c>
      <c r="D4261" s="18" t="s">
        <v>4451</v>
      </c>
      <c r="E4261" s="18" t="s">
        <v>3371</v>
      </c>
      <c r="F4261" s="18"/>
      <c r="G4261" s="18" t="s">
        <v>902</v>
      </c>
      <c r="H4261" s="17">
        <v>311.44</v>
      </c>
      <c r="I4261" s="15">
        <v>494.9</v>
      </c>
      <c r="J4261" s="21">
        <f t="shared" si="198"/>
        <v>0.58907012586694063</v>
      </c>
      <c r="K4261" s="1">
        <v>2</v>
      </c>
      <c r="L4261" s="24">
        <v>49.4</v>
      </c>
      <c r="M4261" s="24">
        <v>445.40999999999997</v>
      </c>
      <c r="N4261" s="21">
        <f t="shared" si="199"/>
        <v>0.43016311328024648</v>
      </c>
      <c r="P4261" s="1">
        <v>6</v>
      </c>
      <c r="Q4261" s="24">
        <v>74.235000000000014</v>
      </c>
      <c r="R4261" s="24">
        <v>420.66499999999996</v>
      </c>
      <c r="S4261" s="21">
        <f t="shared" si="200"/>
        <v>0.35070960698689946</v>
      </c>
    </row>
    <row r="4262" spans="2:19" ht="11.4" customHeight="1" x14ac:dyDescent="0.2">
      <c r="B4262" s="24"/>
      <c r="C4262" s="14">
        <v>37467</v>
      </c>
      <c r="D4262" s="18" t="s">
        <v>4452</v>
      </c>
      <c r="E4262" s="18" t="s">
        <v>3371</v>
      </c>
      <c r="F4262" s="17">
        <v>2</v>
      </c>
      <c r="G4262" s="18" t="s">
        <v>902</v>
      </c>
      <c r="H4262" s="17">
        <v>483</v>
      </c>
      <c r="I4262" s="15">
        <v>564.5</v>
      </c>
      <c r="J4262" s="21">
        <f t="shared" si="198"/>
        <v>0.16873706004140787</v>
      </c>
      <c r="K4262" s="1">
        <v>2</v>
      </c>
      <c r="L4262" s="24">
        <v>56.4</v>
      </c>
      <c r="M4262" s="24">
        <v>508.05</v>
      </c>
      <c r="N4262" s="21">
        <f t="shared" si="199"/>
        <v>5.1863354037267106E-2</v>
      </c>
      <c r="P4262" s="1">
        <v>6</v>
      </c>
      <c r="Q4262" s="24">
        <v>84.675000000000011</v>
      </c>
      <c r="R4262" s="24">
        <v>479.82499999999999</v>
      </c>
      <c r="S4262" s="21">
        <f t="shared" si="200"/>
        <v>-6.5734989648033358E-3</v>
      </c>
    </row>
    <row r="4263" spans="2:19" ht="11.4" customHeight="1" x14ac:dyDescent="0.2">
      <c r="B4263" s="24"/>
      <c r="C4263" s="14">
        <v>37468</v>
      </c>
      <c r="D4263" s="18" t="s">
        <v>4453</v>
      </c>
      <c r="E4263" s="18" t="s">
        <v>3371</v>
      </c>
      <c r="F4263" s="17">
        <v>2</v>
      </c>
      <c r="G4263" s="18" t="s">
        <v>902</v>
      </c>
      <c r="H4263" s="17">
        <v>483</v>
      </c>
      <c r="I4263" s="15">
        <v>564.5</v>
      </c>
      <c r="J4263" s="21">
        <f t="shared" si="198"/>
        <v>0.16873706004140787</v>
      </c>
      <c r="K4263" s="1">
        <v>2</v>
      </c>
      <c r="L4263" s="24">
        <v>56.4</v>
      </c>
      <c r="M4263" s="24">
        <v>508.05</v>
      </c>
      <c r="N4263" s="21">
        <f t="shared" si="199"/>
        <v>5.1863354037267106E-2</v>
      </c>
      <c r="P4263" s="1">
        <v>6</v>
      </c>
      <c r="Q4263" s="24">
        <v>84.675000000000011</v>
      </c>
      <c r="R4263" s="24">
        <v>479.82499999999999</v>
      </c>
      <c r="S4263" s="21">
        <f t="shared" si="200"/>
        <v>-6.5734989648033358E-3</v>
      </c>
    </row>
    <row r="4264" spans="2:19" ht="11.4" customHeight="1" x14ac:dyDescent="0.2">
      <c r="B4264" s="24"/>
      <c r="C4264" s="14">
        <v>2767</v>
      </c>
      <c r="D4264" s="18" t="s">
        <v>4454</v>
      </c>
      <c r="E4264" s="18" t="s">
        <v>3371</v>
      </c>
      <c r="F4264" s="17">
        <v>2</v>
      </c>
      <c r="G4264" s="18" t="s">
        <v>902</v>
      </c>
      <c r="H4264" s="17">
        <v>483</v>
      </c>
      <c r="I4264" s="15">
        <v>564.5</v>
      </c>
      <c r="J4264" s="21">
        <f t="shared" si="198"/>
        <v>0.16873706004140787</v>
      </c>
      <c r="K4264" s="1">
        <v>2</v>
      </c>
      <c r="L4264" s="24">
        <v>56.4</v>
      </c>
      <c r="M4264" s="24">
        <v>508.05</v>
      </c>
      <c r="N4264" s="21">
        <f t="shared" si="199"/>
        <v>5.1863354037267106E-2</v>
      </c>
      <c r="P4264" s="1">
        <v>6</v>
      </c>
      <c r="Q4264" s="24">
        <v>84.675000000000011</v>
      </c>
      <c r="R4264" s="24">
        <v>479.82499999999999</v>
      </c>
      <c r="S4264" s="21">
        <f t="shared" si="200"/>
        <v>-6.5734989648033358E-3</v>
      </c>
    </row>
    <row r="4265" spans="2:19" ht="11.4" customHeight="1" x14ac:dyDescent="0.2">
      <c r="B4265" s="24"/>
      <c r="C4265" s="14">
        <v>2768</v>
      </c>
      <c r="D4265" s="18" t="s">
        <v>4455</v>
      </c>
      <c r="E4265" s="18" t="s">
        <v>3371</v>
      </c>
      <c r="F4265" s="17">
        <v>2</v>
      </c>
      <c r="G4265" s="18" t="s">
        <v>902</v>
      </c>
      <c r="H4265" s="17">
        <v>467.2</v>
      </c>
      <c r="I4265" s="15">
        <v>564.5</v>
      </c>
      <c r="J4265" s="21">
        <f t="shared" si="198"/>
        <v>0.20826198630136988</v>
      </c>
      <c r="K4265" s="1">
        <v>2</v>
      </c>
      <c r="L4265" s="24">
        <v>56.4</v>
      </c>
      <c r="M4265" s="24">
        <v>508.05</v>
      </c>
      <c r="N4265" s="21">
        <f t="shared" si="199"/>
        <v>8.7435787671232931E-2</v>
      </c>
      <c r="P4265" s="1">
        <v>6</v>
      </c>
      <c r="Q4265" s="24">
        <v>84.675000000000011</v>
      </c>
      <c r="R4265" s="24">
        <v>479.82499999999999</v>
      </c>
      <c r="S4265" s="21">
        <f t="shared" si="200"/>
        <v>2.7022688356164386E-2</v>
      </c>
    </row>
    <row r="4266" spans="2:19" ht="11.4" customHeight="1" x14ac:dyDescent="0.2">
      <c r="B4266" s="24"/>
      <c r="C4266" s="14">
        <v>19912</v>
      </c>
      <c r="D4266" s="18" t="s">
        <v>4456</v>
      </c>
      <c r="E4266" s="18" t="s">
        <v>3371</v>
      </c>
      <c r="F4266" s="18"/>
      <c r="G4266" s="18" t="s">
        <v>902</v>
      </c>
      <c r="H4266" s="17">
        <v>147.16</v>
      </c>
      <c r="I4266" s="15">
        <v>243.9</v>
      </c>
      <c r="J4266" s="21">
        <f t="shared" si="198"/>
        <v>0.65737972275074752</v>
      </c>
      <c r="K4266" s="1">
        <v>2</v>
      </c>
      <c r="L4266" s="24">
        <v>24.3</v>
      </c>
      <c r="M4266" s="24">
        <v>219.51000000000002</v>
      </c>
      <c r="N4266" s="21">
        <f t="shared" si="199"/>
        <v>0.49164175047567288</v>
      </c>
      <c r="P4266" s="1">
        <v>6</v>
      </c>
      <c r="Q4266" s="24">
        <v>36.585000000000008</v>
      </c>
      <c r="R4266" s="24">
        <v>207.315</v>
      </c>
      <c r="S4266" s="21">
        <f t="shared" si="200"/>
        <v>0.40877276433813536</v>
      </c>
    </row>
    <row r="4267" spans="2:19" ht="11.4" customHeight="1" x14ac:dyDescent="0.2">
      <c r="B4267" s="24"/>
      <c r="C4267" s="14">
        <v>46962</v>
      </c>
      <c r="D4267" s="18" t="s">
        <v>4457</v>
      </c>
      <c r="E4267" s="18" t="s">
        <v>3371</v>
      </c>
      <c r="F4267" s="18"/>
      <c r="G4267" s="18" t="s">
        <v>902</v>
      </c>
      <c r="H4267" s="17">
        <v>273.77999999999997</v>
      </c>
      <c r="I4267" s="15">
        <v>397.9</v>
      </c>
      <c r="J4267" s="21">
        <f t="shared" si="198"/>
        <v>0.45335670976696624</v>
      </c>
      <c r="K4267" s="1">
        <v>2</v>
      </c>
      <c r="L4267" s="24">
        <v>39.700000000000003</v>
      </c>
      <c r="M4267" s="24">
        <v>358.11</v>
      </c>
      <c r="N4267" s="21">
        <f t="shared" si="199"/>
        <v>0.30802103879026976</v>
      </c>
      <c r="P4267" s="1">
        <v>6</v>
      </c>
      <c r="Q4267" s="24">
        <v>59.685000000000002</v>
      </c>
      <c r="R4267" s="24">
        <v>338.21499999999997</v>
      </c>
      <c r="S4267" s="21">
        <f t="shared" si="200"/>
        <v>0.23535320330192128</v>
      </c>
    </row>
    <row r="4268" spans="2:19" ht="11.4" customHeight="1" x14ac:dyDescent="0.2">
      <c r="B4268" s="24"/>
      <c r="C4268" s="14">
        <v>7986</v>
      </c>
      <c r="D4268" s="18" t="s">
        <v>4458</v>
      </c>
      <c r="E4268" s="18" t="s">
        <v>4118</v>
      </c>
      <c r="F4268" s="17">
        <v>1</v>
      </c>
      <c r="G4268" s="18" t="s">
        <v>23</v>
      </c>
      <c r="H4268" s="17">
        <v>24.8</v>
      </c>
      <c r="I4268" s="15">
        <v>32.9</v>
      </c>
      <c r="J4268" s="21">
        <f t="shared" si="198"/>
        <v>0.32661290322580638</v>
      </c>
      <c r="K4268" s="1">
        <v>2</v>
      </c>
      <c r="L4268" s="24">
        <v>3.2</v>
      </c>
      <c r="M4268" s="24">
        <v>29.61</v>
      </c>
      <c r="N4268" s="21">
        <f t="shared" si="199"/>
        <v>0.19395161290322574</v>
      </c>
      <c r="P4268" s="1">
        <v>4</v>
      </c>
      <c r="Q4268" s="24">
        <v>3.9480000000000004</v>
      </c>
      <c r="R4268" s="24">
        <v>28.951999999999998</v>
      </c>
      <c r="S4268" s="21">
        <f t="shared" si="200"/>
        <v>0.16741935483870957</v>
      </c>
    </row>
    <row r="4269" spans="2:19" ht="11.4" customHeight="1" x14ac:dyDescent="0.2">
      <c r="B4269" s="24"/>
      <c r="C4269" s="14">
        <v>4576</v>
      </c>
      <c r="D4269" s="18" t="s">
        <v>4459</v>
      </c>
      <c r="E4269" s="18" t="s">
        <v>3375</v>
      </c>
      <c r="F4269" s="17">
        <v>8</v>
      </c>
      <c r="G4269" s="18" t="s">
        <v>23</v>
      </c>
      <c r="H4269" s="17">
        <v>136.19999999999999</v>
      </c>
      <c r="I4269" s="15">
        <v>178.9</v>
      </c>
      <c r="J4269" s="21">
        <f t="shared" si="198"/>
        <v>0.31350954478707799</v>
      </c>
      <c r="K4269" s="1">
        <v>2</v>
      </c>
      <c r="L4269" s="24">
        <v>17.8</v>
      </c>
      <c r="M4269" s="24">
        <v>161.01000000000002</v>
      </c>
      <c r="N4269" s="21">
        <f t="shared" si="199"/>
        <v>0.18215859030837028</v>
      </c>
      <c r="P4269" s="1">
        <v>4</v>
      </c>
      <c r="Q4269" s="24">
        <v>21.467999999999989</v>
      </c>
      <c r="R4269" s="24">
        <v>157.43200000000002</v>
      </c>
      <c r="S4269" s="21">
        <f t="shared" si="200"/>
        <v>0.15588839941262869</v>
      </c>
    </row>
    <row r="4270" spans="2:19" ht="11.4" customHeight="1" x14ac:dyDescent="0.2">
      <c r="B4270" s="24"/>
      <c r="C4270" s="14">
        <v>44513</v>
      </c>
      <c r="D4270" s="18" t="s">
        <v>4460</v>
      </c>
      <c r="E4270" s="18" t="s">
        <v>4279</v>
      </c>
      <c r="F4270" s="18"/>
      <c r="G4270" s="18" t="s">
        <v>23</v>
      </c>
      <c r="H4270" s="17">
        <v>35.11</v>
      </c>
      <c r="I4270" s="15">
        <v>45.9</v>
      </c>
      <c r="J4270" s="21">
        <f t="shared" si="198"/>
        <v>0.30731985189404726</v>
      </c>
      <c r="K4270" s="1">
        <v>2</v>
      </c>
      <c r="L4270" s="24">
        <v>4.5</v>
      </c>
      <c r="M4270" s="24">
        <v>41.31</v>
      </c>
      <c r="N4270" s="21">
        <f t="shared" si="199"/>
        <v>0.17658786670464263</v>
      </c>
      <c r="P4270" s="1">
        <v>4</v>
      </c>
      <c r="Q4270" s="24">
        <v>5.5080000000000027</v>
      </c>
      <c r="R4270" s="24">
        <v>40.391999999999996</v>
      </c>
      <c r="S4270" s="21">
        <f t="shared" si="200"/>
        <v>0.1504414696667615</v>
      </c>
    </row>
    <row r="4271" spans="2:19" ht="11.4" customHeight="1" x14ac:dyDescent="0.2">
      <c r="B4271" s="24"/>
      <c r="C4271" s="14">
        <v>44512</v>
      </c>
      <c r="D4271" s="18" t="s">
        <v>4461</v>
      </c>
      <c r="E4271" s="18" t="s">
        <v>4279</v>
      </c>
      <c r="F4271" s="18"/>
      <c r="G4271" s="18" t="s">
        <v>23</v>
      </c>
      <c r="H4271" s="17">
        <v>34.78</v>
      </c>
      <c r="I4271" s="15">
        <v>45.9</v>
      </c>
      <c r="J4271" s="21">
        <f t="shared" si="198"/>
        <v>0.31972397929844731</v>
      </c>
      <c r="K4271" s="1">
        <v>2</v>
      </c>
      <c r="L4271" s="24">
        <v>4.5</v>
      </c>
      <c r="M4271" s="24">
        <v>41.31</v>
      </c>
      <c r="N4271" s="21">
        <f t="shared" si="199"/>
        <v>0.18775158136860268</v>
      </c>
      <c r="P4271" s="1">
        <v>4</v>
      </c>
      <c r="Q4271" s="24">
        <v>5.5080000000000027</v>
      </c>
      <c r="R4271" s="24">
        <v>40.391999999999996</v>
      </c>
      <c r="S4271" s="21">
        <f t="shared" si="200"/>
        <v>0.16135710178263354</v>
      </c>
    </row>
    <row r="4272" spans="2:19" ht="11.4" customHeight="1" x14ac:dyDescent="0.2">
      <c r="B4272" s="24"/>
      <c r="C4272" s="14">
        <v>44511</v>
      </c>
      <c r="D4272" s="18" t="s">
        <v>4462</v>
      </c>
      <c r="E4272" s="18" t="s">
        <v>4279</v>
      </c>
      <c r="F4272" s="18"/>
      <c r="G4272" s="18" t="s">
        <v>23</v>
      </c>
      <c r="H4272" s="17">
        <v>34.78</v>
      </c>
      <c r="I4272" s="15">
        <v>45.9</v>
      </c>
      <c r="J4272" s="21">
        <f t="shared" si="198"/>
        <v>0.31972397929844731</v>
      </c>
      <c r="K4272" s="1">
        <v>2</v>
      </c>
      <c r="L4272" s="24">
        <v>4.5</v>
      </c>
      <c r="M4272" s="24">
        <v>41.31</v>
      </c>
      <c r="N4272" s="21">
        <f t="shared" si="199"/>
        <v>0.18775158136860268</v>
      </c>
      <c r="P4272" s="1">
        <v>4</v>
      </c>
      <c r="Q4272" s="24">
        <v>5.5080000000000027</v>
      </c>
      <c r="R4272" s="24">
        <v>40.391999999999996</v>
      </c>
      <c r="S4272" s="21">
        <f t="shared" si="200"/>
        <v>0.16135710178263354</v>
      </c>
    </row>
    <row r="4273" spans="2:19" ht="11.4" customHeight="1" x14ac:dyDescent="0.2">
      <c r="B4273" s="24"/>
      <c r="C4273" s="14">
        <v>43069</v>
      </c>
      <c r="D4273" s="18" t="s">
        <v>4463</v>
      </c>
      <c r="E4273" s="18" t="s">
        <v>3375</v>
      </c>
      <c r="F4273" s="17">
        <v>10</v>
      </c>
      <c r="G4273" s="18" t="s">
        <v>23</v>
      </c>
      <c r="H4273" s="17">
        <v>140.18</v>
      </c>
      <c r="I4273" s="15">
        <v>179.9</v>
      </c>
      <c r="J4273" s="21">
        <f t="shared" si="198"/>
        <v>0.28334997859894417</v>
      </c>
      <c r="K4273" s="1">
        <v>2</v>
      </c>
      <c r="L4273" s="24">
        <v>17.899999999999999</v>
      </c>
      <c r="M4273" s="24">
        <v>161.91</v>
      </c>
      <c r="N4273" s="21">
        <f t="shared" si="199"/>
        <v>0.15501498073904971</v>
      </c>
      <c r="P4273" s="1">
        <v>4</v>
      </c>
      <c r="Q4273" s="24">
        <v>21.587999999999994</v>
      </c>
      <c r="R4273" s="24">
        <v>158.31200000000001</v>
      </c>
      <c r="S4273" s="21">
        <f t="shared" si="200"/>
        <v>0.12934798116707094</v>
      </c>
    </row>
    <row r="4274" spans="2:19" ht="11.4" customHeight="1" x14ac:dyDescent="0.2">
      <c r="B4274" s="24"/>
      <c r="C4274" s="14">
        <v>5240</v>
      </c>
      <c r="D4274" s="18" t="s">
        <v>4464</v>
      </c>
      <c r="E4274" s="18" t="s">
        <v>3375</v>
      </c>
      <c r="F4274" s="17">
        <v>8</v>
      </c>
      <c r="G4274" s="18" t="s">
        <v>23</v>
      </c>
      <c r="H4274" s="17">
        <v>105.75</v>
      </c>
      <c r="I4274" s="15">
        <v>143.6</v>
      </c>
      <c r="J4274" s="21">
        <f t="shared" si="198"/>
        <v>0.35791962174940894</v>
      </c>
      <c r="K4274" s="1">
        <v>2</v>
      </c>
      <c r="L4274" s="24">
        <v>14.3</v>
      </c>
      <c r="M4274" s="24">
        <v>129.24</v>
      </c>
      <c r="N4274" s="21">
        <f t="shared" si="199"/>
        <v>0.22212765957446817</v>
      </c>
      <c r="P4274" s="1">
        <v>4</v>
      </c>
      <c r="Q4274" s="24">
        <v>17.231999999999999</v>
      </c>
      <c r="R4274" s="24">
        <v>126.36799999999999</v>
      </c>
      <c r="S4274" s="21">
        <f t="shared" si="200"/>
        <v>0.19496926713947985</v>
      </c>
    </row>
    <row r="4275" spans="2:19" ht="11.4" customHeight="1" x14ac:dyDescent="0.2">
      <c r="B4275" s="24"/>
      <c r="C4275" s="14">
        <v>16525</v>
      </c>
      <c r="D4275" s="18" t="s">
        <v>4465</v>
      </c>
      <c r="E4275" s="18" t="s">
        <v>3371</v>
      </c>
      <c r="F4275" s="17">
        <v>2.5</v>
      </c>
      <c r="G4275" s="18" t="s">
        <v>902</v>
      </c>
      <c r="H4275" s="17">
        <v>113.3</v>
      </c>
      <c r="I4275" s="15">
        <v>164.9</v>
      </c>
      <c r="J4275" s="21">
        <f t="shared" si="198"/>
        <v>0.4554280670785526</v>
      </c>
      <c r="K4275" s="1">
        <v>2</v>
      </c>
      <c r="L4275" s="24">
        <v>16.399999999999999</v>
      </c>
      <c r="M4275" s="24">
        <v>148.41</v>
      </c>
      <c r="N4275" s="21">
        <f t="shared" si="199"/>
        <v>0.30988526037069725</v>
      </c>
      <c r="P4275" s="1">
        <v>6</v>
      </c>
      <c r="Q4275" s="24">
        <v>24.735000000000014</v>
      </c>
      <c r="R4275" s="24">
        <v>140.16499999999999</v>
      </c>
      <c r="S4275" s="21">
        <f t="shared" si="200"/>
        <v>0.2371138570167696</v>
      </c>
    </row>
    <row r="4276" spans="2:19" ht="11.4" customHeight="1" x14ac:dyDescent="0.2">
      <c r="B4276" s="24"/>
      <c r="C4276" s="14">
        <v>8356</v>
      </c>
      <c r="D4276" s="18" t="s">
        <v>4466</v>
      </c>
      <c r="E4276" s="18" t="s">
        <v>3375</v>
      </c>
      <c r="F4276" s="17">
        <v>12</v>
      </c>
      <c r="G4276" s="18" t="s">
        <v>23</v>
      </c>
      <c r="H4276" s="17">
        <v>187.1</v>
      </c>
      <c r="I4276" s="15">
        <v>229.9</v>
      </c>
      <c r="J4276" s="21">
        <f t="shared" si="198"/>
        <v>0.22875467664350621</v>
      </c>
      <c r="K4276" s="1">
        <v>2</v>
      </c>
      <c r="L4276" s="24">
        <v>22.9</v>
      </c>
      <c r="M4276" s="24">
        <v>206.91</v>
      </c>
      <c r="N4276" s="21">
        <f t="shared" si="199"/>
        <v>0.10587920897915555</v>
      </c>
      <c r="P4276" s="1">
        <v>4</v>
      </c>
      <c r="Q4276" s="24">
        <v>27.587999999999994</v>
      </c>
      <c r="R4276" s="24">
        <v>202.31200000000001</v>
      </c>
      <c r="S4276" s="21">
        <f t="shared" si="200"/>
        <v>8.1304115446285505E-2</v>
      </c>
    </row>
    <row r="4277" spans="2:19" ht="11.4" customHeight="1" x14ac:dyDescent="0.2">
      <c r="B4277" s="24"/>
      <c r="C4277" s="14">
        <v>8878</v>
      </c>
      <c r="D4277" s="18" t="s">
        <v>4467</v>
      </c>
      <c r="E4277" s="18" t="s">
        <v>3371</v>
      </c>
      <c r="F4277" s="18"/>
      <c r="G4277" s="18" t="s">
        <v>902</v>
      </c>
      <c r="H4277" s="17">
        <v>150.5</v>
      </c>
      <c r="I4277" s="15">
        <v>169.9</v>
      </c>
      <c r="J4277" s="21">
        <f t="shared" si="198"/>
        <v>0.12890365448504987</v>
      </c>
      <c r="K4277" s="1">
        <v>2</v>
      </c>
      <c r="L4277" s="24">
        <v>16.899999999999999</v>
      </c>
      <c r="M4277" s="24">
        <v>152.91</v>
      </c>
      <c r="N4277" s="21">
        <f t="shared" si="199"/>
        <v>1.6013289036544826E-2</v>
      </c>
      <c r="P4277" s="1">
        <v>6</v>
      </c>
      <c r="Q4277" s="24">
        <v>25.485000000000014</v>
      </c>
      <c r="R4277" s="24">
        <v>144.41499999999999</v>
      </c>
      <c r="S4277" s="21">
        <f t="shared" si="200"/>
        <v>-4.0431893687707693E-2</v>
      </c>
    </row>
    <row r="4278" spans="2:19" ht="11.4" customHeight="1" x14ac:dyDescent="0.2">
      <c r="B4278" s="24"/>
      <c r="C4278" s="14">
        <v>8446</v>
      </c>
      <c r="D4278" s="18" t="s">
        <v>4468</v>
      </c>
      <c r="E4278" s="18" t="s">
        <v>3371</v>
      </c>
      <c r="F4278" s="17">
        <v>2.5</v>
      </c>
      <c r="G4278" s="18" t="s">
        <v>902</v>
      </c>
      <c r="H4278" s="17">
        <v>213.6</v>
      </c>
      <c r="I4278" s="15">
        <v>274.89999999999998</v>
      </c>
      <c r="J4278" s="21">
        <f t="shared" si="198"/>
        <v>0.28698501872659171</v>
      </c>
      <c r="K4278" s="1">
        <v>2</v>
      </c>
      <c r="L4278" s="24">
        <v>27.4</v>
      </c>
      <c r="M4278" s="24">
        <v>247.41</v>
      </c>
      <c r="N4278" s="21">
        <f t="shared" si="199"/>
        <v>0.15828651685393261</v>
      </c>
      <c r="P4278" s="1">
        <v>6</v>
      </c>
      <c r="Q4278" s="24">
        <v>41.235000000000014</v>
      </c>
      <c r="R4278" s="24">
        <v>233.66499999999996</v>
      </c>
      <c r="S4278" s="21">
        <f t="shared" si="200"/>
        <v>9.3937265917602861E-2</v>
      </c>
    </row>
    <row r="4279" spans="2:19" ht="11.4" customHeight="1" x14ac:dyDescent="0.2">
      <c r="B4279" s="24"/>
      <c r="C4279" s="14">
        <v>35556</v>
      </c>
      <c r="D4279" s="18" t="s">
        <v>4469</v>
      </c>
      <c r="E4279" s="18" t="s">
        <v>3453</v>
      </c>
      <c r="F4279" s="17">
        <v>9</v>
      </c>
      <c r="G4279" s="18" t="s">
        <v>23</v>
      </c>
      <c r="H4279" s="17">
        <v>81.099999999999994</v>
      </c>
      <c r="I4279" s="15">
        <v>89.5</v>
      </c>
      <c r="J4279" s="21">
        <f t="shared" si="198"/>
        <v>0.1035758323057954</v>
      </c>
      <c r="K4279" s="1">
        <v>2</v>
      </c>
      <c r="L4279" s="24">
        <v>8.9</v>
      </c>
      <c r="M4279" s="24">
        <v>80.55</v>
      </c>
      <c r="N4279" s="21">
        <f t="shared" si="199"/>
        <v>-6.7817509247841828E-3</v>
      </c>
      <c r="P4279" s="1">
        <v>4</v>
      </c>
      <c r="Q4279" s="24">
        <v>10.739999999999995</v>
      </c>
      <c r="R4279" s="24">
        <v>78.760000000000005</v>
      </c>
      <c r="S4279" s="21">
        <f t="shared" si="200"/>
        <v>-2.8853267570899992E-2</v>
      </c>
    </row>
    <row r="4280" spans="2:19" ht="11.4" customHeight="1" x14ac:dyDescent="0.2">
      <c r="B4280" s="24"/>
      <c r="C4280" s="14">
        <v>41270</v>
      </c>
      <c r="D4280" s="18" t="s">
        <v>4470</v>
      </c>
      <c r="E4280" s="18" t="s">
        <v>3371</v>
      </c>
      <c r="F4280" s="18"/>
      <c r="G4280" s="18" t="s">
        <v>902</v>
      </c>
      <c r="H4280" s="17">
        <v>220.68</v>
      </c>
      <c r="I4280" s="15">
        <v>297.89999999999998</v>
      </c>
      <c r="J4280" s="21">
        <f t="shared" si="198"/>
        <v>0.34991843393148436</v>
      </c>
      <c r="K4280" s="1">
        <v>2</v>
      </c>
      <c r="L4280" s="24">
        <v>29.7</v>
      </c>
      <c r="M4280" s="24">
        <v>268.11</v>
      </c>
      <c r="N4280" s="21">
        <f t="shared" si="199"/>
        <v>0.21492659053833607</v>
      </c>
      <c r="P4280" s="1">
        <v>6</v>
      </c>
      <c r="Q4280" s="24">
        <v>44.685000000000002</v>
      </c>
      <c r="R4280" s="24">
        <v>253.21499999999997</v>
      </c>
      <c r="S4280" s="21">
        <f t="shared" si="200"/>
        <v>0.14743066884176168</v>
      </c>
    </row>
    <row r="4281" spans="2:19" ht="11.4" customHeight="1" x14ac:dyDescent="0.2">
      <c r="B4281" s="24"/>
      <c r="C4281" s="14">
        <v>38705</v>
      </c>
      <c r="D4281" s="18" t="s">
        <v>4471</v>
      </c>
      <c r="E4281" s="18" t="s">
        <v>3554</v>
      </c>
      <c r="F4281" s="17">
        <v>22</v>
      </c>
      <c r="G4281" s="18" t="s">
        <v>23</v>
      </c>
      <c r="H4281" s="17">
        <v>32.1</v>
      </c>
      <c r="I4281" s="15">
        <v>34.5</v>
      </c>
      <c r="J4281" s="21">
        <f t="shared" si="198"/>
        <v>7.4766355140186869E-2</v>
      </c>
      <c r="K4281" s="1">
        <v>2</v>
      </c>
      <c r="L4281" s="24">
        <v>3.4</v>
      </c>
      <c r="M4281" s="24">
        <v>31.05</v>
      </c>
      <c r="N4281" s="21">
        <f t="shared" si="199"/>
        <v>-3.2710280373831793E-2</v>
      </c>
      <c r="P4281" s="1">
        <v>4</v>
      </c>
      <c r="Q4281" s="24">
        <v>4.1400000000000006</v>
      </c>
      <c r="R4281" s="24">
        <v>30.36</v>
      </c>
      <c r="S4281" s="21">
        <f t="shared" si="200"/>
        <v>-5.4205607476635574E-2</v>
      </c>
    </row>
    <row r="4282" spans="2:19" ht="11.4" customHeight="1" x14ac:dyDescent="0.2">
      <c r="B4282" s="24"/>
      <c r="C4282" s="14">
        <v>31881</v>
      </c>
      <c r="D4282" s="18" t="s">
        <v>4472</v>
      </c>
      <c r="E4282" s="18" t="s">
        <v>3371</v>
      </c>
      <c r="F4282" s="18"/>
      <c r="G4282" s="18" t="s">
        <v>902</v>
      </c>
      <c r="H4282" s="17">
        <v>192.1</v>
      </c>
      <c r="I4282" s="15">
        <v>237.9</v>
      </c>
      <c r="J4282" s="21">
        <f t="shared" si="198"/>
        <v>0.23841749089016145</v>
      </c>
      <c r="K4282" s="1">
        <v>2</v>
      </c>
      <c r="L4282" s="24">
        <v>23.7</v>
      </c>
      <c r="M4282" s="24">
        <v>214.11</v>
      </c>
      <c r="N4282" s="21">
        <f t="shared" si="199"/>
        <v>0.11457574180114534</v>
      </c>
      <c r="P4282" s="1">
        <v>6</v>
      </c>
      <c r="Q4282" s="24">
        <v>35.685000000000002</v>
      </c>
      <c r="R4282" s="24">
        <v>202.215</v>
      </c>
      <c r="S4282" s="21">
        <f t="shared" si="200"/>
        <v>5.2654867256637219E-2</v>
      </c>
    </row>
    <row r="4283" spans="2:19" ht="11.4" customHeight="1" x14ac:dyDescent="0.2">
      <c r="B4283" s="24"/>
      <c r="C4283" s="14">
        <v>35557</v>
      </c>
      <c r="D4283" s="18" t="s">
        <v>4473</v>
      </c>
      <c r="E4283" s="18" t="s">
        <v>3453</v>
      </c>
      <c r="F4283" s="17">
        <v>9</v>
      </c>
      <c r="G4283" s="18" t="s">
        <v>23</v>
      </c>
      <c r="H4283" s="17">
        <v>78.2</v>
      </c>
      <c r="I4283" s="15">
        <v>89.5</v>
      </c>
      <c r="J4283" s="21">
        <f t="shared" si="198"/>
        <v>0.14450127877237848</v>
      </c>
      <c r="K4283" s="1">
        <v>2</v>
      </c>
      <c r="L4283" s="24">
        <v>8.9</v>
      </c>
      <c r="M4283" s="24">
        <v>80.55</v>
      </c>
      <c r="N4283" s="21">
        <f t="shared" si="199"/>
        <v>3.0051150895140592E-2</v>
      </c>
      <c r="P4283" s="1">
        <v>4</v>
      </c>
      <c r="Q4283" s="24">
        <v>10.739999999999995</v>
      </c>
      <c r="R4283" s="24">
        <v>78.760000000000005</v>
      </c>
      <c r="S4283" s="21">
        <f t="shared" si="200"/>
        <v>7.1611253196931235E-3</v>
      </c>
    </row>
    <row r="4284" spans="2:19" ht="11.4" customHeight="1" x14ac:dyDescent="0.2">
      <c r="B4284" s="24"/>
      <c r="C4284" s="14">
        <v>24487</v>
      </c>
      <c r="D4284" s="18" t="s">
        <v>4474</v>
      </c>
      <c r="E4284" s="18" t="s">
        <v>3371</v>
      </c>
      <c r="F4284" s="18"/>
      <c r="G4284" s="18" t="s">
        <v>902</v>
      </c>
      <c r="H4284" s="17">
        <v>204.22</v>
      </c>
      <c r="I4284" s="15">
        <v>293.5</v>
      </c>
      <c r="J4284" s="21">
        <f t="shared" si="198"/>
        <v>0.43717559494662622</v>
      </c>
      <c r="K4284" s="1">
        <v>2</v>
      </c>
      <c r="L4284" s="24">
        <v>29.3</v>
      </c>
      <c r="M4284" s="24">
        <v>264.15000000000003</v>
      </c>
      <c r="N4284" s="21">
        <f t="shared" si="199"/>
        <v>0.29345803545196375</v>
      </c>
      <c r="P4284" s="1">
        <v>6</v>
      </c>
      <c r="Q4284" s="24">
        <v>44.025000000000006</v>
      </c>
      <c r="R4284" s="24">
        <v>249.47499999999999</v>
      </c>
      <c r="S4284" s="21">
        <f t="shared" si="200"/>
        <v>0.22159925570463224</v>
      </c>
    </row>
    <row r="4285" spans="2:19" ht="11.4" customHeight="1" x14ac:dyDescent="0.2">
      <c r="B4285" s="24"/>
      <c r="C4285" s="14">
        <v>16683</v>
      </c>
      <c r="D4285" s="18" t="s">
        <v>4475</v>
      </c>
      <c r="E4285" s="18" t="s">
        <v>3371</v>
      </c>
      <c r="F4285" s="18"/>
      <c r="G4285" s="18" t="s">
        <v>902</v>
      </c>
      <c r="H4285" s="17">
        <v>172</v>
      </c>
      <c r="I4285" s="15">
        <v>239</v>
      </c>
      <c r="J4285" s="21">
        <f t="shared" si="198"/>
        <v>0.38953488372093026</v>
      </c>
      <c r="K4285" s="1">
        <v>2</v>
      </c>
      <c r="L4285" s="24">
        <v>23.9</v>
      </c>
      <c r="M4285" s="24">
        <v>215.1</v>
      </c>
      <c r="N4285" s="21">
        <f t="shared" si="199"/>
        <v>0.25058139534883717</v>
      </c>
      <c r="P4285" s="1">
        <v>6</v>
      </c>
      <c r="Q4285" s="24">
        <v>35.849999999999994</v>
      </c>
      <c r="R4285" s="24">
        <v>203.15</v>
      </c>
      <c r="S4285" s="21">
        <f t="shared" si="200"/>
        <v>0.18110465116279073</v>
      </c>
    </row>
    <row r="4286" spans="2:19" ht="11.4" customHeight="1" x14ac:dyDescent="0.2">
      <c r="B4286" s="24"/>
      <c r="C4286" s="14">
        <v>45396</v>
      </c>
      <c r="D4286" s="18" t="s">
        <v>4476</v>
      </c>
      <c r="E4286" s="18" t="s">
        <v>3371</v>
      </c>
      <c r="F4286" s="18"/>
      <c r="G4286" s="18" t="s">
        <v>902</v>
      </c>
      <c r="H4286" s="18"/>
      <c r="I4286" s="15">
        <v>253</v>
      </c>
      <c r="J4286" s="21" t="e">
        <f t="shared" si="198"/>
        <v>#DIV/0!</v>
      </c>
      <c r="K4286" s="1">
        <v>2</v>
      </c>
      <c r="L4286" s="24">
        <v>25.3</v>
      </c>
      <c r="M4286" s="24">
        <v>227.70000000000002</v>
      </c>
      <c r="N4286" s="21" t="e">
        <f t="shared" si="199"/>
        <v>#DIV/0!</v>
      </c>
      <c r="P4286" s="1">
        <v>6</v>
      </c>
      <c r="Q4286" s="24">
        <v>37.950000000000017</v>
      </c>
      <c r="R4286" s="24">
        <v>215.04999999999998</v>
      </c>
      <c r="S4286" s="21" t="e">
        <f t="shared" si="200"/>
        <v>#DIV/0!</v>
      </c>
    </row>
    <row r="4287" spans="2:19" ht="11.4" customHeight="1" x14ac:dyDescent="0.2">
      <c r="B4287" s="24"/>
      <c r="C4287" s="14">
        <v>4972</v>
      </c>
      <c r="D4287" s="18" t="s">
        <v>4477</v>
      </c>
      <c r="E4287" s="18" t="s">
        <v>3375</v>
      </c>
      <c r="F4287" s="17">
        <v>6</v>
      </c>
      <c r="G4287" s="18" t="s">
        <v>23</v>
      </c>
      <c r="H4287" s="17">
        <v>175.9</v>
      </c>
      <c r="I4287" s="15">
        <v>202.9</v>
      </c>
      <c r="J4287" s="21">
        <f t="shared" si="198"/>
        <v>0.1534963047185901</v>
      </c>
      <c r="K4287" s="1">
        <v>2</v>
      </c>
      <c r="L4287" s="24">
        <v>20.2</v>
      </c>
      <c r="M4287" s="24">
        <v>182.61</v>
      </c>
      <c r="N4287" s="21">
        <f t="shared" si="199"/>
        <v>3.8146674246731141E-2</v>
      </c>
      <c r="P4287" s="1">
        <v>4</v>
      </c>
      <c r="Q4287" s="24">
        <v>24.348000000000013</v>
      </c>
      <c r="R4287" s="24">
        <v>178.55199999999999</v>
      </c>
      <c r="S4287" s="21">
        <f t="shared" si="200"/>
        <v>1.507674815235922E-2</v>
      </c>
    </row>
    <row r="4288" spans="2:19" ht="11.4" customHeight="1" x14ac:dyDescent="0.2">
      <c r="B4288" s="24"/>
      <c r="C4288" s="14">
        <v>15974</v>
      </c>
      <c r="D4288" s="18" t="s">
        <v>4478</v>
      </c>
      <c r="E4288" s="18" t="s">
        <v>3375</v>
      </c>
      <c r="F4288" s="17">
        <v>8</v>
      </c>
      <c r="G4288" s="18" t="s">
        <v>23</v>
      </c>
      <c r="H4288" s="17">
        <v>246.18</v>
      </c>
      <c r="I4288" s="15">
        <v>299</v>
      </c>
      <c r="J4288" s="21">
        <f t="shared" si="198"/>
        <v>0.21455845316435126</v>
      </c>
      <c r="K4288" s="1">
        <v>2</v>
      </c>
      <c r="L4288" s="24">
        <v>29.9</v>
      </c>
      <c r="M4288" s="24">
        <v>269.10000000000002</v>
      </c>
      <c r="N4288" s="21">
        <f t="shared" si="199"/>
        <v>9.3102607847916227E-2</v>
      </c>
      <c r="P4288" s="1">
        <v>4</v>
      </c>
      <c r="Q4288" s="24">
        <v>35.879999999999995</v>
      </c>
      <c r="R4288" s="24">
        <v>263.12</v>
      </c>
      <c r="S4288" s="21">
        <f t="shared" si="200"/>
        <v>6.8811438784629128E-2</v>
      </c>
    </row>
    <row r="4289" spans="2:19" ht="11.4" customHeight="1" x14ac:dyDescent="0.2">
      <c r="B4289" s="24"/>
      <c r="C4289" s="14">
        <v>39480</v>
      </c>
      <c r="D4289" s="18" t="s">
        <v>4479</v>
      </c>
      <c r="E4289" s="18" t="s">
        <v>3375</v>
      </c>
      <c r="F4289" s="17">
        <v>6</v>
      </c>
      <c r="G4289" s="18" t="s">
        <v>23</v>
      </c>
      <c r="H4289" s="17">
        <v>311.04000000000002</v>
      </c>
      <c r="I4289" s="15">
        <v>382.5</v>
      </c>
      <c r="J4289" s="21">
        <f t="shared" si="198"/>
        <v>0.22974537037037029</v>
      </c>
      <c r="K4289" s="1">
        <v>2</v>
      </c>
      <c r="L4289" s="24">
        <v>38.200000000000003</v>
      </c>
      <c r="M4289" s="24">
        <v>344.25</v>
      </c>
      <c r="N4289" s="21">
        <f t="shared" si="199"/>
        <v>0.10677083333333326</v>
      </c>
      <c r="P4289" s="1">
        <v>4</v>
      </c>
      <c r="Q4289" s="24">
        <v>45.899999999999977</v>
      </c>
      <c r="R4289" s="24">
        <v>336.6</v>
      </c>
      <c r="S4289" s="21">
        <f t="shared" si="200"/>
        <v>8.217592592592593E-2</v>
      </c>
    </row>
    <row r="4290" spans="2:19" ht="11.4" customHeight="1" x14ac:dyDescent="0.2">
      <c r="B4290" s="24"/>
      <c r="C4290" s="14">
        <v>39479</v>
      </c>
      <c r="D4290" s="18" t="s">
        <v>4480</v>
      </c>
      <c r="E4290" s="18" t="s">
        <v>3375</v>
      </c>
      <c r="F4290" s="17">
        <v>5</v>
      </c>
      <c r="G4290" s="18" t="s">
        <v>23</v>
      </c>
      <c r="H4290" s="17">
        <v>545.28</v>
      </c>
      <c r="I4290" s="15">
        <v>645</v>
      </c>
      <c r="J4290" s="21">
        <f t="shared" si="198"/>
        <v>0.18287852112676062</v>
      </c>
      <c r="K4290" s="1">
        <v>2</v>
      </c>
      <c r="L4290" s="24">
        <v>64.5</v>
      </c>
      <c r="M4290" s="24">
        <v>580.5</v>
      </c>
      <c r="N4290" s="21">
        <f t="shared" si="199"/>
        <v>6.4590669014084556E-2</v>
      </c>
      <c r="P4290" s="1">
        <v>4</v>
      </c>
      <c r="Q4290" s="24">
        <v>77.399999999999977</v>
      </c>
      <c r="R4290" s="24">
        <v>567.6</v>
      </c>
      <c r="S4290" s="21">
        <f t="shared" si="200"/>
        <v>4.0933098591549387E-2</v>
      </c>
    </row>
    <row r="4291" spans="2:19" ht="11.4" customHeight="1" x14ac:dyDescent="0.2">
      <c r="B4291" s="24"/>
      <c r="C4291" s="14">
        <v>12657</v>
      </c>
      <c r="D4291" s="18" t="s">
        <v>4481</v>
      </c>
      <c r="E4291" s="18" t="s">
        <v>3375</v>
      </c>
      <c r="F4291" s="17">
        <v>16</v>
      </c>
      <c r="G4291" s="18" t="s">
        <v>23</v>
      </c>
      <c r="H4291" s="17">
        <v>97.8</v>
      </c>
      <c r="I4291" s="15">
        <v>115.9</v>
      </c>
      <c r="J4291" s="21">
        <f t="shared" ref="J4291:J4354" si="201">(I4291-H4291)/H4291</f>
        <v>0.18507157464212687</v>
      </c>
      <c r="K4291" s="1">
        <v>2</v>
      </c>
      <c r="L4291" s="24">
        <v>11.5</v>
      </c>
      <c r="M4291" s="24">
        <v>104.31</v>
      </c>
      <c r="N4291" s="21">
        <f t="shared" ref="N4291:N4354" si="202">(M4291-H4291)/H4291</f>
        <v>6.656441717791417E-2</v>
      </c>
      <c r="P4291" s="1">
        <v>4</v>
      </c>
      <c r="Q4291" s="24">
        <v>13.908000000000001</v>
      </c>
      <c r="R4291" s="24">
        <v>101.992</v>
      </c>
      <c r="S4291" s="21">
        <f t="shared" ref="S4291:S4354" si="203">(R4291-H4291)/H4291</f>
        <v>4.2862985685071651E-2</v>
      </c>
    </row>
    <row r="4292" spans="2:19" ht="11.4" customHeight="1" x14ac:dyDescent="0.2">
      <c r="B4292" s="24"/>
      <c r="C4292" s="14">
        <v>7151</v>
      </c>
      <c r="D4292" s="18" t="s">
        <v>4482</v>
      </c>
      <c r="E4292" s="18" t="s">
        <v>3375</v>
      </c>
      <c r="F4292" s="17">
        <v>12</v>
      </c>
      <c r="G4292" s="18" t="s">
        <v>23</v>
      </c>
      <c r="H4292" s="17">
        <v>102.1</v>
      </c>
      <c r="I4292" s="15">
        <v>119.9</v>
      </c>
      <c r="J4292" s="21">
        <f t="shared" si="201"/>
        <v>0.17433888344760051</v>
      </c>
      <c r="K4292" s="1">
        <v>2</v>
      </c>
      <c r="L4292" s="24">
        <v>11.9</v>
      </c>
      <c r="M4292" s="24">
        <v>107.91000000000001</v>
      </c>
      <c r="N4292" s="21">
        <f t="shared" si="202"/>
        <v>5.6904995102840514E-2</v>
      </c>
      <c r="P4292" s="1">
        <v>4</v>
      </c>
      <c r="Q4292" s="24">
        <v>14.388000000000005</v>
      </c>
      <c r="R4292" s="24">
        <v>105.512</v>
      </c>
      <c r="S4292" s="21">
        <f t="shared" si="203"/>
        <v>3.3418217433888404E-2</v>
      </c>
    </row>
    <row r="4293" spans="2:19" ht="11.4" customHeight="1" x14ac:dyDescent="0.2">
      <c r="B4293" s="24"/>
      <c r="C4293" s="14">
        <v>6839</v>
      </c>
      <c r="D4293" s="18" t="s">
        <v>4483</v>
      </c>
      <c r="E4293" s="18" t="s">
        <v>3375</v>
      </c>
      <c r="F4293" s="17">
        <v>10</v>
      </c>
      <c r="G4293" s="18" t="s">
        <v>23</v>
      </c>
      <c r="H4293" s="17">
        <v>90.12</v>
      </c>
      <c r="I4293" s="15">
        <v>118.5</v>
      </c>
      <c r="J4293" s="21">
        <f t="shared" si="201"/>
        <v>0.31491344873501992</v>
      </c>
      <c r="K4293" s="1">
        <v>2</v>
      </c>
      <c r="L4293" s="24">
        <v>11.8</v>
      </c>
      <c r="M4293" s="24">
        <v>106.65</v>
      </c>
      <c r="N4293" s="21">
        <f t="shared" si="202"/>
        <v>0.18342210386151797</v>
      </c>
      <c r="P4293" s="1">
        <v>4</v>
      </c>
      <c r="Q4293" s="24">
        <v>14.219999999999999</v>
      </c>
      <c r="R4293" s="24">
        <v>104.28</v>
      </c>
      <c r="S4293" s="21">
        <f t="shared" si="203"/>
        <v>0.15712383488681753</v>
      </c>
    </row>
    <row r="4294" spans="2:19" ht="11.4" customHeight="1" x14ac:dyDescent="0.2">
      <c r="B4294" s="24"/>
      <c r="C4294" s="14">
        <v>7990</v>
      </c>
      <c r="D4294" s="18" t="s">
        <v>4484</v>
      </c>
      <c r="E4294" s="18" t="s">
        <v>3617</v>
      </c>
      <c r="F4294" s="17">
        <v>1</v>
      </c>
      <c r="G4294" s="18" t="s">
        <v>23</v>
      </c>
      <c r="H4294" s="17">
        <v>22.25</v>
      </c>
      <c r="I4294" s="15">
        <v>32.9</v>
      </c>
      <c r="J4294" s="21">
        <f t="shared" si="201"/>
        <v>0.47865168539325836</v>
      </c>
      <c r="K4294" s="1">
        <v>2</v>
      </c>
      <c r="L4294" s="24">
        <v>3.2</v>
      </c>
      <c r="M4294" s="24">
        <v>29.61</v>
      </c>
      <c r="N4294" s="21">
        <f t="shared" si="202"/>
        <v>0.33078651685393257</v>
      </c>
      <c r="P4294" s="1">
        <v>4</v>
      </c>
      <c r="Q4294" s="24">
        <v>3.9480000000000004</v>
      </c>
      <c r="R4294" s="24">
        <v>28.951999999999998</v>
      </c>
      <c r="S4294" s="21">
        <f t="shared" si="203"/>
        <v>0.30121348314606733</v>
      </c>
    </row>
    <row r="4295" spans="2:19" ht="11.4" customHeight="1" x14ac:dyDescent="0.2">
      <c r="B4295" s="24"/>
      <c r="C4295" s="14">
        <v>47645</v>
      </c>
      <c r="D4295" s="18" t="s">
        <v>4485</v>
      </c>
      <c r="E4295" s="18" t="s">
        <v>3371</v>
      </c>
      <c r="F4295" s="17">
        <v>2</v>
      </c>
      <c r="G4295" s="18" t="s">
        <v>902</v>
      </c>
      <c r="H4295" s="17">
        <v>282</v>
      </c>
      <c r="I4295" s="15">
        <v>352.5</v>
      </c>
      <c r="J4295" s="21">
        <f t="shared" si="201"/>
        <v>0.25</v>
      </c>
      <c r="K4295" s="1">
        <v>2</v>
      </c>
      <c r="L4295" s="24">
        <v>35.200000000000003</v>
      </c>
      <c r="M4295" s="24">
        <v>317.25</v>
      </c>
      <c r="N4295" s="21">
        <f t="shared" si="202"/>
        <v>0.125</v>
      </c>
      <c r="P4295" s="1">
        <v>6</v>
      </c>
      <c r="Q4295" s="24">
        <v>52.875</v>
      </c>
      <c r="R4295" s="24">
        <v>299.625</v>
      </c>
      <c r="S4295" s="21">
        <f t="shared" si="203"/>
        <v>6.25E-2</v>
      </c>
    </row>
    <row r="4296" spans="2:19" ht="11.4" customHeight="1" x14ac:dyDescent="0.2">
      <c r="B4296" s="24"/>
      <c r="C4296" s="14">
        <v>38706</v>
      </c>
      <c r="D4296" s="18" t="s">
        <v>4486</v>
      </c>
      <c r="E4296" s="18" t="s">
        <v>3554</v>
      </c>
      <c r="F4296" s="17">
        <v>22</v>
      </c>
      <c r="G4296" s="18" t="s">
        <v>23</v>
      </c>
      <c r="H4296" s="17">
        <v>32.1</v>
      </c>
      <c r="I4296" s="15">
        <v>34.5</v>
      </c>
      <c r="J4296" s="21">
        <f t="shared" si="201"/>
        <v>7.4766355140186869E-2</v>
      </c>
      <c r="K4296" s="1">
        <v>2</v>
      </c>
      <c r="L4296" s="24">
        <v>3.4</v>
      </c>
      <c r="M4296" s="24">
        <v>31.05</v>
      </c>
      <c r="N4296" s="21">
        <f t="shared" si="202"/>
        <v>-3.2710280373831793E-2</v>
      </c>
      <c r="P4296" s="1">
        <v>4</v>
      </c>
      <c r="Q4296" s="24">
        <v>4.1400000000000006</v>
      </c>
      <c r="R4296" s="24">
        <v>30.36</v>
      </c>
      <c r="S4296" s="21">
        <f t="shared" si="203"/>
        <v>-5.4205607476635574E-2</v>
      </c>
    </row>
    <row r="4297" spans="2:19" ht="11.4" customHeight="1" x14ac:dyDescent="0.2">
      <c r="B4297" s="24"/>
      <c r="C4297" s="14">
        <v>43320</v>
      </c>
      <c r="D4297" s="18" t="s">
        <v>4487</v>
      </c>
      <c r="E4297" s="18" t="s">
        <v>3375</v>
      </c>
      <c r="F4297" s="17">
        <v>6</v>
      </c>
      <c r="G4297" s="18" t="s">
        <v>23</v>
      </c>
      <c r="H4297" s="17">
        <v>99.98</v>
      </c>
      <c r="I4297" s="15">
        <v>139.9</v>
      </c>
      <c r="J4297" s="21">
        <f t="shared" si="201"/>
        <v>0.39927985597119425</v>
      </c>
      <c r="K4297" s="1">
        <v>2</v>
      </c>
      <c r="L4297" s="24">
        <v>13.9</v>
      </c>
      <c r="M4297" s="24">
        <v>125.91000000000001</v>
      </c>
      <c r="N4297" s="21">
        <f t="shared" si="202"/>
        <v>0.25935187037407487</v>
      </c>
      <c r="P4297" s="1">
        <v>4</v>
      </c>
      <c r="Q4297" s="24">
        <v>16.787999999999997</v>
      </c>
      <c r="R4297" s="24">
        <v>123.11200000000001</v>
      </c>
      <c r="S4297" s="21">
        <f t="shared" si="203"/>
        <v>0.23136627325465098</v>
      </c>
    </row>
    <row r="4298" spans="2:19" ht="11.4" customHeight="1" x14ac:dyDescent="0.2">
      <c r="B4298" s="24"/>
      <c r="C4298" s="14">
        <v>43321</v>
      </c>
      <c r="D4298" s="18" t="s">
        <v>4488</v>
      </c>
      <c r="E4298" s="18" t="s">
        <v>3375</v>
      </c>
      <c r="F4298" s="17">
        <v>6</v>
      </c>
      <c r="G4298" s="18" t="s">
        <v>23</v>
      </c>
      <c r="H4298" s="17">
        <v>99.99</v>
      </c>
      <c r="I4298" s="15">
        <v>139.9</v>
      </c>
      <c r="J4298" s="21">
        <f t="shared" si="201"/>
        <v>0.39913991399139925</v>
      </c>
      <c r="K4298" s="1">
        <v>2</v>
      </c>
      <c r="L4298" s="24">
        <v>13.9</v>
      </c>
      <c r="M4298" s="24">
        <v>125.91000000000001</v>
      </c>
      <c r="N4298" s="21">
        <f t="shared" si="202"/>
        <v>0.25922592259225941</v>
      </c>
      <c r="P4298" s="1">
        <v>4</v>
      </c>
      <c r="Q4298" s="24">
        <v>16.787999999999997</v>
      </c>
      <c r="R4298" s="24">
        <v>123.11200000000001</v>
      </c>
      <c r="S4298" s="21">
        <f t="shared" si="203"/>
        <v>0.23124312431243141</v>
      </c>
    </row>
    <row r="4299" spans="2:19" ht="11.4" customHeight="1" x14ac:dyDescent="0.2">
      <c r="B4299" s="24"/>
      <c r="C4299" s="14">
        <v>8042</v>
      </c>
      <c r="D4299" s="18" t="s">
        <v>4489</v>
      </c>
      <c r="E4299" s="18" t="s">
        <v>4118</v>
      </c>
      <c r="F4299" s="17">
        <v>1</v>
      </c>
      <c r="G4299" s="18" t="s">
        <v>23</v>
      </c>
      <c r="H4299" s="17">
        <v>32.26</v>
      </c>
      <c r="I4299" s="15">
        <v>42.9</v>
      </c>
      <c r="J4299" s="21">
        <f t="shared" si="201"/>
        <v>0.3298202107873528</v>
      </c>
      <c r="K4299" s="1">
        <v>2</v>
      </c>
      <c r="L4299" s="24">
        <v>4.2</v>
      </c>
      <c r="M4299" s="24">
        <v>38.61</v>
      </c>
      <c r="N4299" s="21">
        <f t="shared" si="202"/>
        <v>0.19683818970861755</v>
      </c>
      <c r="P4299" s="1">
        <v>4</v>
      </c>
      <c r="Q4299" s="24">
        <v>5.1479999999999961</v>
      </c>
      <c r="R4299" s="24">
        <v>37.752000000000002</v>
      </c>
      <c r="S4299" s="21">
        <f t="shared" si="203"/>
        <v>0.17024178549287058</v>
      </c>
    </row>
    <row r="4300" spans="2:19" ht="11.4" customHeight="1" x14ac:dyDescent="0.2">
      <c r="B4300" s="24"/>
      <c r="C4300" s="14">
        <v>2814</v>
      </c>
      <c r="D4300" s="18" t="s">
        <v>4490</v>
      </c>
      <c r="E4300" s="18" t="s">
        <v>4263</v>
      </c>
      <c r="F4300" s="18"/>
      <c r="G4300" s="18" t="s">
        <v>902</v>
      </c>
      <c r="H4300" s="17">
        <v>210.4</v>
      </c>
      <c r="I4300" s="15">
        <v>232.5</v>
      </c>
      <c r="J4300" s="21">
        <f t="shared" si="201"/>
        <v>0.10503802281368818</v>
      </c>
      <c r="K4300" s="1">
        <v>2</v>
      </c>
      <c r="L4300" s="24">
        <v>23.2</v>
      </c>
      <c r="M4300" s="24">
        <v>209.25</v>
      </c>
      <c r="N4300" s="21">
        <f t="shared" si="202"/>
        <v>-5.4657794676806351E-3</v>
      </c>
      <c r="P4300" s="1">
        <v>6</v>
      </c>
      <c r="Q4300" s="24">
        <v>34.875</v>
      </c>
      <c r="R4300" s="24">
        <v>197.625</v>
      </c>
      <c r="S4300" s="21">
        <f t="shared" si="203"/>
        <v>-6.0717680608365042E-2</v>
      </c>
    </row>
    <row r="4301" spans="2:19" ht="11.4" customHeight="1" x14ac:dyDescent="0.2">
      <c r="B4301" s="24"/>
      <c r="C4301" s="14">
        <v>34047</v>
      </c>
      <c r="D4301" s="18" t="s">
        <v>4491</v>
      </c>
      <c r="E4301" s="18" t="s">
        <v>3371</v>
      </c>
      <c r="F4301" s="18"/>
      <c r="G4301" s="18" t="s">
        <v>902</v>
      </c>
      <c r="H4301" s="17">
        <v>186</v>
      </c>
      <c r="I4301" s="15">
        <v>262</v>
      </c>
      <c r="J4301" s="21">
        <f t="shared" si="201"/>
        <v>0.40860215053763443</v>
      </c>
      <c r="K4301" s="1">
        <v>2</v>
      </c>
      <c r="L4301" s="24">
        <v>26.2</v>
      </c>
      <c r="M4301" s="24">
        <v>235.8</v>
      </c>
      <c r="N4301" s="21">
        <f t="shared" si="202"/>
        <v>0.26774193548387104</v>
      </c>
      <c r="P4301" s="1">
        <v>6</v>
      </c>
      <c r="Q4301" s="24">
        <v>39.300000000000011</v>
      </c>
      <c r="R4301" s="24">
        <v>222.7</v>
      </c>
      <c r="S4301" s="21">
        <f t="shared" si="203"/>
        <v>0.19731182795698918</v>
      </c>
    </row>
    <row r="4302" spans="2:19" ht="11.4" customHeight="1" x14ac:dyDescent="0.2">
      <c r="B4302" s="24"/>
      <c r="C4302" s="14">
        <v>12693</v>
      </c>
      <c r="D4302" s="18" t="s">
        <v>4492</v>
      </c>
      <c r="E4302" s="18" t="s">
        <v>3371</v>
      </c>
      <c r="F4302" s="18"/>
      <c r="G4302" s="18" t="s">
        <v>902</v>
      </c>
      <c r="H4302" s="18"/>
      <c r="I4302" s="15">
        <v>265.89999999999998</v>
      </c>
      <c r="J4302" s="21" t="e">
        <f t="shared" si="201"/>
        <v>#DIV/0!</v>
      </c>
      <c r="K4302" s="1">
        <v>2</v>
      </c>
      <c r="L4302" s="24">
        <v>26.5</v>
      </c>
      <c r="M4302" s="24">
        <v>239.30999999999997</v>
      </c>
      <c r="N4302" s="21" t="e">
        <f t="shared" si="202"/>
        <v>#DIV/0!</v>
      </c>
      <c r="P4302" s="1">
        <v>6</v>
      </c>
      <c r="Q4302" s="24">
        <v>39.884999999999991</v>
      </c>
      <c r="R4302" s="24">
        <v>226.01499999999999</v>
      </c>
      <c r="S4302" s="21" t="e">
        <f t="shared" si="203"/>
        <v>#DIV/0!</v>
      </c>
    </row>
    <row r="4303" spans="2:19" ht="11.4" customHeight="1" x14ac:dyDescent="0.2">
      <c r="B4303" s="24"/>
      <c r="C4303" s="14">
        <v>12695</v>
      </c>
      <c r="D4303" s="18" t="s">
        <v>4493</v>
      </c>
      <c r="E4303" s="18" t="s">
        <v>3371</v>
      </c>
      <c r="F4303" s="18"/>
      <c r="G4303" s="18" t="s">
        <v>902</v>
      </c>
      <c r="H4303" s="17">
        <v>279.70999999999998</v>
      </c>
      <c r="I4303" s="15">
        <v>439.9</v>
      </c>
      <c r="J4303" s="21">
        <f t="shared" si="201"/>
        <v>0.57270029673590506</v>
      </c>
      <c r="K4303" s="1">
        <v>2</v>
      </c>
      <c r="L4303" s="24">
        <v>43.9</v>
      </c>
      <c r="M4303" s="24">
        <v>395.90999999999997</v>
      </c>
      <c r="N4303" s="21">
        <f t="shared" si="202"/>
        <v>0.41543026706231451</v>
      </c>
      <c r="P4303" s="1">
        <v>6</v>
      </c>
      <c r="Q4303" s="24">
        <v>65.985000000000014</v>
      </c>
      <c r="R4303" s="24">
        <v>373.91499999999996</v>
      </c>
      <c r="S4303" s="21">
        <f t="shared" si="203"/>
        <v>0.33679525222551926</v>
      </c>
    </row>
    <row r="4304" spans="2:19" ht="11.4" customHeight="1" x14ac:dyDescent="0.2">
      <c r="B4304" s="24"/>
      <c r="C4304" s="14">
        <v>21723</v>
      </c>
      <c r="D4304" s="18" t="s">
        <v>4494</v>
      </c>
      <c r="E4304" s="18" t="s">
        <v>3375</v>
      </c>
      <c r="F4304" s="18"/>
      <c r="G4304" s="18" t="s">
        <v>23</v>
      </c>
      <c r="H4304" s="17">
        <v>189</v>
      </c>
      <c r="I4304" s="15">
        <v>259.89999999999998</v>
      </c>
      <c r="J4304" s="21">
        <f t="shared" si="201"/>
        <v>0.37513227513227504</v>
      </c>
      <c r="K4304" s="1">
        <v>2</v>
      </c>
      <c r="L4304" s="24">
        <v>25.9</v>
      </c>
      <c r="M4304" s="24">
        <v>233.91</v>
      </c>
      <c r="N4304" s="21">
        <f t="shared" si="202"/>
        <v>0.23761904761904759</v>
      </c>
      <c r="P4304" s="1">
        <v>4</v>
      </c>
      <c r="Q4304" s="24">
        <v>31.187999999999988</v>
      </c>
      <c r="R4304" s="24">
        <v>228.71199999999999</v>
      </c>
      <c r="S4304" s="21">
        <f t="shared" si="203"/>
        <v>0.21011640211640206</v>
      </c>
    </row>
    <row r="4305" spans="2:19" ht="11.4" customHeight="1" x14ac:dyDescent="0.2">
      <c r="B4305" s="24"/>
      <c r="C4305" s="14">
        <v>14737</v>
      </c>
      <c r="D4305" s="18" t="s">
        <v>4495</v>
      </c>
      <c r="E4305" s="18" t="s">
        <v>3375</v>
      </c>
      <c r="F4305" s="17">
        <v>10</v>
      </c>
      <c r="G4305" s="18" t="s">
        <v>23</v>
      </c>
      <c r="H4305" s="17">
        <v>184.3</v>
      </c>
      <c r="I4305" s="15">
        <v>241.9</v>
      </c>
      <c r="J4305" s="21">
        <f t="shared" si="201"/>
        <v>0.31253391209983716</v>
      </c>
      <c r="K4305" s="1">
        <v>2</v>
      </c>
      <c r="L4305" s="24">
        <v>24.1</v>
      </c>
      <c r="M4305" s="24">
        <v>217.71</v>
      </c>
      <c r="N4305" s="21">
        <f t="shared" si="202"/>
        <v>0.18128052088985347</v>
      </c>
      <c r="P4305" s="1">
        <v>4</v>
      </c>
      <c r="Q4305" s="24">
        <v>29.027999999999992</v>
      </c>
      <c r="R4305" s="24">
        <v>212.87200000000001</v>
      </c>
      <c r="S4305" s="21">
        <f t="shared" si="203"/>
        <v>0.15502984264785677</v>
      </c>
    </row>
    <row r="4306" spans="2:19" ht="11.4" customHeight="1" x14ac:dyDescent="0.2">
      <c r="B4306" s="24"/>
      <c r="C4306" s="14">
        <v>45283</v>
      </c>
      <c r="D4306" s="18" t="s">
        <v>4496</v>
      </c>
      <c r="E4306" s="18" t="s">
        <v>4279</v>
      </c>
      <c r="F4306" s="17">
        <v>10</v>
      </c>
      <c r="G4306" s="18" t="s">
        <v>23</v>
      </c>
      <c r="H4306" s="17">
        <v>86.28</v>
      </c>
      <c r="I4306" s="15">
        <v>119.9</v>
      </c>
      <c r="J4306" s="21">
        <f t="shared" si="201"/>
        <v>0.38966156699119153</v>
      </c>
      <c r="K4306" s="1">
        <v>2</v>
      </c>
      <c r="L4306" s="24">
        <v>11.9</v>
      </c>
      <c r="M4306" s="24">
        <v>107.91000000000001</v>
      </c>
      <c r="N4306" s="21">
        <f t="shared" si="202"/>
        <v>0.25069541029207243</v>
      </c>
      <c r="P4306" s="1">
        <v>4</v>
      </c>
      <c r="Q4306" s="24">
        <v>14.388000000000005</v>
      </c>
      <c r="R4306" s="24">
        <v>105.512</v>
      </c>
      <c r="S4306" s="21">
        <f t="shared" si="203"/>
        <v>0.22290217895224848</v>
      </c>
    </row>
    <row r="4307" spans="2:19" ht="11.4" customHeight="1" x14ac:dyDescent="0.2">
      <c r="B4307" s="24"/>
      <c r="C4307" s="14">
        <v>4575</v>
      </c>
      <c r="D4307" s="18" t="s">
        <v>4497</v>
      </c>
      <c r="E4307" s="18" t="s">
        <v>3375</v>
      </c>
      <c r="F4307" s="17">
        <v>8</v>
      </c>
      <c r="G4307" s="18" t="s">
        <v>23</v>
      </c>
      <c r="H4307" s="17">
        <v>136.19999999999999</v>
      </c>
      <c r="I4307" s="15">
        <v>178.9</v>
      </c>
      <c r="J4307" s="21">
        <f t="shared" si="201"/>
        <v>0.31350954478707799</v>
      </c>
      <c r="K4307" s="1">
        <v>2</v>
      </c>
      <c r="L4307" s="24">
        <v>17.8</v>
      </c>
      <c r="M4307" s="24">
        <v>161.01000000000002</v>
      </c>
      <c r="N4307" s="21">
        <f t="shared" si="202"/>
        <v>0.18215859030837028</v>
      </c>
      <c r="P4307" s="1">
        <v>4</v>
      </c>
      <c r="Q4307" s="24">
        <v>21.467999999999989</v>
      </c>
      <c r="R4307" s="24">
        <v>157.43200000000002</v>
      </c>
      <c r="S4307" s="21">
        <f t="shared" si="203"/>
        <v>0.15588839941262869</v>
      </c>
    </row>
    <row r="4308" spans="2:19" ht="11.4" customHeight="1" x14ac:dyDescent="0.2">
      <c r="B4308" s="24"/>
      <c r="C4308" s="14">
        <v>13156</v>
      </c>
      <c r="D4308" s="18" t="s">
        <v>4498</v>
      </c>
      <c r="E4308" s="18" t="s">
        <v>3371</v>
      </c>
      <c r="F4308" s="17">
        <v>3</v>
      </c>
      <c r="G4308" s="18" t="s">
        <v>902</v>
      </c>
      <c r="H4308" s="17">
        <v>417</v>
      </c>
      <c r="I4308" s="15">
        <v>579</v>
      </c>
      <c r="J4308" s="21">
        <f t="shared" si="201"/>
        <v>0.38848920863309355</v>
      </c>
      <c r="K4308" s="1">
        <v>2</v>
      </c>
      <c r="L4308" s="24">
        <v>57.9</v>
      </c>
      <c r="M4308" s="24">
        <v>521.1</v>
      </c>
      <c r="N4308" s="21">
        <f t="shared" si="202"/>
        <v>0.24964028776978422</v>
      </c>
      <c r="P4308" s="1">
        <v>6</v>
      </c>
      <c r="Q4308" s="24">
        <v>86.850000000000023</v>
      </c>
      <c r="R4308" s="24">
        <v>492.15</v>
      </c>
      <c r="S4308" s="21">
        <f t="shared" si="203"/>
        <v>0.18021582733812944</v>
      </c>
    </row>
    <row r="4309" spans="2:19" ht="11.4" customHeight="1" x14ac:dyDescent="0.2">
      <c r="B4309" s="24"/>
      <c r="C4309" s="14">
        <v>41905</v>
      </c>
      <c r="D4309" s="18" t="s">
        <v>4499</v>
      </c>
      <c r="E4309" s="18" t="s">
        <v>3371</v>
      </c>
      <c r="F4309" s="18"/>
      <c r="G4309" s="18" t="s">
        <v>902</v>
      </c>
      <c r="H4309" s="17">
        <v>217.08</v>
      </c>
      <c r="I4309" s="15">
        <v>319.89999999999998</v>
      </c>
      <c r="J4309" s="21">
        <f t="shared" si="201"/>
        <v>0.47365026718260528</v>
      </c>
      <c r="K4309" s="1">
        <v>2</v>
      </c>
      <c r="L4309" s="24">
        <v>31.9</v>
      </c>
      <c r="M4309" s="24">
        <v>287.90999999999997</v>
      </c>
      <c r="N4309" s="21">
        <f t="shared" si="202"/>
        <v>0.32628524046434471</v>
      </c>
      <c r="P4309" s="1">
        <v>6</v>
      </c>
      <c r="Q4309" s="24">
        <v>47.985000000000014</v>
      </c>
      <c r="R4309" s="24">
        <v>271.91499999999996</v>
      </c>
      <c r="S4309" s="21">
        <f t="shared" si="203"/>
        <v>0.25260272710521442</v>
      </c>
    </row>
    <row r="4310" spans="2:19" ht="11.4" customHeight="1" x14ac:dyDescent="0.2">
      <c r="B4310" s="24"/>
      <c r="C4310" s="14">
        <v>33399</v>
      </c>
      <c r="D4310" s="18" t="s">
        <v>4500</v>
      </c>
      <c r="E4310" s="18" t="s">
        <v>3371</v>
      </c>
      <c r="F4310" s="17">
        <v>2</v>
      </c>
      <c r="G4310" s="18" t="s">
        <v>902</v>
      </c>
      <c r="H4310" s="17">
        <v>308.14</v>
      </c>
      <c r="I4310" s="15">
        <v>404.9</v>
      </c>
      <c r="J4310" s="21">
        <f t="shared" si="201"/>
        <v>0.31401311092360612</v>
      </c>
      <c r="K4310" s="1">
        <v>2</v>
      </c>
      <c r="L4310" s="24">
        <v>40.4</v>
      </c>
      <c r="M4310" s="24">
        <v>364.40999999999997</v>
      </c>
      <c r="N4310" s="21">
        <f t="shared" si="202"/>
        <v>0.18261179983124548</v>
      </c>
      <c r="P4310" s="1">
        <v>6</v>
      </c>
      <c r="Q4310" s="24">
        <v>60.735000000000014</v>
      </c>
      <c r="R4310" s="24">
        <v>344.16499999999996</v>
      </c>
      <c r="S4310" s="21">
        <f t="shared" si="203"/>
        <v>0.11691114428506516</v>
      </c>
    </row>
    <row r="4311" spans="2:19" ht="11.4" customHeight="1" x14ac:dyDescent="0.2">
      <c r="B4311" s="24"/>
      <c r="C4311" s="14">
        <v>7417</v>
      </c>
      <c r="D4311" s="18" t="s">
        <v>4501</v>
      </c>
      <c r="E4311" s="18" t="s">
        <v>3375</v>
      </c>
      <c r="F4311" s="17">
        <v>5</v>
      </c>
      <c r="G4311" s="18" t="s">
        <v>23</v>
      </c>
      <c r="H4311" s="17">
        <v>193.08</v>
      </c>
      <c r="I4311" s="15">
        <v>241.5</v>
      </c>
      <c r="J4311" s="21">
        <f t="shared" si="201"/>
        <v>0.25077688004972026</v>
      </c>
      <c r="K4311" s="1">
        <v>2</v>
      </c>
      <c r="L4311" s="24">
        <v>24.1</v>
      </c>
      <c r="M4311" s="24">
        <v>217.35</v>
      </c>
      <c r="N4311" s="21">
        <f t="shared" si="202"/>
        <v>0.12569919204474819</v>
      </c>
      <c r="P4311" s="1">
        <v>4</v>
      </c>
      <c r="Q4311" s="24">
        <v>28.97999999999999</v>
      </c>
      <c r="R4311" s="24">
        <v>212.52</v>
      </c>
      <c r="S4311" s="21">
        <f t="shared" si="203"/>
        <v>0.10068365444375386</v>
      </c>
    </row>
    <row r="4312" spans="2:19" ht="11.4" customHeight="1" x14ac:dyDescent="0.2">
      <c r="B4312" s="24"/>
      <c r="C4312" s="14">
        <v>35114</v>
      </c>
      <c r="D4312" s="18" t="s">
        <v>4502</v>
      </c>
      <c r="E4312" s="18" t="s">
        <v>3371</v>
      </c>
      <c r="F4312" s="17">
        <v>1.5</v>
      </c>
      <c r="G4312" s="18" t="s">
        <v>902</v>
      </c>
      <c r="H4312" s="17">
        <v>189</v>
      </c>
      <c r="I4312" s="15">
        <v>279</v>
      </c>
      <c r="J4312" s="21">
        <f t="shared" si="201"/>
        <v>0.47619047619047616</v>
      </c>
      <c r="K4312" s="1">
        <v>2</v>
      </c>
      <c r="L4312" s="24">
        <v>27.9</v>
      </c>
      <c r="M4312" s="24">
        <v>251.1</v>
      </c>
      <c r="N4312" s="21">
        <f t="shared" si="202"/>
        <v>0.32857142857142851</v>
      </c>
      <c r="P4312" s="1">
        <v>6</v>
      </c>
      <c r="Q4312" s="24">
        <v>41.849999999999994</v>
      </c>
      <c r="R4312" s="24">
        <v>237.15</v>
      </c>
      <c r="S4312" s="21">
        <f t="shared" si="203"/>
        <v>0.2547619047619048</v>
      </c>
    </row>
    <row r="4313" spans="2:19" ht="11.4" customHeight="1" x14ac:dyDescent="0.2">
      <c r="B4313" s="24"/>
      <c r="C4313" s="14">
        <v>38453</v>
      </c>
      <c r="D4313" s="18" t="s">
        <v>4503</v>
      </c>
      <c r="E4313" s="18" t="s">
        <v>3375</v>
      </c>
      <c r="F4313" s="18"/>
      <c r="G4313" s="18" t="s">
        <v>23</v>
      </c>
      <c r="H4313" s="17">
        <v>136.1</v>
      </c>
      <c r="I4313" s="15">
        <v>136.9</v>
      </c>
      <c r="J4313" s="21">
        <f t="shared" si="201"/>
        <v>5.878030859662097E-3</v>
      </c>
      <c r="K4313" s="1">
        <v>2</v>
      </c>
      <c r="L4313" s="24">
        <v>13.6</v>
      </c>
      <c r="M4313" s="24">
        <v>123.21000000000001</v>
      </c>
      <c r="N4313" s="21">
        <f t="shared" si="202"/>
        <v>-9.4709772226304098E-2</v>
      </c>
      <c r="P4313" s="1">
        <v>4</v>
      </c>
      <c r="Q4313" s="24">
        <v>16.427999999999997</v>
      </c>
      <c r="R4313" s="24">
        <v>120.47200000000001</v>
      </c>
      <c r="S4313" s="21">
        <f t="shared" si="203"/>
        <v>-0.11482733284349733</v>
      </c>
    </row>
    <row r="4314" spans="2:19" ht="11.4" customHeight="1" x14ac:dyDescent="0.2">
      <c r="B4314" s="24"/>
      <c r="C4314" s="14">
        <v>24145</v>
      </c>
      <c r="D4314" s="18" t="s">
        <v>4504</v>
      </c>
      <c r="E4314" s="18" t="s">
        <v>3371</v>
      </c>
      <c r="F4314" s="18"/>
      <c r="G4314" s="18" t="s">
        <v>902</v>
      </c>
      <c r="H4314" s="17">
        <v>277.93</v>
      </c>
      <c r="I4314" s="15">
        <v>382.9</v>
      </c>
      <c r="J4314" s="21">
        <f t="shared" si="201"/>
        <v>0.37768502860432474</v>
      </c>
      <c r="K4314" s="1">
        <v>2</v>
      </c>
      <c r="L4314" s="24">
        <v>38.200000000000003</v>
      </c>
      <c r="M4314" s="24">
        <v>344.61</v>
      </c>
      <c r="N4314" s="21">
        <f t="shared" si="202"/>
        <v>0.23991652574389236</v>
      </c>
      <c r="P4314" s="1">
        <v>6</v>
      </c>
      <c r="Q4314" s="24">
        <v>57.435000000000002</v>
      </c>
      <c r="R4314" s="24">
        <v>325.46499999999997</v>
      </c>
      <c r="S4314" s="21">
        <f t="shared" si="203"/>
        <v>0.17103227431367599</v>
      </c>
    </row>
    <row r="4315" spans="2:19" ht="11.4" customHeight="1" x14ac:dyDescent="0.2">
      <c r="B4315" s="24"/>
      <c r="C4315" s="14">
        <v>8409</v>
      </c>
      <c r="D4315" s="18" t="s">
        <v>4505</v>
      </c>
      <c r="E4315" s="18" t="s">
        <v>3371</v>
      </c>
      <c r="F4315" s="18"/>
      <c r="G4315" s="18" t="s">
        <v>902</v>
      </c>
      <c r="H4315" s="17">
        <v>277.93</v>
      </c>
      <c r="I4315" s="15">
        <v>373</v>
      </c>
      <c r="J4315" s="21">
        <f t="shared" si="201"/>
        <v>0.34206454862735219</v>
      </c>
      <c r="K4315" s="1">
        <v>2</v>
      </c>
      <c r="L4315" s="24">
        <v>37.299999999999997</v>
      </c>
      <c r="M4315" s="24">
        <v>335.7</v>
      </c>
      <c r="N4315" s="21">
        <f t="shared" si="202"/>
        <v>0.20785809376461692</v>
      </c>
      <c r="P4315" s="1">
        <v>6</v>
      </c>
      <c r="Q4315" s="24">
        <v>55.949999999999989</v>
      </c>
      <c r="R4315" s="24">
        <v>317.05</v>
      </c>
      <c r="S4315" s="21">
        <f t="shared" si="203"/>
        <v>0.14075486633324938</v>
      </c>
    </row>
    <row r="4316" spans="2:19" ht="11.4" customHeight="1" x14ac:dyDescent="0.2">
      <c r="B4316" s="24"/>
      <c r="C4316" s="14">
        <v>41864</v>
      </c>
      <c r="D4316" s="18" t="s">
        <v>4506</v>
      </c>
      <c r="E4316" s="18" t="s">
        <v>4279</v>
      </c>
      <c r="F4316" s="18"/>
      <c r="G4316" s="18" t="s">
        <v>23</v>
      </c>
      <c r="H4316" s="17">
        <v>92.7</v>
      </c>
      <c r="I4316" s="15">
        <v>139.9</v>
      </c>
      <c r="J4316" s="21">
        <f t="shared" si="201"/>
        <v>0.50916936353829556</v>
      </c>
      <c r="K4316" s="1">
        <v>2</v>
      </c>
      <c r="L4316" s="24">
        <v>13.9</v>
      </c>
      <c r="M4316" s="24">
        <v>125.91000000000001</v>
      </c>
      <c r="N4316" s="21">
        <f t="shared" si="202"/>
        <v>0.35825242718446609</v>
      </c>
      <c r="P4316" s="1">
        <v>4</v>
      </c>
      <c r="Q4316" s="24">
        <v>16.787999999999997</v>
      </c>
      <c r="R4316" s="24">
        <v>123.11200000000001</v>
      </c>
      <c r="S4316" s="21">
        <f t="shared" si="203"/>
        <v>0.32806903991370018</v>
      </c>
    </row>
    <row r="4317" spans="2:19" ht="11.4" customHeight="1" x14ac:dyDescent="0.2">
      <c r="B4317" s="24"/>
      <c r="C4317" s="14">
        <v>39695</v>
      </c>
      <c r="D4317" s="18" t="s">
        <v>4507</v>
      </c>
      <c r="E4317" s="18" t="s">
        <v>3375</v>
      </c>
      <c r="F4317" s="18"/>
      <c r="G4317" s="18" t="s">
        <v>23</v>
      </c>
      <c r="H4317" s="17">
        <v>117.48</v>
      </c>
      <c r="I4317" s="15">
        <v>154.9</v>
      </c>
      <c r="J4317" s="21">
        <f t="shared" si="201"/>
        <v>0.31852230166836909</v>
      </c>
      <c r="K4317" s="1">
        <v>2</v>
      </c>
      <c r="L4317" s="24">
        <v>15.4</v>
      </c>
      <c r="M4317" s="24">
        <v>139.41</v>
      </c>
      <c r="N4317" s="21">
        <f t="shared" si="202"/>
        <v>0.18667007150153211</v>
      </c>
      <c r="P4317" s="1">
        <v>4</v>
      </c>
      <c r="Q4317" s="24">
        <v>18.587999999999994</v>
      </c>
      <c r="R4317" s="24">
        <v>136.31200000000001</v>
      </c>
      <c r="S4317" s="21">
        <f t="shared" si="203"/>
        <v>0.16029962546816487</v>
      </c>
    </row>
    <row r="4318" spans="2:19" ht="11.4" customHeight="1" x14ac:dyDescent="0.2">
      <c r="B4318" s="24"/>
      <c r="C4318" s="14">
        <v>15985</v>
      </c>
      <c r="D4318" s="18" t="s">
        <v>4508</v>
      </c>
      <c r="E4318" s="18" t="s">
        <v>3375</v>
      </c>
      <c r="F4318" s="18"/>
      <c r="G4318" s="18" t="s">
        <v>23</v>
      </c>
      <c r="H4318" s="17">
        <v>150.12</v>
      </c>
      <c r="I4318" s="15">
        <v>231.5</v>
      </c>
      <c r="J4318" s="21">
        <f t="shared" si="201"/>
        <v>0.54209965361044488</v>
      </c>
      <c r="K4318" s="1">
        <v>2</v>
      </c>
      <c r="L4318" s="24">
        <v>23.1</v>
      </c>
      <c r="M4318" s="24">
        <v>208.35</v>
      </c>
      <c r="N4318" s="21">
        <f t="shared" si="202"/>
        <v>0.3878896882494004</v>
      </c>
      <c r="P4318" s="1">
        <v>4</v>
      </c>
      <c r="Q4318" s="24">
        <v>27.78</v>
      </c>
      <c r="R4318" s="24">
        <v>203.72</v>
      </c>
      <c r="S4318" s="21">
        <f t="shared" si="203"/>
        <v>0.35704769517719154</v>
      </c>
    </row>
    <row r="4319" spans="2:19" ht="11.4" customHeight="1" x14ac:dyDescent="0.2">
      <c r="B4319" s="24"/>
      <c r="C4319" s="14">
        <v>15986</v>
      </c>
      <c r="D4319" s="18" t="s">
        <v>4509</v>
      </c>
      <c r="E4319" s="18" t="s">
        <v>3375</v>
      </c>
      <c r="F4319" s="18"/>
      <c r="G4319" s="18" t="s">
        <v>23</v>
      </c>
      <c r="H4319" s="17">
        <v>150.12</v>
      </c>
      <c r="I4319" s="15">
        <v>231.5</v>
      </c>
      <c r="J4319" s="21">
        <f t="shared" si="201"/>
        <v>0.54209965361044488</v>
      </c>
      <c r="K4319" s="1">
        <v>2</v>
      </c>
      <c r="L4319" s="24">
        <v>23.1</v>
      </c>
      <c r="M4319" s="24">
        <v>208.35</v>
      </c>
      <c r="N4319" s="21">
        <f t="shared" si="202"/>
        <v>0.3878896882494004</v>
      </c>
      <c r="P4319" s="1">
        <v>4</v>
      </c>
      <c r="Q4319" s="24">
        <v>27.78</v>
      </c>
      <c r="R4319" s="24">
        <v>203.72</v>
      </c>
      <c r="S4319" s="21">
        <f t="shared" si="203"/>
        <v>0.35704769517719154</v>
      </c>
    </row>
    <row r="4320" spans="2:19" ht="11.4" customHeight="1" x14ac:dyDescent="0.2">
      <c r="B4320" s="24"/>
      <c r="C4320" s="14">
        <v>10211</v>
      </c>
      <c r="D4320" s="18" t="s">
        <v>4510</v>
      </c>
      <c r="E4320" s="18" t="s">
        <v>3375</v>
      </c>
      <c r="F4320" s="17">
        <v>8</v>
      </c>
      <c r="G4320" s="18" t="s">
        <v>23</v>
      </c>
      <c r="H4320" s="17">
        <v>142.08000000000001</v>
      </c>
      <c r="I4320" s="15">
        <v>176.9</v>
      </c>
      <c r="J4320" s="21">
        <f t="shared" si="201"/>
        <v>0.24507319819819812</v>
      </c>
      <c r="K4320" s="1">
        <v>2</v>
      </c>
      <c r="L4320" s="24">
        <v>17.600000000000001</v>
      </c>
      <c r="M4320" s="24">
        <v>159.21</v>
      </c>
      <c r="N4320" s="21">
        <f t="shared" si="202"/>
        <v>0.12056587837837833</v>
      </c>
      <c r="P4320" s="1">
        <v>4</v>
      </c>
      <c r="Q4320" s="24">
        <v>21.228000000000009</v>
      </c>
      <c r="R4320" s="24">
        <v>155.672</v>
      </c>
      <c r="S4320" s="21">
        <f t="shared" si="203"/>
        <v>9.5664414414414298E-2</v>
      </c>
    </row>
    <row r="4321" spans="2:19" ht="11.4" customHeight="1" x14ac:dyDescent="0.2">
      <c r="B4321" s="24"/>
      <c r="C4321" s="14">
        <v>4697</v>
      </c>
      <c r="D4321" s="18" t="s">
        <v>4511</v>
      </c>
      <c r="E4321" s="18" t="s">
        <v>3375</v>
      </c>
      <c r="F4321" s="17">
        <v>5</v>
      </c>
      <c r="G4321" s="18" t="s">
        <v>23</v>
      </c>
      <c r="H4321" s="17">
        <v>269.94</v>
      </c>
      <c r="I4321" s="15">
        <v>336.5</v>
      </c>
      <c r="J4321" s="21">
        <f t="shared" si="201"/>
        <v>0.24657331258798251</v>
      </c>
      <c r="K4321" s="1">
        <v>2</v>
      </c>
      <c r="L4321" s="24">
        <v>33.6</v>
      </c>
      <c r="M4321" s="24">
        <v>302.85000000000002</v>
      </c>
      <c r="N4321" s="21">
        <f t="shared" si="202"/>
        <v>0.12191598132918435</v>
      </c>
      <c r="P4321" s="1">
        <v>4</v>
      </c>
      <c r="Q4321" s="24">
        <v>40.379999999999995</v>
      </c>
      <c r="R4321" s="24">
        <v>296.12</v>
      </c>
      <c r="S4321" s="21">
        <f t="shared" si="203"/>
        <v>9.6984515077424643E-2</v>
      </c>
    </row>
    <row r="4322" spans="2:19" ht="11.4" customHeight="1" x14ac:dyDescent="0.2">
      <c r="B4322" s="24"/>
      <c r="C4322" s="14">
        <v>46280</v>
      </c>
      <c r="D4322" s="18" t="s">
        <v>4512</v>
      </c>
      <c r="E4322" s="18" t="s">
        <v>4263</v>
      </c>
      <c r="F4322" s="17">
        <v>8</v>
      </c>
      <c r="G4322" s="18" t="s">
        <v>902</v>
      </c>
      <c r="H4322" s="17">
        <v>186.61</v>
      </c>
      <c r="I4322" s="15">
        <v>239.9</v>
      </c>
      <c r="J4322" s="21">
        <f t="shared" si="201"/>
        <v>0.28556883339585226</v>
      </c>
      <c r="K4322" s="1">
        <v>2</v>
      </c>
      <c r="L4322" s="24">
        <v>23.9</v>
      </c>
      <c r="M4322" s="24">
        <v>215.91</v>
      </c>
      <c r="N4322" s="21">
        <f t="shared" si="202"/>
        <v>0.15701195005626697</v>
      </c>
      <c r="P4322" s="1">
        <v>6</v>
      </c>
      <c r="Q4322" s="24">
        <v>35.985000000000014</v>
      </c>
      <c r="R4322" s="24">
        <v>203.91499999999999</v>
      </c>
      <c r="S4322" s="21">
        <f t="shared" si="203"/>
        <v>9.2733508386474345E-2</v>
      </c>
    </row>
    <row r="4323" spans="2:19" ht="11.4" customHeight="1" x14ac:dyDescent="0.2">
      <c r="B4323" s="24"/>
      <c r="C4323" s="14">
        <v>45339</v>
      </c>
      <c r="D4323" s="18" t="s">
        <v>4513</v>
      </c>
      <c r="E4323" s="18" t="s">
        <v>3371</v>
      </c>
      <c r="F4323" s="18"/>
      <c r="G4323" s="18" t="s">
        <v>902</v>
      </c>
      <c r="H4323" s="17">
        <v>186.61</v>
      </c>
      <c r="I4323" s="15">
        <v>239.9</v>
      </c>
      <c r="J4323" s="21">
        <f t="shared" si="201"/>
        <v>0.28556883339585226</v>
      </c>
      <c r="K4323" s="1">
        <v>2</v>
      </c>
      <c r="L4323" s="24">
        <v>23.9</v>
      </c>
      <c r="M4323" s="24">
        <v>215.91</v>
      </c>
      <c r="N4323" s="21">
        <f t="shared" si="202"/>
        <v>0.15701195005626697</v>
      </c>
      <c r="P4323" s="1">
        <v>6</v>
      </c>
      <c r="Q4323" s="24">
        <v>35.985000000000014</v>
      </c>
      <c r="R4323" s="24">
        <v>203.91499999999999</v>
      </c>
      <c r="S4323" s="21">
        <f t="shared" si="203"/>
        <v>9.2733508386474345E-2</v>
      </c>
    </row>
    <row r="4324" spans="2:19" ht="11.4" customHeight="1" x14ac:dyDescent="0.2">
      <c r="B4324" s="24"/>
      <c r="C4324" s="14">
        <v>32037</v>
      </c>
      <c r="D4324" s="18" t="s">
        <v>4514</v>
      </c>
      <c r="E4324" s="18" t="s">
        <v>4263</v>
      </c>
      <c r="F4324" s="18"/>
      <c r="G4324" s="18" t="s">
        <v>902</v>
      </c>
      <c r="H4324" s="17">
        <v>215</v>
      </c>
      <c r="I4324" s="15">
        <v>297</v>
      </c>
      <c r="J4324" s="21">
        <f t="shared" si="201"/>
        <v>0.38139534883720932</v>
      </c>
      <c r="K4324" s="1">
        <v>2</v>
      </c>
      <c r="L4324" s="24">
        <v>29.7</v>
      </c>
      <c r="M4324" s="24">
        <v>267.3</v>
      </c>
      <c r="N4324" s="21">
        <f t="shared" si="202"/>
        <v>0.24325581395348841</v>
      </c>
      <c r="P4324" s="1">
        <v>6</v>
      </c>
      <c r="Q4324" s="24">
        <v>44.550000000000011</v>
      </c>
      <c r="R4324" s="24">
        <v>252.45</v>
      </c>
      <c r="S4324" s="21">
        <f t="shared" si="203"/>
        <v>0.17418604651162786</v>
      </c>
    </row>
    <row r="4325" spans="2:19" ht="11.4" customHeight="1" x14ac:dyDescent="0.2">
      <c r="B4325" s="24"/>
      <c r="C4325" s="14">
        <v>43327</v>
      </c>
      <c r="D4325" s="18" t="s">
        <v>4515</v>
      </c>
      <c r="E4325" s="18" t="s">
        <v>3375</v>
      </c>
      <c r="F4325" s="17">
        <v>3</v>
      </c>
      <c r="G4325" s="18" t="s">
        <v>23</v>
      </c>
      <c r="H4325" s="17">
        <v>260.68</v>
      </c>
      <c r="I4325" s="15">
        <v>325.89999999999998</v>
      </c>
      <c r="J4325" s="21">
        <f t="shared" si="201"/>
        <v>0.25019180604572644</v>
      </c>
      <c r="K4325" s="1">
        <v>2</v>
      </c>
      <c r="L4325" s="24">
        <v>32.5</v>
      </c>
      <c r="M4325" s="24">
        <v>293.31</v>
      </c>
      <c r="N4325" s="21">
        <f t="shared" si="202"/>
        <v>0.12517262544115387</v>
      </c>
      <c r="P4325" s="1">
        <v>4</v>
      </c>
      <c r="Q4325" s="24">
        <v>39.108000000000004</v>
      </c>
      <c r="R4325" s="24">
        <v>286.79199999999997</v>
      </c>
      <c r="S4325" s="21">
        <f t="shared" si="203"/>
        <v>0.10016878932023925</v>
      </c>
    </row>
    <row r="4326" spans="2:19" ht="11.4" customHeight="1" x14ac:dyDescent="0.2">
      <c r="B4326" s="24"/>
      <c r="C4326" s="14">
        <v>10743</v>
      </c>
      <c r="D4326" s="18" t="s">
        <v>4516</v>
      </c>
      <c r="E4326" s="18" t="s">
        <v>3375</v>
      </c>
      <c r="F4326" s="18"/>
      <c r="G4326" s="18" t="s">
        <v>23</v>
      </c>
      <c r="H4326" s="17">
        <v>315.91000000000003</v>
      </c>
      <c r="I4326" s="15">
        <v>458.5</v>
      </c>
      <c r="J4326" s="21">
        <f t="shared" si="201"/>
        <v>0.45136272989142467</v>
      </c>
      <c r="K4326" s="1">
        <v>2</v>
      </c>
      <c r="L4326" s="24">
        <v>45.8</v>
      </c>
      <c r="M4326" s="24">
        <v>412.65000000000003</v>
      </c>
      <c r="N4326" s="21">
        <f t="shared" si="202"/>
        <v>0.30622645690228228</v>
      </c>
      <c r="P4326" s="1">
        <v>4</v>
      </c>
      <c r="Q4326" s="24">
        <v>55.019999999999982</v>
      </c>
      <c r="R4326" s="24">
        <v>403.48</v>
      </c>
      <c r="S4326" s="21">
        <f t="shared" si="203"/>
        <v>0.27719920230445377</v>
      </c>
    </row>
    <row r="4327" spans="2:19" ht="11.4" customHeight="1" x14ac:dyDescent="0.2">
      <c r="B4327" s="24"/>
      <c r="C4327" s="14">
        <v>45397</v>
      </c>
      <c r="D4327" s="18" t="s">
        <v>4517</v>
      </c>
      <c r="E4327" s="18" t="s">
        <v>3371</v>
      </c>
      <c r="F4327" s="18"/>
      <c r="G4327" s="18" t="s">
        <v>902</v>
      </c>
      <c r="H4327" s="18"/>
      <c r="I4327" s="15">
        <v>246</v>
      </c>
      <c r="J4327" s="21" t="e">
        <f t="shared" si="201"/>
        <v>#DIV/0!</v>
      </c>
      <c r="K4327" s="1">
        <v>2</v>
      </c>
      <c r="L4327" s="24">
        <v>24.6</v>
      </c>
      <c r="M4327" s="24">
        <v>221.4</v>
      </c>
      <c r="N4327" s="21" t="e">
        <f t="shared" si="202"/>
        <v>#DIV/0!</v>
      </c>
      <c r="P4327" s="1">
        <v>6</v>
      </c>
      <c r="Q4327" s="24">
        <v>36.900000000000006</v>
      </c>
      <c r="R4327" s="24">
        <v>209.1</v>
      </c>
      <c r="S4327" s="21" t="e">
        <f t="shared" si="203"/>
        <v>#DIV/0!</v>
      </c>
    </row>
    <row r="4328" spans="2:19" ht="11.4" customHeight="1" x14ac:dyDescent="0.2">
      <c r="B4328" s="24"/>
      <c r="C4328" s="14">
        <v>43461</v>
      </c>
      <c r="D4328" s="18" t="s">
        <v>4518</v>
      </c>
      <c r="E4328" s="18" t="s">
        <v>3375</v>
      </c>
      <c r="F4328" s="17">
        <v>8</v>
      </c>
      <c r="G4328" s="18" t="s">
        <v>23</v>
      </c>
      <c r="H4328" s="17">
        <v>133.84</v>
      </c>
      <c r="I4328" s="15">
        <v>199.9</v>
      </c>
      <c r="J4328" s="21">
        <f t="shared" si="201"/>
        <v>0.49357441721458456</v>
      </c>
      <c r="K4328" s="1">
        <v>2</v>
      </c>
      <c r="L4328" s="24">
        <v>19.899999999999999</v>
      </c>
      <c r="M4328" s="24">
        <v>179.91</v>
      </c>
      <c r="N4328" s="21">
        <f t="shared" si="202"/>
        <v>0.34421697549312608</v>
      </c>
      <c r="P4328" s="1">
        <v>4</v>
      </c>
      <c r="Q4328" s="24">
        <v>23.988</v>
      </c>
      <c r="R4328" s="24">
        <v>175.91200000000001</v>
      </c>
      <c r="S4328" s="21">
        <f t="shared" si="203"/>
        <v>0.31434548714883442</v>
      </c>
    </row>
    <row r="4329" spans="2:19" ht="11.4" customHeight="1" x14ac:dyDescent="0.2">
      <c r="B4329" s="24"/>
      <c r="C4329" s="14">
        <v>42448</v>
      </c>
      <c r="D4329" s="18" t="s">
        <v>4519</v>
      </c>
      <c r="E4329" s="18" t="s">
        <v>3371</v>
      </c>
      <c r="F4329" s="18"/>
      <c r="G4329" s="18" t="s">
        <v>902</v>
      </c>
      <c r="H4329" s="17">
        <v>205</v>
      </c>
      <c r="I4329" s="15">
        <v>294.89999999999998</v>
      </c>
      <c r="J4329" s="21">
        <f t="shared" si="201"/>
        <v>0.43853658536585355</v>
      </c>
      <c r="K4329" s="1">
        <v>2</v>
      </c>
      <c r="L4329" s="24">
        <v>29.4</v>
      </c>
      <c r="M4329" s="24">
        <v>265.40999999999997</v>
      </c>
      <c r="N4329" s="21">
        <f t="shared" si="202"/>
        <v>0.29468292682926811</v>
      </c>
      <c r="P4329" s="1">
        <v>6</v>
      </c>
      <c r="Q4329" s="24">
        <v>44.235000000000014</v>
      </c>
      <c r="R4329" s="24">
        <v>250.66499999999996</v>
      </c>
      <c r="S4329" s="21">
        <f t="shared" si="203"/>
        <v>0.22275609756097542</v>
      </c>
    </row>
    <row r="4330" spans="2:19" ht="11.4" customHeight="1" x14ac:dyDescent="0.2">
      <c r="B4330" s="24"/>
      <c r="C4330" s="14">
        <v>8046</v>
      </c>
      <c r="D4330" s="18" t="s">
        <v>4520</v>
      </c>
      <c r="E4330" s="18" t="s">
        <v>4118</v>
      </c>
      <c r="F4330" s="17">
        <v>1</v>
      </c>
      <c r="G4330" s="18" t="s">
        <v>23</v>
      </c>
      <c r="H4330" s="17">
        <v>32.26</v>
      </c>
      <c r="I4330" s="15">
        <v>42.9</v>
      </c>
      <c r="J4330" s="21">
        <f t="shared" si="201"/>
        <v>0.3298202107873528</v>
      </c>
      <c r="K4330" s="1">
        <v>2</v>
      </c>
      <c r="L4330" s="24">
        <v>4.2</v>
      </c>
      <c r="M4330" s="24">
        <v>38.61</v>
      </c>
      <c r="N4330" s="21">
        <f t="shared" si="202"/>
        <v>0.19683818970861755</v>
      </c>
      <c r="P4330" s="1">
        <v>4</v>
      </c>
      <c r="Q4330" s="24">
        <v>5.1479999999999961</v>
      </c>
      <c r="R4330" s="24">
        <v>37.752000000000002</v>
      </c>
      <c r="S4330" s="21">
        <f t="shared" si="203"/>
        <v>0.17024178549287058</v>
      </c>
    </row>
    <row r="4331" spans="2:19" ht="11.4" customHeight="1" x14ac:dyDescent="0.2">
      <c r="B4331" s="24"/>
      <c r="C4331" s="14">
        <v>6289</v>
      </c>
      <c r="D4331" s="18" t="s">
        <v>4521</v>
      </c>
      <c r="E4331" s="18" t="s">
        <v>3371</v>
      </c>
      <c r="F4331" s="18"/>
      <c r="G4331" s="18" t="s">
        <v>902</v>
      </c>
      <c r="H4331" s="17">
        <v>206.3</v>
      </c>
      <c r="I4331" s="15">
        <v>269.89999999999998</v>
      </c>
      <c r="J4331" s="21">
        <f t="shared" si="201"/>
        <v>0.30828889966068812</v>
      </c>
      <c r="K4331" s="1">
        <v>2</v>
      </c>
      <c r="L4331" s="24">
        <v>26.9</v>
      </c>
      <c r="M4331" s="24">
        <v>242.91</v>
      </c>
      <c r="N4331" s="21">
        <f t="shared" si="202"/>
        <v>0.17746000969461939</v>
      </c>
      <c r="P4331" s="1">
        <v>6</v>
      </c>
      <c r="Q4331" s="24">
        <v>40.485000000000014</v>
      </c>
      <c r="R4331" s="24">
        <v>229.41499999999996</v>
      </c>
      <c r="S4331" s="21">
        <f t="shared" si="203"/>
        <v>0.11204556471158483</v>
      </c>
    </row>
    <row r="4332" spans="2:19" ht="11.4" customHeight="1" x14ac:dyDescent="0.2">
      <c r="B4332" s="24"/>
      <c r="C4332" s="14">
        <v>24144</v>
      </c>
      <c r="D4332" s="18" t="s">
        <v>4522</v>
      </c>
      <c r="E4332" s="18" t="s">
        <v>3371</v>
      </c>
      <c r="F4332" s="18"/>
      <c r="G4332" s="18" t="s">
        <v>902</v>
      </c>
      <c r="H4332" s="17">
        <v>207.84</v>
      </c>
      <c r="I4332" s="15">
        <v>292.89999999999998</v>
      </c>
      <c r="J4332" s="21">
        <f t="shared" si="201"/>
        <v>0.40925712086220156</v>
      </c>
      <c r="K4332" s="1">
        <v>2</v>
      </c>
      <c r="L4332" s="24">
        <v>29.2</v>
      </c>
      <c r="M4332" s="24">
        <v>263.61</v>
      </c>
      <c r="N4332" s="21">
        <f t="shared" si="202"/>
        <v>0.26833140877598155</v>
      </c>
      <c r="P4332" s="1">
        <v>6</v>
      </c>
      <c r="Q4332" s="24">
        <v>43.935000000000002</v>
      </c>
      <c r="R4332" s="24">
        <v>248.96499999999997</v>
      </c>
      <c r="S4332" s="21">
        <f t="shared" si="203"/>
        <v>0.19786855273287129</v>
      </c>
    </row>
    <row r="4333" spans="2:19" ht="11.4" customHeight="1" x14ac:dyDescent="0.2">
      <c r="B4333" s="24"/>
      <c r="C4333" s="14">
        <v>4</v>
      </c>
      <c r="D4333" s="18" t="s">
        <v>4523</v>
      </c>
      <c r="E4333" s="18" t="s">
        <v>3371</v>
      </c>
      <c r="F4333" s="18"/>
      <c r="G4333" s="18" t="s">
        <v>902</v>
      </c>
      <c r="H4333" s="17">
        <v>480</v>
      </c>
      <c r="I4333" s="15">
        <v>480</v>
      </c>
      <c r="J4333" s="21">
        <f t="shared" si="201"/>
        <v>0</v>
      </c>
      <c r="K4333" s="1">
        <v>2</v>
      </c>
      <c r="L4333" s="24">
        <v>48</v>
      </c>
      <c r="M4333" s="24">
        <v>432</v>
      </c>
      <c r="N4333" s="21">
        <f t="shared" si="202"/>
        <v>-0.1</v>
      </c>
      <c r="P4333" s="1">
        <v>6</v>
      </c>
      <c r="Q4333" s="24">
        <v>72</v>
      </c>
      <c r="R4333" s="24">
        <v>408</v>
      </c>
      <c r="S4333" s="21">
        <f t="shared" si="203"/>
        <v>-0.15</v>
      </c>
    </row>
    <row r="4334" spans="2:19" ht="11.4" customHeight="1" x14ac:dyDescent="0.2">
      <c r="B4334" s="24"/>
      <c r="C4334" s="14">
        <v>42816</v>
      </c>
      <c r="D4334" s="18" t="s">
        <v>4524</v>
      </c>
      <c r="E4334" s="18" t="s">
        <v>3371</v>
      </c>
      <c r="F4334" s="18"/>
      <c r="G4334" s="18" t="s">
        <v>902</v>
      </c>
      <c r="H4334" s="18"/>
      <c r="I4334" s="15">
        <v>209.9</v>
      </c>
      <c r="J4334" s="21" t="e">
        <f t="shared" si="201"/>
        <v>#DIV/0!</v>
      </c>
      <c r="K4334" s="1">
        <v>2</v>
      </c>
      <c r="L4334" s="24">
        <v>20.9</v>
      </c>
      <c r="M4334" s="24">
        <v>188.91</v>
      </c>
      <c r="N4334" s="21" t="e">
        <f t="shared" si="202"/>
        <v>#DIV/0!</v>
      </c>
      <c r="P4334" s="1">
        <v>6</v>
      </c>
      <c r="Q4334" s="24">
        <v>31.485000000000014</v>
      </c>
      <c r="R4334" s="24">
        <v>178.41499999999999</v>
      </c>
      <c r="S4334" s="21" t="e">
        <f t="shared" si="203"/>
        <v>#DIV/0!</v>
      </c>
    </row>
    <row r="4335" spans="2:19" ht="11.4" customHeight="1" x14ac:dyDescent="0.2">
      <c r="B4335" s="24"/>
      <c r="C4335" s="14">
        <v>43876</v>
      </c>
      <c r="D4335" s="18" t="s">
        <v>4525</v>
      </c>
      <c r="E4335" s="18" t="s">
        <v>3375</v>
      </c>
      <c r="F4335" s="17">
        <v>8</v>
      </c>
      <c r="G4335" s="18" t="s">
        <v>23</v>
      </c>
      <c r="H4335" s="18"/>
      <c r="I4335" s="15">
        <v>434.9</v>
      </c>
      <c r="J4335" s="21" t="e">
        <f t="shared" si="201"/>
        <v>#DIV/0!</v>
      </c>
      <c r="K4335" s="1">
        <v>2</v>
      </c>
      <c r="L4335" s="24">
        <v>43.4</v>
      </c>
      <c r="M4335" s="24">
        <v>391.40999999999997</v>
      </c>
      <c r="N4335" s="21" t="e">
        <f t="shared" si="202"/>
        <v>#DIV/0!</v>
      </c>
      <c r="P4335" s="1">
        <v>4</v>
      </c>
      <c r="Q4335" s="24">
        <v>52.187999999999988</v>
      </c>
      <c r="R4335" s="24">
        <v>382.71199999999999</v>
      </c>
      <c r="S4335" s="21" t="e">
        <f t="shared" si="203"/>
        <v>#DIV/0!</v>
      </c>
    </row>
    <row r="4336" spans="2:19" ht="11.4" customHeight="1" x14ac:dyDescent="0.2">
      <c r="B4336" s="24"/>
      <c r="C4336" s="14">
        <v>13314</v>
      </c>
      <c r="D4336" s="18" t="s">
        <v>4526</v>
      </c>
      <c r="E4336" s="18" t="s">
        <v>3371</v>
      </c>
      <c r="F4336" s="18"/>
      <c r="G4336" s="18" t="s">
        <v>902</v>
      </c>
      <c r="H4336" s="17">
        <v>382.92</v>
      </c>
      <c r="I4336" s="15">
        <v>517.9</v>
      </c>
      <c r="J4336" s="21">
        <f t="shared" si="201"/>
        <v>0.35250182805807989</v>
      </c>
      <c r="K4336" s="1">
        <v>2</v>
      </c>
      <c r="L4336" s="24">
        <v>51.7</v>
      </c>
      <c r="M4336" s="24">
        <v>466.11</v>
      </c>
      <c r="N4336" s="21">
        <f t="shared" si="202"/>
        <v>0.217251645252272</v>
      </c>
      <c r="P4336" s="1">
        <v>6</v>
      </c>
      <c r="Q4336" s="24">
        <v>77.685000000000002</v>
      </c>
      <c r="R4336" s="24">
        <v>440.21499999999997</v>
      </c>
      <c r="S4336" s="21">
        <f t="shared" si="203"/>
        <v>0.1496265538493679</v>
      </c>
    </row>
    <row r="4337" spans="2:19" ht="11.4" customHeight="1" x14ac:dyDescent="0.2">
      <c r="B4337" s="24"/>
      <c r="C4337" s="14">
        <v>31851</v>
      </c>
      <c r="D4337" s="18" t="s">
        <v>4527</v>
      </c>
      <c r="E4337" s="18" t="s">
        <v>3375</v>
      </c>
      <c r="F4337" s="18"/>
      <c r="G4337" s="18" t="s">
        <v>23</v>
      </c>
      <c r="H4337" s="17">
        <v>90.12</v>
      </c>
      <c r="I4337" s="15">
        <v>118.5</v>
      </c>
      <c r="J4337" s="21">
        <f t="shared" si="201"/>
        <v>0.31491344873501992</v>
      </c>
      <c r="K4337" s="1">
        <v>2</v>
      </c>
      <c r="L4337" s="24">
        <v>11.8</v>
      </c>
      <c r="M4337" s="24">
        <v>106.65</v>
      </c>
      <c r="N4337" s="21">
        <f t="shared" si="202"/>
        <v>0.18342210386151797</v>
      </c>
      <c r="P4337" s="1">
        <v>4</v>
      </c>
      <c r="Q4337" s="24">
        <v>14.219999999999999</v>
      </c>
      <c r="R4337" s="24">
        <v>104.28</v>
      </c>
      <c r="S4337" s="21">
        <f t="shared" si="203"/>
        <v>0.15712383488681753</v>
      </c>
    </row>
    <row r="4338" spans="2:19" ht="11.4" customHeight="1" x14ac:dyDescent="0.2">
      <c r="B4338" s="24"/>
      <c r="C4338" s="14">
        <v>2816</v>
      </c>
      <c r="D4338" s="18" t="s">
        <v>4528</v>
      </c>
      <c r="E4338" s="18" t="s">
        <v>3371</v>
      </c>
      <c r="F4338" s="18"/>
      <c r="G4338" s="18" t="s">
        <v>902</v>
      </c>
      <c r="H4338" s="17">
        <v>186.61</v>
      </c>
      <c r="I4338" s="15">
        <v>242.5</v>
      </c>
      <c r="J4338" s="21">
        <f t="shared" si="201"/>
        <v>0.29950163442473599</v>
      </c>
      <c r="K4338" s="1">
        <v>2</v>
      </c>
      <c r="L4338" s="24">
        <v>24.2</v>
      </c>
      <c r="M4338" s="24">
        <v>218.25</v>
      </c>
      <c r="N4338" s="21">
        <f t="shared" si="202"/>
        <v>0.16955147098226239</v>
      </c>
      <c r="P4338" s="1">
        <v>6</v>
      </c>
      <c r="Q4338" s="24">
        <v>36.375</v>
      </c>
      <c r="R4338" s="24">
        <v>206.125</v>
      </c>
      <c r="S4338" s="21">
        <f t="shared" si="203"/>
        <v>0.10457638926102558</v>
      </c>
    </row>
    <row r="4339" spans="2:19" ht="11.4" customHeight="1" x14ac:dyDescent="0.2">
      <c r="B4339" s="24"/>
      <c r="C4339" s="14">
        <v>11225</v>
      </c>
      <c r="D4339" s="18" t="s">
        <v>4529</v>
      </c>
      <c r="E4339" s="18" t="s">
        <v>3375</v>
      </c>
      <c r="F4339" s="17">
        <v>8</v>
      </c>
      <c r="G4339" s="18" t="s">
        <v>23</v>
      </c>
      <c r="H4339" s="17">
        <v>397.6</v>
      </c>
      <c r="I4339" s="15">
        <v>492.6</v>
      </c>
      <c r="J4339" s="21">
        <f t="shared" si="201"/>
        <v>0.23893360160965793</v>
      </c>
      <c r="K4339" s="1">
        <v>2</v>
      </c>
      <c r="L4339" s="24">
        <v>49.2</v>
      </c>
      <c r="M4339" s="24">
        <v>443.34000000000003</v>
      </c>
      <c r="N4339" s="21">
        <f t="shared" si="202"/>
        <v>0.11504024144869217</v>
      </c>
      <c r="P4339" s="1">
        <v>4</v>
      </c>
      <c r="Q4339" s="24">
        <v>59.112000000000023</v>
      </c>
      <c r="R4339" s="24">
        <v>433.488</v>
      </c>
      <c r="S4339" s="21">
        <f t="shared" si="203"/>
        <v>9.0261569416498932E-2</v>
      </c>
    </row>
    <row r="4340" spans="2:19" ht="11.4" customHeight="1" x14ac:dyDescent="0.2">
      <c r="B4340" s="24"/>
      <c r="C4340" s="14">
        <v>4675</v>
      </c>
      <c r="D4340" s="18" t="s">
        <v>4530</v>
      </c>
      <c r="E4340" s="18" t="s">
        <v>3551</v>
      </c>
      <c r="F4340" s="17">
        <v>30</v>
      </c>
      <c r="G4340" s="18" t="s">
        <v>23</v>
      </c>
      <c r="H4340" s="17">
        <v>14.82</v>
      </c>
      <c r="I4340" s="15">
        <v>18.5</v>
      </c>
      <c r="J4340" s="21">
        <f t="shared" si="201"/>
        <v>0.24831309041835356</v>
      </c>
      <c r="K4340" s="1">
        <v>2</v>
      </c>
      <c r="L4340" s="24">
        <v>1.8</v>
      </c>
      <c r="M4340" s="24">
        <v>16.650000000000002</v>
      </c>
      <c r="N4340" s="21">
        <f t="shared" si="202"/>
        <v>0.12348178137651834</v>
      </c>
      <c r="P4340" s="1">
        <v>4</v>
      </c>
      <c r="Q4340" s="24">
        <v>2.2199999999999989</v>
      </c>
      <c r="R4340" s="24">
        <v>16.28</v>
      </c>
      <c r="S4340" s="21">
        <f t="shared" si="203"/>
        <v>9.8515519568151202E-2</v>
      </c>
    </row>
    <row r="4341" spans="2:19" ht="11.4" customHeight="1" x14ac:dyDescent="0.2">
      <c r="B4341" s="24"/>
      <c r="C4341" s="14">
        <v>28924</v>
      </c>
      <c r="D4341" s="18" t="s">
        <v>4531</v>
      </c>
      <c r="E4341" s="18" t="s">
        <v>3551</v>
      </c>
      <c r="F4341" s="17">
        <v>16</v>
      </c>
      <c r="G4341" s="18" t="s">
        <v>23</v>
      </c>
      <c r="H4341" s="17">
        <v>57.6</v>
      </c>
      <c r="I4341" s="15">
        <v>68.5</v>
      </c>
      <c r="J4341" s="21">
        <f t="shared" si="201"/>
        <v>0.18923611111111108</v>
      </c>
      <c r="K4341" s="1">
        <v>2</v>
      </c>
      <c r="L4341" s="24">
        <v>6.8</v>
      </c>
      <c r="M4341" s="24">
        <v>61.65</v>
      </c>
      <c r="N4341" s="21">
        <f t="shared" si="202"/>
        <v>7.0312499999999944E-2</v>
      </c>
      <c r="P4341" s="1">
        <v>4</v>
      </c>
      <c r="Q4341" s="24">
        <v>8.2199999999999989</v>
      </c>
      <c r="R4341" s="24">
        <v>60.28</v>
      </c>
      <c r="S4341" s="21">
        <f t="shared" si="203"/>
        <v>4.6527777777777772E-2</v>
      </c>
    </row>
    <row r="4342" spans="2:19" ht="11.4" customHeight="1" x14ac:dyDescent="0.2">
      <c r="B4342" s="24"/>
      <c r="C4342" s="14">
        <v>9323</v>
      </c>
      <c r="D4342" s="18" t="s">
        <v>4532</v>
      </c>
      <c r="E4342" s="18" t="s">
        <v>3551</v>
      </c>
      <c r="F4342" s="17">
        <v>24</v>
      </c>
      <c r="G4342" s="18" t="s">
        <v>23</v>
      </c>
      <c r="H4342" s="17">
        <v>30.72</v>
      </c>
      <c r="I4342" s="15">
        <v>38.5</v>
      </c>
      <c r="J4342" s="21">
        <f t="shared" si="201"/>
        <v>0.25325520833333337</v>
      </c>
      <c r="K4342" s="1">
        <v>2</v>
      </c>
      <c r="L4342" s="24">
        <v>3.8</v>
      </c>
      <c r="M4342" s="24">
        <v>34.65</v>
      </c>
      <c r="N4342" s="21">
        <f t="shared" si="202"/>
        <v>0.1279296875</v>
      </c>
      <c r="P4342" s="1">
        <v>4</v>
      </c>
      <c r="Q4342" s="24">
        <v>4.6199999999999974</v>
      </c>
      <c r="R4342" s="24">
        <v>33.880000000000003</v>
      </c>
      <c r="S4342" s="21">
        <f t="shared" si="203"/>
        <v>0.10286458333333345</v>
      </c>
    </row>
    <row r="4343" spans="2:19" ht="11.4" customHeight="1" x14ac:dyDescent="0.2">
      <c r="B4343" s="24"/>
      <c r="C4343" s="14">
        <v>12974</v>
      </c>
      <c r="D4343" s="18" t="s">
        <v>4533</v>
      </c>
      <c r="E4343" s="18" t="s">
        <v>3551</v>
      </c>
      <c r="F4343" s="17">
        <v>30</v>
      </c>
      <c r="G4343" s="18" t="s">
        <v>23</v>
      </c>
      <c r="H4343" s="17">
        <v>16.600000000000001</v>
      </c>
      <c r="I4343" s="15">
        <v>18.5</v>
      </c>
      <c r="J4343" s="21">
        <f t="shared" si="201"/>
        <v>0.11445783132530112</v>
      </c>
      <c r="K4343" s="1">
        <v>2</v>
      </c>
      <c r="L4343" s="24">
        <v>1.8</v>
      </c>
      <c r="M4343" s="24">
        <v>16.650000000000002</v>
      </c>
      <c r="N4343" s="21">
        <f t="shared" si="202"/>
        <v>3.012048192771127E-3</v>
      </c>
      <c r="P4343" s="1">
        <v>4</v>
      </c>
      <c r="Q4343" s="24">
        <v>2.2199999999999989</v>
      </c>
      <c r="R4343" s="24">
        <v>16.28</v>
      </c>
      <c r="S4343" s="21">
        <f t="shared" si="203"/>
        <v>-1.9277108433734955E-2</v>
      </c>
    </row>
    <row r="4344" spans="2:19" ht="11.4" customHeight="1" x14ac:dyDescent="0.2">
      <c r="B4344" s="24"/>
      <c r="C4344" s="14">
        <v>12973</v>
      </c>
      <c r="D4344" s="18" t="s">
        <v>4534</v>
      </c>
      <c r="E4344" s="18" t="s">
        <v>3551</v>
      </c>
      <c r="F4344" s="17">
        <v>30</v>
      </c>
      <c r="G4344" s="18" t="s">
        <v>23</v>
      </c>
      <c r="H4344" s="17">
        <v>16.600000000000001</v>
      </c>
      <c r="I4344" s="15">
        <v>18.5</v>
      </c>
      <c r="J4344" s="21">
        <f t="shared" si="201"/>
        <v>0.11445783132530112</v>
      </c>
      <c r="K4344" s="1">
        <v>2</v>
      </c>
      <c r="L4344" s="24">
        <v>1.8</v>
      </c>
      <c r="M4344" s="24">
        <v>16.650000000000002</v>
      </c>
      <c r="N4344" s="21">
        <f t="shared" si="202"/>
        <v>3.012048192771127E-3</v>
      </c>
      <c r="P4344" s="1">
        <v>4</v>
      </c>
      <c r="Q4344" s="24">
        <v>2.2199999999999989</v>
      </c>
      <c r="R4344" s="24">
        <v>16.28</v>
      </c>
      <c r="S4344" s="21">
        <f t="shared" si="203"/>
        <v>-1.9277108433734955E-2</v>
      </c>
    </row>
    <row r="4345" spans="2:19" ht="11.4" customHeight="1" x14ac:dyDescent="0.2">
      <c r="B4345" s="24"/>
      <c r="C4345" s="14">
        <v>35359</v>
      </c>
      <c r="D4345" s="18" t="s">
        <v>4535</v>
      </c>
      <c r="E4345" s="18" t="s">
        <v>3551</v>
      </c>
      <c r="F4345" s="17">
        <v>30</v>
      </c>
      <c r="G4345" s="18" t="s">
        <v>23</v>
      </c>
      <c r="H4345" s="17">
        <v>16.600000000000001</v>
      </c>
      <c r="I4345" s="15">
        <v>18.5</v>
      </c>
      <c r="J4345" s="21">
        <f t="shared" si="201"/>
        <v>0.11445783132530112</v>
      </c>
      <c r="K4345" s="1">
        <v>2</v>
      </c>
      <c r="L4345" s="24">
        <v>1.8</v>
      </c>
      <c r="M4345" s="24">
        <v>16.650000000000002</v>
      </c>
      <c r="N4345" s="21">
        <f t="shared" si="202"/>
        <v>3.012048192771127E-3</v>
      </c>
      <c r="P4345" s="1">
        <v>4</v>
      </c>
      <c r="Q4345" s="24">
        <v>2.2199999999999989</v>
      </c>
      <c r="R4345" s="24">
        <v>16.28</v>
      </c>
      <c r="S4345" s="21">
        <f t="shared" si="203"/>
        <v>-1.9277108433734955E-2</v>
      </c>
    </row>
    <row r="4346" spans="2:19" ht="11.4" customHeight="1" x14ac:dyDescent="0.2">
      <c r="B4346" s="24"/>
      <c r="C4346" s="14">
        <v>7398</v>
      </c>
      <c r="D4346" s="18" t="s">
        <v>4536</v>
      </c>
      <c r="E4346" s="18" t="s">
        <v>3554</v>
      </c>
      <c r="F4346" s="17">
        <v>12</v>
      </c>
      <c r="G4346" s="18" t="s">
        <v>23</v>
      </c>
      <c r="H4346" s="17">
        <v>35</v>
      </c>
      <c r="I4346" s="15">
        <v>41.9</v>
      </c>
      <c r="J4346" s="21">
        <f t="shared" si="201"/>
        <v>0.19714285714285709</v>
      </c>
      <c r="K4346" s="1">
        <v>2</v>
      </c>
      <c r="L4346" s="24">
        <v>4.0999999999999996</v>
      </c>
      <c r="M4346" s="24">
        <v>37.71</v>
      </c>
      <c r="N4346" s="21">
        <f t="shared" si="202"/>
        <v>7.7428571428571458E-2</v>
      </c>
      <c r="P4346" s="1">
        <v>4</v>
      </c>
      <c r="Q4346" s="24">
        <v>5.0279999999999987</v>
      </c>
      <c r="R4346" s="24">
        <v>36.872</v>
      </c>
      <c r="S4346" s="21">
        <f t="shared" si="203"/>
        <v>5.3485714285714282E-2</v>
      </c>
    </row>
    <row r="4347" spans="2:19" ht="11.4" customHeight="1" x14ac:dyDescent="0.2">
      <c r="B4347" s="24"/>
      <c r="C4347" s="14">
        <v>41906</v>
      </c>
      <c r="D4347" s="18" t="s">
        <v>4537</v>
      </c>
      <c r="E4347" s="18" t="s">
        <v>4263</v>
      </c>
      <c r="F4347" s="17">
        <v>2</v>
      </c>
      <c r="G4347" s="18" t="s">
        <v>902</v>
      </c>
      <c r="H4347" s="17">
        <v>182.76</v>
      </c>
      <c r="I4347" s="15">
        <v>267.89999999999998</v>
      </c>
      <c r="J4347" s="21">
        <f t="shared" si="201"/>
        <v>0.46585686145764932</v>
      </c>
      <c r="K4347" s="1">
        <v>2</v>
      </c>
      <c r="L4347" s="24">
        <v>26.7</v>
      </c>
      <c r="M4347" s="24">
        <v>241.10999999999999</v>
      </c>
      <c r="N4347" s="21">
        <f t="shared" si="202"/>
        <v>0.31927117531188443</v>
      </c>
      <c r="P4347" s="1">
        <v>6</v>
      </c>
      <c r="Q4347" s="24">
        <v>40.185000000000002</v>
      </c>
      <c r="R4347" s="24">
        <v>227.71499999999997</v>
      </c>
      <c r="S4347" s="21">
        <f t="shared" si="203"/>
        <v>0.2459783322390019</v>
      </c>
    </row>
    <row r="4348" spans="2:19" ht="11.4" customHeight="1" x14ac:dyDescent="0.2">
      <c r="B4348" s="24"/>
      <c r="C4348" s="14">
        <v>42577</v>
      </c>
      <c r="D4348" s="18" t="s">
        <v>4538</v>
      </c>
      <c r="E4348" s="18" t="s">
        <v>3375</v>
      </c>
      <c r="F4348" s="17">
        <v>5</v>
      </c>
      <c r="G4348" s="18" t="s">
        <v>23</v>
      </c>
      <c r="H4348" s="17">
        <v>245.64</v>
      </c>
      <c r="I4348" s="15">
        <v>307.89999999999998</v>
      </c>
      <c r="J4348" s="21">
        <f t="shared" si="201"/>
        <v>0.25346034847744664</v>
      </c>
      <c r="K4348" s="1">
        <v>2</v>
      </c>
      <c r="L4348" s="24">
        <v>30.7</v>
      </c>
      <c r="M4348" s="24">
        <v>277.11</v>
      </c>
      <c r="N4348" s="21">
        <f t="shared" si="202"/>
        <v>0.12811431362970213</v>
      </c>
      <c r="P4348" s="1">
        <v>4</v>
      </c>
      <c r="Q4348" s="24">
        <v>36.947999999999979</v>
      </c>
      <c r="R4348" s="24">
        <v>270.952</v>
      </c>
      <c r="S4348" s="21">
        <f t="shared" si="203"/>
        <v>0.10304510666015312</v>
      </c>
    </row>
    <row r="4349" spans="2:19" ht="11.4" customHeight="1" x14ac:dyDescent="0.2">
      <c r="B4349" s="24"/>
      <c r="C4349" s="14">
        <v>42576</v>
      </c>
      <c r="D4349" s="18" t="s">
        <v>4539</v>
      </c>
      <c r="E4349" s="18" t="s">
        <v>3375</v>
      </c>
      <c r="F4349" s="17">
        <v>15</v>
      </c>
      <c r="G4349" s="18" t="s">
        <v>23</v>
      </c>
      <c r="H4349" s="17">
        <v>97.98</v>
      </c>
      <c r="I4349" s="15">
        <v>124.9</v>
      </c>
      <c r="J4349" s="21">
        <f t="shared" si="201"/>
        <v>0.27474994896917737</v>
      </c>
      <c r="K4349" s="1">
        <v>2</v>
      </c>
      <c r="L4349" s="24">
        <v>12.4</v>
      </c>
      <c r="M4349" s="24">
        <v>112.41000000000001</v>
      </c>
      <c r="N4349" s="21">
        <f t="shared" si="202"/>
        <v>0.14727495407225971</v>
      </c>
      <c r="P4349" s="1">
        <v>4</v>
      </c>
      <c r="Q4349" s="24">
        <v>14.988</v>
      </c>
      <c r="R4349" s="24">
        <v>109.91200000000001</v>
      </c>
      <c r="S4349" s="21">
        <f t="shared" si="203"/>
        <v>0.12177995509287612</v>
      </c>
    </row>
    <row r="4350" spans="2:19" ht="11.4" customHeight="1" x14ac:dyDescent="0.2">
      <c r="B4350" s="24"/>
      <c r="C4350" s="14">
        <v>42575</v>
      </c>
      <c r="D4350" s="18" t="s">
        <v>4540</v>
      </c>
      <c r="E4350" s="18" t="s">
        <v>3375</v>
      </c>
      <c r="F4350" s="17">
        <v>12</v>
      </c>
      <c r="G4350" s="18" t="s">
        <v>23</v>
      </c>
      <c r="H4350" s="17">
        <v>195.96</v>
      </c>
      <c r="I4350" s="15">
        <v>244.9</v>
      </c>
      <c r="J4350" s="21">
        <f t="shared" si="201"/>
        <v>0.24974484588691567</v>
      </c>
      <c r="K4350" s="1">
        <v>2</v>
      </c>
      <c r="L4350" s="24">
        <v>24.4</v>
      </c>
      <c r="M4350" s="24">
        <v>220.41</v>
      </c>
      <c r="N4350" s="21">
        <f t="shared" si="202"/>
        <v>0.12477036129822407</v>
      </c>
      <c r="P4350" s="1">
        <v>4</v>
      </c>
      <c r="Q4350" s="24">
        <v>29.388000000000005</v>
      </c>
      <c r="R4350" s="24">
        <v>215.512</v>
      </c>
      <c r="S4350" s="21">
        <f t="shared" si="203"/>
        <v>9.9775464380485776E-2</v>
      </c>
    </row>
    <row r="4351" spans="2:19" ht="11.4" customHeight="1" x14ac:dyDescent="0.2">
      <c r="B4351" s="24"/>
      <c r="C4351" s="14">
        <v>37495</v>
      </c>
      <c r="D4351" s="18" t="s">
        <v>4541</v>
      </c>
      <c r="E4351" s="18" t="s">
        <v>3375</v>
      </c>
      <c r="F4351" s="17">
        <v>24</v>
      </c>
      <c r="G4351" s="18" t="s">
        <v>23</v>
      </c>
      <c r="H4351" s="17">
        <v>150.30000000000001</v>
      </c>
      <c r="I4351" s="15">
        <v>179.9</v>
      </c>
      <c r="J4351" s="21">
        <f t="shared" si="201"/>
        <v>0.19693945442448432</v>
      </c>
      <c r="K4351" s="1">
        <v>2</v>
      </c>
      <c r="L4351" s="24">
        <v>17.899999999999999</v>
      </c>
      <c r="M4351" s="24">
        <v>161.91</v>
      </c>
      <c r="N4351" s="21">
        <f t="shared" si="202"/>
        <v>7.7245508982035818E-2</v>
      </c>
      <c r="P4351" s="1">
        <v>4</v>
      </c>
      <c r="Q4351" s="24">
        <v>21.587999999999994</v>
      </c>
      <c r="R4351" s="24">
        <v>158.31200000000001</v>
      </c>
      <c r="S4351" s="21">
        <f t="shared" si="203"/>
        <v>5.3306719893546239E-2</v>
      </c>
    </row>
    <row r="4352" spans="2:19" ht="11.4" customHeight="1" x14ac:dyDescent="0.2">
      <c r="B4352" s="24"/>
      <c r="C4352" s="14">
        <v>47797</v>
      </c>
      <c r="D4352" s="18" t="s">
        <v>4542</v>
      </c>
      <c r="E4352" s="18" t="s">
        <v>4543</v>
      </c>
      <c r="F4352" s="17">
        <v>24</v>
      </c>
      <c r="G4352" s="18" t="s">
        <v>23</v>
      </c>
      <c r="H4352" s="18"/>
      <c r="I4352" s="15">
        <v>99.9</v>
      </c>
      <c r="J4352" s="21" t="e">
        <f t="shared" si="201"/>
        <v>#DIV/0!</v>
      </c>
      <c r="K4352" s="1">
        <v>2</v>
      </c>
      <c r="L4352" s="24">
        <v>9.9</v>
      </c>
      <c r="M4352" s="24">
        <v>89.910000000000011</v>
      </c>
      <c r="N4352" s="21" t="e">
        <f t="shared" si="202"/>
        <v>#DIV/0!</v>
      </c>
      <c r="P4352" s="1">
        <v>4</v>
      </c>
      <c r="Q4352" s="24">
        <v>11.988</v>
      </c>
      <c r="R4352" s="24">
        <v>87.912000000000006</v>
      </c>
      <c r="S4352" s="21" t="e">
        <f t="shared" si="203"/>
        <v>#DIV/0!</v>
      </c>
    </row>
    <row r="4353" spans="2:19" ht="11.4" customHeight="1" x14ac:dyDescent="0.2">
      <c r="B4353" s="24"/>
      <c r="C4353" s="14">
        <v>13100</v>
      </c>
      <c r="D4353" s="18" t="s">
        <v>4544</v>
      </c>
      <c r="E4353" s="18" t="s">
        <v>3447</v>
      </c>
      <c r="F4353" s="17">
        <v>18</v>
      </c>
      <c r="G4353" s="18" t="s">
        <v>23</v>
      </c>
      <c r="H4353" s="17">
        <v>102.3</v>
      </c>
      <c r="I4353" s="15">
        <v>152.9</v>
      </c>
      <c r="J4353" s="21">
        <f t="shared" si="201"/>
        <v>0.49462365591397861</v>
      </c>
      <c r="K4353" s="1">
        <v>2</v>
      </c>
      <c r="L4353" s="24">
        <v>15.2</v>
      </c>
      <c r="M4353" s="24">
        <v>137.61000000000001</v>
      </c>
      <c r="N4353" s="21">
        <f t="shared" si="202"/>
        <v>0.3451612903225808</v>
      </c>
      <c r="P4353" s="1">
        <v>4</v>
      </c>
      <c r="Q4353" s="24">
        <v>18.348000000000013</v>
      </c>
      <c r="R4353" s="24">
        <v>134.55199999999999</v>
      </c>
      <c r="S4353" s="21">
        <f t="shared" si="203"/>
        <v>0.31526881720430106</v>
      </c>
    </row>
    <row r="4354" spans="2:19" ht="11.4" customHeight="1" x14ac:dyDescent="0.2">
      <c r="B4354" s="24"/>
      <c r="C4354" s="14">
        <v>15970</v>
      </c>
      <c r="D4354" s="18" t="s">
        <v>4545</v>
      </c>
      <c r="E4354" s="18" t="s">
        <v>4543</v>
      </c>
      <c r="F4354" s="17">
        <v>26</v>
      </c>
      <c r="G4354" s="18" t="s">
        <v>23</v>
      </c>
      <c r="H4354" s="17">
        <v>65.5</v>
      </c>
      <c r="I4354" s="15">
        <v>85.5</v>
      </c>
      <c r="J4354" s="21">
        <f t="shared" si="201"/>
        <v>0.30534351145038169</v>
      </c>
      <c r="K4354" s="1">
        <v>2</v>
      </c>
      <c r="L4354" s="24">
        <v>8.5</v>
      </c>
      <c r="M4354" s="24">
        <v>76.95</v>
      </c>
      <c r="N4354" s="21">
        <f t="shared" si="202"/>
        <v>0.17480916030534355</v>
      </c>
      <c r="P4354" s="1">
        <v>4</v>
      </c>
      <c r="Q4354" s="24">
        <v>10.260000000000005</v>
      </c>
      <c r="R4354" s="24">
        <v>75.239999999999995</v>
      </c>
      <c r="S4354" s="21">
        <f t="shared" si="203"/>
        <v>0.14870229007633581</v>
      </c>
    </row>
    <row r="4355" spans="2:19" ht="11.4" customHeight="1" x14ac:dyDescent="0.2">
      <c r="B4355" s="24"/>
      <c r="C4355" s="14">
        <v>13099</v>
      </c>
      <c r="D4355" s="18" t="s">
        <v>4546</v>
      </c>
      <c r="E4355" s="18" t="s">
        <v>3447</v>
      </c>
      <c r="F4355" s="17">
        <v>24</v>
      </c>
      <c r="G4355" s="18" t="s">
        <v>23</v>
      </c>
      <c r="H4355" s="17">
        <v>55.56</v>
      </c>
      <c r="I4355" s="15">
        <v>82.9</v>
      </c>
      <c r="J4355" s="21">
        <f t="shared" ref="J4355:J4418" si="204">(I4355-H4355)/H4355</f>
        <v>0.49208063354931608</v>
      </c>
      <c r="K4355" s="1">
        <v>2</v>
      </c>
      <c r="L4355" s="24">
        <v>8.1999999999999993</v>
      </c>
      <c r="M4355" s="24">
        <v>74.610000000000014</v>
      </c>
      <c r="N4355" s="21">
        <f t="shared" ref="N4355:N4418" si="205">(M4355-H4355)/H4355</f>
        <v>0.34287257019438466</v>
      </c>
      <c r="P4355" s="1">
        <v>4</v>
      </c>
      <c r="Q4355" s="24">
        <v>9.9479999999999933</v>
      </c>
      <c r="R4355" s="24">
        <v>72.952000000000012</v>
      </c>
      <c r="S4355" s="21">
        <f t="shared" ref="S4355:S4418" si="206">(R4355-H4355)/H4355</f>
        <v>0.31303095752339832</v>
      </c>
    </row>
    <row r="4356" spans="2:19" ht="11.4" customHeight="1" x14ac:dyDescent="0.2">
      <c r="B4356" s="24"/>
      <c r="C4356" s="14">
        <v>15971</v>
      </c>
      <c r="D4356" s="18" t="s">
        <v>4547</v>
      </c>
      <c r="E4356" s="18" t="s">
        <v>4543</v>
      </c>
      <c r="F4356" s="18"/>
      <c r="G4356" s="18" t="s">
        <v>23</v>
      </c>
      <c r="H4356" s="18"/>
      <c r="I4356" s="15">
        <v>169.9</v>
      </c>
      <c r="J4356" s="21" t="e">
        <f t="shared" si="204"/>
        <v>#DIV/0!</v>
      </c>
      <c r="K4356" s="1">
        <v>2</v>
      </c>
      <c r="L4356" s="24">
        <v>16.899999999999999</v>
      </c>
      <c r="M4356" s="24">
        <v>152.91</v>
      </c>
      <c r="N4356" s="21" t="e">
        <f t="shared" si="205"/>
        <v>#DIV/0!</v>
      </c>
      <c r="P4356" s="1">
        <v>4</v>
      </c>
      <c r="Q4356" s="24">
        <v>20.388000000000005</v>
      </c>
      <c r="R4356" s="24">
        <v>149.512</v>
      </c>
      <c r="S4356" s="21" t="e">
        <f t="shared" si="206"/>
        <v>#DIV/0!</v>
      </c>
    </row>
    <row r="4357" spans="2:19" ht="11.4" customHeight="1" x14ac:dyDescent="0.2">
      <c r="B4357" s="24"/>
      <c r="C4357" s="14">
        <v>39221</v>
      </c>
      <c r="D4357" s="18" t="s">
        <v>4548</v>
      </c>
      <c r="E4357" s="18" t="s">
        <v>4549</v>
      </c>
      <c r="F4357" s="17">
        <v>8</v>
      </c>
      <c r="G4357" s="18" t="s">
        <v>23</v>
      </c>
      <c r="H4357" s="17">
        <v>134.69999999999999</v>
      </c>
      <c r="I4357" s="15">
        <v>165.7</v>
      </c>
      <c r="J4357" s="21">
        <f t="shared" si="204"/>
        <v>0.23014105419450634</v>
      </c>
      <c r="K4357" s="1">
        <v>2</v>
      </c>
      <c r="L4357" s="24">
        <v>16.5</v>
      </c>
      <c r="M4357" s="24">
        <v>149.13</v>
      </c>
      <c r="N4357" s="21">
        <f t="shared" si="205"/>
        <v>0.10712694877505574</v>
      </c>
      <c r="P4357" s="1">
        <v>4</v>
      </c>
      <c r="Q4357" s="24">
        <v>19.883999999999986</v>
      </c>
      <c r="R4357" s="24">
        <v>145.816</v>
      </c>
      <c r="S4357" s="21">
        <f t="shared" si="206"/>
        <v>8.2524127691165669E-2</v>
      </c>
    </row>
    <row r="4358" spans="2:19" ht="11.4" customHeight="1" x14ac:dyDescent="0.2">
      <c r="B4358" s="24"/>
      <c r="C4358" s="14">
        <v>14761</v>
      </c>
      <c r="D4358" s="18" t="s">
        <v>4550</v>
      </c>
      <c r="E4358" s="18" t="s">
        <v>4549</v>
      </c>
      <c r="F4358" s="17">
        <v>20</v>
      </c>
      <c r="G4358" s="18" t="s">
        <v>23</v>
      </c>
      <c r="H4358" s="17">
        <v>48.5</v>
      </c>
      <c r="I4358" s="15">
        <v>63.8</v>
      </c>
      <c r="J4358" s="21">
        <f t="shared" si="204"/>
        <v>0.31546391752577313</v>
      </c>
      <c r="K4358" s="1">
        <v>2</v>
      </c>
      <c r="L4358" s="24">
        <v>6.3</v>
      </c>
      <c r="M4358" s="24">
        <v>57.42</v>
      </c>
      <c r="N4358" s="21">
        <f t="shared" si="205"/>
        <v>0.18391752577319592</v>
      </c>
      <c r="P4358" s="1">
        <v>4</v>
      </c>
      <c r="Q4358" s="24">
        <v>7.6559999999999988</v>
      </c>
      <c r="R4358" s="24">
        <v>56.143999999999998</v>
      </c>
      <c r="S4358" s="21">
        <f t="shared" si="206"/>
        <v>0.15760824742268037</v>
      </c>
    </row>
    <row r="4359" spans="2:19" ht="11.4" customHeight="1" x14ac:dyDescent="0.2">
      <c r="B4359" s="24"/>
      <c r="C4359" s="14">
        <v>38460</v>
      </c>
      <c r="D4359" s="18" t="s">
        <v>4551</v>
      </c>
      <c r="E4359" s="18" t="s">
        <v>4549</v>
      </c>
      <c r="F4359" s="17">
        <v>20</v>
      </c>
      <c r="G4359" s="18" t="s">
        <v>23</v>
      </c>
      <c r="H4359" s="17">
        <v>33.25</v>
      </c>
      <c r="I4359" s="15">
        <v>39.9</v>
      </c>
      <c r="J4359" s="21">
        <f t="shared" si="204"/>
        <v>0.19999999999999996</v>
      </c>
      <c r="K4359" s="1">
        <v>2</v>
      </c>
      <c r="L4359" s="24">
        <v>3.9</v>
      </c>
      <c r="M4359" s="24">
        <v>35.909999999999997</v>
      </c>
      <c r="N4359" s="21">
        <f t="shared" si="205"/>
        <v>7.9999999999999891E-2</v>
      </c>
      <c r="P4359" s="1">
        <v>4</v>
      </c>
      <c r="Q4359" s="24">
        <v>4.7879999999999967</v>
      </c>
      <c r="R4359" s="24">
        <v>35.112000000000002</v>
      </c>
      <c r="S4359" s="21">
        <f t="shared" si="206"/>
        <v>5.6000000000000057E-2</v>
      </c>
    </row>
    <row r="4360" spans="2:19" ht="11.4" customHeight="1" x14ac:dyDescent="0.2">
      <c r="B4360" s="24"/>
      <c r="C4360" s="14">
        <v>14760</v>
      </c>
      <c r="D4360" s="18" t="s">
        <v>4552</v>
      </c>
      <c r="E4360" s="18" t="s">
        <v>4549</v>
      </c>
      <c r="F4360" s="17">
        <v>24</v>
      </c>
      <c r="G4360" s="18" t="s">
        <v>23</v>
      </c>
      <c r="H4360" s="17">
        <v>48.5</v>
      </c>
      <c r="I4360" s="15">
        <v>63.8</v>
      </c>
      <c r="J4360" s="21">
        <f t="shared" si="204"/>
        <v>0.31546391752577313</v>
      </c>
      <c r="K4360" s="1">
        <v>2</v>
      </c>
      <c r="L4360" s="24">
        <v>6.3</v>
      </c>
      <c r="M4360" s="24">
        <v>57.42</v>
      </c>
      <c r="N4360" s="21">
        <f t="shared" si="205"/>
        <v>0.18391752577319592</v>
      </c>
      <c r="P4360" s="1">
        <v>4</v>
      </c>
      <c r="Q4360" s="24">
        <v>7.6559999999999988</v>
      </c>
      <c r="R4360" s="24">
        <v>56.143999999999998</v>
      </c>
      <c r="S4360" s="21">
        <f t="shared" si="206"/>
        <v>0.15760824742268037</v>
      </c>
    </row>
    <row r="4361" spans="2:19" ht="11.4" customHeight="1" x14ac:dyDescent="0.2">
      <c r="B4361" s="24"/>
      <c r="C4361" s="14">
        <v>37620</v>
      </c>
      <c r="D4361" s="18" t="s">
        <v>4553</v>
      </c>
      <c r="E4361" s="18" t="s">
        <v>4549</v>
      </c>
      <c r="F4361" s="17">
        <v>20</v>
      </c>
      <c r="G4361" s="18" t="s">
        <v>23</v>
      </c>
      <c r="H4361" s="17">
        <v>33.25</v>
      </c>
      <c r="I4361" s="15">
        <v>39.9</v>
      </c>
      <c r="J4361" s="21">
        <f t="shared" si="204"/>
        <v>0.19999999999999996</v>
      </c>
      <c r="K4361" s="1">
        <v>2</v>
      </c>
      <c r="L4361" s="24">
        <v>3.9</v>
      </c>
      <c r="M4361" s="24">
        <v>35.909999999999997</v>
      </c>
      <c r="N4361" s="21">
        <f t="shared" si="205"/>
        <v>7.9999999999999891E-2</v>
      </c>
      <c r="P4361" s="1">
        <v>4</v>
      </c>
      <c r="Q4361" s="24">
        <v>4.7879999999999967</v>
      </c>
      <c r="R4361" s="24">
        <v>35.112000000000002</v>
      </c>
      <c r="S4361" s="21">
        <f t="shared" si="206"/>
        <v>5.6000000000000057E-2</v>
      </c>
    </row>
    <row r="4362" spans="2:19" ht="11.4" customHeight="1" x14ac:dyDescent="0.2">
      <c r="B4362" s="24"/>
      <c r="C4362" s="14">
        <v>5447</v>
      </c>
      <c r="D4362" s="18" t="s">
        <v>4554</v>
      </c>
      <c r="E4362" s="18" t="s">
        <v>4555</v>
      </c>
      <c r="F4362" s="17">
        <v>16</v>
      </c>
      <c r="G4362" s="18" t="s">
        <v>23</v>
      </c>
      <c r="H4362" s="17">
        <v>184.88</v>
      </c>
      <c r="I4362" s="15">
        <v>231.6</v>
      </c>
      <c r="J4362" s="21">
        <f t="shared" si="204"/>
        <v>0.25270445694504545</v>
      </c>
      <c r="K4362" s="1">
        <v>2</v>
      </c>
      <c r="L4362" s="24">
        <v>23.1</v>
      </c>
      <c r="M4362" s="24">
        <v>208.44</v>
      </c>
      <c r="N4362" s="21">
        <f t="shared" si="205"/>
        <v>0.12743401125054091</v>
      </c>
      <c r="P4362" s="1">
        <v>4</v>
      </c>
      <c r="Q4362" s="24">
        <v>27.792000000000002</v>
      </c>
      <c r="R4362" s="24">
        <v>203.80799999999999</v>
      </c>
      <c r="S4362" s="21">
        <f t="shared" si="206"/>
        <v>0.10237992211163997</v>
      </c>
    </row>
    <row r="4363" spans="2:19" ht="11.4" customHeight="1" x14ac:dyDescent="0.2">
      <c r="B4363" s="24"/>
      <c r="C4363" s="14">
        <v>13887</v>
      </c>
      <c r="D4363" s="18" t="s">
        <v>4556</v>
      </c>
      <c r="E4363" s="18" t="s">
        <v>4555</v>
      </c>
      <c r="F4363" s="17">
        <v>20</v>
      </c>
      <c r="G4363" s="18" t="s">
        <v>23</v>
      </c>
      <c r="H4363" s="17">
        <v>48.5</v>
      </c>
      <c r="I4363" s="15">
        <v>63.8</v>
      </c>
      <c r="J4363" s="21">
        <f t="shared" si="204"/>
        <v>0.31546391752577313</v>
      </c>
      <c r="K4363" s="1">
        <v>2</v>
      </c>
      <c r="L4363" s="24">
        <v>6.3</v>
      </c>
      <c r="M4363" s="24">
        <v>57.42</v>
      </c>
      <c r="N4363" s="21">
        <f t="shared" si="205"/>
        <v>0.18391752577319592</v>
      </c>
      <c r="P4363" s="1">
        <v>4</v>
      </c>
      <c r="Q4363" s="24">
        <v>7.6559999999999988</v>
      </c>
      <c r="R4363" s="24">
        <v>56.143999999999998</v>
      </c>
      <c r="S4363" s="21">
        <f t="shared" si="206"/>
        <v>0.15760824742268037</v>
      </c>
    </row>
    <row r="4364" spans="2:19" ht="11.4" customHeight="1" x14ac:dyDescent="0.2">
      <c r="B4364" s="24"/>
      <c r="C4364" s="14">
        <v>30644</v>
      </c>
      <c r="D4364" s="18" t="s">
        <v>4557</v>
      </c>
      <c r="E4364" s="18" t="s">
        <v>4555</v>
      </c>
      <c r="F4364" s="17">
        <v>20</v>
      </c>
      <c r="G4364" s="18" t="s">
        <v>23</v>
      </c>
      <c r="H4364" s="17">
        <v>33.25</v>
      </c>
      <c r="I4364" s="15">
        <v>39.9</v>
      </c>
      <c r="J4364" s="21">
        <f t="shared" si="204"/>
        <v>0.19999999999999996</v>
      </c>
      <c r="K4364" s="1">
        <v>2</v>
      </c>
      <c r="L4364" s="24">
        <v>3.9</v>
      </c>
      <c r="M4364" s="24">
        <v>35.909999999999997</v>
      </c>
      <c r="N4364" s="21">
        <f t="shared" si="205"/>
        <v>7.9999999999999891E-2</v>
      </c>
      <c r="P4364" s="1">
        <v>4</v>
      </c>
      <c r="Q4364" s="24">
        <v>4.7879999999999967</v>
      </c>
      <c r="R4364" s="24">
        <v>35.112000000000002</v>
      </c>
      <c r="S4364" s="21">
        <f t="shared" si="206"/>
        <v>5.6000000000000057E-2</v>
      </c>
    </row>
    <row r="4365" spans="2:19" ht="11.4" customHeight="1" x14ac:dyDescent="0.2">
      <c r="B4365" s="24"/>
      <c r="C4365" s="14">
        <v>7140</v>
      </c>
      <c r="D4365" s="18" t="s">
        <v>4558</v>
      </c>
      <c r="E4365" s="18" t="s">
        <v>4555</v>
      </c>
      <c r="F4365" s="17">
        <v>30</v>
      </c>
      <c r="G4365" s="18" t="s">
        <v>23</v>
      </c>
      <c r="H4365" s="17">
        <v>69.540000000000006</v>
      </c>
      <c r="I4365" s="15">
        <v>114.9</v>
      </c>
      <c r="J4365" s="21">
        <f t="shared" si="204"/>
        <v>0.65228645383951678</v>
      </c>
      <c r="K4365" s="1">
        <v>2</v>
      </c>
      <c r="L4365" s="24">
        <v>11.4</v>
      </c>
      <c r="M4365" s="24">
        <v>103.41000000000001</v>
      </c>
      <c r="N4365" s="21">
        <f t="shared" si="205"/>
        <v>0.48705780845556518</v>
      </c>
      <c r="P4365" s="1">
        <v>4</v>
      </c>
      <c r="Q4365" s="24">
        <v>13.787999999999997</v>
      </c>
      <c r="R4365" s="24">
        <v>101.11200000000001</v>
      </c>
      <c r="S4365" s="21">
        <f t="shared" si="206"/>
        <v>0.4540120793787748</v>
      </c>
    </row>
    <row r="4366" spans="2:19" ht="11.4" customHeight="1" x14ac:dyDescent="0.2">
      <c r="B4366" s="24"/>
      <c r="C4366" s="14">
        <v>25302</v>
      </c>
      <c r="D4366" s="18" t="s">
        <v>4559</v>
      </c>
      <c r="E4366" s="18" t="s">
        <v>3442</v>
      </c>
      <c r="F4366" s="18"/>
      <c r="G4366" s="18" t="s">
        <v>23</v>
      </c>
      <c r="H4366" s="17">
        <v>141.80000000000001</v>
      </c>
      <c r="I4366" s="15">
        <v>209.9</v>
      </c>
      <c r="J4366" s="21">
        <f t="shared" si="204"/>
        <v>0.48025387870239766</v>
      </c>
      <c r="K4366" s="1">
        <v>2</v>
      </c>
      <c r="L4366" s="24">
        <v>20.9</v>
      </c>
      <c r="M4366" s="24">
        <v>188.91</v>
      </c>
      <c r="N4366" s="21">
        <f t="shared" si="205"/>
        <v>0.33222849083215783</v>
      </c>
      <c r="P4366" s="1">
        <v>4</v>
      </c>
      <c r="Q4366" s="24">
        <v>25.187999999999988</v>
      </c>
      <c r="R4366" s="24">
        <v>184.71200000000002</v>
      </c>
      <c r="S4366" s="21">
        <f t="shared" si="206"/>
        <v>0.30262341325811004</v>
      </c>
    </row>
    <row r="4367" spans="2:19" ht="11.4" customHeight="1" x14ac:dyDescent="0.2">
      <c r="B4367" s="24"/>
      <c r="C4367" s="14">
        <v>24652</v>
      </c>
      <c r="D4367" s="18" t="s">
        <v>4560</v>
      </c>
      <c r="E4367" s="18" t="s">
        <v>3442</v>
      </c>
      <c r="F4367" s="18"/>
      <c r="G4367" s="18" t="s">
        <v>23</v>
      </c>
      <c r="H4367" s="17">
        <v>99.78</v>
      </c>
      <c r="I4367" s="15">
        <v>159.9</v>
      </c>
      <c r="J4367" s="21">
        <f t="shared" si="204"/>
        <v>0.60252555622369219</v>
      </c>
      <c r="K4367" s="1">
        <v>2</v>
      </c>
      <c r="L4367" s="24">
        <v>15.9</v>
      </c>
      <c r="M4367" s="24">
        <v>143.91</v>
      </c>
      <c r="N4367" s="21">
        <f t="shared" si="205"/>
        <v>0.44227300060132285</v>
      </c>
      <c r="P4367" s="1">
        <v>4</v>
      </c>
      <c r="Q4367" s="24">
        <v>19.187999999999988</v>
      </c>
      <c r="R4367" s="24">
        <v>140.71200000000002</v>
      </c>
      <c r="S4367" s="21">
        <f t="shared" si="206"/>
        <v>0.41022248947684925</v>
      </c>
    </row>
    <row r="4368" spans="2:19" ht="11.4" customHeight="1" x14ac:dyDescent="0.2">
      <c r="B4368" s="24"/>
      <c r="C4368" s="14">
        <v>37997</v>
      </c>
      <c r="D4368" s="18" t="s">
        <v>4561</v>
      </c>
      <c r="E4368" s="18" t="s">
        <v>3442</v>
      </c>
      <c r="F4368" s="18"/>
      <c r="G4368" s="18" t="s">
        <v>23</v>
      </c>
      <c r="H4368" s="17">
        <v>33.54</v>
      </c>
      <c r="I4368" s="15">
        <v>55</v>
      </c>
      <c r="J4368" s="21">
        <f t="shared" si="204"/>
        <v>0.6398330351818724</v>
      </c>
      <c r="K4368" s="1">
        <v>2</v>
      </c>
      <c r="L4368" s="24">
        <v>5.5</v>
      </c>
      <c r="M4368" s="24">
        <v>49.5</v>
      </c>
      <c r="N4368" s="21">
        <f t="shared" si="205"/>
        <v>0.47584973166368522</v>
      </c>
      <c r="P4368" s="1">
        <v>4</v>
      </c>
      <c r="Q4368" s="24">
        <v>6.6000000000000014</v>
      </c>
      <c r="R4368" s="24">
        <v>48.4</v>
      </c>
      <c r="S4368" s="21">
        <f t="shared" si="206"/>
        <v>0.4430530709600477</v>
      </c>
    </row>
    <row r="4369" spans="2:19" ht="11.4" customHeight="1" x14ac:dyDescent="0.2">
      <c r="B4369" s="24"/>
      <c r="C4369" s="14">
        <v>19371</v>
      </c>
      <c r="D4369" s="18" t="s">
        <v>4562</v>
      </c>
      <c r="E4369" s="18" t="s">
        <v>3442</v>
      </c>
      <c r="F4369" s="17">
        <v>21</v>
      </c>
      <c r="G4369" s="18" t="s">
        <v>23</v>
      </c>
      <c r="H4369" s="17">
        <v>44.58</v>
      </c>
      <c r="I4369" s="15">
        <v>58.9</v>
      </c>
      <c r="J4369" s="21">
        <f t="shared" si="204"/>
        <v>0.32122027815163751</v>
      </c>
      <c r="K4369" s="1">
        <v>2</v>
      </c>
      <c r="L4369" s="24">
        <v>5.8</v>
      </c>
      <c r="M4369" s="24">
        <v>53.01</v>
      </c>
      <c r="N4369" s="21">
        <f t="shared" si="205"/>
        <v>0.18909825033647376</v>
      </c>
      <c r="P4369" s="1">
        <v>4</v>
      </c>
      <c r="Q4369" s="24">
        <v>7.0679999999999978</v>
      </c>
      <c r="R4369" s="24">
        <v>51.832000000000001</v>
      </c>
      <c r="S4369" s="21">
        <f t="shared" si="206"/>
        <v>0.16267384477344107</v>
      </c>
    </row>
    <row r="4370" spans="2:19" ht="11.4" customHeight="1" x14ac:dyDescent="0.2">
      <c r="B4370" s="24"/>
      <c r="C4370" s="14">
        <v>17044</v>
      </c>
      <c r="D4370" s="18" t="s">
        <v>4563</v>
      </c>
      <c r="E4370" s="18" t="s">
        <v>3442</v>
      </c>
      <c r="F4370" s="17">
        <v>21</v>
      </c>
      <c r="G4370" s="18" t="s">
        <v>23</v>
      </c>
      <c r="H4370" s="17">
        <v>39.15</v>
      </c>
      <c r="I4370" s="15">
        <v>56.9</v>
      </c>
      <c r="J4370" s="21">
        <f t="shared" si="204"/>
        <v>0.45338441890166031</v>
      </c>
      <c r="K4370" s="1">
        <v>2</v>
      </c>
      <c r="L4370" s="24">
        <v>5.6</v>
      </c>
      <c r="M4370" s="24">
        <v>51.21</v>
      </c>
      <c r="N4370" s="21">
        <f t="shared" si="205"/>
        <v>0.30804597701149433</v>
      </c>
      <c r="P4370" s="1">
        <v>4</v>
      </c>
      <c r="Q4370" s="24">
        <v>6.828000000000003</v>
      </c>
      <c r="R4370" s="24">
        <v>50.071999999999996</v>
      </c>
      <c r="S4370" s="21">
        <f t="shared" si="206"/>
        <v>0.27897828863346097</v>
      </c>
    </row>
    <row r="4371" spans="2:19" ht="11.4" customHeight="1" x14ac:dyDescent="0.2">
      <c r="B4371" s="24"/>
      <c r="C4371" s="14">
        <v>33896</v>
      </c>
      <c r="D4371" s="18" t="s">
        <v>4564</v>
      </c>
      <c r="E4371" s="18" t="s">
        <v>3442</v>
      </c>
      <c r="F4371" s="17">
        <v>12</v>
      </c>
      <c r="G4371" s="18" t="s">
        <v>23</v>
      </c>
      <c r="H4371" s="17">
        <v>77.819999999999993</v>
      </c>
      <c r="I4371" s="15">
        <v>99.5</v>
      </c>
      <c r="J4371" s="21">
        <f t="shared" si="204"/>
        <v>0.27859162169108209</v>
      </c>
      <c r="K4371" s="1">
        <v>2</v>
      </c>
      <c r="L4371" s="24">
        <v>9.9</v>
      </c>
      <c r="M4371" s="24">
        <v>89.55</v>
      </c>
      <c r="N4371" s="21">
        <f t="shared" si="205"/>
        <v>0.15073245952197384</v>
      </c>
      <c r="P4371" s="1">
        <v>4</v>
      </c>
      <c r="Q4371" s="24">
        <v>11.939999999999998</v>
      </c>
      <c r="R4371" s="24">
        <v>87.56</v>
      </c>
      <c r="S4371" s="21">
        <f t="shared" si="206"/>
        <v>0.12516062708815229</v>
      </c>
    </row>
    <row r="4372" spans="2:19" ht="11.4" customHeight="1" x14ac:dyDescent="0.2">
      <c r="B4372" s="24"/>
      <c r="C4372" s="14">
        <v>33914</v>
      </c>
      <c r="D4372" s="18" t="s">
        <v>4565</v>
      </c>
      <c r="E4372" s="18" t="s">
        <v>3442</v>
      </c>
      <c r="F4372" s="17">
        <v>15</v>
      </c>
      <c r="G4372" s="18" t="s">
        <v>23</v>
      </c>
      <c r="H4372" s="17">
        <v>39.9</v>
      </c>
      <c r="I4372" s="15">
        <v>62.9</v>
      </c>
      <c r="J4372" s="21">
        <f t="shared" si="204"/>
        <v>0.5764411027568922</v>
      </c>
      <c r="K4372" s="1">
        <v>2</v>
      </c>
      <c r="L4372" s="24">
        <v>6.2</v>
      </c>
      <c r="M4372" s="24">
        <v>56.61</v>
      </c>
      <c r="N4372" s="21">
        <f t="shared" si="205"/>
        <v>0.41879699248120306</v>
      </c>
      <c r="P4372" s="1">
        <v>4</v>
      </c>
      <c r="Q4372" s="24">
        <v>7.5480000000000018</v>
      </c>
      <c r="R4372" s="24">
        <v>55.351999999999997</v>
      </c>
      <c r="S4372" s="21">
        <f t="shared" si="206"/>
        <v>0.38726817042606515</v>
      </c>
    </row>
    <row r="4373" spans="2:19" ht="11.4" customHeight="1" x14ac:dyDescent="0.2">
      <c r="B4373" s="24"/>
      <c r="C4373" s="14">
        <v>9368</v>
      </c>
      <c r="D4373" s="18" t="s">
        <v>4566</v>
      </c>
      <c r="E4373" s="18" t="s">
        <v>3442</v>
      </c>
      <c r="F4373" s="17">
        <v>12</v>
      </c>
      <c r="G4373" s="18" t="s">
        <v>23</v>
      </c>
      <c r="H4373" s="17">
        <v>149.56</v>
      </c>
      <c r="I4373" s="15">
        <v>196.7</v>
      </c>
      <c r="J4373" s="21">
        <f t="shared" si="204"/>
        <v>0.31519122760096274</v>
      </c>
      <c r="K4373" s="1">
        <v>2</v>
      </c>
      <c r="L4373" s="24">
        <v>19.600000000000001</v>
      </c>
      <c r="M4373" s="24">
        <v>177.03</v>
      </c>
      <c r="N4373" s="21">
        <f t="shared" si="205"/>
        <v>0.18367210484086652</v>
      </c>
      <c r="P4373" s="1">
        <v>4</v>
      </c>
      <c r="Q4373" s="24">
        <v>23.603999999999985</v>
      </c>
      <c r="R4373" s="24">
        <v>173.096</v>
      </c>
      <c r="S4373" s="21">
        <f t="shared" si="206"/>
        <v>0.15736828028884728</v>
      </c>
    </row>
    <row r="4374" spans="2:19" ht="11.4" customHeight="1" x14ac:dyDescent="0.2">
      <c r="B4374" s="24"/>
      <c r="C4374" s="14">
        <v>42569</v>
      </c>
      <c r="D4374" s="18" t="s">
        <v>4567</v>
      </c>
      <c r="E4374" s="18" t="s">
        <v>3442</v>
      </c>
      <c r="F4374" s="17">
        <v>12</v>
      </c>
      <c r="G4374" s="18" t="s">
        <v>23</v>
      </c>
      <c r="H4374" s="17">
        <v>99.92</v>
      </c>
      <c r="I4374" s="15">
        <v>119.9</v>
      </c>
      <c r="J4374" s="21">
        <f t="shared" si="204"/>
        <v>0.19995996797437954</v>
      </c>
      <c r="K4374" s="1">
        <v>2</v>
      </c>
      <c r="L4374" s="24">
        <v>11.9</v>
      </c>
      <c r="M4374" s="24">
        <v>107.91000000000001</v>
      </c>
      <c r="N4374" s="21">
        <f t="shared" si="205"/>
        <v>7.9963971176941637E-2</v>
      </c>
      <c r="P4374" s="1">
        <v>4</v>
      </c>
      <c r="Q4374" s="24">
        <v>14.388000000000005</v>
      </c>
      <c r="R4374" s="24">
        <v>105.512</v>
      </c>
      <c r="S4374" s="21">
        <f t="shared" si="206"/>
        <v>5.5964771817453948E-2</v>
      </c>
    </row>
    <row r="4375" spans="2:19" ht="11.4" customHeight="1" x14ac:dyDescent="0.2">
      <c r="B4375" s="24"/>
      <c r="C4375" s="14">
        <v>38714</v>
      </c>
      <c r="D4375" s="18" t="s">
        <v>4568</v>
      </c>
      <c r="E4375" s="18" t="s">
        <v>3442</v>
      </c>
      <c r="F4375" s="17">
        <v>18</v>
      </c>
      <c r="G4375" s="18" t="s">
        <v>23</v>
      </c>
      <c r="H4375" s="17">
        <v>51.74</v>
      </c>
      <c r="I4375" s="15">
        <v>67.900000000000006</v>
      </c>
      <c r="J4375" s="21">
        <f t="shared" si="204"/>
        <v>0.31233088519520685</v>
      </c>
      <c r="K4375" s="1">
        <v>2</v>
      </c>
      <c r="L4375" s="24">
        <v>6.7</v>
      </c>
      <c r="M4375" s="24">
        <v>61.110000000000007</v>
      </c>
      <c r="N4375" s="21">
        <f t="shared" si="205"/>
        <v>0.18109779667568621</v>
      </c>
      <c r="P4375" s="1">
        <v>4</v>
      </c>
      <c r="Q4375" s="24">
        <v>8.1480000000000032</v>
      </c>
      <c r="R4375" s="24">
        <v>59.752000000000002</v>
      </c>
      <c r="S4375" s="21">
        <f t="shared" si="206"/>
        <v>0.15485117897178199</v>
      </c>
    </row>
    <row r="4376" spans="2:19" ht="11.4" customHeight="1" x14ac:dyDescent="0.2">
      <c r="B4376" s="24"/>
      <c r="C4376" s="14">
        <v>42568</v>
      </c>
      <c r="D4376" s="18" t="s">
        <v>4569</v>
      </c>
      <c r="E4376" s="18" t="s">
        <v>3442</v>
      </c>
      <c r="F4376" s="17">
        <v>22</v>
      </c>
      <c r="G4376" s="18" t="s">
        <v>23</v>
      </c>
      <c r="H4376" s="17">
        <v>36.58</v>
      </c>
      <c r="I4376" s="15">
        <v>43.9</v>
      </c>
      <c r="J4376" s="21">
        <f t="shared" si="204"/>
        <v>0.20010934937124114</v>
      </c>
      <c r="K4376" s="1">
        <v>2</v>
      </c>
      <c r="L4376" s="24">
        <v>4.3</v>
      </c>
      <c r="M4376" s="24">
        <v>39.51</v>
      </c>
      <c r="N4376" s="21">
        <f t="shared" si="205"/>
        <v>8.0098414434116999E-2</v>
      </c>
      <c r="P4376" s="1">
        <v>4</v>
      </c>
      <c r="Q4376" s="24">
        <v>5.2680000000000007</v>
      </c>
      <c r="R4376" s="24">
        <v>38.631999999999998</v>
      </c>
      <c r="S4376" s="21">
        <f t="shared" si="206"/>
        <v>5.6096227446692175E-2</v>
      </c>
    </row>
    <row r="4377" spans="2:19" ht="11.4" customHeight="1" x14ac:dyDescent="0.2">
      <c r="B4377" s="24"/>
      <c r="C4377" s="14">
        <v>47314</v>
      </c>
      <c r="D4377" s="18" t="s">
        <v>4570</v>
      </c>
      <c r="E4377" s="18" t="s">
        <v>3442</v>
      </c>
      <c r="F4377" s="17">
        <v>15</v>
      </c>
      <c r="G4377" s="18" t="s">
        <v>23</v>
      </c>
      <c r="H4377" s="17">
        <v>79.92</v>
      </c>
      <c r="I4377" s="15">
        <v>99.9</v>
      </c>
      <c r="J4377" s="21">
        <f t="shared" si="204"/>
        <v>0.25000000000000006</v>
      </c>
      <c r="K4377" s="1">
        <v>2</v>
      </c>
      <c r="L4377" s="24">
        <v>9.9</v>
      </c>
      <c r="M4377" s="24">
        <v>89.910000000000011</v>
      </c>
      <c r="N4377" s="21">
        <f t="shared" si="205"/>
        <v>0.12500000000000011</v>
      </c>
      <c r="P4377" s="1">
        <v>4</v>
      </c>
      <c r="Q4377" s="24">
        <v>11.988</v>
      </c>
      <c r="R4377" s="24">
        <v>87.912000000000006</v>
      </c>
      <c r="S4377" s="21">
        <f t="shared" si="206"/>
        <v>0.10000000000000005</v>
      </c>
    </row>
    <row r="4378" spans="2:19" ht="11.4" customHeight="1" x14ac:dyDescent="0.2">
      <c r="B4378" s="24"/>
      <c r="C4378" s="14">
        <v>40782</v>
      </c>
      <c r="D4378" s="18" t="s">
        <v>4571</v>
      </c>
      <c r="E4378" s="18" t="s">
        <v>3442</v>
      </c>
      <c r="F4378" s="17">
        <v>5</v>
      </c>
      <c r="G4378" s="18" t="s">
        <v>23</v>
      </c>
      <c r="H4378" s="17">
        <v>172.47</v>
      </c>
      <c r="I4378" s="15">
        <v>258.89999999999998</v>
      </c>
      <c r="J4378" s="21">
        <f t="shared" si="204"/>
        <v>0.50113063141415881</v>
      </c>
      <c r="K4378" s="1">
        <v>2</v>
      </c>
      <c r="L4378" s="24">
        <v>25.8</v>
      </c>
      <c r="M4378" s="24">
        <v>233.01</v>
      </c>
      <c r="N4378" s="21">
        <f t="shared" si="205"/>
        <v>0.35101756827274305</v>
      </c>
      <c r="P4378" s="1">
        <v>4</v>
      </c>
      <c r="Q4378" s="24">
        <v>31.067999999999984</v>
      </c>
      <c r="R4378" s="24">
        <v>227.83199999999999</v>
      </c>
      <c r="S4378" s="21">
        <f t="shared" si="206"/>
        <v>0.3209949556444599</v>
      </c>
    </row>
    <row r="4379" spans="2:19" ht="11.4" customHeight="1" x14ac:dyDescent="0.2">
      <c r="B4379" s="24"/>
      <c r="C4379" s="14">
        <v>1352</v>
      </c>
      <c r="D4379" s="18" t="s">
        <v>4572</v>
      </c>
      <c r="E4379" s="18" t="s">
        <v>3442</v>
      </c>
      <c r="F4379" s="17">
        <v>15</v>
      </c>
      <c r="G4379" s="18" t="s">
        <v>23</v>
      </c>
      <c r="H4379" s="17">
        <v>61.9</v>
      </c>
      <c r="I4379" s="15">
        <v>62.9</v>
      </c>
      <c r="J4379" s="21">
        <f t="shared" si="204"/>
        <v>1.6155088852988692E-2</v>
      </c>
      <c r="K4379" s="1">
        <v>2</v>
      </c>
      <c r="L4379" s="24">
        <v>6.2</v>
      </c>
      <c r="M4379" s="24">
        <v>56.61</v>
      </c>
      <c r="N4379" s="21">
        <f t="shared" si="205"/>
        <v>-8.5460420032310164E-2</v>
      </c>
      <c r="P4379" s="1">
        <v>4</v>
      </c>
      <c r="Q4379" s="24">
        <v>7.5480000000000018</v>
      </c>
      <c r="R4379" s="24">
        <v>55.351999999999997</v>
      </c>
      <c r="S4379" s="21">
        <f t="shared" si="206"/>
        <v>-0.10578352180936998</v>
      </c>
    </row>
    <row r="4380" spans="2:19" ht="11.4" customHeight="1" x14ac:dyDescent="0.2">
      <c r="B4380" s="24"/>
      <c r="C4380" s="14">
        <v>25303</v>
      </c>
      <c r="D4380" s="18" t="s">
        <v>4573</v>
      </c>
      <c r="E4380" s="18" t="s">
        <v>3442</v>
      </c>
      <c r="F4380" s="18"/>
      <c r="G4380" s="18" t="s">
        <v>23</v>
      </c>
      <c r="H4380" s="17">
        <v>199.5</v>
      </c>
      <c r="I4380" s="15">
        <v>319.89999999999998</v>
      </c>
      <c r="J4380" s="21">
        <f t="shared" si="204"/>
        <v>0.60350877192982444</v>
      </c>
      <c r="K4380" s="1">
        <v>2</v>
      </c>
      <c r="L4380" s="24">
        <v>31.9</v>
      </c>
      <c r="M4380" s="24">
        <v>287.90999999999997</v>
      </c>
      <c r="N4380" s="21">
        <f t="shared" si="205"/>
        <v>0.44315789473684197</v>
      </c>
      <c r="P4380" s="1">
        <v>4</v>
      </c>
      <c r="Q4380" s="24">
        <v>38.387999999999977</v>
      </c>
      <c r="R4380" s="24">
        <v>281.512</v>
      </c>
      <c r="S4380" s="21">
        <f t="shared" si="206"/>
        <v>0.41108771929824561</v>
      </c>
    </row>
    <row r="4381" spans="2:19" ht="11.4" customHeight="1" x14ac:dyDescent="0.2">
      <c r="B4381" s="24"/>
      <c r="C4381" s="14">
        <v>39222</v>
      </c>
      <c r="D4381" s="18" t="s">
        <v>4574</v>
      </c>
      <c r="E4381" s="18" t="s">
        <v>3442</v>
      </c>
      <c r="F4381" s="17">
        <v>8</v>
      </c>
      <c r="G4381" s="18" t="s">
        <v>23</v>
      </c>
      <c r="H4381" s="17">
        <v>134.69999999999999</v>
      </c>
      <c r="I4381" s="15">
        <v>168.5</v>
      </c>
      <c r="J4381" s="21">
        <f t="shared" si="204"/>
        <v>0.25092798812175215</v>
      </c>
      <c r="K4381" s="1">
        <v>2</v>
      </c>
      <c r="L4381" s="24">
        <v>16.8</v>
      </c>
      <c r="M4381" s="24">
        <v>151.65</v>
      </c>
      <c r="N4381" s="21">
        <f t="shared" si="205"/>
        <v>0.12583518930957696</v>
      </c>
      <c r="P4381" s="1">
        <v>4</v>
      </c>
      <c r="Q4381" s="24">
        <v>20.22</v>
      </c>
      <c r="R4381" s="24">
        <v>148.28</v>
      </c>
      <c r="S4381" s="21">
        <f t="shared" si="206"/>
        <v>0.10081662954714189</v>
      </c>
    </row>
    <row r="4382" spans="2:19" ht="11.4" customHeight="1" x14ac:dyDescent="0.2">
      <c r="B4382" s="24"/>
      <c r="C4382" s="14">
        <v>44724</v>
      </c>
      <c r="D4382" s="18" t="s">
        <v>4575</v>
      </c>
      <c r="E4382" s="18" t="s">
        <v>3442</v>
      </c>
      <c r="F4382" s="17">
        <v>22</v>
      </c>
      <c r="G4382" s="18" t="s">
        <v>23</v>
      </c>
      <c r="H4382" s="17">
        <v>51.75</v>
      </c>
      <c r="I4382" s="15">
        <v>64.5</v>
      </c>
      <c r="J4382" s="21">
        <f t="shared" si="204"/>
        <v>0.24637681159420291</v>
      </c>
      <c r="K4382" s="1">
        <v>2</v>
      </c>
      <c r="L4382" s="24">
        <v>6.4</v>
      </c>
      <c r="M4382" s="24">
        <v>58.050000000000004</v>
      </c>
      <c r="N4382" s="21">
        <f t="shared" si="205"/>
        <v>0.1217391304347827</v>
      </c>
      <c r="P4382" s="1">
        <v>4</v>
      </c>
      <c r="Q4382" s="24">
        <v>7.740000000000002</v>
      </c>
      <c r="R4382" s="24">
        <v>56.76</v>
      </c>
      <c r="S4382" s="21">
        <f t="shared" si="206"/>
        <v>9.6811594202898518E-2</v>
      </c>
    </row>
    <row r="4383" spans="2:19" ht="11.4" customHeight="1" x14ac:dyDescent="0.2">
      <c r="B4383" s="24"/>
      <c r="C4383" s="14">
        <v>34627</v>
      </c>
      <c r="D4383" s="18" t="s">
        <v>4576</v>
      </c>
      <c r="E4383" s="18" t="s">
        <v>3442</v>
      </c>
      <c r="F4383" s="17">
        <v>12</v>
      </c>
      <c r="G4383" s="18" t="s">
        <v>23</v>
      </c>
      <c r="H4383" s="17">
        <v>149.65</v>
      </c>
      <c r="I4383" s="15">
        <v>196.7</v>
      </c>
      <c r="J4383" s="21">
        <f t="shared" si="204"/>
        <v>0.31440026729034404</v>
      </c>
      <c r="K4383" s="1">
        <v>2</v>
      </c>
      <c r="L4383" s="24">
        <v>19.600000000000001</v>
      </c>
      <c r="M4383" s="24">
        <v>177.03</v>
      </c>
      <c r="N4383" s="21">
        <f t="shared" si="205"/>
        <v>0.18296024056130969</v>
      </c>
      <c r="P4383" s="1">
        <v>4</v>
      </c>
      <c r="Q4383" s="24">
        <v>23.603999999999985</v>
      </c>
      <c r="R4383" s="24">
        <v>173.096</v>
      </c>
      <c r="S4383" s="21">
        <f t="shared" si="206"/>
        <v>0.15667223521550283</v>
      </c>
    </row>
    <row r="4384" spans="2:19" ht="11.4" customHeight="1" x14ac:dyDescent="0.2">
      <c r="B4384" s="24"/>
      <c r="C4384" s="14">
        <v>45235</v>
      </c>
      <c r="D4384" s="18" t="s">
        <v>4577</v>
      </c>
      <c r="E4384" s="18" t="s">
        <v>3442</v>
      </c>
      <c r="F4384" s="17">
        <v>22</v>
      </c>
      <c r="G4384" s="18" t="s">
        <v>23</v>
      </c>
      <c r="H4384" s="17">
        <v>36.58</v>
      </c>
      <c r="I4384" s="15">
        <v>43.9</v>
      </c>
      <c r="J4384" s="21">
        <f t="shared" si="204"/>
        <v>0.20010934937124114</v>
      </c>
      <c r="K4384" s="1">
        <v>2</v>
      </c>
      <c r="L4384" s="24">
        <v>4.3</v>
      </c>
      <c r="M4384" s="24">
        <v>39.51</v>
      </c>
      <c r="N4384" s="21">
        <f t="shared" si="205"/>
        <v>8.0098414434116999E-2</v>
      </c>
      <c r="P4384" s="1">
        <v>4</v>
      </c>
      <c r="Q4384" s="24">
        <v>5.2680000000000007</v>
      </c>
      <c r="R4384" s="24">
        <v>38.631999999999998</v>
      </c>
      <c r="S4384" s="21">
        <f t="shared" si="206"/>
        <v>5.6096227446692175E-2</v>
      </c>
    </row>
    <row r="4385" spans="2:19" ht="11.4" customHeight="1" x14ac:dyDescent="0.2">
      <c r="B4385" s="24"/>
      <c r="C4385" s="14">
        <v>42573</v>
      </c>
      <c r="D4385" s="18" t="s">
        <v>4578</v>
      </c>
      <c r="E4385" s="18" t="s">
        <v>3442</v>
      </c>
      <c r="F4385" s="17">
        <v>12</v>
      </c>
      <c r="G4385" s="18" t="s">
        <v>23</v>
      </c>
      <c r="H4385" s="17">
        <v>99.92</v>
      </c>
      <c r="I4385" s="15">
        <v>119.9</v>
      </c>
      <c r="J4385" s="21">
        <f t="shared" si="204"/>
        <v>0.19995996797437954</v>
      </c>
      <c r="K4385" s="1">
        <v>2</v>
      </c>
      <c r="L4385" s="24">
        <v>11.9</v>
      </c>
      <c r="M4385" s="24">
        <v>107.91000000000001</v>
      </c>
      <c r="N4385" s="21">
        <f t="shared" si="205"/>
        <v>7.9963971176941637E-2</v>
      </c>
      <c r="P4385" s="1">
        <v>4</v>
      </c>
      <c r="Q4385" s="24">
        <v>14.388000000000005</v>
      </c>
      <c r="R4385" s="24">
        <v>105.512</v>
      </c>
      <c r="S4385" s="21">
        <f t="shared" si="206"/>
        <v>5.5964771817453948E-2</v>
      </c>
    </row>
    <row r="4386" spans="2:19" ht="11.4" customHeight="1" x14ac:dyDescent="0.2">
      <c r="B4386" s="24"/>
      <c r="C4386" s="14">
        <v>47987</v>
      </c>
      <c r="D4386" s="18" t="s">
        <v>4579</v>
      </c>
      <c r="E4386" s="18" t="s">
        <v>3442</v>
      </c>
      <c r="F4386" s="17">
        <v>7</v>
      </c>
      <c r="G4386" s="18" t="s">
        <v>23</v>
      </c>
      <c r="H4386" s="17">
        <v>185.82</v>
      </c>
      <c r="I4386" s="15">
        <v>259.89999999999998</v>
      </c>
      <c r="J4386" s="21">
        <f t="shared" si="204"/>
        <v>0.3986653750941771</v>
      </c>
      <c r="K4386" s="1">
        <v>2</v>
      </c>
      <c r="L4386" s="24">
        <v>25.9</v>
      </c>
      <c r="M4386" s="24">
        <v>233.91</v>
      </c>
      <c r="N4386" s="21">
        <f t="shared" si="205"/>
        <v>0.25879883758475947</v>
      </c>
      <c r="P4386" s="1">
        <v>4</v>
      </c>
      <c r="Q4386" s="24">
        <v>31.187999999999988</v>
      </c>
      <c r="R4386" s="24">
        <v>228.71199999999999</v>
      </c>
      <c r="S4386" s="21">
        <f t="shared" si="206"/>
        <v>0.2308255300828759</v>
      </c>
    </row>
    <row r="4387" spans="2:19" ht="11.4" customHeight="1" x14ac:dyDescent="0.2">
      <c r="B4387" s="24"/>
      <c r="C4387" s="14">
        <v>25196</v>
      </c>
      <c r="D4387" s="18" t="s">
        <v>4580</v>
      </c>
      <c r="E4387" s="18" t="s">
        <v>3442</v>
      </c>
      <c r="F4387" s="17">
        <v>24</v>
      </c>
      <c r="G4387" s="18" t="s">
        <v>23</v>
      </c>
      <c r="H4387" s="17">
        <v>48.88</v>
      </c>
      <c r="I4387" s="15">
        <v>67.900000000000006</v>
      </c>
      <c r="J4387" s="21">
        <f t="shared" si="204"/>
        <v>0.3891162029459902</v>
      </c>
      <c r="K4387" s="1">
        <v>2</v>
      </c>
      <c r="L4387" s="24">
        <v>6.7</v>
      </c>
      <c r="M4387" s="24">
        <v>61.110000000000007</v>
      </c>
      <c r="N4387" s="21">
        <f t="shared" si="205"/>
        <v>0.25020458265139123</v>
      </c>
      <c r="P4387" s="1">
        <v>4</v>
      </c>
      <c r="Q4387" s="24">
        <v>8.1480000000000032</v>
      </c>
      <c r="R4387" s="24">
        <v>59.752000000000002</v>
      </c>
      <c r="S4387" s="21">
        <f t="shared" si="206"/>
        <v>0.22242225859247133</v>
      </c>
    </row>
    <row r="4388" spans="2:19" ht="11.4" customHeight="1" x14ac:dyDescent="0.2">
      <c r="B4388" s="24"/>
      <c r="C4388" s="14">
        <v>37613</v>
      </c>
      <c r="D4388" s="18" t="s">
        <v>4581</v>
      </c>
      <c r="E4388" s="18" t="s">
        <v>3442</v>
      </c>
      <c r="F4388" s="17">
        <v>18</v>
      </c>
      <c r="G4388" s="18" t="s">
        <v>23</v>
      </c>
      <c r="H4388" s="17">
        <v>36.58</v>
      </c>
      <c r="I4388" s="15">
        <v>43.9</v>
      </c>
      <c r="J4388" s="21">
        <f t="shared" si="204"/>
        <v>0.20010934937124114</v>
      </c>
      <c r="K4388" s="1">
        <v>2</v>
      </c>
      <c r="L4388" s="24">
        <v>4.3</v>
      </c>
      <c r="M4388" s="24">
        <v>39.51</v>
      </c>
      <c r="N4388" s="21">
        <f t="shared" si="205"/>
        <v>8.0098414434116999E-2</v>
      </c>
      <c r="P4388" s="1">
        <v>4</v>
      </c>
      <c r="Q4388" s="24">
        <v>5.2680000000000007</v>
      </c>
      <c r="R4388" s="24">
        <v>38.631999999999998</v>
      </c>
      <c r="S4388" s="21">
        <f t="shared" si="206"/>
        <v>5.6096227446692175E-2</v>
      </c>
    </row>
    <row r="4389" spans="2:19" ht="11.4" customHeight="1" x14ac:dyDescent="0.2">
      <c r="B4389" s="24"/>
      <c r="C4389" s="14">
        <v>44716</v>
      </c>
      <c r="D4389" s="18" t="s">
        <v>4582</v>
      </c>
      <c r="E4389" s="18" t="s">
        <v>3442</v>
      </c>
      <c r="F4389" s="17">
        <v>22</v>
      </c>
      <c r="G4389" s="18" t="s">
        <v>23</v>
      </c>
      <c r="H4389" s="17">
        <v>51.75</v>
      </c>
      <c r="I4389" s="15">
        <v>64.5</v>
      </c>
      <c r="J4389" s="21">
        <f t="shared" si="204"/>
        <v>0.24637681159420291</v>
      </c>
      <c r="K4389" s="1">
        <v>2</v>
      </c>
      <c r="L4389" s="24">
        <v>6.4</v>
      </c>
      <c r="M4389" s="24">
        <v>58.050000000000004</v>
      </c>
      <c r="N4389" s="21">
        <f t="shared" si="205"/>
        <v>0.1217391304347827</v>
      </c>
      <c r="P4389" s="1">
        <v>4</v>
      </c>
      <c r="Q4389" s="24">
        <v>7.740000000000002</v>
      </c>
      <c r="R4389" s="24">
        <v>56.76</v>
      </c>
      <c r="S4389" s="21">
        <f t="shared" si="206"/>
        <v>9.6811594202898518E-2</v>
      </c>
    </row>
    <row r="4390" spans="2:19" ht="11.4" customHeight="1" x14ac:dyDescent="0.2">
      <c r="B4390" s="24"/>
      <c r="C4390" s="14">
        <v>45238</v>
      </c>
      <c r="D4390" s="18" t="s">
        <v>4583</v>
      </c>
      <c r="E4390" s="18" t="s">
        <v>3442</v>
      </c>
      <c r="F4390" s="17">
        <v>22</v>
      </c>
      <c r="G4390" s="18" t="s">
        <v>23</v>
      </c>
      <c r="H4390" s="17">
        <v>36.58</v>
      </c>
      <c r="I4390" s="15">
        <v>43.9</v>
      </c>
      <c r="J4390" s="21">
        <f t="shared" si="204"/>
        <v>0.20010934937124114</v>
      </c>
      <c r="K4390" s="1">
        <v>2</v>
      </c>
      <c r="L4390" s="24">
        <v>4.3</v>
      </c>
      <c r="M4390" s="24">
        <v>39.51</v>
      </c>
      <c r="N4390" s="21">
        <f t="shared" si="205"/>
        <v>8.0098414434116999E-2</v>
      </c>
      <c r="P4390" s="1">
        <v>4</v>
      </c>
      <c r="Q4390" s="24">
        <v>5.2680000000000007</v>
      </c>
      <c r="R4390" s="24">
        <v>38.631999999999998</v>
      </c>
      <c r="S4390" s="21">
        <f t="shared" si="206"/>
        <v>5.6096227446692175E-2</v>
      </c>
    </row>
    <row r="4391" spans="2:19" ht="11.4" customHeight="1" x14ac:dyDescent="0.2">
      <c r="B4391" s="24"/>
      <c r="C4391" s="14">
        <v>45291</v>
      </c>
      <c r="D4391" s="18" t="s">
        <v>4584</v>
      </c>
      <c r="E4391" s="18" t="s">
        <v>3442</v>
      </c>
      <c r="F4391" s="17">
        <v>20</v>
      </c>
      <c r="G4391" s="18" t="s">
        <v>23</v>
      </c>
      <c r="H4391" s="17">
        <v>66.06</v>
      </c>
      <c r="I4391" s="15">
        <v>79.900000000000006</v>
      </c>
      <c r="J4391" s="21">
        <f t="shared" si="204"/>
        <v>0.20950650923402972</v>
      </c>
      <c r="K4391" s="1">
        <v>2</v>
      </c>
      <c r="L4391" s="24">
        <v>7.9</v>
      </c>
      <c r="M4391" s="24">
        <v>71.910000000000011</v>
      </c>
      <c r="N4391" s="21">
        <f t="shared" si="205"/>
        <v>8.8555858310626831E-2</v>
      </c>
      <c r="P4391" s="1">
        <v>4</v>
      </c>
      <c r="Q4391" s="24">
        <v>9.5879999999999939</v>
      </c>
      <c r="R4391" s="24">
        <v>70.312000000000012</v>
      </c>
      <c r="S4391" s="21">
        <f t="shared" si="206"/>
        <v>6.436572812594625E-2</v>
      </c>
    </row>
    <row r="4392" spans="2:19" ht="11.4" customHeight="1" x14ac:dyDescent="0.2">
      <c r="B4392" s="24"/>
      <c r="C4392" s="14">
        <v>25190</v>
      </c>
      <c r="D4392" s="18" t="s">
        <v>4585</v>
      </c>
      <c r="E4392" s="18" t="s">
        <v>3442</v>
      </c>
      <c r="F4392" s="17">
        <v>18</v>
      </c>
      <c r="G4392" s="18" t="s">
        <v>23</v>
      </c>
      <c r="H4392" s="17">
        <v>51.75</v>
      </c>
      <c r="I4392" s="15">
        <v>67.900000000000006</v>
      </c>
      <c r="J4392" s="21">
        <f t="shared" si="204"/>
        <v>0.31207729468599044</v>
      </c>
      <c r="K4392" s="1">
        <v>2</v>
      </c>
      <c r="L4392" s="24">
        <v>6.7</v>
      </c>
      <c r="M4392" s="24">
        <v>61.110000000000007</v>
      </c>
      <c r="N4392" s="21">
        <f t="shared" si="205"/>
        <v>0.18086956521739142</v>
      </c>
      <c r="P4392" s="1">
        <v>4</v>
      </c>
      <c r="Q4392" s="24">
        <v>8.1480000000000032</v>
      </c>
      <c r="R4392" s="24">
        <v>59.752000000000002</v>
      </c>
      <c r="S4392" s="21">
        <f t="shared" si="206"/>
        <v>0.15462801932367154</v>
      </c>
    </row>
    <row r="4393" spans="2:19" ht="11.4" customHeight="1" x14ac:dyDescent="0.2">
      <c r="B4393" s="24"/>
      <c r="C4393" s="14">
        <v>37618</v>
      </c>
      <c r="D4393" s="18" t="s">
        <v>4586</v>
      </c>
      <c r="E4393" s="18" t="s">
        <v>3442</v>
      </c>
      <c r="F4393" s="17">
        <v>18</v>
      </c>
      <c r="G4393" s="18" t="s">
        <v>23</v>
      </c>
      <c r="H4393" s="17">
        <v>36.58</v>
      </c>
      <c r="I4393" s="15">
        <v>43.9</v>
      </c>
      <c r="J4393" s="21">
        <f t="shared" si="204"/>
        <v>0.20010934937124114</v>
      </c>
      <c r="K4393" s="1">
        <v>2</v>
      </c>
      <c r="L4393" s="24">
        <v>4.3</v>
      </c>
      <c r="M4393" s="24">
        <v>39.51</v>
      </c>
      <c r="N4393" s="21">
        <f t="shared" si="205"/>
        <v>8.0098414434116999E-2</v>
      </c>
      <c r="P4393" s="1">
        <v>4</v>
      </c>
      <c r="Q4393" s="24">
        <v>5.2680000000000007</v>
      </c>
      <c r="R4393" s="24">
        <v>38.631999999999998</v>
      </c>
      <c r="S4393" s="21">
        <f t="shared" si="206"/>
        <v>5.6096227446692175E-2</v>
      </c>
    </row>
    <row r="4394" spans="2:19" ht="11.4" customHeight="1" x14ac:dyDescent="0.2">
      <c r="B4394" s="24"/>
      <c r="C4394" s="14">
        <v>45292</v>
      </c>
      <c r="D4394" s="18" t="s">
        <v>4587</v>
      </c>
      <c r="E4394" s="18" t="s">
        <v>3442</v>
      </c>
      <c r="F4394" s="17">
        <v>24</v>
      </c>
      <c r="G4394" s="18" t="s">
        <v>23</v>
      </c>
      <c r="H4394" s="17">
        <v>79.98</v>
      </c>
      <c r="I4394" s="15">
        <v>98.5</v>
      </c>
      <c r="J4394" s="21">
        <f t="shared" si="204"/>
        <v>0.23155788947236802</v>
      </c>
      <c r="K4394" s="1">
        <v>2</v>
      </c>
      <c r="L4394" s="24">
        <v>9.8000000000000007</v>
      </c>
      <c r="M4394" s="24">
        <v>88.65</v>
      </c>
      <c r="N4394" s="21">
        <f t="shared" si="205"/>
        <v>0.1084021005251313</v>
      </c>
      <c r="P4394" s="1">
        <v>4</v>
      </c>
      <c r="Q4394" s="24">
        <v>11.819999999999993</v>
      </c>
      <c r="R4394" s="24">
        <v>86.68</v>
      </c>
      <c r="S4394" s="21">
        <f t="shared" si="206"/>
        <v>8.3770942735683959E-2</v>
      </c>
    </row>
    <row r="4395" spans="2:19" ht="11.4" customHeight="1" x14ac:dyDescent="0.2">
      <c r="B4395" s="24"/>
      <c r="C4395" s="14">
        <v>25188</v>
      </c>
      <c r="D4395" s="18" t="s">
        <v>4588</v>
      </c>
      <c r="E4395" s="18" t="s">
        <v>3442</v>
      </c>
      <c r="F4395" s="17">
        <v>18</v>
      </c>
      <c r="G4395" s="18" t="s">
        <v>23</v>
      </c>
      <c r="H4395" s="17">
        <v>51.75</v>
      </c>
      <c r="I4395" s="15">
        <v>67.900000000000006</v>
      </c>
      <c r="J4395" s="21">
        <f t="shared" si="204"/>
        <v>0.31207729468599044</v>
      </c>
      <c r="K4395" s="1">
        <v>2</v>
      </c>
      <c r="L4395" s="24">
        <v>6.7</v>
      </c>
      <c r="M4395" s="24">
        <v>61.110000000000007</v>
      </c>
      <c r="N4395" s="21">
        <f t="shared" si="205"/>
        <v>0.18086956521739142</v>
      </c>
      <c r="P4395" s="1">
        <v>4</v>
      </c>
      <c r="Q4395" s="24">
        <v>8.1480000000000032</v>
      </c>
      <c r="R4395" s="24">
        <v>59.752000000000002</v>
      </c>
      <c r="S4395" s="21">
        <f t="shared" si="206"/>
        <v>0.15462801932367154</v>
      </c>
    </row>
    <row r="4396" spans="2:19" ht="11.4" customHeight="1" x14ac:dyDescent="0.2">
      <c r="B4396" s="24"/>
      <c r="C4396" s="14">
        <v>37616</v>
      </c>
      <c r="D4396" s="18" t="s">
        <v>4589</v>
      </c>
      <c r="E4396" s="18" t="s">
        <v>3442</v>
      </c>
      <c r="F4396" s="17">
        <v>18</v>
      </c>
      <c r="G4396" s="18" t="s">
        <v>23</v>
      </c>
      <c r="H4396" s="17">
        <v>36.58</v>
      </c>
      <c r="I4396" s="15">
        <v>43.9</v>
      </c>
      <c r="J4396" s="21">
        <f t="shared" si="204"/>
        <v>0.20010934937124114</v>
      </c>
      <c r="K4396" s="1">
        <v>2</v>
      </c>
      <c r="L4396" s="24">
        <v>4.3</v>
      </c>
      <c r="M4396" s="24">
        <v>39.51</v>
      </c>
      <c r="N4396" s="21">
        <f t="shared" si="205"/>
        <v>8.0098414434116999E-2</v>
      </c>
      <c r="P4396" s="1">
        <v>4</v>
      </c>
      <c r="Q4396" s="24">
        <v>5.2680000000000007</v>
      </c>
      <c r="R4396" s="24">
        <v>38.631999999999998</v>
      </c>
      <c r="S4396" s="21">
        <f t="shared" si="206"/>
        <v>5.6096227446692175E-2</v>
      </c>
    </row>
    <row r="4397" spans="2:19" ht="11.4" customHeight="1" x14ac:dyDescent="0.2">
      <c r="B4397" s="24"/>
      <c r="C4397" s="14">
        <v>42023</v>
      </c>
      <c r="D4397" s="18" t="s">
        <v>4590</v>
      </c>
      <c r="E4397" s="18" t="s">
        <v>3442</v>
      </c>
      <c r="F4397" s="17">
        <v>12</v>
      </c>
      <c r="G4397" s="18" t="s">
        <v>23</v>
      </c>
      <c r="H4397" s="17">
        <v>149.65</v>
      </c>
      <c r="I4397" s="15">
        <v>196.7</v>
      </c>
      <c r="J4397" s="21">
        <f t="shared" si="204"/>
        <v>0.31440026729034404</v>
      </c>
      <c r="K4397" s="1">
        <v>2</v>
      </c>
      <c r="L4397" s="24">
        <v>19.600000000000001</v>
      </c>
      <c r="M4397" s="24">
        <v>177.03</v>
      </c>
      <c r="N4397" s="21">
        <f t="shared" si="205"/>
        <v>0.18296024056130969</v>
      </c>
      <c r="P4397" s="1">
        <v>4</v>
      </c>
      <c r="Q4397" s="24">
        <v>23.603999999999985</v>
      </c>
      <c r="R4397" s="24">
        <v>173.096</v>
      </c>
      <c r="S4397" s="21">
        <f t="shared" si="206"/>
        <v>0.15667223521550283</v>
      </c>
    </row>
    <row r="4398" spans="2:19" ht="11.4" customHeight="1" x14ac:dyDescent="0.2">
      <c r="B4398" s="24"/>
      <c r="C4398" s="14">
        <v>42570</v>
      </c>
      <c r="D4398" s="18" t="s">
        <v>4591</v>
      </c>
      <c r="E4398" s="18" t="s">
        <v>3442</v>
      </c>
      <c r="F4398" s="17">
        <v>12</v>
      </c>
      <c r="G4398" s="18" t="s">
        <v>23</v>
      </c>
      <c r="H4398" s="17">
        <v>99.92</v>
      </c>
      <c r="I4398" s="15">
        <v>119.9</v>
      </c>
      <c r="J4398" s="21">
        <f t="shared" si="204"/>
        <v>0.19995996797437954</v>
      </c>
      <c r="K4398" s="1">
        <v>2</v>
      </c>
      <c r="L4398" s="24">
        <v>11.9</v>
      </c>
      <c r="M4398" s="24">
        <v>107.91000000000001</v>
      </c>
      <c r="N4398" s="21">
        <f t="shared" si="205"/>
        <v>7.9963971176941637E-2</v>
      </c>
      <c r="P4398" s="1">
        <v>4</v>
      </c>
      <c r="Q4398" s="24">
        <v>14.388000000000005</v>
      </c>
      <c r="R4398" s="24">
        <v>105.512</v>
      </c>
      <c r="S4398" s="21">
        <f t="shared" si="206"/>
        <v>5.5964771817453948E-2</v>
      </c>
    </row>
    <row r="4399" spans="2:19" ht="11.4" customHeight="1" x14ac:dyDescent="0.2">
      <c r="B4399" s="24"/>
      <c r="C4399" s="14">
        <v>34553</v>
      </c>
      <c r="D4399" s="18" t="s">
        <v>4592</v>
      </c>
      <c r="E4399" s="18" t="s">
        <v>3442</v>
      </c>
      <c r="F4399" s="17">
        <v>12</v>
      </c>
      <c r="G4399" s="18" t="s">
        <v>23</v>
      </c>
      <c r="H4399" s="17">
        <v>77.819999999999993</v>
      </c>
      <c r="I4399" s="15">
        <v>99.5</v>
      </c>
      <c r="J4399" s="21">
        <f t="shared" si="204"/>
        <v>0.27859162169108209</v>
      </c>
      <c r="K4399" s="1">
        <v>2</v>
      </c>
      <c r="L4399" s="24">
        <v>9.9</v>
      </c>
      <c r="M4399" s="24">
        <v>89.55</v>
      </c>
      <c r="N4399" s="21">
        <f t="shared" si="205"/>
        <v>0.15073245952197384</v>
      </c>
      <c r="P4399" s="1">
        <v>4</v>
      </c>
      <c r="Q4399" s="24">
        <v>11.939999999999998</v>
      </c>
      <c r="R4399" s="24">
        <v>87.56</v>
      </c>
      <c r="S4399" s="21">
        <f t="shared" si="206"/>
        <v>0.12516062708815229</v>
      </c>
    </row>
    <row r="4400" spans="2:19" ht="11.4" customHeight="1" x14ac:dyDescent="0.2">
      <c r="B4400" s="24"/>
      <c r="C4400" s="14">
        <v>9405</v>
      </c>
      <c r="D4400" s="18" t="s">
        <v>4593</v>
      </c>
      <c r="E4400" s="18" t="s">
        <v>3442</v>
      </c>
      <c r="F4400" s="17">
        <v>22</v>
      </c>
      <c r="G4400" s="18" t="s">
        <v>23</v>
      </c>
      <c r="H4400" s="17">
        <v>51.75</v>
      </c>
      <c r="I4400" s="15">
        <v>67.900000000000006</v>
      </c>
      <c r="J4400" s="21">
        <f t="shared" si="204"/>
        <v>0.31207729468599044</v>
      </c>
      <c r="K4400" s="1">
        <v>2</v>
      </c>
      <c r="L4400" s="24">
        <v>6.7</v>
      </c>
      <c r="M4400" s="24">
        <v>61.110000000000007</v>
      </c>
      <c r="N4400" s="21">
        <f t="shared" si="205"/>
        <v>0.18086956521739142</v>
      </c>
      <c r="P4400" s="1">
        <v>4</v>
      </c>
      <c r="Q4400" s="24">
        <v>8.1480000000000032</v>
      </c>
      <c r="R4400" s="24">
        <v>59.752000000000002</v>
      </c>
      <c r="S4400" s="21">
        <f t="shared" si="206"/>
        <v>0.15462801932367154</v>
      </c>
    </row>
    <row r="4401" spans="2:19" ht="11.4" customHeight="1" x14ac:dyDescent="0.2">
      <c r="B4401" s="24"/>
      <c r="C4401" s="14">
        <v>37615</v>
      </c>
      <c r="D4401" s="18" t="s">
        <v>4594</v>
      </c>
      <c r="E4401" s="18" t="s">
        <v>3442</v>
      </c>
      <c r="F4401" s="17">
        <v>22</v>
      </c>
      <c r="G4401" s="18" t="s">
        <v>23</v>
      </c>
      <c r="H4401" s="17">
        <v>47</v>
      </c>
      <c r="I4401" s="15">
        <v>43.9</v>
      </c>
      <c r="J4401" s="21">
        <f t="shared" si="204"/>
        <v>-6.5957446808510664E-2</v>
      </c>
      <c r="K4401" s="1">
        <v>2</v>
      </c>
      <c r="L4401" s="24">
        <v>4.3</v>
      </c>
      <c r="M4401" s="24">
        <v>39.51</v>
      </c>
      <c r="N4401" s="21">
        <f t="shared" si="205"/>
        <v>-0.15936170212765963</v>
      </c>
      <c r="P4401" s="1">
        <v>4</v>
      </c>
      <c r="Q4401" s="24">
        <v>5.2680000000000007</v>
      </c>
      <c r="R4401" s="24">
        <v>38.631999999999998</v>
      </c>
      <c r="S4401" s="21">
        <f t="shared" si="206"/>
        <v>-0.1780425531914894</v>
      </c>
    </row>
    <row r="4402" spans="2:19" ht="11.4" customHeight="1" x14ac:dyDescent="0.2">
      <c r="B4402" s="24"/>
      <c r="C4402" s="14">
        <v>42572</v>
      </c>
      <c r="D4402" s="18" t="s">
        <v>4595</v>
      </c>
      <c r="E4402" s="18" t="s">
        <v>3442</v>
      </c>
      <c r="F4402" s="17">
        <v>12</v>
      </c>
      <c r="G4402" s="18" t="s">
        <v>23</v>
      </c>
      <c r="H4402" s="17">
        <v>99.92</v>
      </c>
      <c r="I4402" s="15">
        <v>119.9</v>
      </c>
      <c r="J4402" s="21">
        <f t="shared" si="204"/>
        <v>0.19995996797437954</v>
      </c>
      <c r="K4402" s="1">
        <v>2</v>
      </c>
      <c r="L4402" s="24">
        <v>11.9</v>
      </c>
      <c r="M4402" s="24">
        <v>107.91000000000001</v>
      </c>
      <c r="N4402" s="21">
        <f t="shared" si="205"/>
        <v>7.9963971176941637E-2</v>
      </c>
      <c r="P4402" s="1">
        <v>4</v>
      </c>
      <c r="Q4402" s="24">
        <v>14.388000000000005</v>
      </c>
      <c r="R4402" s="24">
        <v>105.512</v>
      </c>
      <c r="S4402" s="21">
        <f t="shared" si="206"/>
        <v>5.5964771817453948E-2</v>
      </c>
    </row>
    <row r="4403" spans="2:19" ht="11.4" customHeight="1" x14ac:dyDescent="0.2">
      <c r="B4403" s="24"/>
      <c r="C4403" s="14">
        <v>39512</v>
      </c>
      <c r="D4403" s="18" t="s">
        <v>4596</v>
      </c>
      <c r="E4403" s="18" t="s">
        <v>3442</v>
      </c>
      <c r="F4403" s="17">
        <v>25</v>
      </c>
      <c r="G4403" s="18" t="s">
        <v>23</v>
      </c>
      <c r="H4403" s="17">
        <v>58.32</v>
      </c>
      <c r="I4403" s="15">
        <v>75.5</v>
      </c>
      <c r="J4403" s="21">
        <f t="shared" si="204"/>
        <v>0.29458161865569271</v>
      </c>
      <c r="K4403" s="1">
        <v>2</v>
      </c>
      <c r="L4403" s="24">
        <v>7.5</v>
      </c>
      <c r="M4403" s="24">
        <v>67.95</v>
      </c>
      <c r="N4403" s="21">
        <f t="shared" si="205"/>
        <v>0.1651234567901235</v>
      </c>
      <c r="P4403" s="1">
        <v>4</v>
      </c>
      <c r="Q4403" s="24">
        <v>9.0600000000000023</v>
      </c>
      <c r="R4403" s="24">
        <v>66.44</v>
      </c>
      <c r="S4403" s="21">
        <f t="shared" si="206"/>
        <v>0.13923182441700957</v>
      </c>
    </row>
    <row r="4404" spans="2:19" ht="11.4" customHeight="1" x14ac:dyDescent="0.2">
      <c r="B4404" s="24"/>
      <c r="C4404" s="14">
        <v>42168</v>
      </c>
      <c r="D4404" s="18" t="s">
        <v>4597</v>
      </c>
      <c r="E4404" s="18" t="s">
        <v>3442</v>
      </c>
      <c r="F4404" s="17">
        <v>20</v>
      </c>
      <c r="G4404" s="18" t="s">
        <v>23</v>
      </c>
      <c r="H4404" s="17">
        <v>58.32</v>
      </c>
      <c r="I4404" s="15">
        <v>75.5</v>
      </c>
      <c r="J4404" s="21">
        <f t="shared" si="204"/>
        <v>0.29458161865569271</v>
      </c>
      <c r="K4404" s="1">
        <v>2</v>
      </c>
      <c r="L4404" s="24">
        <v>7.5</v>
      </c>
      <c r="M4404" s="24">
        <v>67.95</v>
      </c>
      <c r="N4404" s="21">
        <f t="shared" si="205"/>
        <v>0.1651234567901235</v>
      </c>
      <c r="P4404" s="1">
        <v>4</v>
      </c>
      <c r="Q4404" s="24">
        <v>9.0600000000000023</v>
      </c>
      <c r="R4404" s="24">
        <v>66.44</v>
      </c>
      <c r="S4404" s="21">
        <f t="shared" si="206"/>
        <v>0.13923182441700957</v>
      </c>
    </row>
    <row r="4405" spans="2:19" ht="11.4" customHeight="1" x14ac:dyDescent="0.2">
      <c r="B4405" s="24"/>
      <c r="C4405" s="14">
        <v>41263</v>
      </c>
      <c r="D4405" s="18" t="s">
        <v>4598</v>
      </c>
      <c r="E4405" s="18" t="s">
        <v>3442</v>
      </c>
      <c r="F4405" s="17">
        <v>10</v>
      </c>
      <c r="G4405" s="18" t="s">
        <v>23</v>
      </c>
      <c r="H4405" s="17">
        <v>110.09</v>
      </c>
      <c r="I4405" s="15">
        <v>137.5</v>
      </c>
      <c r="J4405" s="21">
        <f t="shared" si="204"/>
        <v>0.24897810882005628</v>
      </c>
      <c r="K4405" s="1">
        <v>2</v>
      </c>
      <c r="L4405" s="24">
        <v>13.7</v>
      </c>
      <c r="M4405" s="24">
        <v>123.75</v>
      </c>
      <c r="N4405" s="21">
        <f t="shared" si="205"/>
        <v>0.12408029793805066</v>
      </c>
      <c r="P4405" s="1">
        <v>4</v>
      </c>
      <c r="Q4405" s="24">
        <v>16.5</v>
      </c>
      <c r="R4405" s="24">
        <v>121</v>
      </c>
      <c r="S4405" s="21">
        <f t="shared" si="206"/>
        <v>9.910073576164953E-2</v>
      </c>
    </row>
    <row r="4406" spans="2:19" ht="11.4" customHeight="1" x14ac:dyDescent="0.2">
      <c r="B4406" s="24"/>
      <c r="C4406" s="14">
        <v>9419</v>
      </c>
      <c r="D4406" s="18" t="s">
        <v>4599</v>
      </c>
      <c r="E4406" s="18" t="s">
        <v>3442</v>
      </c>
      <c r="F4406" s="17">
        <v>24</v>
      </c>
      <c r="G4406" s="18" t="s">
        <v>23</v>
      </c>
      <c r="H4406" s="17">
        <v>51.74</v>
      </c>
      <c r="I4406" s="15">
        <v>64.400000000000006</v>
      </c>
      <c r="J4406" s="21">
        <f t="shared" si="204"/>
        <v>0.24468496327792816</v>
      </c>
      <c r="K4406" s="1">
        <v>2</v>
      </c>
      <c r="L4406" s="24">
        <v>6.4</v>
      </c>
      <c r="M4406" s="24">
        <v>57.960000000000008</v>
      </c>
      <c r="N4406" s="21">
        <f t="shared" si="205"/>
        <v>0.12021646695013541</v>
      </c>
      <c r="P4406" s="1">
        <v>4</v>
      </c>
      <c r="Q4406" s="24">
        <v>7.7280000000000015</v>
      </c>
      <c r="R4406" s="24">
        <v>56.672000000000004</v>
      </c>
      <c r="S4406" s="21">
        <f t="shared" si="206"/>
        <v>9.5322767684576773E-2</v>
      </c>
    </row>
    <row r="4407" spans="2:19" ht="11.4" customHeight="1" x14ac:dyDescent="0.2">
      <c r="B4407" s="24"/>
      <c r="C4407" s="14">
        <v>25945</v>
      </c>
      <c r="D4407" s="18" t="s">
        <v>4600</v>
      </c>
      <c r="E4407" s="18" t="s">
        <v>3442</v>
      </c>
      <c r="F4407" s="17">
        <v>21</v>
      </c>
      <c r="G4407" s="18" t="s">
        <v>23</v>
      </c>
      <c r="H4407" s="17">
        <v>70.75</v>
      </c>
      <c r="I4407" s="15">
        <v>84.9</v>
      </c>
      <c r="J4407" s="21">
        <f t="shared" si="204"/>
        <v>0.20000000000000007</v>
      </c>
      <c r="K4407" s="1">
        <v>2</v>
      </c>
      <c r="L4407" s="24">
        <v>8.4</v>
      </c>
      <c r="M4407" s="24">
        <v>76.410000000000011</v>
      </c>
      <c r="N4407" s="21">
        <f t="shared" si="205"/>
        <v>8.0000000000000154E-2</v>
      </c>
      <c r="P4407" s="1">
        <v>4</v>
      </c>
      <c r="Q4407" s="24">
        <v>10.188000000000002</v>
      </c>
      <c r="R4407" s="24">
        <v>74.712000000000003</v>
      </c>
      <c r="S4407" s="21">
        <f t="shared" si="206"/>
        <v>5.600000000000005E-2</v>
      </c>
    </row>
    <row r="4408" spans="2:19" ht="11.4" customHeight="1" x14ac:dyDescent="0.2">
      <c r="B4408" s="24"/>
      <c r="C4408" s="14">
        <v>38455</v>
      </c>
      <c r="D4408" s="18" t="s">
        <v>4601</v>
      </c>
      <c r="E4408" s="18" t="s">
        <v>3442</v>
      </c>
      <c r="F4408" s="17">
        <v>20</v>
      </c>
      <c r="G4408" s="18" t="s">
        <v>23</v>
      </c>
      <c r="H4408" s="17">
        <v>62.74</v>
      </c>
      <c r="I4408" s="15">
        <v>82.5</v>
      </c>
      <c r="J4408" s="21">
        <f t="shared" si="204"/>
        <v>0.31495058973541595</v>
      </c>
      <c r="K4408" s="1">
        <v>2</v>
      </c>
      <c r="L4408" s="24">
        <v>8.1999999999999993</v>
      </c>
      <c r="M4408" s="24">
        <v>74.25</v>
      </c>
      <c r="N4408" s="21">
        <f t="shared" si="205"/>
        <v>0.18345553076187437</v>
      </c>
      <c r="P4408" s="1">
        <v>4</v>
      </c>
      <c r="Q4408" s="24">
        <v>9.9000000000000057</v>
      </c>
      <c r="R4408" s="24">
        <v>72.599999999999994</v>
      </c>
      <c r="S4408" s="21">
        <f t="shared" si="206"/>
        <v>0.15715651896716595</v>
      </c>
    </row>
    <row r="4409" spans="2:19" ht="11.4" customHeight="1" x14ac:dyDescent="0.2">
      <c r="B4409" s="24"/>
      <c r="C4409" s="14">
        <v>38807</v>
      </c>
      <c r="D4409" s="18" t="s">
        <v>4602</v>
      </c>
      <c r="E4409" s="18" t="s">
        <v>3442</v>
      </c>
      <c r="F4409" s="17">
        <v>25</v>
      </c>
      <c r="G4409" s="18" t="s">
        <v>23</v>
      </c>
      <c r="H4409" s="17">
        <v>44.08</v>
      </c>
      <c r="I4409" s="15">
        <v>52.9</v>
      </c>
      <c r="J4409" s="21">
        <f t="shared" si="204"/>
        <v>0.20009074410163341</v>
      </c>
      <c r="K4409" s="1">
        <v>2</v>
      </c>
      <c r="L4409" s="24">
        <v>5.2</v>
      </c>
      <c r="M4409" s="24">
        <v>47.61</v>
      </c>
      <c r="N4409" s="21">
        <f t="shared" si="205"/>
        <v>8.0081669691470084E-2</v>
      </c>
      <c r="P4409" s="1">
        <v>4</v>
      </c>
      <c r="Q4409" s="24">
        <v>6.347999999999999</v>
      </c>
      <c r="R4409" s="24">
        <v>46.552</v>
      </c>
      <c r="S4409" s="21">
        <f t="shared" si="206"/>
        <v>5.6079854809437418E-2</v>
      </c>
    </row>
    <row r="4410" spans="2:19" ht="11.4" customHeight="1" x14ac:dyDescent="0.2">
      <c r="B4410" s="24"/>
      <c r="C4410" s="14">
        <v>37995</v>
      </c>
      <c r="D4410" s="18" t="s">
        <v>4603</v>
      </c>
      <c r="E4410" s="18" t="s">
        <v>3442</v>
      </c>
      <c r="F4410" s="18"/>
      <c r="G4410" s="18" t="s">
        <v>23</v>
      </c>
      <c r="H4410" s="17">
        <v>33.54</v>
      </c>
      <c r="I4410" s="15">
        <v>55</v>
      </c>
      <c r="J4410" s="21">
        <f t="shared" si="204"/>
        <v>0.6398330351818724</v>
      </c>
      <c r="K4410" s="1">
        <v>2</v>
      </c>
      <c r="L4410" s="24">
        <v>5.5</v>
      </c>
      <c r="M4410" s="24">
        <v>49.5</v>
      </c>
      <c r="N4410" s="21">
        <f t="shared" si="205"/>
        <v>0.47584973166368522</v>
      </c>
      <c r="P4410" s="1">
        <v>4</v>
      </c>
      <c r="Q4410" s="24">
        <v>6.6000000000000014</v>
      </c>
      <c r="R4410" s="24">
        <v>48.4</v>
      </c>
      <c r="S4410" s="21">
        <f t="shared" si="206"/>
        <v>0.4430530709600477</v>
      </c>
    </row>
    <row r="4411" spans="2:19" ht="11.4" customHeight="1" x14ac:dyDescent="0.2">
      <c r="B4411" s="24"/>
      <c r="C4411" s="14">
        <v>47641</v>
      </c>
      <c r="D4411" s="18" t="s">
        <v>4604</v>
      </c>
      <c r="E4411" s="18" t="s">
        <v>3442</v>
      </c>
      <c r="F4411" s="17">
        <v>6</v>
      </c>
      <c r="G4411" s="18" t="s">
        <v>23</v>
      </c>
      <c r="H4411" s="19">
        <v>1009.68</v>
      </c>
      <c r="I4411" s="16">
        <v>1230</v>
      </c>
      <c r="J4411" s="21">
        <f t="shared" si="204"/>
        <v>0.21820774898977899</v>
      </c>
      <c r="K4411" s="1">
        <v>2</v>
      </c>
      <c r="L4411" s="24">
        <v>123</v>
      </c>
      <c r="M4411" s="24">
        <v>1107</v>
      </c>
      <c r="N4411" s="21">
        <f t="shared" si="205"/>
        <v>9.6386974090801103E-2</v>
      </c>
      <c r="P4411" s="1">
        <v>4</v>
      </c>
      <c r="Q4411" s="24">
        <v>147.59999999999991</v>
      </c>
      <c r="R4411" s="24">
        <v>1082.4000000000001</v>
      </c>
      <c r="S4411" s="21">
        <f t="shared" si="206"/>
        <v>7.2022819111005609E-2</v>
      </c>
    </row>
    <row r="4412" spans="2:19" ht="11.4" customHeight="1" x14ac:dyDescent="0.2">
      <c r="B4412" s="24"/>
      <c r="C4412" s="14">
        <v>38456</v>
      </c>
      <c r="D4412" s="18" t="s">
        <v>4605</v>
      </c>
      <c r="E4412" s="18" t="s">
        <v>3442</v>
      </c>
      <c r="F4412" s="17">
        <v>18</v>
      </c>
      <c r="G4412" s="18" t="s">
        <v>23</v>
      </c>
      <c r="H4412" s="17">
        <v>62.74</v>
      </c>
      <c r="I4412" s="15">
        <v>82.5</v>
      </c>
      <c r="J4412" s="21">
        <f t="shared" si="204"/>
        <v>0.31495058973541595</v>
      </c>
      <c r="K4412" s="1">
        <v>2</v>
      </c>
      <c r="L4412" s="24">
        <v>8.1999999999999993</v>
      </c>
      <c r="M4412" s="24">
        <v>74.25</v>
      </c>
      <c r="N4412" s="21">
        <f t="shared" si="205"/>
        <v>0.18345553076187437</v>
      </c>
      <c r="P4412" s="1">
        <v>4</v>
      </c>
      <c r="Q4412" s="24">
        <v>9.9000000000000057</v>
      </c>
      <c r="R4412" s="24">
        <v>72.599999999999994</v>
      </c>
      <c r="S4412" s="21">
        <f t="shared" si="206"/>
        <v>0.15715651896716595</v>
      </c>
    </row>
    <row r="4413" spans="2:19" ht="11.4" customHeight="1" x14ac:dyDescent="0.2">
      <c r="B4413" s="24"/>
      <c r="C4413" s="14">
        <v>38808</v>
      </c>
      <c r="D4413" s="18" t="s">
        <v>4606</v>
      </c>
      <c r="E4413" s="18" t="s">
        <v>3442</v>
      </c>
      <c r="F4413" s="17">
        <v>25</v>
      </c>
      <c r="G4413" s="18" t="s">
        <v>23</v>
      </c>
      <c r="H4413" s="17">
        <v>44.08</v>
      </c>
      <c r="I4413" s="15">
        <v>52.9</v>
      </c>
      <c r="J4413" s="21">
        <f t="shared" si="204"/>
        <v>0.20009074410163341</v>
      </c>
      <c r="K4413" s="1">
        <v>2</v>
      </c>
      <c r="L4413" s="24">
        <v>5.2</v>
      </c>
      <c r="M4413" s="24">
        <v>47.61</v>
      </c>
      <c r="N4413" s="21">
        <f t="shared" si="205"/>
        <v>8.0081669691470084E-2</v>
      </c>
      <c r="P4413" s="1">
        <v>4</v>
      </c>
      <c r="Q4413" s="24">
        <v>6.347999999999999</v>
      </c>
      <c r="R4413" s="24">
        <v>46.552</v>
      </c>
      <c r="S4413" s="21">
        <f t="shared" si="206"/>
        <v>5.6079854809437418E-2</v>
      </c>
    </row>
    <row r="4414" spans="2:19" ht="11.4" customHeight="1" x14ac:dyDescent="0.2">
      <c r="B4414" s="24"/>
      <c r="C4414" s="14">
        <v>9435</v>
      </c>
      <c r="D4414" s="18" t="s">
        <v>4607</v>
      </c>
      <c r="E4414" s="18" t="s">
        <v>3442</v>
      </c>
      <c r="F4414" s="17">
        <v>12</v>
      </c>
      <c r="G4414" s="18" t="s">
        <v>23</v>
      </c>
      <c r="H4414" s="17">
        <v>176.25</v>
      </c>
      <c r="I4414" s="15">
        <v>232.9</v>
      </c>
      <c r="J4414" s="21">
        <f t="shared" si="204"/>
        <v>0.32141843971631207</v>
      </c>
      <c r="K4414" s="1">
        <v>2</v>
      </c>
      <c r="L4414" s="24">
        <v>23.2</v>
      </c>
      <c r="M4414" s="24">
        <v>209.61</v>
      </c>
      <c r="N4414" s="21">
        <f t="shared" si="205"/>
        <v>0.18927659574468092</v>
      </c>
      <c r="P4414" s="1">
        <v>4</v>
      </c>
      <c r="Q4414" s="24">
        <v>27.948000000000008</v>
      </c>
      <c r="R4414" s="24">
        <v>204.952</v>
      </c>
      <c r="S4414" s="21">
        <f t="shared" si="206"/>
        <v>0.16284822695035461</v>
      </c>
    </row>
    <row r="4415" spans="2:19" ht="11.4" customHeight="1" x14ac:dyDescent="0.2">
      <c r="B4415" s="24"/>
      <c r="C4415" s="14">
        <v>24644</v>
      </c>
      <c r="D4415" s="18" t="s">
        <v>4608</v>
      </c>
      <c r="E4415" s="18" t="s">
        <v>3442</v>
      </c>
      <c r="F4415" s="17">
        <v>18</v>
      </c>
      <c r="G4415" s="18" t="s">
        <v>23</v>
      </c>
      <c r="H4415" s="17">
        <v>70.75</v>
      </c>
      <c r="I4415" s="15">
        <v>84.9</v>
      </c>
      <c r="J4415" s="21">
        <f t="shared" si="204"/>
        <v>0.20000000000000007</v>
      </c>
      <c r="K4415" s="1">
        <v>2</v>
      </c>
      <c r="L4415" s="24">
        <v>8.4</v>
      </c>
      <c r="M4415" s="24">
        <v>76.410000000000011</v>
      </c>
      <c r="N4415" s="21">
        <f t="shared" si="205"/>
        <v>8.0000000000000154E-2</v>
      </c>
      <c r="P4415" s="1">
        <v>4</v>
      </c>
      <c r="Q4415" s="24">
        <v>10.188000000000002</v>
      </c>
      <c r="R4415" s="24">
        <v>74.712000000000003</v>
      </c>
      <c r="S4415" s="21">
        <f t="shared" si="206"/>
        <v>5.600000000000005E-2</v>
      </c>
    </row>
    <row r="4416" spans="2:19" ht="11.4" customHeight="1" x14ac:dyDescent="0.2">
      <c r="B4416" s="24"/>
      <c r="C4416" s="14">
        <v>25768</v>
      </c>
      <c r="D4416" s="18" t="s">
        <v>4609</v>
      </c>
      <c r="E4416" s="18" t="s">
        <v>3442</v>
      </c>
      <c r="F4416" s="17">
        <v>12</v>
      </c>
      <c r="G4416" s="18" t="s">
        <v>23</v>
      </c>
      <c r="H4416" s="17">
        <v>88.08</v>
      </c>
      <c r="I4416" s="15">
        <v>111</v>
      </c>
      <c r="J4416" s="21">
        <f t="shared" si="204"/>
        <v>0.26021798365122617</v>
      </c>
      <c r="K4416" s="1">
        <v>2</v>
      </c>
      <c r="L4416" s="24">
        <v>11.1</v>
      </c>
      <c r="M4416" s="24">
        <v>99.9</v>
      </c>
      <c r="N4416" s="21">
        <f t="shared" si="205"/>
        <v>0.13419618528610364</v>
      </c>
      <c r="P4416" s="1">
        <v>4</v>
      </c>
      <c r="Q4416" s="24">
        <v>13.319999999999993</v>
      </c>
      <c r="R4416" s="24">
        <v>97.68</v>
      </c>
      <c r="S4416" s="21">
        <f t="shared" si="206"/>
        <v>0.10899182561307912</v>
      </c>
    </row>
    <row r="4417" spans="2:19" ht="11.4" customHeight="1" x14ac:dyDescent="0.2">
      <c r="B4417" s="24"/>
      <c r="C4417" s="14">
        <v>7245</v>
      </c>
      <c r="D4417" s="18" t="s">
        <v>4610</v>
      </c>
      <c r="E4417" s="18" t="s">
        <v>3324</v>
      </c>
      <c r="F4417" s="17">
        <v>14</v>
      </c>
      <c r="G4417" s="18" t="s">
        <v>23</v>
      </c>
      <c r="H4417" s="17">
        <v>22.62</v>
      </c>
      <c r="I4417" s="15">
        <v>28.9</v>
      </c>
      <c r="J4417" s="21">
        <f t="shared" si="204"/>
        <v>0.27763041556144991</v>
      </c>
      <c r="K4417" s="1">
        <v>2</v>
      </c>
      <c r="L4417" s="24">
        <v>2.8</v>
      </c>
      <c r="M4417" s="24">
        <v>26.009999999999998</v>
      </c>
      <c r="N4417" s="21">
        <f t="shared" si="205"/>
        <v>0.14986737400530489</v>
      </c>
      <c r="P4417" s="1">
        <v>4</v>
      </c>
      <c r="Q4417" s="24">
        <v>3.468</v>
      </c>
      <c r="R4417" s="24">
        <v>25.431999999999999</v>
      </c>
      <c r="S4417" s="21">
        <f t="shared" si="206"/>
        <v>0.12431476569407593</v>
      </c>
    </row>
    <row r="4418" spans="2:19" ht="11.4" customHeight="1" x14ac:dyDescent="0.2">
      <c r="B4418" s="24"/>
      <c r="C4418" s="14">
        <v>43800</v>
      </c>
      <c r="D4418" s="18" t="s">
        <v>4611</v>
      </c>
      <c r="E4418" s="18" t="s">
        <v>3442</v>
      </c>
      <c r="F4418" s="18"/>
      <c r="G4418" s="18" t="s">
        <v>23</v>
      </c>
      <c r="H4418" s="17">
        <v>149.56</v>
      </c>
      <c r="I4418" s="15">
        <v>196.7</v>
      </c>
      <c r="J4418" s="21">
        <f t="shared" si="204"/>
        <v>0.31519122760096274</v>
      </c>
      <c r="K4418" s="1">
        <v>2</v>
      </c>
      <c r="L4418" s="24">
        <v>19.600000000000001</v>
      </c>
      <c r="M4418" s="24">
        <v>177.03</v>
      </c>
      <c r="N4418" s="21">
        <f t="shared" si="205"/>
        <v>0.18367210484086652</v>
      </c>
      <c r="P4418" s="1">
        <v>4</v>
      </c>
      <c r="Q4418" s="24">
        <v>23.603999999999985</v>
      </c>
      <c r="R4418" s="24">
        <v>173.096</v>
      </c>
      <c r="S4418" s="21">
        <f t="shared" si="206"/>
        <v>0.15736828028884728</v>
      </c>
    </row>
    <row r="4419" spans="2:19" ht="11.4" customHeight="1" x14ac:dyDescent="0.2">
      <c r="B4419" s="24"/>
      <c r="C4419" s="14">
        <v>42571</v>
      </c>
      <c r="D4419" s="18" t="s">
        <v>4612</v>
      </c>
      <c r="E4419" s="18" t="s">
        <v>3442</v>
      </c>
      <c r="F4419" s="17">
        <v>12</v>
      </c>
      <c r="G4419" s="18" t="s">
        <v>23</v>
      </c>
      <c r="H4419" s="17">
        <v>99.92</v>
      </c>
      <c r="I4419" s="15">
        <v>119.9</v>
      </c>
      <c r="J4419" s="21">
        <f t="shared" ref="J4419:J4482" si="207">(I4419-H4419)/H4419</f>
        <v>0.19995996797437954</v>
      </c>
      <c r="K4419" s="1">
        <v>2</v>
      </c>
      <c r="L4419" s="24">
        <v>11.9</v>
      </c>
      <c r="M4419" s="24">
        <v>107.91000000000001</v>
      </c>
      <c r="N4419" s="21">
        <f t="shared" ref="N4419:N4482" si="208">(M4419-H4419)/H4419</f>
        <v>7.9963971176941637E-2</v>
      </c>
      <c r="P4419" s="1">
        <v>4</v>
      </c>
      <c r="Q4419" s="24">
        <v>14.388000000000005</v>
      </c>
      <c r="R4419" s="24">
        <v>105.512</v>
      </c>
      <c r="S4419" s="21">
        <f t="shared" ref="S4419:S4482" si="209">(R4419-H4419)/H4419</f>
        <v>5.5964771817453948E-2</v>
      </c>
    </row>
    <row r="4420" spans="2:19" ht="11.4" customHeight="1" x14ac:dyDescent="0.2">
      <c r="B4420" s="24"/>
      <c r="C4420" s="14">
        <v>9441</v>
      </c>
      <c r="D4420" s="18" t="s">
        <v>4613</v>
      </c>
      <c r="E4420" s="18" t="s">
        <v>3442</v>
      </c>
      <c r="F4420" s="17">
        <v>12</v>
      </c>
      <c r="G4420" s="18" t="s">
        <v>23</v>
      </c>
      <c r="H4420" s="17">
        <v>149.56</v>
      </c>
      <c r="I4420" s="15">
        <v>196.7</v>
      </c>
      <c r="J4420" s="21">
        <f t="shared" si="207"/>
        <v>0.31519122760096274</v>
      </c>
      <c r="K4420" s="1">
        <v>2</v>
      </c>
      <c r="L4420" s="24">
        <v>19.600000000000001</v>
      </c>
      <c r="M4420" s="24">
        <v>177.03</v>
      </c>
      <c r="N4420" s="21">
        <f t="shared" si="208"/>
        <v>0.18367210484086652</v>
      </c>
      <c r="P4420" s="1">
        <v>4</v>
      </c>
      <c r="Q4420" s="24">
        <v>23.603999999999985</v>
      </c>
      <c r="R4420" s="24">
        <v>173.096</v>
      </c>
      <c r="S4420" s="21">
        <f t="shared" si="209"/>
        <v>0.15736828028884728</v>
      </c>
    </row>
    <row r="4421" spans="2:19" ht="11.4" customHeight="1" x14ac:dyDescent="0.2">
      <c r="B4421" s="24"/>
      <c r="C4421" s="14">
        <v>34626</v>
      </c>
      <c r="D4421" s="18" t="s">
        <v>4614</v>
      </c>
      <c r="E4421" s="18" t="s">
        <v>3442</v>
      </c>
      <c r="F4421" s="17">
        <v>24</v>
      </c>
      <c r="G4421" s="18" t="s">
        <v>23</v>
      </c>
      <c r="H4421" s="17">
        <v>51.75</v>
      </c>
      <c r="I4421" s="15">
        <v>67.900000000000006</v>
      </c>
      <c r="J4421" s="21">
        <f t="shared" si="207"/>
        <v>0.31207729468599044</v>
      </c>
      <c r="K4421" s="1">
        <v>2</v>
      </c>
      <c r="L4421" s="24">
        <v>6.7</v>
      </c>
      <c r="M4421" s="24">
        <v>61.110000000000007</v>
      </c>
      <c r="N4421" s="21">
        <f t="shared" si="208"/>
        <v>0.18086956521739142</v>
      </c>
      <c r="P4421" s="1">
        <v>4</v>
      </c>
      <c r="Q4421" s="24">
        <v>8.1480000000000032</v>
      </c>
      <c r="R4421" s="24">
        <v>59.752000000000002</v>
      </c>
      <c r="S4421" s="21">
        <f t="shared" si="209"/>
        <v>0.15462801932367154</v>
      </c>
    </row>
    <row r="4422" spans="2:19" ht="11.4" customHeight="1" x14ac:dyDescent="0.2">
      <c r="B4422" s="24"/>
      <c r="C4422" s="14">
        <v>37617</v>
      </c>
      <c r="D4422" s="18" t="s">
        <v>4615</v>
      </c>
      <c r="E4422" s="18" t="s">
        <v>3442</v>
      </c>
      <c r="F4422" s="17">
        <v>18</v>
      </c>
      <c r="G4422" s="18" t="s">
        <v>23</v>
      </c>
      <c r="H4422" s="17">
        <v>47</v>
      </c>
      <c r="I4422" s="15">
        <v>43.9</v>
      </c>
      <c r="J4422" s="21">
        <f t="shared" si="207"/>
        <v>-6.5957446808510664E-2</v>
      </c>
      <c r="K4422" s="1">
        <v>2</v>
      </c>
      <c r="L4422" s="24">
        <v>4.3</v>
      </c>
      <c r="M4422" s="24">
        <v>39.51</v>
      </c>
      <c r="N4422" s="21">
        <f t="shared" si="208"/>
        <v>-0.15936170212765963</v>
      </c>
      <c r="P4422" s="1">
        <v>4</v>
      </c>
      <c r="Q4422" s="24">
        <v>5.2680000000000007</v>
      </c>
      <c r="R4422" s="24">
        <v>38.631999999999998</v>
      </c>
      <c r="S4422" s="21">
        <f t="shared" si="209"/>
        <v>-0.1780425531914894</v>
      </c>
    </row>
    <row r="4423" spans="2:19" ht="11.4" customHeight="1" x14ac:dyDescent="0.2">
      <c r="B4423" s="24"/>
      <c r="C4423" s="14">
        <v>25767</v>
      </c>
      <c r="D4423" s="18" t="s">
        <v>4616</v>
      </c>
      <c r="E4423" s="18" t="s">
        <v>3442</v>
      </c>
      <c r="F4423" s="17">
        <v>12</v>
      </c>
      <c r="G4423" s="18" t="s">
        <v>23</v>
      </c>
      <c r="H4423" s="17">
        <v>88.08</v>
      </c>
      <c r="I4423" s="15">
        <v>111</v>
      </c>
      <c r="J4423" s="21">
        <f t="shared" si="207"/>
        <v>0.26021798365122617</v>
      </c>
      <c r="K4423" s="1">
        <v>2</v>
      </c>
      <c r="L4423" s="24">
        <v>11.1</v>
      </c>
      <c r="M4423" s="24">
        <v>99.9</v>
      </c>
      <c r="N4423" s="21">
        <f t="shared" si="208"/>
        <v>0.13419618528610364</v>
      </c>
      <c r="P4423" s="1">
        <v>4</v>
      </c>
      <c r="Q4423" s="24">
        <v>13.319999999999993</v>
      </c>
      <c r="R4423" s="24">
        <v>97.68</v>
      </c>
      <c r="S4423" s="21">
        <f t="shared" si="209"/>
        <v>0.10899182561307912</v>
      </c>
    </row>
    <row r="4424" spans="2:19" ht="11.4" customHeight="1" x14ac:dyDescent="0.2">
      <c r="B4424" s="24"/>
      <c r="C4424" s="14">
        <v>35502</v>
      </c>
      <c r="D4424" s="18" t="s">
        <v>4617</v>
      </c>
      <c r="E4424" s="18" t="s">
        <v>3442</v>
      </c>
      <c r="F4424" s="18"/>
      <c r="G4424" s="18" t="s">
        <v>23</v>
      </c>
      <c r="H4424" s="17">
        <v>39.9</v>
      </c>
      <c r="I4424" s="15">
        <v>62.9</v>
      </c>
      <c r="J4424" s="21">
        <f t="shared" si="207"/>
        <v>0.5764411027568922</v>
      </c>
      <c r="K4424" s="1">
        <v>2</v>
      </c>
      <c r="L4424" s="24">
        <v>6.2</v>
      </c>
      <c r="M4424" s="24">
        <v>56.61</v>
      </c>
      <c r="N4424" s="21">
        <f t="shared" si="208"/>
        <v>0.41879699248120306</v>
      </c>
      <c r="P4424" s="1">
        <v>4</v>
      </c>
      <c r="Q4424" s="24">
        <v>7.5480000000000018</v>
      </c>
      <c r="R4424" s="24">
        <v>55.351999999999997</v>
      </c>
      <c r="S4424" s="21">
        <f t="shared" si="209"/>
        <v>0.38726817042606515</v>
      </c>
    </row>
    <row r="4425" spans="2:19" ht="11.4" customHeight="1" x14ac:dyDescent="0.2">
      <c r="B4425" s="24"/>
      <c r="C4425" s="14">
        <v>33389</v>
      </c>
      <c r="D4425" s="18" t="s">
        <v>4618</v>
      </c>
      <c r="E4425" s="18" t="s">
        <v>3442</v>
      </c>
      <c r="F4425" s="18"/>
      <c r="G4425" s="18" t="s">
        <v>23</v>
      </c>
      <c r="H4425" s="17">
        <v>185</v>
      </c>
      <c r="I4425" s="15">
        <v>279.89999999999998</v>
      </c>
      <c r="J4425" s="21">
        <f t="shared" si="207"/>
        <v>0.51297297297297284</v>
      </c>
      <c r="K4425" s="1">
        <v>2</v>
      </c>
      <c r="L4425" s="24">
        <v>27.9</v>
      </c>
      <c r="M4425" s="24">
        <v>251.91</v>
      </c>
      <c r="N4425" s="21">
        <f t="shared" si="208"/>
        <v>0.36167567567567566</v>
      </c>
      <c r="P4425" s="1">
        <v>4</v>
      </c>
      <c r="Q4425" s="24">
        <v>33.587999999999994</v>
      </c>
      <c r="R4425" s="24">
        <v>246.31199999999998</v>
      </c>
      <c r="S4425" s="21">
        <f t="shared" si="209"/>
        <v>0.33141621621621614</v>
      </c>
    </row>
    <row r="4426" spans="2:19" ht="11.4" customHeight="1" x14ac:dyDescent="0.2">
      <c r="B4426" s="24"/>
      <c r="C4426" s="14">
        <v>4968</v>
      </c>
      <c r="D4426" s="18" t="s">
        <v>4619</v>
      </c>
      <c r="E4426" s="18" t="s">
        <v>3442</v>
      </c>
      <c r="F4426" s="17">
        <v>20</v>
      </c>
      <c r="G4426" s="18" t="s">
        <v>23</v>
      </c>
      <c r="H4426" s="17">
        <v>37.5</v>
      </c>
      <c r="I4426" s="15">
        <v>45.5</v>
      </c>
      <c r="J4426" s="21">
        <f t="shared" si="207"/>
        <v>0.21333333333333335</v>
      </c>
      <c r="K4426" s="1">
        <v>2</v>
      </c>
      <c r="L4426" s="24">
        <v>4.5</v>
      </c>
      <c r="M4426" s="24">
        <v>40.950000000000003</v>
      </c>
      <c r="N4426" s="21">
        <f t="shared" si="208"/>
        <v>9.2000000000000082E-2</v>
      </c>
      <c r="P4426" s="1">
        <v>4</v>
      </c>
      <c r="Q4426" s="24">
        <v>5.4600000000000009</v>
      </c>
      <c r="R4426" s="24">
        <v>40.04</v>
      </c>
      <c r="S4426" s="21">
        <f t="shared" si="209"/>
        <v>6.7733333333333312E-2</v>
      </c>
    </row>
    <row r="4427" spans="2:19" ht="11.4" customHeight="1" x14ac:dyDescent="0.2">
      <c r="B4427" s="24"/>
      <c r="C4427" s="14">
        <v>4969</v>
      </c>
      <c r="D4427" s="18" t="s">
        <v>4620</v>
      </c>
      <c r="E4427" s="18" t="s">
        <v>3442</v>
      </c>
      <c r="F4427" s="17">
        <v>10</v>
      </c>
      <c r="G4427" s="18" t="s">
        <v>23</v>
      </c>
      <c r="H4427" s="17">
        <v>68.5</v>
      </c>
      <c r="I4427" s="15">
        <v>83.9</v>
      </c>
      <c r="J4427" s="21">
        <f t="shared" si="207"/>
        <v>0.22481751824817525</v>
      </c>
      <c r="K4427" s="1">
        <v>2</v>
      </c>
      <c r="L4427" s="24">
        <v>8.3000000000000007</v>
      </c>
      <c r="M4427" s="24">
        <v>75.510000000000005</v>
      </c>
      <c r="N4427" s="21">
        <f t="shared" si="208"/>
        <v>0.10233576642335773</v>
      </c>
      <c r="P4427" s="1">
        <v>4</v>
      </c>
      <c r="Q4427" s="24">
        <v>10.067999999999998</v>
      </c>
      <c r="R4427" s="24">
        <v>73.832000000000008</v>
      </c>
      <c r="S4427" s="21">
        <f t="shared" si="209"/>
        <v>7.783941605839427E-2</v>
      </c>
    </row>
    <row r="4428" spans="2:19" ht="11.4" customHeight="1" x14ac:dyDescent="0.2">
      <c r="B4428" s="24"/>
      <c r="C4428" s="14">
        <v>14757</v>
      </c>
      <c r="D4428" s="18" t="s">
        <v>4621</v>
      </c>
      <c r="E4428" s="18" t="s">
        <v>3442</v>
      </c>
      <c r="F4428" s="17">
        <v>24</v>
      </c>
      <c r="G4428" s="18" t="s">
        <v>23</v>
      </c>
      <c r="H4428" s="17">
        <v>51.75</v>
      </c>
      <c r="I4428" s="15">
        <v>67.900000000000006</v>
      </c>
      <c r="J4428" s="21">
        <f t="shared" si="207"/>
        <v>0.31207729468599044</v>
      </c>
      <c r="K4428" s="1">
        <v>2</v>
      </c>
      <c r="L4428" s="24">
        <v>6.7</v>
      </c>
      <c r="M4428" s="24">
        <v>61.110000000000007</v>
      </c>
      <c r="N4428" s="21">
        <f t="shared" si="208"/>
        <v>0.18086956521739142</v>
      </c>
      <c r="P4428" s="1">
        <v>4</v>
      </c>
      <c r="Q4428" s="24">
        <v>8.1480000000000032</v>
      </c>
      <c r="R4428" s="24">
        <v>59.752000000000002</v>
      </c>
      <c r="S4428" s="21">
        <f t="shared" si="209"/>
        <v>0.15462801932367154</v>
      </c>
    </row>
    <row r="4429" spans="2:19" ht="11.4" customHeight="1" x14ac:dyDescent="0.2">
      <c r="B4429" s="24"/>
      <c r="C4429" s="14">
        <v>37612</v>
      </c>
      <c r="D4429" s="18" t="s">
        <v>4622</v>
      </c>
      <c r="E4429" s="18" t="s">
        <v>3442</v>
      </c>
      <c r="F4429" s="17">
        <v>22</v>
      </c>
      <c r="G4429" s="18" t="s">
        <v>23</v>
      </c>
      <c r="H4429" s="17">
        <v>41.58</v>
      </c>
      <c r="I4429" s="15">
        <v>49.9</v>
      </c>
      <c r="J4429" s="21">
        <f t="shared" si="207"/>
        <v>0.20009620009620011</v>
      </c>
      <c r="K4429" s="1">
        <v>2</v>
      </c>
      <c r="L4429" s="24">
        <v>4.9000000000000004</v>
      </c>
      <c r="M4429" s="24">
        <v>44.91</v>
      </c>
      <c r="N4429" s="21">
        <f t="shared" si="208"/>
        <v>8.0086580086580053E-2</v>
      </c>
      <c r="P4429" s="1">
        <v>4</v>
      </c>
      <c r="Q4429" s="24">
        <v>5.9879999999999995</v>
      </c>
      <c r="R4429" s="24">
        <v>43.911999999999999</v>
      </c>
      <c r="S4429" s="21">
        <f t="shared" si="209"/>
        <v>5.6084656084656105E-2</v>
      </c>
    </row>
    <row r="4430" spans="2:19" ht="11.4" customHeight="1" x14ac:dyDescent="0.2">
      <c r="B4430" s="24"/>
      <c r="C4430" s="14">
        <v>5349</v>
      </c>
      <c r="D4430" s="18" t="s">
        <v>4623</v>
      </c>
      <c r="E4430" s="18" t="s">
        <v>3442</v>
      </c>
      <c r="F4430" s="17">
        <v>16</v>
      </c>
      <c r="G4430" s="18" t="s">
        <v>23</v>
      </c>
      <c r="H4430" s="17">
        <v>142.72</v>
      </c>
      <c r="I4430" s="15">
        <v>177.3</v>
      </c>
      <c r="J4430" s="21">
        <f t="shared" si="207"/>
        <v>0.24229260089686108</v>
      </c>
      <c r="K4430" s="1">
        <v>2</v>
      </c>
      <c r="L4430" s="24">
        <v>17.7</v>
      </c>
      <c r="M4430" s="24">
        <v>159.57000000000002</v>
      </c>
      <c r="N4430" s="21">
        <f t="shared" si="208"/>
        <v>0.11806334080717505</v>
      </c>
      <c r="P4430" s="1">
        <v>4</v>
      </c>
      <c r="Q4430" s="24">
        <v>21.27600000000001</v>
      </c>
      <c r="R4430" s="24">
        <v>156.024</v>
      </c>
      <c r="S4430" s="21">
        <f t="shared" si="209"/>
        <v>9.3217488789237676E-2</v>
      </c>
    </row>
    <row r="4431" spans="2:19" ht="11.4" customHeight="1" x14ac:dyDescent="0.2">
      <c r="B4431" s="24"/>
      <c r="C4431" s="14">
        <v>33391</v>
      </c>
      <c r="D4431" s="18" t="s">
        <v>4624</v>
      </c>
      <c r="E4431" s="18" t="s">
        <v>3442</v>
      </c>
      <c r="F4431" s="18"/>
      <c r="G4431" s="18" t="s">
        <v>23</v>
      </c>
      <c r="H4431" s="17">
        <v>174.5</v>
      </c>
      <c r="I4431" s="15">
        <v>209.9</v>
      </c>
      <c r="J4431" s="21">
        <f t="shared" si="207"/>
        <v>0.20286532951289402</v>
      </c>
      <c r="K4431" s="1">
        <v>2</v>
      </c>
      <c r="L4431" s="24">
        <v>20.9</v>
      </c>
      <c r="M4431" s="24">
        <v>188.91</v>
      </c>
      <c r="N4431" s="21">
        <f t="shared" si="208"/>
        <v>8.2578796561604564E-2</v>
      </c>
      <c r="P4431" s="1">
        <v>4</v>
      </c>
      <c r="Q4431" s="24">
        <v>25.187999999999988</v>
      </c>
      <c r="R4431" s="24">
        <v>184.71200000000002</v>
      </c>
      <c r="S4431" s="21">
        <f t="shared" si="209"/>
        <v>5.8521489971346805E-2</v>
      </c>
    </row>
    <row r="4432" spans="2:19" ht="11.4" customHeight="1" x14ac:dyDescent="0.2">
      <c r="B4432" s="24"/>
      <c r="C4432" s="14">
        <v>42773</v>
      </c>
      <c r="D4432" s="18" t="s">
        <v>4625</v>
      </c>
      <c r="E4432" s="18" t="s">
        <v>3442</v>
      </c>
      <c r="F4432" s="17">
        <v>10</v>
      </c>
      <c r="G4432" s="18" t="s">
        <v>23</v>
      </c>
      <c r="H4432" s="17">
        <v>108.36</v>
      </c>
      <c r="I4432" s="15">
        <v>146.9</v>
      </c>
      <c r="J4432" s="21">
        <f t="shared" si="207"/>
        <v>0.35566629752676271</v>
      </c>
      <c r="K4432" s="1">
        <v>2</v>
      </c>
      <c r="L4432" s="24">
        <v>14.6</v>
      </c>
      <c r="M4432" s="24">
        <v>132.21</v>
      </c>
      <c r="N4432" s="21">
        <f t="shared" si="208"/>
        <v>0.22009966777408646</v>
      </c>
      <c r="P4432" s="1">
        <v>4</v>
      </c>
      <c r="Q4432" s="24">
        <v>17.627999999999986</v>
      </c>
      <c r="R4432" s="24">
        <v>129.27200000000002</v>
      </c>
      <c r="S4432" s="21">
        <f t="shared" si="209"/>
        <v>0.19298634182355132</v>
      </c>
    </row>
    <row r="4433" spans="2:19" ht="11.4" customHeight="1" x14ac:dyDescent="0.2">
      <c r="B4433" s="24"/>
      <c r="C4433" s="14">
        <v>14293</v>
      </c>
      <c r="D4433" s="18" t="s">
        <v>4626</v>
      </c>
      <c r="E4433" s="18" t="s">
        <v>3442</v>
      </c>
      <c r="F4433" s="17">
        <v>20</v>
      </c>
      <c r="G4433" s="18" t="s">
        <v>23</v>
      </c>
      <c r="H4433" s="17">
        <v>79.98</v>
      </c>
      <c r="I4433" s="15">
        <v>99.9</v>
      </c>
      <c r="J4433" s="21">
        <f t="shared" si="207"/>
        <v>0.24906226556639161</v>
      </c>
      <c r="K4433" s="1">
        <v>2</v>
      </c>
      <c r="L4433" s="24">
        <v>9.9</v>
      </c>
      <c r="M4433" s="24">
        <v>89.910000000000011</v>
      </c>
      <c r="N4433" s="21">
        <f t="shared" si="208"/>
        <v>0.12415603900975251</v>
      </c>
      <c r="P4433" s="1">
        <v>4</v>
      </c>
      <c r="Q4433" s="24">
        <v>11.988</v>
      </c>
      <c r="R4433" s="24">
        <v>87.912000000000006</v>
      </c>
      <c r="S4433" s="21">
        <f t="shared" si="209"/>
        <v>9.9174793698424635E-2</v>
      </c>
    </row>
    <row r="4434" spans="2:19" ht="11.4" customHeight="1" x14ac:dyDescent="0.2">
      <c r="B4434" s="24"/>
      <c r="C4434" s="14">
        <v>19370</v>
      </c>
      <c r="D4434" s="18" t="s">
        <v>4627</v>
      </c>
      <c r="E4434" s="18" t="s">
        <v>3442</v>
      </c>
      <c r="F4434" s="17">
        <v>21</v>
      </c>
      <c r="G4434" s="18" t="s">
        <v>23</v>
      </c>
      <c r="H4434" s="17">
        <v>41.76</v>
      </c>
      <c r="I4434" s="15">
        <v>54.9</v>
      </c>
      <c r="J4434" s="21">
        <f t="shared" si="207"/>
        <v>0.31465517241379315</v>
      </c>
      <c r="K4434" s="1">
        <v>2</v>
      </c>
      <c r="L4434" s="24">
        <v>5.4</v>
      </c>
      <c r="M4434" s="24">
        <v>49.41</v>
      </c>
      <c r="N4434" s="21">
        <f t="shared" si="208"/>
        <v>0.18318965517241376</v>
      </c>
      <c r="P4434" s="1">
        <v>4</v>
      </c>
      <c r="Q4434" s="24">
        <v>6.588000000000001</v>
      </c>
      <c r="R4434" s="24">
        <v>48.311999999999998</v>
      </c>
      <c r="S4434" s="21">
        <f t="shared" si="209"/>
        <v>0.15689655172413794</v>
      </c>
    </row>
    <row r="4435" spans="2:19" ht="11.4" customHeight="1" x14ac:dyDescent="0.2">
      <c r="B4435" s="24"/>
      <c r="C4435" s="14">
        <v>17073</v>
      </c>
      <c r="D4435" s="18" t="s">
        <v>4628</v>
      </c>
      <c r="E4435" s="18" t="s">
        <v>3442</v>
      </c>
      <c r="F4435" s="17">
        <v>15</v>
      </c>
      <c r="G4435" s="18" t="s">
        <v>23</v>
      </c>
      <c r="H4435" s="17">
        <v>61.9</v>
      </c>
      <c r="I4435" s="15">
        <v>62.9</v>
      </c>
      <c r="J4435" s="21">
        <f t="shared" si="207"/>
        <v>1.6155088852988692E-2</v>
      </c>
      <c r="K4435" s="1">
        <v>2</v>
      </c>
      <c r="L4435" s="24">
        <v>6.2</v>
      </c>
      <c r="M4435" s="24">
        <v>56.61</v>
      </c>
      <c r="N4435" s="21">
        <f t="shared" si="208"/>
        <v>-8.5460420032310164E-2</v>
      </c>
      <c r="P4435" s="1">
        <v>4</v>
      </c>
      <c r="Q4435" s="24">
        <v>7.5480000000000018</v>
      </c>
      <c r="R4435" s="24">
        <v>55.351999999999997</v>
      </c>
      <c r="S4435" s="21">
        <f t="shared" si="209"/>
        <v>-0.10578352180936998</v>
      </c>
    </row>
    <row r="4436" spans="2:19" ht="11.4" customHeight="1" x14ac:dyDescent="0.2">
      <c r="B4436" s="24"/>
      <c r="C4436" s="14">
        <v>34628</v>
      </c>
      <c r="D4436" s="18" t="s">
        <v>4629</v>
      </c>
      <c r="E4436" s="18" t="s">
        <v>3442</v>
      </c>
      <c r="F4436" s="17">
        <v>12</v>
      </c>
      <c r="G4436" s="18" t="s">
        <v>23</v>
      </c>
      <c r="H4436" s="17">
        <v>143.6</v>
      </c>
      <c r="I4436" s="15">
        <v>196.7</v>
      </c>
      <c r="J4436" s="21">
        <f t="shared" si="207"/>
        <v>0.36977715877437323</v>
      </c>
      <c r="K4436" s="1">
        <v>2</v>
      </c>
      <c r="L4436" s="24">
        <v>19.600000000000001</v>
      </c>
      <c r="M4436" s="24">
        <v>177.03</v>
      </c>
      <c r="N4436" s="21">
        <f t="shared" si="208"/>
        <v>0.23279944289693599</v>
      </c>
      <c r="P4436" s="1">
        <v>4</v>
      </c>
      <c r="Q4436" s="24">
        <v>23.603999999999985</v>
      </c>
      <c r="R4436" s="24">
        <v>173.096</v>
      </c>
      <c r="S4436" s="21">
        <f t="shared" si="209"/>
        <v>0.20540389972144854</v>
      </c>
    </row>
    <row r="4437" spans="2:19" ht="11.4" customHeight="1" x14ac:dyDescent="0.2">
      <c r="B4437" s="24"/>
      <c r="C4437" s="14">
        <v>42574</v>
      </c>
      <c r="D4437" s="18" t="s">
        <v>4630</v>
      </c>
      <c r="E4437" s="18" t="s">
        <v>3442</v>
      </c>
      <c r="F4437" s="17">
        <v>12</v>
      </c>
      <c r="G4437" s="18" t="s">
        <v>23</v>
      </c>
      <c r="H4437" s="17">
        <v>99.92</v>
      </c>
      <c r="I4437" s="15">
        <v>119.9</v>
      </c>
      <c r="J4437" s="21">
        <f t="shared" si="207"/>
        <v>0.19995996797437954</v>
      </c>
      <c r="K4437" s="1">
        <v>2</v>
      </c>
      <c r="L4437" s="24">
        <v>11.9</v>
      </c>
      <c r="M4437" s="24">
        <v>107.91000000000001</v>
      </c>
      <c r="N4437" s="21">
        <f t="shared" si="208"/>
        <v>7.9963971176941637E-2</v>
      </c>
      <c r="P4437" s="1">
        <v>4</v>
      </c>
      <c r="Q4437" s="24">
        <v>14.388000000000005</v>
      </c>
      <c r="R4437" s="24">
        <v>105.512</v>
      </c>
      <c r="S4437" s="21">
        <f t="shared" si="209"/>
        <v>5.5964771817453948E-2</v>
      </c>
    </row>
    <row r="4438" spans="2:19" ht="11.4" customHeight="1" x14ac:dyDescent="0.2">
      <c r="B4438" s="24"/>
      <c r="C4438" s="14">
        <v>30500</v>
      </c>
      <c r="D4438" s="18" t="s">
        <v>4631</v>
      </c>
      <c r="E4438" s="18" t="s">
        <v>3442</v>
      </c>
      <c r="F4438" s="17">
        <v>17</v>
      </c>
      <c r="G4438" s="18" t="s">
        <v>23</v>
      </c>
      <c r="H4438" s="17">
        <v>51.73</v>
      </c>
      <c r="I4438" s="15">
        <v>67.900000000000006</v>
      </c>
      <c r="J4438" s="21">
        <f t="shared" si="207"/>
        <v>0.31258457374830872</v>
      </c>
      <c r="K4438" s="1">
        <v>2</v>
      </c>
      <c r="L4438" s="24">
        <v>6.7</v>
      </c>
      <c r="M4438" s="24">
        <v>61.110000000000007</v>
      </c>
      <c r="N4438" s="21">
        <f t="shared" si="208"/>
        <v>0.18132611637347787</v>
      </c>
      <c r="P4438" s="1">
        <v>4</v>
      </c>
      <c r="Q4438" s="24">
        <v>8.1480000000000032</v>
      </c>
      <c r="R4438" s="24">
        <v>59.752000000000002</v>
      </c>
      <c r="S4438" s="21">
        <f t="shared" si="209"/>
        <v>0.15507442489851161</v>
      </c>
    </row>
    <row r="4439" spans="2:19" ht="11.4" customHeight="1" x14ac:dyDescent="0.2">
      <c r="B4439" s="24"/>
      <c r="C4439" s="14">
        <v>37619</v>
      </c>
      <c r="D4439" s="18" t="s">
        <v>4632</v>
      </c>
      <c r="E4439" s="18" t="s">
        <v>3442</v>
      </c>
      <c r="F4439" s="17">
        <v>17</v>
      </c>
      <c r="G4439" s="18" t="s">
        <v>23</v>
      </c>
      <c r="H4439" s="17">
        <v>36.58</v>
      </c>
      <c r="I4439" s="15">
        <v>43.9</v>
      </c>
      <c r="J4439" s="21">
        <f t="shared" si="207"/>
        <v>0.20010934937124114</v>
      </c>
      <c r="K4439" s="1">
        <v>2</v>
      </c>
      <c r="L4439" s="24">
        <v>4.3</v>
      </c>
      <c r="M4439" s="24">
        <v>39.51</v>
      </c>
      <c r="N4439" s="21">
        <f t="shared" si="208"/>
        <v>8.0098414434116999E-2</v>
      </c>
      <c r="P4439" s="1">
        <v>4</v>
      </c>
      <c r="Q4439" s="24">
        <v>5.2680000000000007</v>
      </c>
      <c r="R4439" s="24">
        <v>38.631999999999998</v>
      </c>
      <c r="S4439" s="21">
        <f t="shared" si="209"/>
        <v>5.6096227446692175E-2</v>
      </c>
    </row>
    <row r="4440" spans="2:19" ht="11.4" customHeight="1" x14ac:dyDescent="0.2">
      <c r="B4440" s="24"/>
      <c r="C4440" s="14">
        <v>47712</v>
      </c>
      <c r="D4440" s="18" t="s">
        <v>4633</v>
      </c>
      <c r="E4440" s="18" t="s">
        <v>3442</v>
      </c>
      <c r="F4440" s="17">
        <v>17</v>
      </c>
      <c r="G4440" s="18" t="s">
        <v>23</v>
      </c>
      <c r="H4440" s="17">
        <v>51.74</v>
      </c>
      <c r="I4440" s="15">
        <v>67.900000000000006</v>
      </c>
      <c r="J4440" s="21">
        <f t="shared" si="207"/>
        <v>0.31233088519520685</v>
      </c>
      <c r="K4440" s="1">
        <v>2</v>
      </c>
      <c r="L4440" s="24">
        <v>6.7</v>
      </c>
      <c r="M4440" s="24">
        <v>61.110000000000007</v>
      </c>
      <c r="N4440" s="21">
        <f t="shared" si="208"/>
        <v>0.18109779667568621</v>
      </c>
      <c r="P4440" s="1">
        <v>4</v>
      </c>
      <c r="Q4440" s="24">
        <v>8.1480000000000032</v>
      </c>
      <c r="R4440" s="24">
        <v>59.752000000000002</v>
      </c>
      <c r="S4440" s="21">
        <f t="shared" si="209"/>
        <v>0.15485117897178199</v>
      </c>
    </row>
    <row r="4441" spans="2:19" ht="11.4" customHeight="1" x14ac:dyDescent="0.2">
      <c r="B4441" s="24"/>
      <c r="C4441" s="14">
        <v>14762</v>
      </c>
      <c r="D4441" s="18" t="s">
        <v>4634</v>
      </c>
      <c r="E4441" s="18" t="s">
        <v>3442</v>
      </c>
      <c r="F4441" s="17">
        <v>20</v>
      </c>
      <c r="G4441" s="18" t="s">
        <v>23</v>
      </c>
      <c r="H4441" s="17">
        <v>48.5</v>
      </c>
      <c r="I4441" s="15">
        <v>63.8</v>
      </c>
      <c r="J4441" s="21">
        <f t="shared" si="207"/>
        <v>0.31546391752577313</v>
      </c>
      <c r="K4441" s="1">
        <v>2</v>
      </c>
      <c r="L4441" s="24">
        <v>6.3</v>
      </c>
      <c r="M4441" s="24">
        <v>57.42</v>
      </c>
      <c r="N4441" s="21">
        <f t="shared" si="208"/>
        <v>0.18391752577319592</v>
      </c>
      <c r="P4441" s="1">
        <v>4</v>
      </c>
      <c r="Q4441" s="24">
        <v>7.6559999999999988</v>
      </c>
      <c r="R4441" s="24">
        <v>56.143999999999998</v>
      </c>
      <c r="S4441" s="21">
        <f t="shared" si="209"/>
        <v>0.15760824742268037</v>
      </c>
    </row>
    <row r="4442" spans="2:19" ht="11.4" customHeight="1" x14ac:dyDescent="0.2">
      <c r="B4442" s="24"/>
      <c r="C4442" s="14">
        <v>42172</v>
      </c>
      <c r="D4442" s="18" t="s">
        <v>4635</v>
      </c>
      <c r="E4442" s="18" t="s">
        <v>3442</v>
      </c>
      <c r="F4442" s="17">
        <v>20</v>
      </c>
      <c r="G4442" s="18" t="s">
        <v>23</v>
      </c>
      <c r="H4442" s="17">
        <v>33.25</v>
      </c>
      <c r="I4442" s="15">
        <v>39.9</v>
      </c>
      <c r="J4442" s="21">
        <f t="shared" si="207"/>
        <v>0.19999999999999996</v>
      </c>
      <c r="K4442" s="1">
        <v>2</v>
      </c>
      <c r="L4442" s="24">
        <v>3.9</v>
      </c>
      <c r="M4442" s="24">
        <v>35.909999999999997</v>
      </c>
      <c r="N4442" s="21">
        <f t="shared" si="208"/>
        <v>7.9999999999999891E-2</v>
      </c>
      <c r="P4442" s="1">
        <v>4</v>
      </c>
      <c r="Q4442" s="24">
        <v>4.7879999999999967</v>
      </c>
      <c r="R4442" s="24">
        <v>35.112000000000002</v>
      </c>
      <c r="S4442" s="21">
        <f t="shared" si="209"/>
        <v>5.6000000000000057E-2</v>
      </c>
    </row>
    <row r="4443" spans="2:19" ht="11.4" customHeight="1" x14ac:dyDescent="0.2">
      <c r="B4443" s="24"/>
      <c r="C4443" s="14">
        <v>47315</v>
      </c>
      <c r="D4443" s="18" t="s">
        <v>4636</v>
      </c>
      <c r="E4443" s="18" t="s">
        <v>4637</v>
      </c>
      <c r="F4443" s="17">
        <v>15</v>
      </c>
      <c r="G4443" s="18" t="s">
        <v>23</v>
      </c>
      <c r="H4443" s="17">
        <v>79.92</v>
      </c>
      <c r="I4443" s="15">
        <v>99.9</v>
      </c>
      <c r="J4443" s="21">
        <f t="shared" si="207"/>
        <v>0.25000000000000006</v>
      </c>
      <c r="K4443" s="1">
        <v>2</v>
      </c>
      <c r="L4443" s="24">
        <v>9.9</v>
      </c>
      <c r="M4443" s="24">
        <v>89.910000000000011</v>
      </c>
      <c r="N4443" s="21">
        <f t="shared" si="208"/>
        <v>0.12500000000000011</v>
      </c>
      <c r="P4443" s="1">
        <v>4</v>
      </c>
      <c r="Q4443" s="24">
        <v>11.988</v>
      </c>
      <c r="R4443" s="24">
        <v>87.912000000000006</v>
      </c>
      <c r="S4443" s="21">
        <f t="shared" si="209"/>
        <v>0.10000000000000005</v>
      </c>
    </row>
    <row r="4444" spans="2:19" ht="11.4" customHeight="1" x14ac:dyDescent="0.2">
      <c r="B4444" s="24"/>
      <c r="C4444" s="14">
        <v>47316</v>
      </c>
      <c r="D4444" s="18" t="s">
        <v>4638</v>
      </c>
      <c r="E4444" s="18" t="s">
        <v>4637</v>
      </c>
      <c r="F4444" s="17">
        <v>15</v>
      </c>
      <c r="G4444" s="18" t="s">
        <v>23</v>
      </c>
      <c r="H4444" s="17">
        <v>79.92</v>
      </c>
      <c r="I4444" s="15">
        <v>99.9</v>
      </c>
      <c r="J4444" s="21">
        <f t="shared" si="207"/>
        <v>0.25000000000000006</v>
      </c>
      <c r="K4444" s="1">
        <v>2</v>
      </c>
      <c r="L4444" s="24">
        <v>9.9</v>
      </c>
      <c r="M4444" s="24">
        <v>89.910000000000011</v>
      </c>
      <c r="N4444" s="21">
        <f t="shared" si="208"/>
        <v>0.12500000000000011</v>
      </c>
      <c r="P4444" s="1">
        <v>4</v>
      </c>
      <c r="Q4444" s="24">
        <v>11.988</v>
      </c>
      <c r="R4444" s="24">
        <v>87.912000000000006</v>
      </c>
      <c r="S4444" s="21">
        <f t="shared" si="209"/>
        <v>0.10000000000000005</v>
      </c>
    </row>
    <row r="4445" spans="2:19" ht="11.4" customHeight="1" x14ac:dyDescent="0.2">
      <c r="B4445" s="24"/>
      <c r="C4445" s="14">
        <v>19373</v>
      </c>
      <c r="D4445" s="18" t="s">
        <v>4639</v>
      </c>
      <c r="E4445" s="18" t="s">
        <v>3442</v>
      </c>
      <c r="F4445" s="17">
        <v>21</v>
      </c>
      <c r="G4445" s="18" t="s">
        <v>23</v>
      </c>
      <c r="H4445" s="17">
        <v>41.76</v>
      </c>
      <c r="I4445" s="15">
        <v>54.9</v>
      </c>
      <c r="J4445" s="21">
        <f t="shared" si="207"/>
        <v>0.31465517241379315</v>
      </c>
      <c r="K4445" s="1">
        <v>2</v>
      </c>
      <c r="L4445" s="24">
        <v>5.4</v>
      </c>
      <c r="M4445" s="24">
        <v>49.41</v>
      </c>
      <c r="N4445" s="21">
        <f t="shared" si="208"/>
        <v>0.18318965517241376</v>
      </c>
      <c r="P4445" s="1">
        <v>4</v>
      </c>
      <c r="Q4445" s="24">
        <v>6.588000000000001</v>
      </c>
      <c r="R4445" s="24">
        <v>48.311999999999998</v>
      </c>
      <c r="S4445" s="21">
        <f t="shared" si="209"/>
        <v>0.15689655172413794</v>
      </c>
    </row>
    <row r="4446" spans="2:19" ht="11.4" customHeight="1" x14ac:dyDescent="0.2">
      <c r="B4446" s="24"/>
      <c r="C4446" s="14">
        <v>42527</v>
      </c>
      <c r="D4446" s="18" t="s">
        <v>4640</v>
      </c>
      <c r="E4446" s="18" t="s">
        <v>3442</v>
      </c>
      <c r="F4446" s="18"/>
      <c r="G4446" s="18" t="s">
        <v>23</v>
      </c>
      <c r="H4446" s="17">
        <v>199.5</v>
      </c>
      <c r="I4446" s="15">
        <v>319.89999999999998</v>
      </c>
      <c r="J4446" s="21">
        <f t="shared" si="207"/>
        <v>0.60350877192982444</v>
      </c>
      <c r="K4446" s="1">
        <v>2</v>
      </c>
      <c r="L4446" s="24">
        <v>31.9</v>
      </c>
      <c r="M4446" s="24">
        <v>287.90999999999997</v>
      </c>
      <c r="N4446" s="21">
        <f t="shared" si="208"/>
        <v>0.44315789473684197</v>
      </c>
      <c r="P4446" s="1">
        <v>4</v>
      </c>
      <c r="Q4446" s="24">
        <v>38.387999999999977</v>
      </c>
      <c r="R4446" s="24">
        <v>281.512</v>
      </c>
      <c r="S4446" s="21">
        <f t="shared" si="209"/>
        <v>0.41108771929824561</v>
      </c>
    </row>
    <row r="4447" spans="2:19" ht="11.4" customHeight="1" x14ac:dyDescent="0.2">
      <c r="B4447" s="24"/>
      <c r="C4447" s="14">
        <v>17093</v>
      </c>
      <c r="D4447" s="18" t="s">
        <v>4641</v>
      </c>
      <c r="E4447" s="18" t="s">
        <v>3442</v>
      </c>
      <c r="F4447" s="17">
        <v>10</v>
      </c>
      <c r="G4447" s="18" t="s">
        <v>23</v>
      </c>
      <c r="H4447" s="17">
        <v>88.08</v>
      </c>
      <c r="I4447" s="15">
        <v>111</v>
      </c>
      <c r="J4447" s="21">
        <f t="shared" si="207"/>
        <v>0.26021798365122617</v>
      </c>
      <c r="K4447" s="1">
        <v>2</v>
      </c>
      <c r="L4447" s="24">
        <v>11.1</v>
      </c>
      <c r="M4447" s="24">
        <v>99.9</v>
      </c>
      <c r="N4447" s="21">
        <f t="shared" si="208"/>
        <v>0.13419618528610364</v>
      </c>
      <c r="P4447" s="1">
        <v>4</v>
      </c>
      <c r="Q4447" s="24">
        <v>13.319999999999993</v>
      </c>
      <c r="R4447" s="24">
        <v>97.68</v>
      </c>
      <c r="S4447" s="21">
        <f t="shared" si="209"/>
        <v>0.10899182561307912</v>
      </c>
    </row>
    <row r="4448" spans="2:19" ht="11.4" customHeight="1" x14ac:dyDescent="0.2">
      <c r="B4448" s="24"/>
      <c r="C4448" s="14">
        <v>46319</v>
      </c>
      <c r="D4448" s="18" t="s">
        <v>4642</v>
      </c>
      <c r="E4448" s="18" t="s">
        <v>3442</v>
      </c>
      <c r="F4448" s="17">
        <v>32</v>
      </c>
      <c r="G4448" s="18" t="s">
        <v>23</v>
      </c>
      <c r="H4448" s="17">
        <v>129.16</v>
      </c>
      <c r="I4448" s="15">
        <v>159.9</v>
      </c>
      <c r="J4448" s="21">
        <f t="shared" si="207"/>
        <v>0.23799938061319301</v>
      </c>
      <c r="K4448" s="1">
        <v>2</v>
      </c>
      <c r="L4448" s="24">
        <v>15.9</v>
      </c>
      <c r="M4448" s="24">
        <v>143.91</v>
      </c>
      <c r="N4448" s="21">
        <f t="shared" si="208"/>
        <v>0.11419944255187364</v>
      </c>
      <c r="P4448" s="1">
        <v>4</v>
      </c>
      <c r="Q4448" s="24">
        <v>19.187999999999988</v>
      </c>
      <c r="R4448" s="24">
        <v>140.71200000000002</v>
      </c>
      <c r="S4448" s="21">
        <f t="shared" si="209"/>
        <v>8.9439454939609947E-2</v>
      </c>
    </row>
    <row r="4449" spans="2:19" ht="11.4" customHeight="1" x14ac:dyDescent="0.2">
      <c r="B4449" s="24"/>
      <c r="C4449" s="14">
        <v>28761</v>
      </c>
      <c r="D4449" s="18" t="s">
        <v>4643</v>
      </c>
      <c r="E4449" s="18" t="s">
        <v>4555</v>
      </c>
      <c r="F4449" s="18"/>
      <c r="G4449" s="18" t="s">
        <v>23</v>
      </c>
      <c r="H4449" s="17">
        <v>177.34</v>
      </c>
      <c r="I4449" s="15">
        <v>249.9</v>
      </c>
      <c r="J4449" s="21">
        <f t="shared" si="207"/>
        <v>0.40915755046802754</v>
      </c>
      <c r="K4449" s="1">
        <v>2</v>
      </c>
      <c r="L4449" s="24">
        <v>24.9</v>
      </c>
      <c r="M4449" s="24">
        <v>224.91</v>
      </c>
      <c r="N4449" s="21">
        <f t="shared" si="208"/>
        <v>0.26824179542122473</v>
      </c>
      <c r="P4449" s="1">
        <v>4</v>
      </c>
      <c r="Q4449" s="24">
        <v>29.988</v>
      </c>
      <c r="R4449" s="24">
        <v>219.91200000000001</v>
      </c>
      <c r="S4449" s="21">
        <f t="shared" si="209"/>
        <v>0.24005864441186422</v>
      </c>
    </row>
    <row r="4450" spans="2:19" ht="11.4" customHeight="1" x14ac:dyDescent="0.2">
      <c r="B4450" s="24"/>
      <c r="C4450" s="14">
        <v>40783</v>
      </c>
      <c r="D4450" s="18" t="s">
        <v>4644</v>
      </c>
      <c r="E4450" s="18" t="s">
        <v>3442</v>
      </c>
      <c r="F4450" s="17">
        <v>5</v>
      </c>
      <c r="G4450" s="18" t="s">
        <v>23</v>
      </c>
      <c r="H4450" s="17">
        <v>190.86</v>
      </c>
      <c r="I4450" s="15">
        <v>262.89999999999998</v>
      </c>
      <c r="J4450" s="21">
        <f t="shared" si="207"/>
        <v>0.37744943937964981</v>
      </c>
      <c r="K4450" s="1">
        <v>2</v>
      </c>
      <c r="L4450" s="24">
        <v>26.2</v>
      </c>
      <c r="M4450" s="24">
        <v>236.60999999999999</v>
      </c>
      <c r="N4450" s="21">
        <f t="shared" si="208"/>
        <v>0.23970449544168485</v>
      </c>
      <c r="P4450" s="1">
        <v>4</v>
      </c>
      <c r="Q4450" s="24">
        <v>31.548000000000002</v>
      </c>
      <c r="R4450" s="24">
        <v>231.35199999999998</v>
      </c>
      <c r="S4450" s="21">
        <f t="shared" si="209"/>
        <v>0.2121555066540918</v>
      </c>
    </row>
    <row r="4451" spans="2:19" ht="11.4" customHeight="1" x14ac:dyDescent="0.2">
      <c r="B4451" s="24"/>
      <c r="C4451" s="14">
        <v>47714</v>
      </c>
      <c r="D4451" s="18" t="s">
        <v>4645</v>
      </c>
      <c r="E4451" s="18" t="s">
        <v>4555</v>
      </c>
      <c r="F4451" s="17">
        <v>35</v>
      </c>
      <c r="G4451" s="18" t="s">
        <v>23</v>
      </c>
      <c r="H4451" s="17">
        <v>76.739999999999995</v>
      </c>
      <c r="I4451" s="15">
        <v>100.9</v>
      </c>
      <c r="J4451" s="21">
        <f t="shared" si="207"/>
        <v>0.3148292937190515</v>
      </c>
      <c r="K4451" s="1">
        <v>2</v>
      </c>
      <c r="L4451" s="24">
        <v>10</v>
      </c>
      <c r="M4451" s="24">
        <v>90.81</v>
      </c>
      <c r="N4451" s="21">
        <f t="shared" si="208"/>
        <v>0.18334636434714632</v>
      </c>
      <c r="P4451" s="1">
        <v>4</v>
      </c>
      <c r="Q4451" s="24">
        <v>12.108000000000004</v>
      </c>
      <c r="R4451" s="24">
        <v>88.792000000000002</v>
      </c>
      <c r="S4451" s="21">
        <f t="shared" si="209"/>
        <v>0.15704977847276527</v>
      </c>
    </row>
    <row r="4452" spans="2:19" ht="11.4" customHeight="1" x14ac:dyDescent="0.2">
      <c r="B4452" s="24"/>
      <c r="C4452" s="14">
        <v>21721</v>
      </c>
      <c r="D4452" s="18" t="s">
        <v>4646</v>
      </c>
      <c r="E4452" s="18" t="s">
        <v>4555</v>
      </c>
      <c r="F4452" s="17">
        <v>21</v>
      </c>
      <c r="G4452" s="18" t="s">
        <v>23</v>
      </c>
      <c r="H4452" s="17">
        <v>44.94</v>
      </c>
      <c r="I4452" s="15">
        <v>58.9</v>
      </c>
      <c r="J4452" s="21">
        <f t="shared" si="207"/>
        <v>0.31063640409434806</v>
      </c>
      <c r="K4452" s="1">
        <v>2</v>
      </c>
      <c r="L4452" s="24">
        <v>5.8</v>
      </c>
      <c r="M4452" s="24">
        <v>53.01</v>
      </c>
      <c r="N4452" s="21">
        <f t="shared" si="208"/>
        <v>0.17957276368491323</v>
      </c>
      <c r="P4452" s="1">
        <v>4</v>
      </c>
      <c r="Q4452" s="24">
        <v>7.0679999999999978</v>
      </c>
      <c r="R4452" s="24">
        <v>51.832000000000001</v>
      </c>
      <c r="S4452" s="21">
        <f t="shared" si="209"/>
        <v>0.15336003560302633</v>
      </c>
    </row>
    <row r="4453" spans="2:19" ht="11.4" customHeight="1" x14ac:dyDescent="0.2">
      <c r="B4453" s="24"/>
      <c r="C4453" s="14">
        <v>24645</v>
      </c>
      <c r="D4453" s="18" t="s">
        <v>4647</v>
      </c>
      <c r="E4453" s="18" t="s">
        <v>4555</v>
      </c>
      <c r="F4453" s="17">
        <v>35</v>
      </c>
      <c r="G4453" s="18" t="s">
        <v>23</v>
      </c>
      <c r="H4453" s="17">
        <v>76.75</v>
      </c>
      <c r="I4453" s="15">
        <v>100.9</v>
      </c>
      <c r="J4453" s="21">
        <f t="shared" si="207"/>
        <v>0.31465798045602611</v>
      </c>
      <c r="K4453" s="1">
        <v>2</v>
      </c>
      <c r="L4453" s="24">
        <v>10</v>
      </c>
      <c r="M4453" s="24">
        <v>90.81</v>
      </c>
      <c r="N4453" s="21">
        <f t="shared" si="208"/>
        <v>0.18319218241042348</v>
      </c>
      <c r="P4453" s="1">
        <v>4</v>
      </c>
      <c r="Q4453" s="24">
        <v>12.108000000000004</v>
      </c>
      <c r="R4453" s="24">
        <v>88.792000000000002</v>
      </c>
      <c r="S4453" s="21">
        <f t="shared" si="209"/>
        <v>0.15689902280130294</v>
      </c>
    </row>
    <row r="4454" spans="2:19" ht="11.4" customHeight="1" x14ac:dyDescent="0.2">
      <c r="B4454" s="24"/>
      <c r="C4454" s="14">
        <v>41861</v>
      </c>
      <c r="D4454" s="18" t="s">
        <v>4648</v>
      </c>
      <c r="E4454" s="18" t="s">
        <v>4555</v>
      </c>
      <c r="F4454" s="17">
        <v>32</v>
      </c>
      <c r="G4454" s="18" t="s">
        <v>23</v>
      </c>
      <c r="H4454" s="17">
        <v>50.94</v>
      </c>
      <c r="I4454" s="15">
        <v>64.900000000000006</v>
      </c>
      <c r="J4454" s="21">
        <f t="shared" si="207"/>
        <v>0.27404789948959579</v>
      </c>
      <c r="K4454" s="1">
        <v>2</v>
      </c>
      <c r="L4454" s="24">
        <v>6.4</v>
      </c>
      <c r="M4454" s="24">
        <v>58.410000000000004</v>
      </c>
      <c r="N4454" s="21">
        <f t="shared" si="208"/>
        <v>0.14664310954063617</v>
      </c>
      <c r="P4454" s="1">
        <v>4</v>
      </c>
      <c r="Q4454" s="24">
        <v>7.7880000000000038</v>
      </c>
      <c r="R4454" s="24">
        <v>57.112000000000002</v>
      </c>
      <c r="S4454" s="21">
        <f t="shared" si="209"/>
        <v>0.12116215155084421</v>
      </c>
    </row>
    <row r="4455" spans="2:19" ht="11.4" customHeight="1" x14ac:dyDescent="0.2">
      <c r="B4455" s="24"/>
      <c r="C4455" s="14">
        <v>37462</v>
      </c>
      <c r="D4455" s="18" t="s">
        <v>4649</v>
      </c>
      <c r="E4455" s="18" t="s">
        <v>4555</v>
      </c>
      <c r="F4455" s="18"/>
      <c r="G4455" s="18" t="s">
        <v>23</v>
      </c>
      <c r="H4455" s="17">
        <v>109.08</v>
      </c>
      <c r="I4455" s="15">
        <v>136.9</v>
      </c>
      <c r="J4455" s="21">
        <f t="shared" si="207"/>
        <v>0.25504217088375514</v>
      </c>
      <c r="K4455" s="1">
        <v>2</v>
      </c>
      <c r="L4455" s="24">
        <v>13.6</v>
      </c>
      <c r="M4455" s="24">
        <v>123.21000000000001</v>
      </c>
      <c r="N4455" s="21">
        <f t="shared" si="208"/>
        <v>0.12953795379537963</v>
      </c>
      <c r="P4455" s="1">
        <v>4</v>
      </c>
      <c r="Q4455" s="24">
        <v>16.427999999999997</v>
      </c>
      <c r="R4455" s="24">
        <v>120.47200000000001</v>
      </c>
      <c r="S4455" s="21">
        <f t="shared" si="209"/>
        <v>0.10443711037770453</v>
      </c>
    </row>
    <row r="4456" spans="2:19" ht="11.4" customHeight="1" x14ac:dyDescent="0.2">
      <c r="B4456" s="24"/>
      <c r="C4456" s="14">
        <v>28760</v>
      </c>
      <c r="D4456" s="18" t="s">
        <v>4650</v>
      </c>
      <c r="E4456" s="18" t="s">
        <v>4555</v>
      </c>
      <c r="F4456" s="18"/>
      <c r="G4456" s="18" t="s">
        <v>23</v>
      </c>
      <c r="H4456" s="17">
        <v>176.15</v>
      </c>
      <c r="I4456" s="15">
        <v>249.9</v>
      </c>
      <c r="J4456" s="21">
        <f t="shared" si="207"/>
        <v>0.41867726369571384</v>
      </c>
      <c r="K4456" s="1">
        <v>2</v>
      </c>
      <c r="L4456" s="24">
        <v>24.9</v>
      </c>
      <c r="M4456" s="24">
        <v>224.91</v>
      </c>
      <c r="N4456" s="21">
        <f t="shared" si="208"/>
        <v>0.27680953732614244</v>
      </c>
      <c r="P4456" s="1">
        <v>4</v>
      </c>
      <c r="Q4456" s="24">
        <v>29.988</v>
      </c>
      <c r="R4456" s="24">
        <v>219.91200000000001</v>
      </c>
      <c r="S4456" s="21">
        <f t="shared" si="209"/>
        <v>0.24843599205222822</v>
      </c>
    </row>
    <row r="4457" spans="2:19" ht="11.4" customHeight="1" x14ac:dyDescent="0.2">
      <c r="B4457" s="24"/>
      <c r="C4457" s="14">
        <v>43349</v>
      </c>
      <c r="D4457" s="18" t="s">
        <v>4651</v>
      </c>
      <c r="E4457" s="18" t="s">
        <v>4555</v>
      </c>
      <c r="F4457" s="17">
        <v>1</v>
      </c>
      <c r="G4457" s="18" t="s">
        <v>23</v>
      </c>
      <c r="H4457" s="17">
        <v>149.94999999999999</v>
      </c>
      <c r="I4457" s="15">
        <v>212.9</v>
      </c>
      <c r="J4457" s="21">
        <f t="shared" si="207"/>
        <v>0.41980660220073374</v>
      </c>
      <c r="K4457" s="1">
        <v>2</v>
      </c>
      <c r="L4457" s="24">
        <v>21.2</v>
      </c>
      <c r="M4457" s="24">
        <v>191.61</v>
      </c>
      <c r="N4457" s="21">
        <f t="shared" si="208"/>
        <v>0.27782594198066041</v>
      </c>
      <c r="P4457" s="1">
        <v>4</v>
      </c>
      <c r="Q4457" s="24">
        <v>25.548000000000002</v>
      </c>
      <c r="R4457" s="24">
        <v>187.352</v>
      </c>
      <c r="S4457" s="21">
        <f t="shared" si="209"/>
        <v>0.24942980993664568</v>
      </c>
    </row>
    <row r="4458" spans="2:19" ht="11.4" customHeight="1" x14ac:dyDescent="0.2">
      <c r="B4458" s="24"/>
      <c r="C4458" s="14">
        <v>43356</v>
      </c>
      <c r="D4458" s="18" t="s">
        <v>4652</v>
      </c>
      <c r="E4458" s="18" t="s">
        <v>4555</v>
      </c>
      <c r="F4458" s="17">
        <v>1</v>
      </c>
      <c r="G4458" s="18" t="s">
        <v>23</v>
      </c>
      <c r="H4458" s="18"/>
      <c r="I4458" s="15">
        <v>212.9</v>
      </c>
      <c r="J4458" s="21" t="e">
        <f t="shared" si="207"/>
        <v>#DIV/0!</v>
      </c>
      <c r="K4458" s="1">
        <v>2</v>
      </c>
      <c r="L4458" s="24">
        <v>21.2</v>
      </c>
      <c r="M4458" s="24">
        <v>191.61</v>
      </c>
      <c r="N4458" s="21" t="e">
        <f t="shared" si="208"/>
        <v>#DIV/0!</v>
      </c>
      <c r="P4458" s="1">
        <v>4</v>
      </c>
      <c r="Q4458" s="24">
        <v>25.548000000000002</v>
      </c>
      <c r="R4458" s="24">
        <v>187.352</v>
      </c>
      <c r="S4458" s="21" t="e">
        <f t="shared" si="209"/>
        <v>#DIV/0!</v>
      </c>
    </row>
    <row r="4459" spans="2:19" ht="11.4" customHeight="1" x14ac:dyDescent="0.2">
      <c r="B4459" s="24"/>
      <c r="C4459" s="14">
        <v>39223</v>
      </c>
      <c r="D4459" s="18" t="s">
        <v>4653</v>
      </c>
      <c r="E4459" s="18" t="s">
        <v>4555</v>
      </c>
      <c r="F4459" s="17">
        <v>8</v>
      </c>
      <c r="G4459" s="18" t="s">
        <v>23</v>
      </c>
      <c r="H4459" s="17">
        <v>134.69999999999999</v>
      </c>
      <c r="I4459" s="15">
        <v>168.5</v>
      </c>
      <c r="J4459" s="21">
        <f t="shared" si="207"/>
        <v>0.25092798812175215</v>
      </c>
      <c r="K4459" s="1">
        <v>2</v>
      </c>
      <c r="L4459" s="24">
        <v>16.8</v>
      </c>
      <c r="M4459" s="24">
        <v>151.65</v>
      </c>
      <c r="N4459" s="21">
        <f t="shared" si="208"/>
        <v>0.12583518930957696</v>
      </c>
      <c r="P4459" s="1">
        <v>4</v>
      </c>
      <c r="Q4459" s="24">
        <v>20.22</v>
      </c>
      <c r="R4459" s="24">
        <v>148.28</v>
      </c>
      <c r="S4459" s="21">
        <f t="shared" si="209"/>
        <v>0.10081662954714189</v>
      </c>
    </row>
    <row r="4460" spans="2:19" ht="11.4" customHeight="1" x14ac:dyDescent="0.2">
      <c r="B4460" s="24"/>
      <c r="C4460" s="14">
        <v>43352</v>
      </c>
      <c r="D4460" s="18" t="s">
        <v>4654</v>
      </c>
      <c r="E4460" s="18" t="s">
        <v>4555</v>
      </c>
      <c r="F4460" s="17">
        <v>20</v>
      </c>
      <c r="G4460" s="18" t="s">
        <v>23</v>
      </c>
      <c r="H4460" s="17">
        <v>130.52000000000001</v>
      </c>
      <c r="I4460" s="15">
        <v>212.9</v>
      </c>
      <c r="J4460" s="21">
        <f t="shared" si="207"/>
        <v>0.6311676371437327</v>
      </c>
      <c r="K4460" s="1">
        <v>2</v>
      </c>
      <c r="L4460" s="24">
        <v>21.2</v>
      </c>
      <c r="M4460" s="24">
        <v>191.61</v>
      </c>
      <c r="N4460" s="21">
        <f t="shared" si="208"/>
        <v>0.46805087342935947</v>
      </c>
      <c r="P4460" s="1">
        <v>4</v>
      </c>
      <c r="Q4460" s="24">
        <v>25.548000000000002</v>
      </c>
      <c r="R4460" s="24">
        <v>187.352</v>
      </c>
      <c r="S4460" s="21">
        <f t="shared" si="209"/>
        <v>0.43542752068648477</v>
      </c>
    </row>
    <row r="4461" spans="2:19" ht="11.4" customHeight="1" x14ac:dyDescent="0.2">
      <c r="B4461" s="24"/>
      <c r="C4461" s="14">
        <v>43350</v>
      </c>
      <c r="D4461" s="18" t="s">
        <v>4655</v>
      </c>
      <c r="E4461" s="18" t="s">
        <v>4555</v>
      </c>
      <c r="F4461" s="17">
        <v>1</v>
      </c>
      <c r="G4461" s="18" t="s">
        <v>23</v>
      </c>
      <c r="H4461" s="17">
        <v>149.94999999999999</v>
      </c>
      <c r="I4461" s="15">
        <v>212.9</v>
      </c>
      <c r="J4461" s="21">
        <f t="shared" si="207"/>
        <v>0.41980660220073374</v>
      </c>
      <c r="K4461" s="1">
        <v>2</v>
      </c>
      <c r="L4461" s="24">
        <v>21.2</v>
      </c>
      <c r="M4461" s="24">
        <v>191.61</v>
      </c>
      <c r="N4461" s="21">
        <f t="shared" si="208"/>
        <v>0.27782594198066041</v>
      </c>
      <c r="P4461" s="1">
        <v>4</v>
      </c>
      <c r="Q4461" s="24">
        <v>25.548000000000002</v>
      </c>
      <c r="R4461" s="24">
        <v>187.352</v>
      </c>
      <c r="S4461" s="21">
        <f t="shared" si="209"/>
        <v>0.24942980993664568</v>
      </c>
    </row>
    <row r="4462" spans="2:19" ht="11.4" customHeight="1" x14ac:dyDescent="0.2">
      <c r="B4462" s="24"/>
      <c r="C4462" s="14">
        <v>34737</v>
      </c>
      <c r="D4462" s="18" t="s">
        <v>4656</v>
      </c>
      <c r="E4462" s="18" t="s">
        <v>4555</v>
      </c>
      <c r="F4462" s="17">
        <v>25</v>
      </c>
      <c r="G4462" s="18" t="s">
        <v>23</v>
      </c>
      <c r="H4462" s="17">
        <v>73.92</v>
      </c>
      <c r="I4462" s="15">
        <v>124.5</v>
      </c>
      <c r="J4462" s="21">
        <f t="shared" si="207"/>
        <v>0.68425324675324672</v>
      </c>
      <c r="K4462" s="1">
        <v>2</v>
      </c>
      <c r="L4462" s="24">
        <v>12.4</v>
      </c>
      <c r="M4462" s="24">
        <v>112.05</v>
      </c>
      <c r="N4462" s="21">
        <f t="shared" si="208"/>
        <v>0.51582792207792205</v>
      </c>
      <c r="P4462" s="1">
        <v>4</v>
      </c>
      <c r="Q4462" s="24">
        <v>14.939999999999998</v>
      </c>
      <c r="R4462" s="24">
        <v>109.56</v>
      </c>
      <c r="S4462" s="21">
        <f t="shared" si="209"/>
        <v>0.48214285714285715</v>
      </c>
    </row>
    <row r="4463" spans="2:19" ht="11.4" customHeight="1" x14ac:dyDescent="0.2">
      <c r="B4463" s="24"/>
      <c r="C4463" s="14">
        <v>43354</v>
      </c>
      <c r="D4463" s="18" t="s">
        <v>4657</v>
      </c>
      <c r="E4463" s="18" t="s">
        <v>4555</v>
      </c>
      <c r="F4463" s="17">
        <v>1</v>
      </c>
      <c r="G4463" s="18" t="s">
        <v>23</v>
      </c>
      <c r="H4463" s="17">
        <v>149.94999999999999</v>
      </c>
      <c r="I4463" s="15">
        <v>212.9</v>
      </c>
      <c r="J4463" s="21">
        <f t="shared" si="207"/>
        <v>0.41980660220073374</v>
      </c>
      <c r="K4463" s="1">
        <v>2</v>
      </c>
      <c r="L4463" s="24">
        <v>21.2</v>
      </c>
      <c r="M4463" s="24">
        <v>191.61</v>
      </c>
      <c r="N4463" s="21">
        <f t="shared" si="208"/>
        <v>0.27782594198066041</v>
      </c>
      <c r="P4463" s="1">
        <v>4</v>
      </c>
      <c r="Q4463" s="24">
        <v>25.548000000000002</v>
      </c>
      <c r="R4463" s="24">
        <v>187.352</v>
      </c>
      <c r="S4463" s="21">
        <f t="shared" si="209"/>
        <v>0.24942980993664568</v>
      </c>
    </row>
    <row r="4464" spans="2:19" ht="11.4" customHeight="1" x14ac:dyDescent="0.2">
      <c r="B4464" s="24"/>
      <c r="C4464" s="14">
        <v>31474</v>
      </c>
      <c r="D4464" s="18" t="s">
        <v>4658</v>
      </c>
      <c r="E4464" s="18" t="s">
        <v>4555</v>
      </c>
      <c r="F4464" s="17">
        <v>35</v>
      </c>
      <c r="G4464" s="18" t="s">
        <v>23</v>
      </c>
      <c r="H4464" s="17">
        <v>54.5</v>
      </c>
      <c r="I4464" s="15">
        <v>71.7</v>
      </c>
      <c r="J4464" s="21">
        <f t="shared" si="207"/>
        <v>0.31559633027522943</v>
      </c>
      <c r="K4464" s="1">
        <v>2</v>
      </c>
      <c r="L4464" s="24">
        <v>7.1</v>
      </c>
      <c r="M4464" s="24">
        <v>64.53</v>
      </c>
      <c r="N4464" s="21">
        <f t="shared" si="208"/>
        <v>0.18403669724770644</v>
      </c>
      <c r="P4464" s="1">
        <v>4</v>
      </c>
      <c r="Q4464" s="24">
        <v>8.6039999999999992</v>
      </c>
      <c r="R4464" s="24">
        <v>63.096000000000004</v>
      </c>
      <c r="S4464" s="21">
        <f t="shared" si="209"/>
        <v>0.15772477064220189</v>
      </c>
    </row>
    <row r="4465" spans="2:19" ht="11.4" customHeight="1" x14ac:dyDescent="0.2">
      <c r="B4465" s="24"/>
      <c r="C4465" s="14">
        <v>38457</v>
      </c>
      <c r="D4465" s="18" t="s">
        <v>4659</v>
      </c>
      <c r="E4465" s="18" t="s">
        <v>4555</v>
      </c>
      <c r="F4465" s="17">
        <v>20</v>
      </c>
      <c r="G4465" s="18" t="s">
        <v>23</v>
      </c>
      <c r="H4465" s="17">
        <v>62.74</v>
      </c>
      <c r="I4465" s="15">
        <v>82.5</v>
      </c>
      <c r="J4465" s="21">
        <f t="shared" si="207"/>
        <v>0.31495058973541595</v>
      </c>
      <c r="K4465" s="1">
        <v>2</v>
      </c>
      <c r="L4465" s="24">
        <v>8.1999999999999993</v>
      </c>
      <c r="M4465" s="24">
        <v>74.25</v>
      </c>
      <c r="N4465" s="21">
        <f t="shared" si="208"/>
        <v>0.18345553076187437</v>
      </c>
      <c r="P4465" s="1">
        <v>4</v>
      </c>
      <c r="Q4465" s="24">
        <v>9.9000000000000057</v>
      </c>
      <c r="R4465" s="24">
        <v>72.599999999999994</v>
      </c>
      <c r="S4465" s="21">
        <f t="shared" si="209"/>
        <v>0.15715651896716595</v>
      </c>
    </row>
    <row r="4466" spans="2:19" ht="11.4" customHeight="1" x14ac:dyDescent="0.2">
      <c r="B4466" s="24"/>
      <c r="C4466" s="14">
        <v>38809</v>
      </c>
      <c r="D4466" s="18" t="s">
        <v>4660</v>
      </c>
      <c r="E4466" s="18" t="s">
        <v>4555</v>
      </c>
      <c r="F4466" s="17">
        <v>25</v>
      </c>
      <c r="G4466" s="18" t="s">
        <v>23</v>
      </c>
      <c r="H4466" s="17">
        <v>44.08</v>
      </c>
      <c r="I4466" s="15">
        <v>52.9</v>
      </c>
      <c r="J4466" s="21">
        <f t="shared" si="207"/>
        <v>0.20009074410163341</v>
      </c>
      <c r="K4466" s="1">
        <v>2</v>
      </c>
      <c r="L4466" s="24">
        <v>5.2</v>
      </c>
      <c r="M4466" s="24">
        <v>47.61</v>
      </c>
      <c r="N4466" s="21">
        <f t="shared" si="208"/>
        <v>8.0081669691470084E-2</v>
      </c>
      <c r="P4466" s="1">
        <v>4</v>
      </c>
      <c r="Q4466" s="24">
        <v>6.347999999999999</v>
      </c>
      <c r="R4466" s="24">
        <v>46.552</v>
      </c>
      <c r="S4466" s="21">
        <f t="shared" si="209"/>
        <v>5.6079854809437418E-2</v>
      </c>
    </row>
    <row r="4467" spans="2:19" ht="11.4" customHeight="1" x14ac:dyDescent="0.2">
      <c r="B4467" s="24"/>
      <c r="C4467" s="14">
        <v>47642</v>
      </c>
      <c r="D4467" s="18" t="s">
        <v>4661</v>
      </c>
      <c r="E4467" s="18" t="s">
        <v>4555</v>
      </c>
      <c r="F4467" s="17">
        <v>6</v>
      </c>
      <c r="G4467" s="18" t="s">
        <v>23</v>
      </c>
      <c r="H4467" s="18"/>
      <c r="I4467" s="16">
        <v>1230</v>
      </c>
      <c r="J4467" s="21" t="e">
        <f t="shared" si="207"/>
        <v>#DIV/0!</v>
      </c>
      <c r="K4467" s="1">
        <v>2</v>
      </c>
      <c r="L4467" s="24">
        <v>123</v>
      </c>
      <c r="M4467" s="24">
        <v>1107</v>
      </c>
      <c r="N4467" s="21" t="e">
        <f t="shared" si="208"/>
        <v>#DIV/0!</v>
      </c>
      <c r="P4467" s="1">
        <v>4</v>
      </c>
      <c r="Q4467" s="24">
        <v>147.59999999999991</v>
      </c>
      <c r="R4467" s="24">
        <v>1082.4000000000001</v>
      </c>
      <c r="S4467" s="21" t="e">
        <f t="shared" si="209"/>
        <v>#DIV/0!</v>
      </c>
    </row>
    <row r="4468" spans="2:19" ht="11.4" customHeight="1" x14ac:dyDescent="0.2">
      <c r="B4468" s="24"/>
      <c r="C4468" s="14">
        <v>38458</v>
      </c>
      <c r="D4468" s="18" t="s">
        <v>4662</v>
      </c>
      <c r="E4468" s="18" t="s">
        <v>4555</v>
      </c>
      <c r="F4468" s="17">
        <v>18</v>
      </c>
      <c r="G4468" s="18" t="s">
        <v>23</v>
      </c>
      <c r="H4468" s="17">
        <v>62.74</v>
      </c>
      <c r="I4468" s="15">
        <v>82.5</v>
      </c>
      <c r="J4468" s="21">
        <f t="shared" si="207"/>
        <v>0.31495058973541595</v>
      </c>
      <c r="K4468" s="1">
        <v>2</v>
      </c>
      <c r="L4468" s="24">
        <v>8.1999999999999993</v>
      </c>
      <c r="M4468" s="24">
        <v>74.25</v>
      </c>
      <c r="N4468" s="21">
        <f t="shared" si="208"/>
        <v>0.18345553076187437</v>
      </c>
      <c r="P4468" s="1">
        <v>4</v>
      </c>
      <c r="Q4468" s="24">
        <v>9.9000000000000057</v>
      </c>
      <c r="R4468" s="24">
        <v>72.599999999999994</v>
      </c>
      <c r="S4468" s="21">
        <f t="shared" si="209"/>
        <v>0.15715651896716595</v>
      </c>
    </row>
    <row r="4469" spans="2:19" ht="11.4" customHeight="1" x14ac:dyDescent="0.2">
      <c r="B4469" s="24"/>
      <c r="C4469" s="14">
        <v>38810</v>
      </c>
      <c r="D4469" s="18" t="s">
        <v>4663</v>
      </c>
      <c r="E4469" s="18" t="s">
        <v>4555</v>
      </c>
      <c r="F4469" s="17">
        <v>25</v>
      </c>
      <c r="G4469" s="18" t="s">
        <v>23</v>
      </c>
      <c r="H4469" s="17">
        <v>44.08</v>
      </c>
      <c r="I4469" s="15">
        <v>52.9</v>
      </c>
      <c r="J4469" s="21">
        <f t="shared" si="207"/>
        <v>0.20009074410163341</v>
      </c>
      <c r="K4469" s="1">
        <v>2</v>
      </c>
      <c r="L4469" s="24">
        <v>5.2</v>
      </c>
      <c r="M4469" s="24">
        <v>47.61</v>
      </c>
      <c r="N4469" s="21">
        <f t="shared" si="208"/>
        <v>8.0081669691470084E-2</v>
      </c>
      <c r="P4469" s="1">
        <v>4</v>
      </c>
      <c r="Q4469" s="24">
        <v>6.347999999999999</v>
      </c>
      <c r="R4469" s="24">
        <v>46.552</v>
      </c>
      <c r="S4469" s="21">
        <f t="shared" si="209"/>
        <v>5.6079854809437418E-2</v>
      </c>
    </row>
    <row r="4470" spans="2:19" ht="11.4" customHeight="1" x14ac:dyDescent="0.2">
      <c r="B4470" s="24"/>
      <c r="C4470" s="14">
        <v>43323</v>
      </c>
      <c r="D4470" s="18" t="s">
        <v>4664</v>
      </c>
      <c r="E4470" s="18" t="s">
        <v>4555</v>
      </c>
      <c r="F4470" s="17">
        <v>18</v>
      </c>
      <c r="G4470" s="18" t="s">
        <v>23</v>
      </c>
      <c r="H4470" s="17">
        <v>40.75</v>
      </c>
      <c r="I4470" s="15">
        <v>48.9</v>
      </c>
      <c r="J4470" s="21">
        <f t="shared" si="207"/>
        <v>0.19999999999999996</v>
      </c>
      <c r="K4470" s="1">
        <v>2</v>
      </c>
      <c r="L4470" s="24">
        <v>4.8</v>
      </c>
      <c r="M4470" s="24">
        <v>44.01</v>
      </c>
      <c r="N4470" s="21">
        <f t="shared" si="208"/>
        <v>7.9999999999999946E-2</v>
      </c>
      <c r="P4470" s="1">
        <v>4</v>
      </c>
      <c r="Q4470" s="24">
        <v>5.8680000000000021</v>
      </c>
      <c r="R4470" s="24">
        <v>43.031999999999996</v>
      </c>
      <c r="S4470" s="21">
        <f t="shared" si="209"/>
        <v>5.5999999999999911E-2</v>
      </c>
    </row>
    <row r="4471" spans="2:19" ht="11.4" customHeight="1" x14ac:dyDescent="0.2">
      <c r="B4471" s="24"/>
      <c r="C4471" s="14">
        <v>43325</v>
      </c>
      <c r="D4471" s="18" t="s">
        <v>4665</v>
      </c>
      <c r="E4471" s="18" t="s">
        <v>4555</v>
      </c>
      <c r="F4471" s="17">
        <v>12</v>
      </c>
      <c r="G4471" s="18" t="s">
        <v>23</v>
      </c>
      <c r="H4471" s="17">
        <v>88.08</v>
      </c>
      <c r="I4471" s="15">
        <v>111</v>
      </c>
      <c r="J4471" s="21">
        <f t="shared" si="207"/>
        <v>0.26021798365122617</v>
      </c>
      <c r="K4471" s="1">
        <v>2</v>
      </c>
      <c r="L4471" s="24">
        <v>11.1</v>
      </c>
      <c r="M4471" s="24">
        <v>99.9</v>
      </c>
      <c r="N4471" s="21">
        <f t="shared" si="208"/>
        <v>0.13419618528610364</v>
      </c>
      <c r="P4471" s="1">
        <v>4</v>
      </c>
      <c r="Q4471" s="24">
        <v>13.319999999999993</v>
      </c>
      <c r="R4471" s="24">
        <v>97.68</v>
      </c>
      <c r="S4471" s="21">
        <f t="shared" si="209"/>
        <v>0.10899182561307912</v>
      </c>
    </row>
    <row r="4472" spans="2:19" ht="11.4" customHeight="1" x14ac:dyDescent="0.2">
      <c r="B4472" s="24"/>
      <c r="C4472" s="14">
        <v>7137</v>
      </c>
      <c r="D4472" s="18" t="s">
        <v>4666</v>
      </c>
      <c r="E4472" s="18" t="s">
        <v>4555</v>
      </c>
      <c r="F4472" s="17">
        <v>25</v>
      </c>
      <c r="G4472" s="18" t="s">
        <v>23</v>
      </c>
      <c r="H4472" s="17">
        <v>70.260000000000005</v>
      </c>
      <c r="I4472" s="15">
        <v>89.9</v>
      </c>
      <c r="J4472" s="21">
        <f t="shared" si="207"/>
        <v>0.27953316253914035</v>
      </c>
      <c r="K4472" s="1">
        <v>2</v>
      </c>
      <c r="L4472" s="24">
        <v>8.9</v>
      </c>
      <c r="M4472" s="24">
        <v>80.910000000000011</v>
      </c>
      <c r="N4472" s="21">
        <f t="shared" si="208"/>
        <v>0.15157984628522636</v>
      </c>
      <c r="P4472" s="1">
        <v>4</v>
      </c>
      <c r="Q4472" s="24">
        <v>10.787999999999997</v>
      </c>
      <c r="R4472" s="24">
        <v>79.112000000000009</v>
      </c>
      <c r="S4472" s="21">
        <f t="shared" si="209"/>
        <v>0.12598918303444354</v>
      </c>
    </row>
    <row r="4473" spans="2:19" ht="11.4" customHeight="1" x14ac:dyDescent="0.2">
      <c r="B4473" s="24"/>
      <c r="C4473" s="14">
        <v>42484</v>
      </c>
      <c r="D4473" s="18" t="s">
        <v>4667</v>
      </c>
      <c r="E4473" s="18" t="s">
        <v>4555</v>
      </c>
      <c r="F4473" s="18"/>
      <c r="G4473" s="18" t="s">
        <v>23</v>
      </c>
      <c r="H4473" s="17">
        <v>199.5</v>
      </c>
      <c r="I4473" s="15">
        <v>319.89999999999998</v>
      </c>
      <c r="J4473" s="21">
        <f t="shared" si="207"/>
        <v>0.60350877192982444</v>
      </c>
      <c r="K4473" s="1">
        <v>2</v>
      </c>
      <c r="L4473" s="24">
        <v>31.9</v>
      </c>
      <c r="M4473" s="24">
        <v>287.90999999999997</v>
      </c>
      <c r="N4473" s="21">
        <f t="shared" si="208"/>
        <v>0.44315789473684197</v>
      </c>
      <c r="P4473" s="1">
        <v>4</v>
      </c>
      <c r="Q4473" s="24">
        <v>38.387999999999977</v>
      </c>
      <c r="R4473" s="24">
        <v>281.512</v>
      </c>
      <c r="S4473" s="21">
        <f t="shared" si="209"/>
        <v>0.41108771929824561</v>
      </c>
    </row>
    <row r="4474" spans="2:19" ht="11.4" customHeight="1" x14ac:dyDescent="0.2">
      <c r="B4474" s="24"/>
      <c r="C4474" s="14">
        <v>25304</v>
      </c>
      <c r="D4474" s="18" t="s">
        <v>4668</v>
      </c>
      <c r="E4474" s="18" t="s">
        <v>4555</v>
      </c>
      <c r="F4474" s="18"/>
      <c r="G4474" s="18" t="s">
        <v>23</v>
      </c>
      <c r="H4474" s="17">
        <v>141.80000000000001</v>
      </c>
      <c r="I4474" s="15">
        <v>279.89999999999998</v>
      </c>
      <c r="J4474" s="21">
        <f t="shared" si="207"/>
        <v>0.97390691114245387</v>
      </c>
      <c r="K4474" s="1">
        <v>2</v>
      </c>
      <c r="L4474" s="24">
        <v>27.9</v>
      </c>
      <c r="M4474" s="24">
        <v>251.91</v>
      </c>
      <c r="N4474" s="21">
        <f t="shared" si="208"/>
        <v>0.77651622002820853</v>
      </c>
      <c r="P4474" s="1">
        <v>4</v>
      </c>
      <c r="Q4474" s="24">
        <v>33.587999999999994</v>
      </c>
      <c r="R4474" s="24">
        <v>246.31199999999998</v>
      </c>
      <c r="S4474" s="21">
        <f t="shared" si="209"/>
        <v>0.73703808180535946</v>
      </c>
    </row>
    <row r="4475" spans="2:19" ht="11.4" customHeight="1" x14ac:dyDescent="0.2">
      <c r="B4475" s="24"/>
      <c r="C4475" s="14">
        <v>43355</v>
      </c>
      <c r="D4475" s="18" t="s">
        <v>4669</v>
      </c>
      <c r="E4475" s="18" t="s">
        <v>4555</v>
      </c>
      <c r="F4475" s="17">
        <v>1</v>
      </c>
      <c r="G4475" s="18" t="s">
        <v>23</v>
      </c>
      <c r="H4475" s="17">
        <v>177.34</v>
      </c>
      <c r="I4475" s="15">
        <v>249.9</v>
      </c>
      <c r="J4475" s="21">
        <f t="shared" si="207"/>
        <v>0.40915755046802754</v>
      </c>
      <c r="K4475" s="1">
        <v>2</v>
      </c>
      <c r="L4475" s="24">
        <v>24.9</v>
      </c>
      <c r="M4475" s="24">
        <v>224.91</v>
      </c>
      <c r="N4475" s="21">
        <f t="shared" si="208"/>
        <v>0.26824179542122473</v>
      </c>
      <c r="P4475" s="1">
        <v>4</v>
      </c>
      <c r="Q4475" s="24">
        <v>29.988</v>
      </c>
      <c r="R4475" s="24">
        <v>219.91200000000001</v>
      </c>
      <c r="S4475" s="21">
        <f t="shared" si="209"/>
        <v>0.24005864441186422</v>
      </c>
    </row>
    <row r="4476" spans="2:19" ht="11.4" customHeight="1" x14ac:dyDescent="0.2">
      <c r="B4476" s="24"/>
      <c r="C4476" s="14">
        <v>14294</v>
      </c>
      <c r="D4476" s="18" t="s">
        <v>4670</v>
      </c>
      <c r="E4476" s="18" t="s">
        <v>4555</v>
      </c>
      <c r="F4476" s="17">
        <v>20</v>
      </c>
      <c r="G4476" s="18" t="s">
        <v>23</v>
      </c>
      <c r="H4476" s="17">
        <v>92.88</v>
      </c>
      <c r="I4476" s="15">
        <v>116.9</v>
      </c>
      <c r="J4476" s="21">
        <f t="shared" si="207"/>
        <v>0.25861326442721805</v>
      </c>
      <c r="K4476" s="1">
        <v>2</v>
      </c>
      <c r="L4476" s="24">
        <v>11.6</v>
      </c>
      <c r="M4476" s="24">
        <v>105.21000000000001</v>
      </c>
      <c r="N4476" s="21">
        <f t="shared" si="208"/>
        <v>0.13275193798449628</v>
      </c>
      <c r="P4476" s="1">
        <v>4</v>
      </c>
      <c r="Q4476" s="24">
        <v>14.028000000000006</v>
      </c>
      <c r="R4476" s="24">
        <v>102.872</v>
      </c>
      <c r="S4476" s="21">
        <f t="shared" si="209"/>
        <v>0.10757967269595183</v>
      </c>
    </row>
    <row r="4477" spans="2:19" ht="11.4" customHeight="1" x14ac:dyDescent="0.2">
      <c r="B4477" s="24"/>
      <c r="C4477" s="14">
        <v>17138</v>
      </c>
      <c r="D4477" s="18" t="s">
        <v>4671</v>
      </c>
      <c r="E4477" s="18" t="s">
        <v>4555</v>
      </c>
      <c r="F4477" s="17">
        <v>28</v>
      </c>
      <c r="G4477" s="18" t="s">
        <v>23</v>
      </c>
      <c r="H4477" s="17">
        <v>55.8</v>
      </c>
      <c r="I4477" s="15">
        <v>69.900000000000006</v>
      </c>
      <c r="J4477" s="21">
        <f t="shared" si="207"/>
        <v>0.25268817204301092</v>
      </c>
      <c r="K4477" s="1">
        <v>2</v>
      </c>
      <c r="L4477" s="24">
        <v>6.9</v>
      </c>
      <c r="M4477" s="24">
        <v>62.910000000000004</v>
      </c>
      <c r="N4477" s="21">
        <f t="shared" si="208"/>
        <v>0.12741935483870981</v>
      </c>
      <c r="P4477" s="1">
        <v>4</v>
      </c>
      <c r="Q4477" s="24">
        <v>8.3879999999999981</v>
      </c>
      <c r="R4477" s="24">
        <v>61.512000000000008</v>
      </c>
      <c r="S4477" s="21">
        <f t="shared" si="209"/>
        <v>0.10236559139784965</v>
      </c>
    </row>
    <row r="4478" spans="2:19" ht="11.4" customHeight="1" x14ac:dyDescent="0.2">
      <c r="B4478" s="24"/>
      <c r="C4478" s="14">
        <v>9235</v>
      </c>
      <c r="D4478" s="18" t="s">
        <v>4672</v>
      </c>
      <c r="E4478" s="18" t="s">
        <v>4555</v>
      </c>
      <c r="F4478" s="17">
        <v>35</v>
      </c>
      <c r="G4478" s="18" t="s">
        <v>23</v>
      </c>
      <c r="H4478" s="17">
        <v>54.5</v>
      </c>
      <c r="I4478" s="15">
        <v>71.7</v>
      </c>
      <c r="J4478" s="21">
        <f t="shared" si="207"/>
        <v>0.31559633027522943</v>
      </c>
      <c r="K4478" s="1">
        <v>2</v>
      </c>
      <c r="L4478" s="24">
        <v>7.1</v>
      </c>
      <c r="M4478" s="24">
        <v>64.53</v>
      </c>
      <c r="N4478" s="21">
        <f t="shared" si="208"/>
        <v>0.18403669724770644</v>
      </c>
      <c r="P4478" s="1">
        <v>4</v>
      </c>
      <c r="Q4478" s="24">
        <v>8.6039999999999992</v>
      </c>
      <c r="R4478" s="24">
        <v>63.096000000000004</v>
      </c>
      <c r="S4478" s="21">
        <f t="shared" si="209"/>
        <v>0.15772477064220189</v>
      </c>
    </row>
    <row r="4479" spans="2:19" ht="11.4" customHeight="1" x14ac:dyDescent="0.2">
      <c r="B4479" s="24"/>
      <c r="C4479" s="14">
        <v>24303</v>
      </c>
      <c r="D4479" s="18" t="s">
        <v>4673</v>
      </c>
      <c r="E4479" s="18" t="s">
        <v>4555</v>
      </c>
      <c r="F4479" s="17">
        <v>15</v>
      </c>
      <c r="G4479" s="18" t="s">
        <v>23</v>
      </c>
      <c r="H4479" s="17">
        <v>61.9</v>
      </c>
      <c r="I4479" s="15">
        <v>62.9</v>
      </c>
      <c r="J4479" s="21">
        <f t="shared" si="207"/>
        <v>1.6155088852988692E-2</v>
      </c>
      <c r="K4479" s="1">
        <v>2</v>
      </c>
      <c r="L4479" s="24">
        <v>6.2</v>
      </c>
      <c r="M4479" s="24">
        <v>56.61</v>
      </c>
      <c r="N4479" s="21">
        <f t="shared" si="208"/>
        <v>-8.5460420032310164E-2</v>
      </c>
      <c r="P4479" s="1">
        <v>4</v>
      </c>
      <c r="Q4479" s="24">
        <v>7.5480000000000018</v>
      </c>
      <c r="R4479" s="24">
        <v>55.351999999999997</v>
      </c>
      <c r="S4479" s="21">
        <f t="shared" si="209"/>
        <v>-0.10578352180936998</v>
      </c>
    </row>
    <row r="4480" spans="2:19" ht="11.4" customHeight="1" x14ac:dyDescent="0.2">
      <c r="B4480" s="24"/>
      <c r="C4480" s="14">
        <v>23298</v>
      </c>
      <c r="D4480" s="18" t="s">
        <v>4674</v>
      </c>
      <c r="E4480" s="18" t="s">
        <v>4555</v>
      </c>
      <c r="F4480" s="17">
        <v>10</v>
      </c>
      <c r="G4480" s="18" t="s">
        <v>23</v>
      </c>
      <c r="H4480" s="17">
        <v>110.09</v>
      </c>
      <c r="I4480" s="15">
        <v>137.5</v>
      </c>
      <c r="J4480" s="21">
        <f t="shared" si="207"/>
        <v>0.24897810882005628</v>
      </c>
      <c r="K4480" s="1">
        <v>2</v>
      </c>
      <c r="L4480" s="24">
        <v>13.7</v>
      </c>
      <c r="M4480" s="24">
        <v>123.75</v>
      </c>
      <c r="N4480" s="21">
        <f t="shared" si="208"/>
        <v>0.12408029793805066</v>
      </c>
      <c r="P4480" s="1">
        <v>4</v>
      </c>
      <c r="Q4480" s="24">
        <v>16.5</v>
      </c>
      <c r="R4480" s="24">
        <v>121</v>
      </c>
      <c r="S4480" s="21">
        <f t="shared" si="209"/>
        <v>9.910073576164953E-2</v>
      </c>
    </row>
    <row r="4481" spans="2:19" ht="11.4" customHeight="1" x14ac:dyDescent="0.2">
      <c r="B4481" s="24"/>
      <c r="C4481" s="14">
        <v>7143</v>
      </c>
      <c r="D4481" s="18" t="s">
        <v>4675</v>
      </c>
      <c r="E4481" s="18" t="s">
        <v>4555</v>
      </c>
      <c r="F4481" s="17">
        <v>30</v>
      </c>
      <c r="G4481" s="18" t="s">
        <v>23</v>
      </c>
      <c r="H4481" s="17">
        <v>85.62</v>
      </c>
      <c r="I4481" s="15">
        <v>105.9</v>
      </c>
      <c r="J4481" s="21">
        <f t="shared" si="207"/>
        <v>0.23686054660126138</v>
      </c>
      <c r="K4481" s="1">
        <v>2</v>
      </c>
      <c r="L4481" s="24">
        <v>10.5</v>
      </c>
      <c r="M4481" s="24">
        <v>95.31</v>
      </c>
      <c r="N4481" s="21">
        <f t="shared" si="208"/>
        <v>0.11317449194113521</v>
      </c>
      <c r="P4481" s="1">
        <v>4</v>
      </c>
      <c r="Q4481" s="24">
        <v>12.707999999999998</v>
      </c>
      <c r="R4481" s="24">
        <v>93.192000000000007</v>
      </c>
      <c r="S4481" s="21">
        <f t="shared" si="209"/>
        <v>8.8437281009110053E-2</v>
      </c>
    </row>
    <row r="4482" spans="2:19" ht="11.4" customHeight="1" x14ac:dyDescent="0.2">
      <c r="B4482" s="24"/>
      <c r="C4482" s="14">
        <v>37459</v>
      </c>
      <c r="D4482" s="18" t="s">
        <v>4676</v>
      </c>
      <c r="E4482" s="18" t="s">
        <v>4555</v>
      </c>
      <c r="F4482" s="18"/>
      <c r="G4482" s="18" t="s">
        <v>23</v>
      </c>
      <c r="H4482" s="17">
        <v>109.08</v>
      </c>
      <c r="I4482" s="15">
        <v>136.9</v>
      </c>
      <c r="J4482" s="21">
        <f t="shared" si="207"/>
        <v>0.25504217088375514</v>
      </c>
      <c r="K4482" s="1">
        <v>2</v>
      </c>
      <c r="L4482" s="24">
        <v>13.6</v>
      </c>
      <c r="M4482" s="24">
        <v>123.21000000000001</v>
      </c>
      <c r="N4482" s="21">
        <f t="shared" si="208"/>
        <v>0.12953795379537963</v>
      </c>
      <c r="P4482" s="1">
        <v>4</v>
      </c>
      <c r="Q4482" s="24">
        <v>16.427999999999997</v>
      </c>
      <c r="R4482" s="24">
        <v>120.47200000000001</v>
      </c>
      <c r="S4482" s="21">
        <f t="shared" si="209"/>
        <v>0.10443711037770453</v>
      </c>
    </row>
    <row r="4483" spans="2:19" ht="11.4" customHeight="1" x14ac:dyDescent="0.2">
      <c r="B4483" s="24"/>
      <c r="C4483" s="14">
        <v>24302</v>
      </c>
      <c r="D4483" s="18" t="s">
        <v>4677</v>
      </c>
      <c r="E4483" s="18" t="s">
        <v>4555</v>
      </c>
      <c r="F4483" s="18"/>
      <c r="G4483" s="18" t="s">
        <v>23</v>
      </c>
      <c r="H4483" s="17">
        <v>39.9</v>
      </c>
      <c r="I4483" s="15">
        <v>62.9</v>
      </c>
      <c r="J4483" s="21">
        <f t="shared" ref="J4483:J4546" si="210">(I4483-H4483)/H4483</f>
        <v>0.5764411027568922</v>
      </c>
      <c r="K4483" s="1">
        <v>2</v>
      </c>
      <c r="L4483" s="24">
        <v>6.2</v>
      </c>
      <c r="M4483" s="24">
        <v>56.61</v>
      </c>
      <c r="N4483" s="21">
        <f t="shared" ref="N4483:N4546" si="211">(M4483-H4483)/H4483</f>
        <v>0.41879699248120306</v>
      </c>
      <c r="P4483" s="1">
        <v>4</v>
      </c>
      <c r="Q4483" s="24">
        <v>7.5480000000000018</v>
      </c>
      <c r="R4483" s="24">
        <v>55.351999999999997</v>
      </c>
      <c r="S4483" s="21">
        <f t="shared" ref="S4483:S4546" si="212">(R4483-H4483)/H4483</f>
        <v>0.38726817042606515</v>
      </c>
    </row>
    <row r="4484" spans="2:19" ht="11.4" customHeight="1" x14ac:dyDescent="0.2">
      <c r="B4484" s="24"/>
      <c r="C4484" s="14">
        <v>43575</v>
      </c>
      <c r="D4484" s="18" t="s">
        <v>4678</v>
      </c>
      <c r="E4484" s="18" t="s">
        <v>4679</v>
      </c>
      <c r="F4484" s="17">
        <v>6</v>
      </c>
      <c r="G4484" s="18" t="s">
        <v>23</v>
      </c>
      <c r="H4484" s="17">
        <v>154</v>
      </c>
      <c r="I4484" s="15">
        <v>216</v>
      </c>
      <c r="J4484" s="21">
        <f t="shared" si="210"/>
        <v>0.40259740259740262</v>
      </c>
      <c r="K4484" s="1">
        <v>2</v>
      </c>
      <c r="L4484" s="24">
        <v>21.6</v>
      </c>
      <c r="M4484" s="24">
        <v>194.4</v>
      </c>
      <c r="N4484" s="21">
        <f t="shared" si="211"/>
        <v>0.26233766233766237</v>
      </c>
      <c r="P4484" s="1">
        <v>4</v>
      </c>
      <c r="Q4484" s="24">
        <v>25.919999999999987</v>
      </c>
      <c r="R4484" s="24">
        <v>190.08</v>
      </c>
      <c r="S4484" s="21">
        <f t="shared" si="212"/>
        <v>0.23428571428571437</v>
      </c>
    </row>
    <row r="4485" spans="2:19" ht="11.4" customHeight="1" x14ac:dyDescent="0.2">
      <c r="B4485" s="24"/>
      <c r="C4485" s="14">
        <v>35501</v>
      </c>
      <c r="D4485" s="18" t="s">
        <v>4680</v>
      </c>
      <c r="E4485" s="18" t="s">
        <v>4679</v>
      </c>
      <c r="F4485" s="17">
        <v>6</v>
      </c>
      <c r="G4485" s="18" t="s">
        <v>23</v>
      </c>
      <c r="H4485" s="17">
        <v>154</v>
      </c>
      <c r="I4485" s="15">
        <v>216</v>
      </c>
      <c r="J4485" s="21">
        <f t="shared" si="210"/>
        <v>0.40259740259740262</v>
      </c>
      <c r="K4485" s="1">
        <v>2</v>
      </c>
      <c r="L4485" s="24">
        <v>21.6</v>
      </c>
      <c r="M4485" s="24">
        <v>194.4</v>
      </c>
      <c r="N4485" s="21">
        <f t="shared" si="211"/>
        <v>0.26233766233766237</v>
      </c>
      <c r="P4485" s="1">
        <v>4</v>
      </c>
      <c r="Q4485" s="24">
        <v>25.919999999999987</v>
      </c>
      <c r="R4485" s="24">
        <v>190.08</v>
      </c>
      <c r="S4485" s="21">
        <f t="shared" si="212"/>
        <v>0.23428571428571437</v>
      </c>
    </row>
    <row r="4486" spans="2:19" ht="11.4" customHeight="1" x14ac:dyDescent="0.2">
      <c r="B4486" s="24"/>
      <c r="C4486" s="14">
        <v>4971</v>
      </c>
      <c r="D4486" s="18" t="s">
        <v>4681</v>
      </c>
      <c r="E4486" s="18" t="s">
        <v>4682</v>
      </c>
      <c r="F4486" s="17">
        <v>15</v>
      </c>
      <c r="G4486" s="18" t="s">
        <v>23</v>
      </c>
      <c r="H4486" s="17">
        <v>142.9</v>
      </c>
      <c r="I4486" s="15">
        <v>165.9</v>
      </c>
      <c r="J4486" s="21">
        <f t="shared" si="210"/>
        <v>0.16095171448565429</v>
      </c>
      <c r="K4486" s="1">
        <v>2</v>
      </c>
      <c r="L4486" s="24">
        <v>16.5</v>
      </c>
      <c r="M4486" s="24">
        <v>149.31</v>
      </c>
      <c r="N4486" s="21">
        <f t="shared" si="211"/>
        <v>4.4856543037088845E-2</v>
      </c>
      <c r="P4486" s="1">
        <v>4</v>
      </c>
      <c r="Q4486" s="24">
        <v>19.907999999999987</v>
      </c>
      <c r="R4486" s="24">
        <v>145.99200000000002</v>
      </c>
      <c r="S4486" s="21">
        <f t="shared" si="212"/>
        <v>2.1637508747375876E-2</v>
      </c>
    </row>
    <row r="4487" spans="2:19" ht="11.4" customHeight="1" x14ac:dyDescent="0.2">
      <c r="B4487" s="24"/>
      <c r="C4487" s="14">
        <v>9310</v>
      </c>
      <c r="D4487" s="18" t="s">
        <v>4683</v>
      </c>
      <c r="E4487" s="18" t="s">
        <v>4682</v>
      </c>
      <c r="F4487" s="17">
        <v>15</v>
      </c>
      <c r="G4487" s="18" t="s">
        <v>23</v>
      </c>
      <c r="H4487" s="17">
        <v>195.5</v>
      </c>
      <c r="I4487" s="15">
        <v>226.4</v>
      </c>
      <c r="J4487" s="21">
        <f t="shared" si="210"/>
        <v>0.15805626598465475</v>
      </c>
      <c r="K4487" s="1">
        <v>2</v>
      </c>
      <c r="L4487" s="24">
        <v>22.6</v>
      </c>
      <c r="M4487" s="24">
        <v>203.76000000000002</v>
      </c>
      <c r="N4487" s="21">
        <f t="shared" si="211"/>
        <v>4.2250639386189358E-2</v>
      </c>
      <c r="P4487" s="1">
        <v>4</v>
      </c>
      <c r="Q4487" s="24">
        <v>27.168000000000006</v>
      </c>
      <c r="R4487" s="24">
        <v>199.232</v>
      </c>
      <c r="S4487" s="21">
        <f t="shared" si="212"/>
        <v>1.9089514066496161E-2</v>
      </c>
    </row>
    <row r="4488" spans="2:19" ht="11.4" customHeight="1" x14ac:dyDescent="0.2">
      <c r="B4488" s="24"/>
      <c r="C4488" s="14">
        <v>34463</v>
      </c>
      <c r="D4488" s="18" t="s">
        <v>4684</v>
      </c>
      <c r="E4488" s="18" t="s">
        <v>4682</v>
      </c>
      <c r="F4488" s="17">
        <v>12</v>
      </c>
      <c r="G4488" s="18" t="s">
        <v>23</v>
      </c>
      <c r="H4488" s="17">
        <v>69.900000000000006</v>
      </c>
      <c r="I4488" s="15">
        <v>64</v>
      </c>
      <c r="J4488" s="21">
        <f t="shared" si="210"/>
        <v>-8.4406294706723964E-2</v>
      </c>
      <c r="K4488" s="1">
        <v>2</v>
      </c>
      <c r="L4488" s="24">
        <v>6.4</v>
      </c>
      <c r="M4488" s="24">
        <v>57.6</v>
      </c>
      <c r="N4488" s="21">
        <f t="shared" si="211"/>
        <v>-0.17596566523605156</v>
      </c>
      <c r="P4488" s="1">
        <v>4</v>
      </c>
      <c r="Q4488" s="24">
        <v>7.68</v>
      </c>
      <c r="R4488" s="24">
        <v>56.32</v>
      </c>
      <c r="S4488" s="21">
        <f t="shared" si="212"/>
        <v>-0.19427753934191708</v>
      </c>
    </row>
    <row r="4489" spans="2:19" ht="11.4" customHeight="1" x14ac:dyDescent="0.2">
      <c r="B4489" s="24"/>
      <c r="C4489" s="14">
        <v>34464</v>
      </c>
      <c r="D4489" s="18" t="s">
        <v>4685</v>
      </c>
      <c r="E4489" s="18" t="s">
        <v>4682</v>
      </c>
      <c r="F4489" s="17">
        <v>12</v>
      </c>
      <c r="G4489" s="18" t="s">
        <v>23</v>
      </c>
      <c r="H4489" s="17">
        <v>69.900000000000006</v>
      </c>
      <c r="I4489" s="15">
        <v>64</v>
      </c>
      <c r="J4489" s="21">
        <f t="shared" si="210"/>
        <v>-8.4406294706723964E-2</v>
      </c>
      <c r="K4489" s="1">
        <v>2</v>
      </c>
      <c r="L4489" s="24">
        <v>6.4</v>
      </c>
      <c r="M4489" s="24">
        <v>57.6</v>
      </c>
      <c r="N4489" s="21">
        <f t="shared" si="211"/>
        <v>-0.17596566523605156</v>
      </c>
      <c r="P4489" s="1">
        <v>4</v>
      </c>
      <c r="Q4489" s="24">
        <v>7.68</v>
      </c>
      <c r="R4489" s="24">
        <v>56.32</v>
      </c>
      <c r="S4489" s="21">
        <f t="shared" si="212"/>
        <v>-0.19427753934191708</v>
      </c>
    </row>
    <row r="4490" spans="2:19" ht="11.4" customHeight="1" x14ac:dyDescent="0.2">
      <c r="B4490" s="24"/>
      <c r="C4490" s="14">
        <v>11714</v>
      </c>
      <c r="D4490" s="18" t="s">
        <v>4686</v>
      </c>
      <c r="E4490" s="18" t="s">
        <v>4682</v>
      </c>
      <c r="F4490" s="17">
        <v>12</v>
      </c>
      <c r="G4490" s="18" t="s">
        <v>23</v>
      </c>
      <c r="H4490" s="17">
        <v>71.58</v>
      </c>
      <c r="I4490" s="15">
        <v>94.9</v>
      </c>
      <c r="J4490" s="21">
        <f t="shared" si="210"/>
        <v>0.32578932662754972</v>
      </c>
      <c r="K4490" s="1">
        <v>2</v>
      </c>
      <c r="L4490" s="24">
        <v>9.4</v>
      </c>
      <c r="M4490" s="24">
        <v>85.410000000000011</v>
      </c>
      <c r="N4490" s="21">
        <f t="shared" si="211"/>
        <v>0.19321039396479481</v>
      </c>
      <c r="P4490" s="1">
        <v>4</v>
      </c>
      <c r="Q4490" s="24">
        <v>11.388000000000005</v>
      </c>
      <c r="R4490" s="24">
        <v>83.512</v>
      </c>
      <c r="S4490" s="21">
        <f t="shared" si="212"/>
        <v>0.16669460743224368</v>
      </c>
    </row>
    <row r="4491" spans="2:19" ht="11.4" customHeight="1" x14ac:dyDescent="0.2">
      <c r="B4491" s="24"/>
      <c r="C4491" s="14">
        <v>181</v>
      </c>
      <c r="D4491" s="18" t="s">
        <v>4687</v>
      </c>
      <c r="E4491" s="18" t="s">
        <v>4682</v>
      </c>
      <c r="F4491" s="18"/>
      <c r="G4491" s="18" t="s">
        <v>23</v>
      </c>
      <c r="H4491" s="17">
        <v>64.8</v>
      </c>
      <c r="I4491" s="15">
        <v>64</v>
      </c>
      <c r="J4491" s="21">
        <f t="shared" si="210"/>
        <v>-1.2345679012345635E-2</v>
      </c>
      <c r="K4491" s="1">
        <v>2</v>
      </c>
      <c r="L4491" s="24">
        <v>6.4</v>
      </c>
      <c r="M4491" s="24">
        <v>57.6</v>
      </c>
      <c r="N4491" s="21">
        <f t="shared" si="211"/>
        <v>-0.11111111111111105</v>
      </c>
      <c r="P4491" s="1">
        <v>4</v>
      </c>
      <c r="Q4491" s="24">
        <v>7.68</v>
      </c>
      <c r="R4491" s="24">
        <v>56.32</v>
      </c>
      <c r="S4491" s="21">
        <f t="shared" si="212"/>
        <v>-0.13086419753086415</v>
      </c>
    </row>
    <row r="4492" spans="2:19" ht="11.4" customHeight="1" x14ac:dyDescent="0.2">
      <c r="B4492" s="24"/>
      <c r="C4492" s="14">
        <v>10841</v>
      </c>
      <c r="D4492" s="18" t="s">
        <v>4688</v>
      </c>
      <c r="E4492" s="18" t="s">
        <v>4682</v>
      </c>
      <c r="F4492" s="17">
        <v>12</v>
      </c>
      <c r="G4492" s="18" t="s">
        <v>23</v>
      </c>
      <c r="H4492" s="17">
        <v>71.58</v>
      </c>
      <c r="I4492" s="15">
        <v>94.9</v>
      </c>
      <c r="J4492" s="21">
        <f t="shared" si="210"/>
        <v>0.32578932662754972</v>
      </c>
      <c r="K4492" s="1">
        <v>2</v>
      </c>
      <c r="L4492" s="24">
        <v>9.4</v>
      </c>
      <c r="M4492" s="24">
        <v>85.410000000000011</v>
      </c>
      <c r="N4492" s="21">
        <f t="shared" si="211"/>
        <v>0.19321039396479481</v>
      </c>
      <c r="P4492" s="1">
        <v>4</v>
      </c>
      <c r="Q4492" s="24">
        <v>11.388000000000005</v>
      </c>
      <c r="R4492" s="24">
        <v>83.512</v>
      </c>
      <c r="S4492" s="21">
        <f t="shared" si="212"/>
        <v>0.16669460743224368</v>
      </c>
    </row>
    <row r="4493" spans="2:19" ht="11.4" customHeight="1" x14ac:dyDescent="0.2">
      <c r="B4493" s="24"/>
      <c r="C4493" s="14">
        <v>44535</v>
      </c>
      <c r="D4493" s="18" t="s">
        <v>4689</v>
      </c>
      <c r="E4493" s="18" t="s">
        <v>4682</v>
      </c>
      <c r="F4493" s="17">
        <v>16</v>
      </c>
      <c r="G4493" s="18" t="s">
        <v>23</v>
      </c>
      <c r="H4493" s="17">
        <v>72.849999999999994</v>
      </c>
      <c r="I4493" s="15">
        <v>104.9</v>
      </c>
      <c r="J4493" s="21">
        <f t="shared" si="210"/>
        <v>0.43994509265614296</v>
      </c>
      <c r="K4493" s="1">
        <v>2</v>
      </c>
      <c r="L4493" s="24">
        <v>10.4</v>
      </c>
      <c r="M4493" s="24">
        <v>94.410000000000011</v>
      </c>
      <c r="N4493" s="21">
        <f t="shared" si="211"/>
        <v>0.29595058339052871</v>
      </c>
      <c r="P4493" s="1">
        <v>4</v>
      </c>
      <c r="Q4493" s="24">
        <v>12.587999999999994</v>
      </c>
      <c r="R4493" s="24">
        <v>92.312000000000012</v>
      </c>
      <c r="S4493" s="21">
        <f t="shared" si="212"/>
        <v>0.26715168153740587</v>
      </c>
    </row>
    <row r="4494" spans="2:19" ht="11.4" customHeight="1" x14ac:dyDescent="0.2">
      <c r="B4494" s="24"/>
      <c r="C4494" s="14">
        <v>44538</v>
      </c>
      <c r="D4494" s="18" t="s">
        <v>4690</v>
      </c>
      <c r="E4494" s="18" t="s">
        <v>4682</v>
      </c>
      <c r="F4494" s="17">
        <v>16</v>
      </c>
      <c r="G4494" s="18" t="s">
        <v>23</v>
      </c>
      <c r="H4494" s="17">
        <v>74.56</v>
      </c>
      <c r="I4494" s="15">
        <v>104.9</v>
      </c>
      <c r="J4494" s="21">
        <f t="shared" si="210"/>
        <v>0.40692060085836912</v>
      </c>
      <c r="K4494" s="1">
        <v>2</v>
      </c>
      <c r="L4494" s="24">
        <v>10.4</v>
      </c>
      <c r="M4494" s="24">
        <v>94.410000000000011</v>
      </c>
      <c r="N4494" s="21">
        <f t="shared" si="211"/>
        <v>0.26622854077253227</v>
      </c>
      <c r="P4494" s="1">
        <v>4</v>
      </c>
      <c r="Q4494" s="24">
        <v>12.587999999999994</v>
      </c>
      <c r="R4494" s="24">
        <v>92.312000000000012</v>
      </c>
      <c r="S4494" s="21">
        <f t="shared" si="212"/>
        <v>0.23809012875536492</v>
      </c>
    </row>
    <row r="4495" spans="2:19" ht="11.4" customHeight="1" x14ac:dyDescent="0.2">
      <c r="B4495" s="24"/>
      <c r="C4495" s="14">
        <v>44537</v>
      </c>
      <c r="D4495" s="18" t="s">
        <v>4691</v>
      </c>
      <c r="E4495" s="18" t="s">
        <v>4682</v>
      </c>
      <c r="F4495" s="17">
        <v>12</v>
      </c>
      <c r="G4495" s="18" t="s">
        <v>23</v>
      </c>
      <c r="H4495" s="17">
        <v>73.2</v>
      </c>
      <c r="I4495" s="15">
        <v>104.9</v>
      </c>
      <c r="J4495" s="21">
        <f t="shared" si="210"/>
        <v>0.43306010928961752</v>
      </c>
      <c r="K4495" s="1">
        <v>2</v>
      </c>
      <c r="L4495" s="24">
        <v>10.4</v>
      </c>
      <c r="M4495" s="24">
        <v>94.410000000000011</v>
      </c>
      <c r="N4495" s="21">
        <f t="shared" si="211"/>
        <v>0.28975409836065585</v>
      </c>
      <c r="P4495" s="1">
        <v>4</v>
      </c>
      <c r="Q4495" s="24">
        <v>12.587999999999994</v>
      </c>
      <c r="R4495" s="24">
        <v>92.312000000000012</v>
      </c>
      <c r="S4495" s="21">
        <f t="shared" si="212"/>
        <v>0.26109289617486348</v>
      </c>
    </row>
    <row r="4496" spans="2:19" ht="11.4" customHeight="1" x14ac:dyDescent="0.2">
      <c r="B4496" s="24"/>
      <c r="C4496" s="14">
        <v>40586</v>
      </c>
      <c r="D4496" s="18" t="s">
        <v>4692</v>
      </c>
      <c r="E4496" s="18" t="s">
        <v>3360</v>
      </c>
      <c r="F4496" s="17">
        <v>10</v>
      </c>
      <c r="G4496" s="18" t="s">
        <v>23</v>
      </c>
      <c r="H4496" s="17">
        <v>59.22</v>
      </c>
      <c r="I4496" s="15">
        <v>80.900000000000006</v>
      </c>
      <c r="J4496" s="21">
        <f t="shared" si="210"/>
        <v>0.36609253630530236</v>
      </c>
      <c r="K4496" s="1">
        <v>2</v>
      </c>
      <c r="L4496" s="24">
        <v>8</v>
      </c>
      <c r="M4496" s="24">
        <v>72.81</v>
      </c>
      <c r="N4496" s="21">
        <f t="shared" si="211"/>
        <v>0.22948328267477211</v>
      </c>
      <c r="P4496" s="1">
        <v>4</v>
      </c>
      <c r="Q4496" s="24">
        <v>9.7079999999999984</v>
      </c>
      <c r="R4496" s="24">
        <v>71.192000000000007</v>
      </c>
      <c r="S4496" s="21">
        <f t="shared" si="212"/>
        <v>0.20216143194866615</v>
      </c>
    </row>
    <row r="4497" spans="2:19" ht="11.4" customHeight="1" x14ac:dyDescent="0.2">
      <c r="B4497" s="24"/>
      <c r="C4497" s="14">
        <v>40587</v>
      </c>
      <c r="D4497" s="18" t="s">
        <v>4693</v>
      </c>
      <c r="E4497" s="18" t="s">
        <v>3360</v>
      </c>
      <c r="F4497" s="18"/>
      <c r="G4497" s="18" t="s">
        <v>23</v>
      </c>
      <c r="H4497" s="17">
        <v>57.96</v>
      </c>
      <c r="I4497" s="15">
        <v>79</v>
      </c>
      <c r="J4497" s="21">
        <f t="shared" si="210"/>
        <v>0.36300897170462387</v>
      </c>
      <c r="K4497" s="1">
        <v>2</v>
      </c>
      <c r="L4497" s="24">
        <v>7.8</v>
      </c>
      <c r="M4497" s="24">
        <v>71.100000000000009</v>
      </c>
      <c r="N4497" s="21">
        <f t="shared" si="211"/>
        <v>0.22670807453416161</v>
      </c>
      <c r="P4497" s="1">
        <v>4</v>
      </c>
      <c r="Q4497" s="24">
        <v>9.480000000000004</v>
      </c>
      <c r="R4497" s="24">
        <v>69.52</v>
      </c>
      <c r="S4497" s="21">
        <f t="shared" si="212"/>
        <v>0.19944789510006894</v>
      </c>
    </row>
    <row r="4498" spans="2:19" ht="11.4" customHeight="1" x14ac:dyDescent="0.2">
      <c r="B4498" s="24"/>
      <c r="C4498" s="14">
        <v>40585</v>
      </c>
      <c r="D4498" s="18" t="s">
        <v>4694</v>
      </c>
      <c r="E4498" s="18" t="s">
        <v>3360</v>
      </c>
      <c r="F4498" s="17">
        <v>10</v>
      </c>
      <c r="G4498" s="18" t="s">
        <v>23</v>
      </c>
      <c r="H4498" s="17">
        <v>55.44</v>
      </c>
      <c r="I4498" s="15">
        <v>75.5</v>
      </c>
      <c r="J4498" s="21">
        <f t="shared" si="210"/>
        <v>0.36183261183261189</v>
      </c>
      <c r="K4498" s="1">
        <v>2</v>
      </c>
      <c r="L4498" s="24">
        <v>7.5</v>
      </c>
      <c r="M4498" s="24">
        <v>67.95</v>
      </c>
      <c r="N4498" s="21">
        <f t="shared" si="211"/>
        <v>0.22564935064935074</v>
      </c>
      <c r="P4498" s="1">
        <v>4</v>
      </c>
      <c r="Q4498" s="24">
        <v>9.0600000000000023</v>
      </c>
      <c r="R4498" s="24">
        <v>66.44</v>
      </c>
      <c r="S4498" s="21">
        <f t="shared" si="212"/>
        <v>0.19841269841269843</v>
      </c>
    </row>
    <row r="4499" spans="2:19" ht="11.4" customHeight="1" x14ac:dyDescent="0.2">
      <c r="B4499" s="24"/>
      <c r="C4499" s="14">
        <v>36955</v>
      </c>
      <c r="D4499" s="18" t="s">
        <v>4695</v>
      </c>
      <c r="E4499" s="18" t="s">
        <v>4696</v>
      </c>
      <c r="F4499" s="18"/>
      <c r="G4499" s="18" t="s">
        <v>23</v>
      </c>
      <c r="H4499" s="17">
        <v>15.9</v>
      </c>
      <c r="I4499" s="15">
        <v>16.5</v>
      </c>
      <c r="J4499" s="21">
        <f t="shared" si="210"/>
        <v>3.7735849056603751E-2</v>
      </c>
      <c r="K4499" s="1">
        <v>2</v>
      </c>
      <c r="L4499" s="24">
        <v>1.6</v>
      </c>
      <c r="M4499" s="24">
        <v>14.85</v>
      </c>
      <c r="N4499" s="21">
        <f t="shared" si="211"/>
        <v>-6.6037735849056645E-2</v>
      </c>
      <c r="P4499" s="1">
        <v>4</v>
      </c>
      <c r="Q4499" s="24">
        <v>1.9800000000000004</v>
      </c>
      <c r="R4499" s="24">
        <v>14.52</v>
      </c>
      <c r="S4499" s="21">
        <f t="shared" si="212"/>
        <v>-8.6792452830188729E-2</v>
      </c>
    </row>
    <row r="4500" spans="2:19" ht="11.4" customHeight="1" x14ac:dyDescent="0.2">
      <c r="B4500" s="24"/>
      <c r="C4500" s="14">
        <v>546</v>
      </c>
      <c r="D4500" s="18" t="s">
        <v>4697</v>
      </c>
      <c r="E4500" s="18" t="s">
        <v>4696</v>
      </c>
      <c r="F4500" s="18"/>
      <c r="G4500" s="18" t="s">
        <v>23</v>
      </c>
      <c r="H4500" s="17">
        <v>13.2</v>
      </c>
      <c r="I4500" s="15">
        <v>14.5</v>
      </c>
      <c r="J4500" s="21">
        <f t="shared" si="210"/>
        <v>9.848484848484855E-2</v>
      </c>
      <c r="K4500" s="1">
        <v>2</v>
      </c>
      <c r="L4500" s="24">
        <v>1.4</v>
      </c>
      <c r="M4500" s="24">
        <v>13.05</v>
      </c>
      <c r="N4500" s="21">
        <f t="shared" si="211"/>
        <v>-1.1363636363636256E-2</v>
      </c>
      <c r="P4500" s="1">
        <v>4</v>
      </c>
      <c r="Q4500" s="24">
        <v>1.7400000000000002</v>
      </c>
      <c r="R4500" s="24">
        <v>12.76</v>
      </c>
      <c r="S4500" s="21">
        <f t="shared" si="212"/>
        <v>-3.3333333333333298E-2</v>
      </c>
    </row>
    <row r="4501" spans="2:19" ht="11.4" customHeight="1" x14ac:dyDescent="0.2">
      <c r="B4501" s="24"/>
      <c r="C4501" s="14">
        <v>36954</v>
      </c>
      <c r="D4501" s="18" t="s">
        <v>4698</v>
      </c>
      <c r="E4501" s="18" t="s">
        <v>4696</v>
      </c>
      <c r="F4501" s="18"/>
      <c r="G4501" s="18" t="s">
        <v>23</v>
      </c>
      <c r="H4501" s="17">
        <v>23.4</v>
      </c>
      <c r="I4501" s="15">
        <v>23.9</v>
      </c>
      <c r="J4501" s="21">
        <f t="shared" si="210"/>
        <v>2.1367521367521368E-2</v>
      </c>
      <c r="K4501" s="1">
        <v>2</v>
      </c>
      <c r="L4501" s="24">
        <v>2.2999999999999998</v>
      </c>
      <c r="M4501" s="24">
        <v>21.509999999999998</v>
      </c>
      <c r="N4501" s="21">
        <f t="shared" si="211"/>
        <v>-8.0769230769230801E-2</v>
      </c>
      <c r="P4501" s="1">
        <v>4</v>
      </c>
      <c r="Q4501" s="24">
        <v>2.8679999999999986</v>
      </c>
      <c r="R4501" s="24">
        <v>21.032</v>
      </c>
      <c r="S4501" s="21">
        <f t="shared" si="212"/>
        <v>-0.10119658119658113</v>
      </c>
    </row>
    <row r="4502" spans="2:19" ht="11.4" customHeight="1" x14ac:dyDescent="0.2">
      <c r="B4502" s="24"/>
      <c r="C4502" s="14">
        <v>36956</v>
      </c>
      <c r="D4502" s="18" t="s">
        <v>4699</v>
      </c>
      <c r="E4502" s="18" t="s">
        <v>4696</v>
      </c>
      <c r="F4502" s="18"/>
      <c r="G4502" s="18" t="s">
        <v>23</v>
      </c>
      <c r="H4502" s="17">
        <v>62.9</v>
      </c>
      <c r="I4502" s="15">
        <v>66.5</v>
      </c>
      <c r="J4502" s="21">
        <f t="shared" si="210"/>
        <v>5.7233704292527846E-2</v>
      </c>
      <c r="K4502" s="1">
        <v>2</v>
      </c>
      <c r="L4502" s="24">
        <v>6.6</v>
      </c>
      <c r="M4502" s="24">
        <v>59.85</v>
      </c>
      <c r="N4502" s="21">
        <f t="shared" si="211"/>
        <v>-4.8489666136724917E-2</v>
      </c>
      <c r="P4502" s="1">
        <v>4</v>
      </c>
      <c r="Q4502" s="24">
        <v>7.9799999999999969</v>
      </c>
      <c r="R4502" s="24">
        <v>58.52</v>
      </c>
      <c r="S4502" s="21">
        <f t="shared" si="212"/>
        <v>-6.9634340222575447E-2</v>
      </c>
    </row>
    <row r="4503" spans="2:19" ht="11.4" customHeight="1" x14ac:dyDescent="0.2">
      <c r="B4503" s="24"/>
      <c r="C4503" s="14">
        <v>10555</v>
      </c>
      <c r="D4503" s="18" t="s">
        <v>4700</v>
      </c>
      <c r="E4503" s="18" t="s">
        <v>4696</v>
      </c>
      <c r="F4503" s="18"/>
      <c r="G4503" s="18" t="s">
        <v>23</v>
      </c>
      <c r="H4503" s="17">
        <v>25.1</v>
      </c>
      <c r="I4503" s="15">
        <v>29.4</v>
      </c>
      <c r="J4503" s="21">
        <f t="shared" si="210"/>
        <v>0.17131474103585645</v>
      </c>
      <c r="K4503" s="1">
        <v>2</v>
      </c>
      <c r="L4503" s="24">
        <v>2.9</v>
      </c>
      <c r="M4503" s="24">
        <v>26.46</v>
      </c>
      <c r="N4503" s="21">
        <f t="shared" si="211"/>
        <v>5.4183266932270893E-2</v>
      </c>
      <c r="P4503" s="1">
        <v>4</v>
      </c>
      <c r="Q4503" s="24">
        <v>3.5279999999999987</v>
      </c>
      <c r="R4503" s="24">
        <v>25.872</v>
      </c>
      <c r="S4503" s="21">
        <f t="shared" si="212"/>
        <v>3.0756972111553722E-2</v>
      </c>
    </row>
    <row r="4504" spans="2:19" ht="11.4" customHeight="1" x14ac:dyDescent="0.2">
      <c r="B4504" s="24"/>
      <c r="C4504" s="14">
        <v>10556</v>
      </c>
      <c r="D4504" s="18" t="s">
        <v>4701</v>
      </c>
      <c r="E4504" s="18" t="s">
        <v>4696</v>
      </c>
      <c r="F4504" s="18"/>
      <c r="G4504" s="18" t="s">
        <v>23</v>
      </c>
      <c r="H4504" s="17">
        <v>76.599999999999994</v>
      </c>
      <c r="I4504" s="15">
        <v>89.3</v>
      </c>
      <c r="J4504" s="21">
        <f t="shared" si="210"/>
        <v>0.16579634464751963</v>
      </c>
      <c r="K4504" s="1">
        <v>2</v>
      </c>
      <c r="L4504" s="24">
        <v>8.9</v>
      </c>
      <c r="M4504" s="24">
        <v>80.37</v>
      </c>
      <c r="N4504" s="21">
        <f t="shared" si="211"/>
        <v>4.9216710182767763E-2</v>
      </c>
      <c r="P4504" s="1">
        <v>4</v>
      </c>
      <c r="Q4504" s="24">
        <v>10.715999999999994</v>
      </c>
      <c r="R4504" s="24">
        <v>78.584000000000003</v>
      </c>
      <c r="S4504" s="21">
        <f t="shared" si="212"/>
        <v>2.5900783289817351E-2</v>
      </c>
    </row>
    <row r="4505" spans="2:19" ht="11.4" customHeight="1" x14ac:dyDescent="0.2">
      <c r="B4505" s="24"/>
      <c r="C4505" s="14">
        <v>14304</v>
      </c>
      <c r="D4505" s="18" t="s">
        <v>4702</v>
      </c>
      <c r="E4505" s="18" t="s">
        <v>4696</v>
      </c>
      <c r="F4505" s="18"/>
      <c r="G4505" s="18" t="s">
        <v>23</v>
      </c>
      <c r="H4505" s="17">
        <v>17.2</v>
      </c>
      <c r="I4505" s="15">
        <v>18.899999999999999</v>
      </c>
      <c r="J4505" s="21">
        <f t="shared" si="210"/>
        <v>9.8837209302325549E-2</v>
      </c>
      <c r="K4505" s="1">
        <v>2</v>
      </c>
      <c r="L4505" s="24">
        <v>1.8</v>
      </c>
      <c r="M4505" s="24">
        <v>17.009999999999998</v>
      </c>
      <c r="N4505" s="21">
        <f t="shared" si="211"/>
        <v>-1.1046511627907051E-2</v>
      </c>
      <c r="P4505" s="1">
        <v>4</v>
      </c>
      <c r="Q4505" s="24">
        <v>2.2680000000000007</v>
      </c>
      <c r="R4505" s="24">
        <v>16.631999999999998</v>
      </c>
      <c r="S4505" s="21">
        <f t="shared" si="212"/>
        <v>-3.3023255813953573E-2</v>
      </c>
    </row>
    <row r="4506" spans="2:19" ht="11.4" customHeight="1" x14ac:dyDescent="0.2">
      <c r="B4506" s="24"/>
      <c r="C4506" s="14">
        <v>41425</v>
      </c>
      <c r="D4506" s="18" t="s">
        <v>4703</v>
      </c>
      <c r="E4506" s="18" t="s">
        <v>4704</v>
      </c>
      <c r="F4506" s="18"/>
      <c r="G4506" s="18" t="s">
        <v>23</v>
      </c>
      <c r="H4506" s="17">
        <v>11.46</v>
      </c>
      <c r="I4506" s="15">
        <v>16.5</v>
      </c>
      <c r="J4506" s="21">
        <f t="shared" si="210"/>
        <v>0.43979057591623028</v>
      </c>
      <c r="K4506" s="1">
        <v>2</v>
      </c>
      <c r="L4506" s="24">
        <v>1.6</v>
      </c>
      <c r="M4506" s="24">
        <v>14.85</v>
      </c>
      <c r="N4506" s="21">
        <f t="shared" si="211"/>
        <v>0.29581151832460723</v>
      </c>
      <c r="P4506" s="1">
        <v>4</v>
      </c>
      <c r="Q4506" s="24">
        <v>1.9800000000000004</v>
      </c>
      <c r="R4506" s="24">
        <v>14.52</v>
      </c>
      <c r="S4506" s="21">
        <f t="shared" si="212"/>
        <v>0.26701570680628262</v>
      </c>
    </row>
    <row r="4507" spans="2:19" ht="11.4" customHeight="1" x14ac:dyDescent="0.2">
      <c r="B4507" s="24"/>
      <c r="C4507" s="14">
        <v>41428</v>
      </c>
      <c r="D4507" s="18" t="s">
        <v>4705</v>
      </c>
      <c r="E4507" s="18" t="s">
        <v>4704</v>
      </c>
      <c r="F4507" s="18"/>
      <c r="G4507" s="18" t="s">
        <v>23</v>
      </c>
      <c r="H4507" s="17">
        <v>11.46</v>
      </c>
      <c r="I4507" s="15">
        <v>16.5</v>
      </c>
      <c r="J4507" s="21">
        <f t="shared" si="210"/>
        <v>0.43979057591623028</v>
      </c>
      <c r="K4507" s="1">
        <v>2</v>
      </c>
      <c r="L4507" s="24">
        <v>1.6</v>
      </c>
      <c r="M4507" s="24">
        <v>14.85</v>
      </c>
      <c r="N4507" s="21">
        <f t="shared" si="211"/>
        <v>0.29581151832460723</v>
      </c>
      <c r="P4507" s="1">
        <v>4</v>
      </c>
      <c r="Q4507" s="24">
        <v>1.9800000000000004</v>
      </c>
      <c r="R4507" s="24">
        <v>14.52</v>
      </c>
      <c r="S4507" s="21">
        <f t="shared" si="212"/>
        <v>0.26701570680628262</v>
      </c>
    </row>
    <row r="4508" spans="2:19" ht="11.4" customHeight="1" x14ac:dyDescent="0.2">
      <c r="B4508" s="24"/>
      <c r="C4508" s="14">
        <v>40256</v>
      </c>
      <c r="D4508" s="18" t="s">
        <v>4706</v>
      </c>
      <c r="E4508" s="18" t="s">
        <v>4704</v>
      </c>
      <c r="F4508" s="17">
        <v>10</v>
      </c>
      <c r="G4508" s="18" t="s">
        <v>23</v>
      </c>
      <c r="H4508" s="17">
        <v>47.2</v>
      </c>
      <c r="I4508" s="15">
        <v>69.5</v>
      </c>
      <c r="J4508" s="21">
        <f t="shared" si="210"/>
        <v>0.47245762711864397</v>
      </c>
      <c r="K4508" s="1">
        <v>2</v>
      </c>
      <c r="L4508" s="24">
        <v>6.9</v>
      </c>
      <c r="M4508" s="24">
        <v>62.550000000000004</v>
      </c>
      <c r="N4508" s="21">
        <f t="shared" si="211"/>
        <v>0.32521186440677968</v>
      </c>
      <c r="P4508" s="1">
        <v>4</v>
      </c>
      <c r="Q4508" s="24">
        <v>8.3399999999999963</v>
      </c>
      <c r="R4508" s="24">
        <v>61.160000000000004</v>
      </c>
      <c r="S4508" s="21">
        <f t="shared" si="212"/>
        <v>0.29576271186440678</v>
      </c>
    </row>
    <row r="4509" spans="2:19" ht="11.4" customHeight="1" x14ac:dyDescent="0.2">
      <c r="B4509" s="24"/>
      <c r="C4509" s="14">
        <v>6882</v>
      </c>
      <c r="D4509" s="18" t="s">
        <v>4707</v>
      </c>
      <c r="E4509" s="18" t="s">
        <v>4704</v>
      </c>
      <c r="F4509" s="17">
        <v>24</v>
      </c>
      <c r="G4509" s="18" t="s">
        <v>23</v>
      </c>
      <c r="H4509" s="17">
        <v>10.9</v>
      </c>
      <c r="I4509" s="15">
        <v>12</v>
      </c>
      <c r="J4509" s="21">
        <f t="shared" si="210"/>
        <v>0.10091743119266051</v>
      </c>
      <c r="K4509" s="1">
        <v>2</v>
      </c>
      <c r="L4509" s="24">
        <v>1.2</v>
      </c>
      <c r="M4509" s="24">
        <v>10.8</v>
      </c>
      <c r="N4509" s="21">
        <f t="shared" si="211"/>
        <v>-9.1743119266054721E-3</v>
      </c>
      <c r="P4509" s="1">
        <v>4</v>
      </c>
      <c r="Q4509" s="24">
        <v>1.4399999999999995</v>
      </c>
      <c r="R4509" s="24">
        <v>10.56</v>
      </c>
      <c r="S4509" s="21">
        <f t="shared" si="212"/>
        <v>-3.11926605504587E-2</v>
      </c>
    </row>
    <row r="4510" spans="2:19" ht="11.4" customHeight="1" x14ac:dyDescent="0.2">
      <c r="B4510" s="24"/>
      <c r="C4510" s="14">
        <v>41426</v>
      </c>
      <c r="D4510" s="18" t="s">
        <v>4708</v>
      </c>
      <c r="E4510" s="18" t="s">
        <v>4704</v>
      </c>
      <c r="F4510" s="18"/>
      <c r="G4510" s="18" t="s">
        <v>23</v>
      </c>
      <c r="H4510" s="17">
        <v>11.46</v>
      </c>
      <c r="I4510" s="15">
        <v>16.5</v>
      </c>
      <c r="J4510" s="21">
        <f t="shared" si="210"/>
        <v>0.43979057591623028</v>
      </c>
      <c r="K4510" s="1">
        <v>2</v>
      </c>
      <c r="L4510" s="24">
        <v>1.6</v>
      </c>
      <c r="M4510" s="24">
        <v>14.85</v>
      </c>
      <c r="N4510" s="21">
        <f t="shared" si="211"/>
        <v>0.29581151832460723</v>
      </c>
      <c r="P4510" s="1">
        <v>4</v>
      </c>
      <c r="Q4510" s="24">
        <v>1.9800000000000004</v>
      </c>
      <c r="R4510" s="24">
        <v>14.52</v>
      </c>
      <c r="S4510" s="21">
        <f t="shared" si="212"/>
        <v>0.26701570680628262</v>
      </c>
    </row>
    <row r="4511" spans="2:19" ht="11.4" customHeight="1" x14ac:dyDescent="0.2">
      <c r="B4511" s="24"/>
      <c r="C4511" s="14">
        <v>41427</v>
      </c>
      <c r="D4511" s="18" t="s">
        <v>4709</v>
      </c>
      <c r="E4511" s="18" t="s">
        <v>4704</v>
      </c>
      <c r="F4511" s="18"/>
      <c r="G4511" s="18" t="s">
        <v>23</v>
      </c>
      <c r="H4511" s="17">
        <v>11.46</v>
      </c>
      <c r="I4511" s="15">
        <v>16.5</v>
      </c>
      <c r="J4511" s="21">
        <f t="shared" si="210"/>
        <v>0.43979057591623028</v>
      </c>
      <c r="K4511" s="1">
        <v>2</v>
      </c>
      <c r="L4511" s="24">
        <v>1.6</v>
      </c>
      <c r="M4511" s="24">
        <v>14.85</v>
      </c>
      <c r="N4511" s="21">
        <f t="shared" si="211"/>
        <v>0.29581151832460723</v>
      </c>
      <c r="P4511" s="1">
        <v>4</v>
      </c>
      <c r="Q4511" s="24">
        <v>1.9800000000000004</v>
      </c>
      <c r="R4511" s="24">
        <v>14.52</v>
      </c>
      <c r="S4511" s="21">
        <f t="shared" si="212"/>
        <v>0.26701570680628262</v>
      </c>
    </row>
    <row r="4512" spans="2:19" ht="11.4" customHeight="1" x14ac:dyDescent="0.2">
      <c r="B4512" s="24"/>
      <c r="C4512" s="14">
        <v>9536</v>
      </c>
      <c r="D4512" s="18" t="s">
        <v>4710</v>
      </c>
      <c r="E4512" s="18" t="s">
        <v>4704</v>
      </c>
      <c r="F4512" s="17">
        <v>20</v>
      </c>
      <c r="G4512" s="18" t="s">
        <v>23</v>
      </c>
      <c r="H4512" s="17">
        <v>26.14</v>
      </c>
      <c r="I4512" s="15">
        <v>30.9</v>
      </c>
      <c r="J4512" s="21">
        <f t="shared" si="210"/>
        <v>0.18209640397857682</v>
      </c>
      <c r="K4512" s="1">
        <v>2</v>
      </c>
      <c r="L4512" s="24">
        <v>3</v>
      </c>
      <c r="M4512" s="24">
        <v>27.81</v>
      </c>
      <c r="N4512" s="21">
        <f t="shared" si="211"/>
        <v>6.3886763580719139E-2</v>
      </c>
      <c r="P4512" s="1">
        <v>4</v>
      </c>
      <c r="Q4512" s="24">
        <v>3.7079999999999984</v>
      </c>
      <c r="R4512" s="24">
        <v>27.192</v>
      </c>
      <c r="S4512" s="21">
        <f t="shared" si="212"/>
        <v>4.0244835501147651E-2</v>
      </c>
    </row>
    <row r="4513" spans="2:19" ht="11.4" customHeight="1" x14ac:dyDescent="0.2">
      <c r="B4513" s="24"/>
      <c r="C4513" s="14">
        <v>39141</v>
      </c>
      <c r="D4513" s="18" t="s">
        <v>4711</v>
      </c>
      <c r="E4513" s="18" t="s">
        <v>4704</v>
      </c>
      <c r="F4513" s="17">
        <v>18</v>
      </c>
      <c r="G4513" s="18" t="s">
        <v>23</v>
      </c>
      <c r="H4513" s="17">
        <v>44.19</v>
      </c>
      <c r="I4513" s="15">
        <v>51.9</v>
      </c>
      <c r="J4513" s="21">
        <f t="shared" si="210"/>
        <v>0.1744738628649016</v>
      </c>
      <c r="K4513" s="1">
        <v>2</v>
      </c>
      <c r="L4513" s="24">
        <v>5.0999999999999996</v>
      </c>
      <c r="M4513" s="24">
        <v>46.71</v>
      </c>
      <c r="N4513" s="21">
        <f t="shared" si="211"/>
        <v>5.7026476578411478E-2</v>
      </c>
      <c r="P4513" s="1">
        <v>4</v>
      </c>
      <c r="Q4513" s="24">
        <v>6.2280000000000015</v>
      </c>
      <c r="R4513" s="24">
        <v>45.671999999999997</v>
      </c>
      <c r="S4513" s="21">
        <f t="shared" si="212"/>
        <v>3.3536999321113363E-2</v>
      </c>
    </row>
    <row r="4514" spans="2:19" ht="11.4" customHeight="1" x14ac:dyDescent="0.2">
      <c r="B4514" s="24"/>
      <c r="C4514" s="14">
        <v>6883</v>
      </c>
      <c r="D4514" s="18" t="s">
        <v>4712</v>
      </c>
      <c r="E4514" s="18" t="s">
        <v>4704</v>
      </c>
      <c r="F4514" s="17">
        <v>24</v>
      </c>
      <c r="G4514" s="18" t="s">
        <v>23</v>
      </c>
      <c r="H4514" s="17">
        <v>10.9</v>
      </c>
      <c r="I4514" s="15">
        <v>12</v>
      </c>
      <c r="J4514" s="21">
        <f t="shared" si="210"/>
        <v>0.10091743119266051</v>
      </c>
      <c r="K4514" s="1">
        <v>2</v>
      </c>
      <c r="L4514" s="24">
        <v>1.2</v>
      </c>
      <c r="M4514" s="24">
        <v>10.8</v>
      </c>
      <c r="N4514" s="21">
        <f t="shared" si="211"/>
        <v>-9.1743119266054721E-3</v>
      </c>
      <c r="P4514" s="1">
        <v>4</v>
      </c>
      <c r="Q4514" s="24">
        <v>1.4399999999999995</v>
      </c>
      <c r="R4514" s="24">
        <v>10.56</v>
      </c>
      <c r="S4514" s="21">
        <f t="shared" si="212"/>
        <v>-3.11926605504587E-2</v>
      </c>
    </row>
    <row r="4515" spans="2:19" ht="11.4" customHeight="1" x14ac:dyDescent="0.2">
      <c r="B4515" s="24"/>
      <c r="C4515" s="14">
        <v>40257</v>
      </c>
      <c r="D4515" s="18" t="s">
        <v>4713</v>
      </c>
      <c r="E4515" s="18" t="s">
        <v>4704</v>
      </c>
      <c r="F4515" s="17">
        <v>10</v>
      </c>
      <c r="G4515" s="18" t="s">
        <v>23</v>
      </c>
      <c r="H4515" s="17">
        <v>47.2</v>
      </c>
      <c r="I4515" s="15">
        <v>69.900000000000006</v>
      </c>
      <c r="J4515" s="21">
        <f t="shared" si="210"/>
        <v>0.48093220338983056</v>
      </c>
      <c r="K4515" s="1">
        <v>2</v>
      </c>
      <c r="L4515" s="24">
        <v>6.9</v>
      </c>
      <c r="M4515" s="24">
        <v>62.910000000000004</v>
      </c>
      <c r="N4515" s="21">
        <f t="shared" si="211"/>
        <v>0.33283898305084747</v>
      </c>
      <c r="P4515" s="1">
        <v>4</v>
      </c>
      <c r="Q4515" s="24">
        <v>8.3879999999999981</v>
      </c>
      <c r="R4515" s="24">
        <v>61.512000000000008</v>
      </c>
      <c r="S4515" s="21">
        <f t="shared" si="212"/>
        <v>0.30322033898305095</v>
      </c>
    </row>
    <row r="4516" spans="2:19" ht="11.4" customHeight="1" x14ac:dyDescent="0.2">
      <c r="B4516" s="24"/>
      <c r="C4516" s="14">
        <v>4005</v>
      </c>
      <c r="D4516" s="18" t="s">
        <v>4714</v>
      </c>
      <c r="E4516" s="18" t="s">
        <v>4704</v>
      </c>
      <c r="F4516" s="17">
        <v>24</v>
      </c>
      <c r="G4516" s="18" t="s">
        <v>23</v>
      </c>
      <c r="H4516" s="17">
        <v>10.9</v>
      </c>
      <c r="I4516" s="15">
        <v>13.9</v>
      </c>
      <c r="J4516" s="21">
        <f t="shared" si="210"/>
        <v>0.27522935779816515</v>
      </c>
      <c r="K4516" s="1">
        <v>2</v>
      </c>
      <c r="L4516" s="24">
        <v>1.3</v>
      </c>
      <c r="M4516" s="24">
        <v>12.51</v>
      </c>
      <c r="N4516" s="21">
        <f t="shared" si="211"/>
        <v>0.14770642201834858</v>
      </c>
      <c r="P4516" s="1">
        <v>4</v>
      </c>
      <c r="Q4516" s="24">
        <v>1.6679999999999993</v>
      </c>
      <c r="R4516" s="24">
        <v>12.232000000000001</v>
      </c>
      <c r="S4516" s="21">
        <f t="shared" si="212"/>
        <v>0.12220183486238538</v>
      </c>
    </row>
    <row r="4517" spans="2:19" ht="11.4" customHeight="1" x14ac:dyDescent="0.2">
      <c r="B4517" s="24"/>
      <c r="C4517" s="14">
        <v>41429</v>
      </c>
      <c r="D4517" s="18" t="s">
        <v>4715</v>
      </c>
      <c r="E4517" s="18" t="s">
        <v>4704</v>
      </c>
      <c r="F4517" s="18"/>
      <c r="G4517" s="18" t="s">
        <v>23</v>
      </c>
      <c r="H4517" s="17">
        <v>11.46</v>
      </c>
      <c r="I4517" s="15">
        <v>16.5</v>
      </c>
      <c r="J4517" s="21">
        <f t="shared" si="210"/>
        <v>0.43979057591623028</v>
      </c>
      <c r="K4517" s="1">
        <v>2</v>
      </c>
      <c r="L4517" s="24">
        <v>1.6</v>
      </c>
      <c r="M4517" s="24">
        <v>14.85</v>
      </c>
      <c r="N4517" s="21">
        <f t="shared" si="211"/>
        <v>0.29581151832460723</v>
      </c>
      <c r="P4517" s="1">
        <v>4</v>
      </c>
      <c r="Q4517" s="24">
        <v>1.9800000000000004</v>
      </c>
      <c r="R4517" s="24">
        <v>14.52</v>
      </c>
      <c r="S4517" s="21">
        <f t="shared" si="212"/>
        <v>0.26701570680628262</v>
      </c>
    </row>
    <row r="4518" spans="2:19" ht="11.4" customHeight="1" x14ac:dyDescent="0.2">
      <c r="B4518" s="24"/>
      <c r="C4518" s="14">
        <v>6884</v>
      </c>
      <c r="D4518" s="18" t="s">
        <v>4716</v>
      </c>
      <c r="E4518" s="18" t="s">
        <v>4704</v>
      </c>
      <c r="F4518" s="17">
        <v>24</v>
      </c>
      <c r="G4518" s="18" t="s">
        <v>23</v>
      </c>
      <c r="H4518" s="17">
        <v>10.9</v>
      </c>
      <c r="I4518" s="15">
        <v>14.5</v>
      </c>
      <c r="J4518" s="21">
        <f t="shared" si="210"/>
        <v>0.33027522935779813</v>
      </c>
      <c r="K4518" s="1">
        <v>2</v>
      </c>
      <c r="L4518" s="24">
        <v>1.4</v>
      </c>
      <c r="M4518" s="24">
        <v>13.05</v>
      </c>
      <c r="N4518" s="21">
        <f t="shared" si="211"/>
        <v>0.19724770642201839</v>
      </c>
      <c r="P4518" s="1">
        <v>4</v>
      </c>
      <c r="Q4518" s="24">
        <v>1.7400000000000002</v>
      </c>
      <c r="R4518" s="24">
        <v>12.76</v>
      </c>
      <c r="S4518" s="21">
        <f t="shared" si="212"/>
        <v>0.17064220183486234</v>
      </c>
    </row>
    <row r="4519" spans="2:19" ht="11.4" customHeight="1" x14ac:dyDescent="0.2">
      <c r="B4519" s="24"/>
      <c r="C4519" s="14">
        <v>41424</v>
      </c>
      <c r="D4519" s="18" t="s">
        <v>4717</v>
      </c>
      <c r="E4519" s="18" t="s">
        <v>4704</v>
      </c>
      <c r="F4519" s="18"/>
      <c r="G4519" s="18" t="s">
        <v>23</v>
      </c>
      <c r="H4519" s="17">
        <v>11.46</v>
      </c>
      <c r="I4519" s="15">
        <v>16.5</v>
      </c>
      <c r="J4519" s="21">
        <f t="shared" si="210"/>
        <v>0.43979057591623028</v>
      </c>
      <c r="K4519" s="1">
        <v>2</v>
      </c>
      <c r="L4519" s="24">
        <v>1.6</v>
      </c>
      <c r="M4519" s="24">
        <v>14.85</v>
      </c>
      <c r="N4519" s="21">
        <f t="shared" si="211"/>
        <v>0.29581151832460723</v>
      </c>
      <c r="P4519" s="1">
        <v>4</v>
      </c>
      <c r="Q4519" s="24">
        <v>1.9800000000000004</v>
      </c>
      <c r="R4519" s="24">
        <v>14.52</v>
      </c>
      <c r="S4519" s="21">
        <f t="shared" si="212"/>
        <v>0.26701570680628262</v>
      </c>
    </row>
    <row r="4520" spans="2:19" ht="11.4" customHeight="1" x14ac:dyDescent="0.2">
      <c r="B4520" s="24"/>
      <c r="C4520" s="14">
        <v>41430</v>
      </c>
      <c r="D4520" s="18" t="s">
        <v>4718</v>
      </c>
      <c r="E4520" s="18" t="s">
        <v>4704</v>
      </c>
      <c r="F4520" s="18"/>
      <c r="G4520" s="18" t="s">
        <v>23</v>
      </c>
      <c r="H4520" s="17">
        <v>11.46</v>
      </c>
      <c r="I4520" s="15">
        <v>16.5</v>
      </c>
      <c r="J4520" s="21">
        <f t="shared" si="210"/>
        <v>0.43979057591623028</v>
      </c>
      <c r="K4520" s="1">
        <v>2</v>
      </c>
      <c r="L4520" s="24">
        <v>1.6</v>
      </c>
      <c r="M4520" s="24">
        <v>14.85</v>
      </c>
      <c r="N4520" s="21">
        <f t="shared" si="211"/>
        <v>0.29581151832460723</v>
      </c>
      <c r="P4520" s="1">
        <v>4</v>
      </c>
      <c r="Q4520" s="24">
        <v>1.9800000000000004</v>
      </c>
      <c r="R4520" s="24">
        <v>14.52</v>
      </c>
      <c r="S4520" s="21">
        <f t="shared" si="212"/>
        <v>0.26701570680628262</v>
      </c>
    </row>
    <row r="4521" spans="2:19" ht="11.4" customHeight="1" x14ac:dyDescent="0.2">
      <c r="B4521" s="24"/>
      <c r="C4521" s="14">
        <v>31432</v>
      </c>
      <c r="D4521" s="18" t="s">
        <v>4719</v>
      </c>
      <c r="E4521" s="18" t="s">
        <v>4704</v>
      </c>
      <c r="F4521" s="17">
        <v>18</v>
      </c>
      <c r="G4521" s="18" t="s">
        <v>23</v>
      </c>
      <c r="H4521" s="17">
        <v>44.19</v>
      </c>
      <c r="I4521" s="15">
        <v>51.9</v>
      </c>
      <c r="J4521" s="21">
        <f t="shared" si="210"/>
        <v>0.1744738628649016</v>
      </c>
      <c r="K4521" s="1">
        <v>2</v>
      </c>
      <c r="L4521" s="24">
        <v>5.0999999999999996</v>
      </c>
      <c r="M4521" s="24">
        <v>46.71</v>
      </c>
      <c r="N4521" s="21">
        <f t="shared" si="211"/>
        <v>5.7026476578411478E-2</v>
      </c>
      <c r="P4521" s="1">
        <v>4</v>
      </c>
      <c r="Q4521" s="24">
        <v>6.2280000000000015</v>
      </c>
      <c r="R4521" s="24">
        <v>45.671999999999997</v>
      </c>
      <c r="S4521" s="21">
        <f t="shared" si="212"/>
        <v>3.3536999321113363E-2</v>
      </c>
    </row>
    <row r="4522" spans="2:19" ht="11.4" customHeight="1" x14ac:dyDescent="0.2">
      <c r="B4522" s="24"/>
      <c r="C4522" s="14">
        <v>9539</v>
      </c>
      <c r="D4522" s="18" t="s">
        <v>4720</v>
      </c>
      <c r="E4522" s="18" t="s">
        <v>4704</v>
      </c>
      <c r="F4522" s="17">
        <v>20</v>
      </c>
      <c r="G4522" s="18" t="s">
        <v>23</v>
      </c>
      <c r="H4522" s="17">
        <v>26.14</v>
      </c>
      <c r="I4522" s="15">
        <v>30</v>
      </c>
      <c r="J4522" s="21">
        <f t="shared" si="210"/>
        <v>0.14766641162968627</v>
      </c>
      <c r="K4522" s="1">
        <v>2</v>
      </c>
      <c r="L4522" s="24">
        <v>3</v>
      </c>
      <c r="M4522" s="24">
        <v>27</v>
      </c>
      <c r="N4522" s="21">
        <f t="shared" si="211"/>
        <v>3.2899770466717652E-2</v>
      </c>
      <c r="P4522" s="1">
        <v>4</v>
      </c>
      <c r="Q4522" s="24">
        <v>3.6000000000000014</v>
      </c>
      <c r="R4522" s="24">
        <v>26.4</v>
      </c>
      <c r="S4522" s="21">
        <f t="shared" si="212"/>
        <v>9.9464422341238711E-3</v>
      </c>
    </row>
    <row r="4523" spans="2:19" ht="11.4" customHeight="1" x14ac:dyDescent="0.2">
      <c r="B4523" s="24"/>
      <c r="C4523" s="14">
        <v>24129</v>
      </c>
      <c r="D4523" s="18" t="s">
        <v>4721</v>
      </c>
      <c r="E4523" s="18" t="s">
        <v>4704</v>
      </c>
      <c r="F4523" s="17">
        <v>18</v>
      </c>
      <c r="G4523" s="18" t="s">
        <v>23</v>
      </c>
      <c r="H4523" s="17">
        <v>44.19</v>
      </c>
      <c r="I4523" s="15">
        <v>51.9</v>
      </c>
      <c r="J4523" s="21">
        <f t="shared" si="210"/>
        <v>0.1744738628649016</v>
      </c>
      <c r="K4523" s="1">
        <v>2</v>
      </c>
      <c r="L4523" s="24">
        <v>5.0999999999999996</v>
      </c>
      <c r="M4523" s="24">
        <v>46.71</v>
      </c>
      <c r="N4523" s="21">
        <f t="shared" si="211"/>
        <v>5.7026476578411478E-2</v>
      </c>
      <c r="P4523" s="1">
        <v>4</v>
      </c>
      <c r="Q4523" s="24">
        <v>6.2280000000000015</v>
      </c>
      <c r="R4523" s="24">
        <v>45.671999999999997</v>
      </c>
      <c r="S4523" s="21">
        <f t="shared" si="212"/>
        <v>3.3536999321113363E-2</v>
      </c>
    </row>
    <row r="4524" spans="2:19" ht="11.4" customHeight="1" x14ac:dyDescent="0.2">
      <c r="B4524" s="24"/>
      <c r="C4524" s="14">
        <v>2628</v>
      </c>
      <c r="D4524" s="18" t="s">
        <v>4722</v>
      </c>
      <c r="E4524" s="18" t="s">
        <v>4704</v>
      </c>
      <c r="F4524" s="18"/>
      <c r="G4524" s="18" t="s">
        <v>23</v>
      </c>
      <c r="H4524" s="17">
        <v>23.16</v>
      </c>
      <c r="I4524" s="15">
        <v>30.9</v>
      </c>
      <c r="J4524" s="21">
        <f t="shared" si="210"/>
        <v>0.33419689119170976</v>
      </c>
      <c r="K4524" s="1">
        <v>2</v>
      </c>
      <c r="L4524" s="24">
        <v>3</v>
      </c>
      <c r="M4524" s="24">
        <v>27.81</v>
      </c>
      <c r="N4524" s="21">
        <f t="shared" si="211"/>
        <v>0.2007772020725388</v>
      </c>
      <c r="P4524" s="1">
        <v>4</v>
      </c>
      <c r="Q4524" s="24">
        <v>3.7079999999999984</v>
      </c>
      <c r="R4524" s="24">
        <v>27.192</v>
      </c>
      <c r="S4524" s="21">
        <f t="shared" si="212"/>
        <v>0.17409326424870467</v>
      </c>
    </row>
    <row r="4525" spans="2:19" ht="11.4" customHeight="1" x14ac:dyDescent="0.2">
      <c r="B4525" s="24"/>
      <c r="C4525" s="14">
        <v>2633</v>
      </c>
      <c r="D4525" s="18" t="s">
        <v>4723</v>
      </c>
      <c r="E4525" s="18" t="s">
        <v>4704</v>
      </c>
      <c r="F4525" s="18"/>
      <c r="G4525" s="18" t="s">
        <v>23</v>
      </c>
      <c r="H4525" s="17">
        <v>23.16</v>
      </c>
      <c r="I4525" s="15">
        <v>30.9</v>
      </c>
      <c r="J4525" s="21">
        <f t="shared" si="210"/>
        <v>0.33419689119170976</v>
      </c>
      <c r="K4525" s="1">
        <v>2</v>
      </c>
      <c r="L4525" s="24">
        <v>3</v>
      </c>
      <c r="M4525" s="24">
        <v>27.81</v>
      </c>
      <c r="N4525" s="21">
        <f t="shared" si="211"/>
        <v>0.2007772020725388</v>
      </c>
      <c r="P4525" s="1">
        <v>4</v>
      </c>
      <c r="Q4525" s="24">
        <v>3.7079999999999984</v>
      </c>
      <c r="R4525" s="24">
        <v>27.192</v>
      </c>
      <c r="S4525" s="21">
        <f t="shared" si="212"/>
        <v>0.17409326424870467</v>
      </c>
    </row>
    <row r="4526" spans="2:19" ht="11.4" customHeight="1" x14ac:dyDescent="0.2">
      <c r="B4526" s="24"/>
      <c r="C4526" s="14">
        <v>2632</v>
      </c>
      <c r="D4526" s="18" t="s">
        <v>4724</v>
      </c>
      <c r="E4526" s="18" t="s">
        <v>4704</v>
      </c>
      <c r="F4526" s="18"/>
      <c r="G4526" s="18" t="s">
        <v>23</v>
      </c>
      <c r="H4526" s="17">
        <v>23.16</v>
      </c>
      <c r="I4526" s="15">
        <v>30.9</v>
      </c>
      <c r="J4526" s="21">
        <f t="shared" si="210"/>
        <v>0.33419689119170976</v>
      </c>
      <c r="K4526" s="1">
        <v>2</v>
      </c>
      <c r="L4526" s="24">
        <v>3</v>
      </c>
      <c r="M4526" s="24">
        <v>27.81</v>
      </c>
      <c r="N4526" s="21">
        <f t="shared" si="211"/>
        <v>0.2007772020725388</v>
      </c>
      <c r="P4526" s="1">
        <v>4</v>
      </c>
      <c r="Q4526" s="24">
        <v>3.7079999999999984</v>
      </c>
      <c r="R4526" s="24">
        <v>27.192</v>
      </c>
      <c r="S4526" s="21">
        <f t="shared" si="212"/>
        <v>0.17409326424870467</v>
      </c>
    </row>
    <row r="4527" spans="2:19" ht="11.4" customHeight="1" x14ac:dyDescent="0.2">
      <c r="B4527" s="24"/>
      <c r="C4527" s="14">
        <v>2636</v>
      </c>
      <c r="D4527" s="18" t="s">
        <v>4725</v>
      </c>
      <c r="E4527" s="18" t="s">
        <v>4704</v>
      </c>
      <c r="F4527" s="18"/>
      <c r="G4527" s="18" t="s">
        <v>23</v>
      </c>
      <c r="H4527" s="17">
        <v>23.16</v>
      </c>
      <c r="I4527" s="15">
        <v>30.9</v>
      </c>
      <c r="J4527" s="21">
        <f t="shared" si="210"/>
        <v>0.33419689119170976</v>
      </c>
      <c r="K4527" s="1">
        <v>2</v>
      </c>
      <c r="L4527" s="24">
        <v>3</v>
      </c>
      <c r="M4527" s="24">
        <v>27.81</v>
      </c>
      <c r="N4527" s="21">
        <f t="shared" si="211"/>
        <v>0.2007772020725388</v>
      </c>
      <c r="P4527" s="1">
        <v>4</v>
      </c>
      <c r="Q4527" s="24">
        <v>3.7079999999999984</v>
      </c>
      <c r="R4527" s="24">
        <v>27.192</v>
      </c>
      <c r="S4527" s="21">
        <f t="shared" si="212"/>
        <v>0.17409326424870467</v>
      </c>
    </row>
    <row r="4528" spans="2:19" ht="11.4" customHeight="1" x14ac:dyDescent="0.2">
      <c r="B4528" s="24"/>
      <c r="C4528" s="14">
        <v>2627</v>
      </c>
      <c r="D4528" s="18" t="s">
        <v>4726</v>
      </c>
      <c r="E4528" s="18" t="s">
        <v>4704</v>
      </c>
      <c r="F4528" s="18"/>
      <c r="G4528" s="18" t="s">
        <v>23</v>
      </c>
      <c r="H4528" s="17">
        <v>23.16</v>
      </c>
      <c r="I4528" s="15">
        <v>30.9</v>
      </c>
      <c r="J4528" s="21">
        <f t="shared" si="210"/>
        <v>0.33419689119170976</v>
      </c>
      <c r="K4528" s="1">
        <v>2</v>
      </c>
      <c r="L4528" s="24">
        <v>3</v>
      </c>
      <c r="M4528" s="24">
        <v>27.81</v>
      </c>
      <c r="N4528" s="21">
        <f t="shared" si="211"/>
        <v>0.2007772020725388</v>
      </c>
      <c r="P4528" s="1">
        <v>4</v>
      </c>
      <c r="Q4528" s="24">
        <v>3.7079999999999984</v>
      </c>
      <c r="R4528" s="24">
        <v>27.192</v>
      </c>
      <c r="S4528" s="21">
        <f t="shared" si="212"/>
        <v>0.17409326424870467</v>
      </c>
    </row>
    <row r="4529" spans="2:19" ht="11.4" customHeight="1" x14ac:dyDescent="0.2">
      <c r="B4529" s="24"/>
      <c r="C4529" s="14">
        <v>9541</v>
      </c>
      <c r="D4529" s="18" t="s">
        <v>4727</v>
      </c>
      <c r="E4529" s="18" t="s">
        <v>4704</v>
      </c>
      <c r="F4529" s="17">
        <v>12</v>
      </c>
      <c r="G4529" s="18" t="s">
        <v>23</v>
      </c>
      <c r="H4529" s="17">
        <v>88.44</v>
      </c>
      <c r="I4529" s="15">
        <v>110.9</v>
      </c>
      <c r="J4529" s="21">
        <f t="shared" si="210"/>
        <v>0.253957485300769</v>
      </c>
      <c r="K4529" s="1">
        <v>2</v>
      </c>
      <c r="L4529" s="24">
        <v>11</v>
      </c>
      <c r="M4529" s="24">
        <v>99.81</v>
      </c>
      <c r="N4529" s="21">
        <f t="shared" si="211"/>
        <v>0.12856173677069205</v>
      </c>
      <c r="P4529" s="1">
        <v>4</v>
      </c>
      <c r="Q4529" s="24">
        <v>13.308000000000007</v>
      </c>
      <c r="R4529" s="24">
        <v>97.591999999999999</v>
      </c>
      <c r="S4529" s="21">
        <f t="shared" si="212"/>
        <v>0.10348258706467663</v>
      </c>
    </row>
    <row r="4530" spans="2:19" ht="11.4" customHeight="1" x14ac:dyDescent="0.2">
      <c r="B4530" s="24"/>
      <c r="C4530" s="14">
        <v>2631</v>
      </c>
      <c r="D4530" s="18" t="s">
        <v>4728</v>
      </c>
      <c r="E4530" s="18" t="s">
        <v>4704</v>
      </c>
      <c r="F4530" s="18"/>
      <c r="G4530" s="18" t="s">
        <v>23</v>
      </c>
      <c r="H4530" s="17">
        <v>23.16</v>
      </c>
      <c r="I4530" s="15">
        <v>30.9</v>
      </c>
      <c r="J4530" s="21">
        <f t="shared" si="210"/>
        <v>0.33419689119170976</v>
      </c>
      <c r="K4530" s="1">
        <v>2</v>
      </c>
      <c r="L4530" s="24">
        <v>3</v>
      </c>
      <c r="M4530" s="24">
        <v>27.81</v>
      </c>
      <c r="N4530" s="21">
        <f t="shared" si="211"/>
        <v>0.2007772020725388</v>
      </c>
      <c r="P4530" s="1">
        <v>4</v>
      </c>
      <c r="Q4530" s="24">
        <v>3.7079999999999984</v>
      </c>
      <c r="R4530" s="24">
        <v>27.192</v>
      </c>
      <c r="S4530" s="21">
        <f t="shared" si="212"/>
        <v>0.17409326424870467</v>
      </c>
    </row>
    <row r="4531" spans="2:19" ht="11.4" customHeight="1" x14ac:dyDescent="0.2">
      <c r="B4531" s="24"/>
      <c r="C4531" s="14">
        <v>33120</v>
      </c>
      <c r="D4531" s="18" t="s">
        <v>4729</v>
      </c>
      <c r="E4531" s="18" t="s">
        <v>3531</v>
      </c>
      <c r="F4531" s="17">
        <v>20</v>
      </c>
      <c r="G4531" s="18" t="s">
        <v>23</v>
      </c>
      <c r="H4531" s="17">
        <v>26</v>
      </c>
      <c r="I4531" s="15">
        <v>32.6</v>
      </c>
      <c r="J4531" s="21">
        <f t="shared" si="210"/>
        <v>0.25384615384615389</v>
      </c>
      <c r="K4531" s="1">
        <v>2</v>
      </c>
      <c r="L4531" s="24">
        <v>3.2</v>
      </c>
      <c r="M4531" s="24">
        <v>29.340000000000003</v>
      </c>
      <c r="N4531" s="21">
        <f t="shared" si="211"/>
        <v>0.1284615384615386</v>
      </c>
      <c r="P4531" s="1">
        <v>4</v>
      </c>
      <c r="Q4531" s="24">
        <v>3.911999999999999</v>
      </c>
      <c r="R4531" s="24">
        <v>28.688000000000002</v>
      </c>
      <c r="S4531" s="21">
        <f t="shared" si="212"/>
        <v>0.10338461538461548</v>
      </c>
    </row>
    <row r="4532" spans="2:19" ht="11.4" customHeight="1" x14ac:dyDescent="0.2">
      <c r="B4532" s="24"/>
      <c r="C4532" s="14">
        <v>7780</v>
      </c>
      <c r="D4532" s="18" t="s">
        <v>4730</v>
      </c>
      <c r="E4532" s="18" t="s">
        <v>3531</v>
      </c>
      <c r="F4532" s="17">
        <v>24</v>
      </c>
      <c r="G4532" s="18" t="s">
        <v>23</v>
      </c>
      <c r="H4532" s="17">
        <v>18.3</v>
      </c>
      <c r="I4532" s="15">
        <v>25.9</v>
      </c>
      <c r="J4532" s="21">
        <f t="shared" si="210"/>
        <v>0.41530054644808728</v>
      </c>
      <c r="K4532" s="1">
        <v>2</v>
      </c>
      <c r="L4532" s="24">
        <v>2.5</v>
      </c>
      <c r="M4532" s="24">
        <v>23.31</v>
      </c>
      <c r="N4532" s="21">
        <f t="shared" si="211"/>
        <v>0.27377049180327856</v>
      </c>
      <c r="P4532" s="1">
        <v>4</v>
      </c>
      <c r="Q4532" s="24">
        <v>3.1080000000000005</v>
      </c>
      <c r="R4532" s="24">
        <v>22.791999999999998</v>
      </c>
      <c r="S4532" s="21">
        <f t="shared" si="212"/>
        <v>0.24546448087431677</v>
      </c>
    </row>
    <row r="4533" spans="2:19" ht="11.4" customHeight="1" x14ac:dyDescent="0.2">
      <c r="B4533" s="24"/>
      <c r="C4533" s="14">
        <v>10320</v>
      </c>
      <c r="D4533" s="18" t="s">
        <v>4731</v>
      </c>
      <c r="E4533" s="18" t="s">
        <v>3518</v>
      </c>
      <c r="F4533" s="17">
        <v>15</v>
      </c>
      <c r="G4533" s="18" t="s">
        <v>23</v>
      </c>
      <c r="H4533" s="17">
        <v>24.3</v>
      </c>
      <c r="I4533" s="15">
        <v>33.9</v>
      </c>
      <c r="J4533" s="21">
        <f t="shared" si="210"/>
        <v>0.39506172839506165</v>
      </c>
      <c r="K4533" s="1">
        <v>2</v>
      </c>
      <c r="L4533" s="24">
        <v>3.3</v>
      </c>
      <c r="M4533" s="24">
        <v>30.509999999999998</v>
      </c>
      <c r="N4533" s="21">
        <f t="shared" si="211"/>
        <v>0.25555555555555542</v>
      </c>
      <c r="P4533" s="1">
        <v>4</v>
      </c>
      <c r="Q4533" s="24">
        <v>4.0680000000000014</v>
      </c>
      <c r="R4533" s="24">
        <v>29.831999999999997</v>
      </c>
      <c r="S4533" s="21">
        <f t="shared" si="212"/>
        <v>0.22765432098765417</v>
      </c>
    </row>
    <row r="4534" spans="2:19" ht="11.4" customHeight="1" x14ac:dyDescent="0.2">
      <c r="B4534" s="24"/>
      <c r="C4534" s="14">
        <v>5694</v>
      </c>
      <c r="D4534" s="18" t="s">
        <v>4732</v>
      </c>
      <c r="E4534" s="18" t="s">
        <v>3518</v>
      </c>
      <c r="F4534" s="17">
        <v>15</v>
      </c>
      <c r="G4534" s="18" t="s">
        <v>23</v>
      </c>
      <c r="H4534" s="17">
        <v>29.6</v>
      </c>
      <c r="I4534" s="15">
        <v>38.9</v>
      </c>
      <c r="J4534" s="21">
        <f t="shared" si="210"/>
        <v>0.31418918918918909</v>
      </c>
      <c r="K4534" s="1">
        <v>2</v>
      </c>
      <c r="L4534" s="24">
        <v>3.8</v>
      </c>
      <c r="M4534" s="24">
        <v>35.01</v>
      </c>
      <c r="N4534" s="21">
        <f t="shared" si="211"/>
        <v>0.18277027027027015</v>
      </c>
      <c r="P4534" s="1">
        <v>4</v>
      </c>
      <c r="Q4534" s="24">
        <v>4.6679999999999993</v>
      </c>
      <c r="R4534" s="24">
        <v>34.231999999999999</v>
      </c>
      <c r="S4534" s="21">
        <f t="shared" si="212"/>
        <v>0.15648648648648641</v>
      </c>
    </row>
    <row r="4535" spans="2:19" ht="11.4" customHeight="1" x14ac:dyDescent="0.2">
      <c r="B4535" s="24"/>
      <c r="C4535" s="14">
        <v>21818</v>
      </c>
      <c r="D4535" s="18" t="s">
        <v>4733</v>
      </c>
      <c r="E4535" s="18" t="s">
        <v>3518</v>
      </c>
      <c r="F4535" s="17">
        <v>10</v>
      </c>
      <c r="G4535" s="18" t="s">
        <v>23</v>
      </c>
      <c r="H4535" s="17">
        <v>54.2</v>
      </c>
      <c r="I4535" s="15">
        <v>69.5</v>
      </c>
      <c r="J4535" s="21">
        <f t="shared" si="210"/>
        <v>0.28228782287822873</v>
      </c>
      <c r="K4535" s="1">
        <v>2</v>
      </c>
      <c r="L4535" s="24">
        <v>6.9</v>
      </c>
      <c r="M4535" s="24">
        <v>62.550000000000004</v>
      </c>
      <c r="N4535" s="21">
        <f t="shared" si="211"/>
        <v>0.15405904059040593</v>
      </c>
      <c r="P4535" s="1">
        <v>4</v>
      </c>
      <c r="Q4535" s="24">
        <v>8.3399999999999963</v>
      </c>
      <c r="R4535" s="24">
        <v>61.160000000000004</v>
      </c>
      <c r="S4535" s="21">
        <f t="shared" si="212"/>
        <v>0.12841328413284134</v>
      </c>
    </row>
    <row r="4536" spans="2:19" ht="11.4" customHeight="1" x14ac:dyDescent="0.2">
      <c r="B4536" s="24"/>
      <c r="C4536" s="14">
        <v>154</v>
      </c>
      <c r="D4536" s="18" t="s">
        <v>4734</v>
      </c>
      <c r="E4536" s="18" t="s">
        <v>3518</v>
      </c>
      <c r="F4536" s="17">
        <v>18</v>
      </c>
      <c r="G4536" s="18" t="s">
        <v>23</v>
      </c>
      <c r="H4536" s="17">
        <v>35.700000000000003</v>
      </c>
      <c r="I4536" s="15">
        <v>44.9</v>
      </c>
      <c r="J4536" s="21">
        <f t="shared" si="210"/>
        <v>0.25770308123249286</v>
      </c>
      <c r="K4536" s="1">
        <v>2</v>
      </c>
      <c r="L4536" s="24">
        <v>4.4000000000000004</v>
      </c>
      <c r="M4536" s="24">
        <v>40.409999999999997</v>
      </c>
      <c r="N4536" s="21">
        <f t="shared" si="211"/>
        <v>0.13193277310924351</v>
      </c>
      <c r="P4536" s="1">
        <v>4</v>
      </c>
      <c r="Q4536" s="24">
        <v>5.3879999999999981</v>
      </c>
      <c r="R4536" s="24">
        <v>39.512</v>
      </c>
      <c r="S4536" s="21">
        <f t="shared" si="212"/>
        <v>0.10677871148459377</v>
      </c>
    </row>
    <row r="4537" spans="2:19" ht="11.4" customHeight="1" x14ac:dyDescent="0.2">
      <c r="B4537" s="24"/>
      <c r="C4537" s="14">
        <v>43425</v>
      </c>
      <c r="D4537" s="18" t="s">
        <v>4735</v>
      </c>
      <c r="E4537" s="18" t="s">
        <v>3518</v>
      </c>
      <c r="F4537" s="17">
        <v>10</v>
      </c>
      <c r="G4537" s="18" t="s">
        <v>23</v>
      </c>
      <c r="H4537" s="17">
        <v>49.38</v>
      </c>
      <c r="I4537" s="15">
        <v>69.900000000000006</v>
      </c>
      <c r="J4537" s="21">
        <f t="shared" si="210"/>
        <v>0.41555285540704745</v>
      </c>
      <c r="K4537" s="1">
        <v>2</v>
      </c>
      <c r="L4537" s="24">
        <v>6.9</v>
      </c>
      <c r="M4537" s="24">
        <v>62.910000000000004</v>
      </c>
      <c r="N4537" s="21">
        <f t="shared" si="211"/>
        <v>0.27399756986634266</v>
      </c>
      <c r="P4537" s="1">
        <v>4</v>
      </c>
      <c r="Q4537" s="24">
        <v>8.3879999999999981</v>
      </c>
      <c r="R4537" s="24">
        <v>61.512000000000008</v>
      </c>
      <c r="S4537" s="21">
        <f t="shared" si="212"/>
        <v>0.2456865127582018</v>
      </c>
    </row>
    <row r="4538" spans="2:19" ht="11.4" customHeight="1" x14ac:dyDescent="0.2">
      <c r="B4538" s="24"/>
      <c r="C4538" s="14">
        <v>7727</v>
      </c>
      <c r="D4538" s="18" t="s">
        <v>4736</v>
      </c>
      <c r="E4538" s="18" t="s">
        <v>3518</v>
      </c>
      <c r="F4538" s="17">
        <v>18</v>
      </c>
      <c r="G4538" s="18" t="s">
        <v>23</v>
      </c>
      <c r="H4538" s="17">
        <v>32.880000000000003</v>
      </c>
      <c r="I4538" s="15">
        <v>41.5</v>
      </c>
      <c r="J4538" s="21">
        <f t="shared" si="210"/>
        <v>0.26216545012165438</v>
      </c>
      <c r="K4538" s="1">
        <v>2</v>
      </c>
      <c r="L4538" s="24">
        <v>4.0999999999999996</v>
      </c>
      <c r="M4538" s="24">
        <v>37.35</v>
      </c>
      <c r="N4538" s="21">
        <f t="shared" si="211"/>
        <v>0.13594890510948901</v>
      </c>
      <c r="P4538" s="1">
        <v>4</v>
      </c>
      <c r="Q4538" s="24">
        <v>4.9799999999999969</v>
      </c>
      <c r="R4538" s="24">
        <v>36.520000000000003</v>
      </c>
      <c r="S4538" s="21">
        <f t="shared" si="212"/>
        <v>0.11070559610705596</v>
      </c>
    </row>
    <row r="4539" spans="2:19" ht="11.4" customHeight="1" x14ac:dyDescent="0.2">
      <c r="B4539" s="24"/>
      <c r="C4539" s="14">
        <v>20388</v>
      </c>
      <c r="D4539" s="18" t="s">
        <v>4737</v>
      </c>
      <c r="E4539" s="18" t="s">
        <v>3518</v>
      </c>
      <c r="F4539" s="17">
        <v>20</v>
      </c>
      <c r="G4539" s="18" t="s">
        <v>23</v>
      </c>
      <c r="H4539" s="17">
        <v>37.08</v>
      </c>
      <c r="I4539" s="15">
        <v>49.9</v>
      </c>
      <c r="J4539" s="21">
        <f t="shared" si="210"/>
        <v>0.3457389428263215</v>
      </c>
      <c r="K4539" s="1">
        <v>2</v>
      </c>
      <c r="L4539" s="24">
        <v>4.9000000000000004</v>
      </c>
      <c r="M4539" s="24">
        <v>44.91</v>
      </c>
      <c r="N4539" s="21">
        <f t="shared" si="211"/>
        <v>0.21116504854368928</v>
      </c>
      <c r="P4539" s="1">
        <v>4</v>
      </c>
      <c r="Q4539" s="24">
        <v>5.9879999999999995</v>
      </c>
      <c r="R4539" s="24">
        <v>43.911999999999999</v>
      </c>
      <c r="S4539" s="21">
        <f t="shared" si="212"/>
        <v>0.18425026968716293</v>
      </c>
    </row>
    <row r="4540" spans="2:19" ht="11.4" customHeight="1" x14ac:dyDescent="0.2">
      <c r="B4540" s="24"/>
      <c r="C4540" s="14">
        <v>20389</v>
      </c>
      <c r="D4540" s="18" t="s">
        <v>4738</v>
      </c>
      <c r="E4540" s="18" t="s">
        <v>3518</v>
      </c>
      <c r="F4540" s="17">
        <v>10</v>
      </c>
      <c r="G4540" s="18" t="s">
        <v>23</v>
      </c>
      <c r="H4540" s="17">
        <v>67.2</v>
      </c>
      <c r="I4540" s="15">
        <v>88.5</v>
      </c>
      <c r="J4540" s="21">
        <f t="shared" si="210"/>
        <v>0.31696428571428564</v>
      </c>
      <c r="K4540" s="1">
        <v>2</v>
      </c>
      <c r="L4540" s="24">
        <v>8.8000000000000007</v>
      </c>
      <c r="M4540" s="24">
        <v>79.650000000000006</v>
      </c>
      <c r="N4540" s="21">
        <f t="shared" si="211"/>
        <v>0.18526785714285718</v>
      </c>
      <c r="P4540" s="1">
        <v>4</v>
      </c>
      <c r="Q4540" s="24">
        <v>10.620000000000005</v>
      </c>
      <c r="R4540" s="24">
        <v>77.88</v>
      </c>
      <c r="S4540" s="21">
        <f t="shared" si="212"/>
        <v>0.15892857142857131</v>
      </c>
    </row>
    <row r="4541" spans="2:19" ht="11.4" customHeight="1" x14ac:dyDescent="0.2">
      <c r="B4541" s="24"/>
      <c r="C4541" s="14">
        <v>10206</v>
      </c>
      <c r="D4541" s="18" t="s">
        <v>4739</v>
      </c>
      <c r="E4541" s="18" t="s">
        <v>3518</v>
      </c>
      <c r="F4541" s="17">
        <v>18</v>
      </c>
      <c r="G4541" s="18" t="s">
        <v>23</v>
      </c>
      <c r="H4541" s="17">
        <v>33.5</v>
      </c>
      <c r="I4541" s="15">
        <v>45.9</v>
      </c>
      <c r="J4541" s="21">
        <f t="shared" si="210"/>
        <v>0.37014925373134322</v>
      </c>
      <c r="K4541" s="1">
        <v>2</v>
      </c>
      <c r="L4541" s="24">
        <v>4.5</v>
      </c>
      <c r="M4541" s="24">
        <v>41.31</v>
      </c>
      <c r="N4541" s="21">
        <f t="shared" si="211"/>
        <v>0.23313432835820902</v>
      </c>
      <c r="P4541" s="1">
        <v>4</v>
      </c>
      <c r="Q4541" s="24">
        <v>5.5080000000000027</v>
      </c>
      <c r="R4541" s="24">
        <v>40.391999999999996</v>
      </c>
      <c r="S4541" s="21">
        <f t="shared" si="212"/>
        <v>0.20573134328358197</v>
      </c>
    </row>
    <row r="4542" spans="2:19" ht="11.4" customHeight="1" x14ac:dyDescent="0.2">
      <c r="B4542" s="24"/>
      <c r="C4542" s="14">
        <v>20387</v>
      </c>
      <c r="D4542" s="18" t="s">
        <v>4740</v>
      </c>
      <c r="E4542" s="18" t="s">
        <v>3518</v>
      </c>
      <c r="F4542" s="17">
        <v>16</v>
      </c>
      <c r="G4542" s="18" t="s">
        <v>23</v>
      </c>
      <c r="H4542" s="17">
        <v>29.4</v>
      </c>
      <c r="I4542" s="15">
        <v>40.5</v>
      </c>
      <c r="J4542" s="21">
        <f t="shared" si="210"/>
        <v>0.37755102040816335</v>
      </c>
      <c r="K4542" s="1">
        <v>2</v>
      </c>
      <c r="L4542" s="24">
        <v>4</v>
      </c>
      <c r="M4542" s="24">
        <v>36.450000000000003</v>
      </c>
      <c r="N4542" s="21">
        <f t="shared" si="211"/>
        <v>0.23979591836734709</v>
      </c>
      <c r="P4542" s="1">
        <v>4</v>
      </c>
      <c r="Q4542" s="24">
        <v>4.8599999999999994</v>
      </c>
      <c r="R4542" s="24">
        <v>35.64</v>
      </c>
      <c r="S4542" s="21">
        <f t="shared" si="212"/>
        <v>0.21224489795918375</v>
      </c>
    </row>
    <row r="4543" spans="2:19" ht="11.4" customHeight="1" x14ac:dyDescent="0.2">
      <c r="B4543" s="24"/>
      <c r="C4543" s="14">
        <v>5693</v>
      </c>
      <c r="D4543" s="18" t="s">
        <v>4741</v>
      </c>
      <c r="E4543" s="18" t="s">
        <v>3518</v>
      </c>
      <c r="F4543" s="17">
        <v>16</v>
      </c>
      <c r="G4543" s="18" t="s">
        <v>23</v>
      </c>
      <c r="H4543" s="17">
        <v>21.42</v>
      </c>
      <c r="I4543" s="15">
        <v>33.5</v>
      </c>
      <c r="J4543" s="21">
        <f t="shared" si="210"/>
        <v>0.56395891690009325</v>
      </c>
      <c r="K4543" s="1">
        <v>2</v>
      </c>
      <c r="L4543" s="24">
        <v>3.3</v>
      </c>
      <c r="M4543" s="24">
        <v>30.150000000000002</v>
      </c>
      <c r="N4543" s="21">
        <f t="shared" si="211"/>
        <v>0.40756302521008403</v>
      </c>
      <c r="P4543" s="1">
        <v>4</v>
      </c>
      <c r="Q4543" s="24">
        <v>4.0199999999999996</v>
      </c>
      <c r="R4543" s="24">
        <v>29.48</v>
      </c>
      <c r="S4543" s="21">
        <f t="shared" si="212"/>
        <v>0.37628384687208205</v>
      </c>
    </row>
    <row r="4544" spans="2:19" ht="11.4" customHeight="1" x14ac:dyDescent="0.2">
      <c r="B4544" s="24"/>
      <c r="C4544" s="14">
        <v>20384</v>
      </c>
      <c r="D4544" s="18" t="s">
        <v>4742</v>
      </c>
      <c r="E4544" s="18" t="s">
        <v>3518</v>
      </c>
      <c r="F4544" s="17">
        <v>14</v>
      </c>
      <c r="G4544" s="18" t="s">
        <v>23</v>
      </c>
      <c r="H4544" s="17">
        <v>17.34</v>
      </c>
      <c r="I4544" s="15">
        <v>25.9</v>
      </c>
      <c r="J4544" s="21">
        <f t="shared" si="210"/>
        <v>0.49365628604382922</v>
      </c>
      <c r="K4544" s="1">
        <v>2</v>
      </c>
      <c r="L4544" s="24">
        <v>2.5</v>
      </c>
      <c r="M4544" s="24">
        <v>23.31</v>
      </c>
      <c r="N4544" s="21">
        <f t="shared" si="211"/>
        <v>0.34429065743944631</v>
      </c>
      <c r="P4544" s="1">
        <v>4</v>
      </c>
      <c r="Q4544" s="24">
        <v>3.1080000000000005</v>
      </c>
      <c r="R4544" s="24">
        <v>22.791999999999998</v>
      </c>
      <c r="S4544" s="21">
        <f t="shared" si="212"/>
        <v>0.31441753171856968</v>
      </c>
    </row>
    <row r="4545" spans="2:19" ht="11.4" customHeight="1" x14ac:dyDescent="0.2">
      <c r="B4545" s="24"/>
      <c r="C4545" s="14">
        <v>26963</v>
      </c>
      <c r="D4545" s="18" t="s">
        <v>4743</v>
      </c>
      <c r="E4545" s="18" t="s">
        <v>3531</v>
      </c>
      <c r="F4545" s="17">
        <v>18</v>
      </c>
      <c r="G4545" s="18" t="s">
        <v>23</v>
      </c>
      <c r="H4545" s="17">
        <v>37.1</v>
      </c>
      <c r="I4545" s="15">
        <v>44.5</v>
      </c>
      <c r="J4545" s="21">
        <f t="shared" si="210"/>
        <v>0.19946091644204847</v>
      </c>
      <c r="K4545" s="1">
        <v>2</v>
      </c>
      <c r="L4545" s="24">
        <v>4.4000000000000004</v>
      </c>
      <c r="M4545" s="24">
        <v>40.050000000000004</v>
      </c>
      <c r="N4545" s="21">
        <f t="shared" si="211"/>
        <v>7.9514824797843733E-2</v>
      </c>
      <c r="P4545" s="1">
        <v>4</v>
      </c>
      <c r="Q4545" s="24">
        <v>5.3399999999999963</v>
      </c>
      <c r="R4545" s="24">
        <v>39.160000000000004</v>
      </c>
      <c r="S4545" s="21">
        <f t="shared" si="212"/>
        <v>5.5525606469002751E-2</v>
      </c>
    </row>
    <row r="4546" spans="2:19" ht="11.4" customHeight="1" x14ac:dyDescent="0.2">
      <c r="B4546" s="24"/>
      <c r="C4546" s="14">
        <v>5696</v>
      </c>
      <c r="D4546" s="18" t="s">
        <v>4744</v>
      </c>
      <c r="E4546" s="18" t="s">
        <v>3531</v>
      </c>
      <c r="F4546" s="17">
        <v>18</v>
      </c>
      <c r="G4546" s="18" t="s">
        <v>23</v>
      </c>
      <c r="H4546" s="17">
        <v>41.52</v>
      </c>
      <c r="I4546" s="15">
        <v>63.9</v>
      </c>
      <c r="J4546" s="21">
        <f t="shared" si="210"/>
        <v>0.53901734104046228</v>
      </c>
      <c r="K4546" s="1">
        <v>2</v>
      </c>
      <c r="L4546" s="24">
        <v>6.3</v>
      </c>
      <c r="M4546" s="24">
        <v>57.51</v>
      </c>
      <c r="N4546" s="21">
        <f t="shared" si="211"/>
        <v>0.38511560693641606</v>
      </c>
      <c r="P4546" s="1">
        <v>4</v>
      </c>
      <c r="Q4546" s="24">
        <v>7.6679999999999993</v>
      </c>
      <c r="R4546" s="24">
        <v>56.231999999999999</v>
      </c>
      <c r="S4546" s="21">
        <f t="shared" si="212"/>
        <v>0.35433526011560684</v>
      </c>
    </row>
    <row r="4547" spans="2:19" ht="11.4" customHeight="1" x14ac:dyDescent="0.2">
      <c r="B4547" s="24"/>
      <c r="C4547" s="14">
        <v>19002</v>
      </c>
      <c r="D4547" s="18" t="s">
        <v>4745</v>
      </c>
      <c r="E4547" s="18" t="s">
        <v>3531</v>
      </c>
      <c r="F4547" s="17">
        <v>25</v>
      </c>
      <c r="G4547" s="18" t="s">
        <v>23</v>
      </c>
      <c r="H4547" s="17">
        <v>21.78</v>
      </c>
      <c r="I4547" s="15">
        <v>33.9</v>
      </c>
      <c r="J4547" s="21">
        <f t="shared" ref="J4547" si="213">(I4547-H4547)/H4547</f>
        <v>0.55647382920110178</v>
      </c>
      <c r="K4547" s="1">
        <v>2</v>
      </c>
      <c r="L4547" s="24">
        <v>3.3</v>
      </c>
      <c r="M4547" s="24">
        <v>30.509999999999998</v>
      </c>
      <c r="N4547" s="21">
        <f t="shared" ref="N4547" si="214">(M4547-H4547)/H4547</f>
        <v>0.40082644628099157</v>
      </c>
      <c r="P4547" s="1">
        <v>4</v>
      </c>
      <c r="Q4547" s="24">
        <v>4.0680000000000014</v>
      </c>
      <c r="R4547" s="24">
        <v>29.831999999999997</v>
      </c>
      <c r="S4547" s="21">
        <f t="shared" ref="S4547" si="215">(R4547-H4547)/H4547</f>
        <v>0.36969696969696952</v>
      </c>
    </row>
  </sheetData>
  <autoFilter ref="A1:U4547" xr:uid="{00000000-0001-0000-0000-000000000000}"/>
  <phoneticPr fontId="0" type="noConversion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Володимир Литвиновський</cp:lastModifiedBy>
  <dcterms:created xsi:type="dcterms:W3CDTF">2025-10-30T16:34:53Z</dcterms:created>
  <dcterms:modified xsi:type="dcterms:W3CDTF">2025-11-01T15:25:29Z</dcterms:modified>
</cp:coreProperties>
</file>